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вод" sheetId="1" state="visible" r:id="rId3"/>
    <sheet name="Отчёт_дня" sheetId="2" state="visible" r:id="rId4"/>
    <sheet name="Дашборд" sheetId="3" state="visible" r:id="rId5"/>
    <sheet name="Справочники" sheetId="4" state="visible" r:id="rId6"/>
  </sheets>
  <definedNames>
    <definedName function="false" hidden="false" localSheetId="0" name="_xlnm.Print_Titles" vbProcedure="false">Ввод!$4:$5</definedName>
    <definedName function="false" hidden="true" localSheetId="0" name="_xlnm._FilterDatabase" vbProcedure="false">Ввод!$A$5:$AA$23</definedName>
    <definedName function="false" hidden="false" name="БазоваяПапка" vbProcedure="false">Справочники!$N$1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" authorId="0">
      <text>
        <r>
          <rPr>
            <sz val="10"/>
            <rFont val="Arial"/>
            <family val="2"/>
          </rPr>
          <t xml:space="preserve">Дата отчёта. Портфель и просрочка подтягиваются из Power Query — убедитесь, что данные на листах ПК_Портфель / ПК_Просрочка обновлены на эту дату.</t>
        </r>
      </text>
    </comment>
  </commentList>
</comments>
</file>

<file path=xl/sharedStrings.xml><?xml version="1.0" encoding="utf-8"?>
<sst xmlns="http://schemas.openxmlformats.org/spreadsheetml/2006/main" count="199" uniqueCount="105">
  <si>
    <t xml:space="preserve">Дата отчёта:</t>
  </si>
  <si>
    <t xml:space="preserve">ПОРТФЕЛЬ</t>
  </si>
  <si>
    <t xml:space="preserve">ПРОСРОЧКА</t>
  </si>
  <si>
    <t xml:space="preserve">ДОЗВОНИЛИСЬ / ОБЕЩАЛИ</t>
  </si>
  <si>
    <t xml:space="preserve">НЕ ДОЗВОНИЛИСЬ / ОБЪЕЗД</t>
  </si>
  <si>
    <t xml:space="preserve">ОПЛАЧЕНО ЗА ДЕНЬ</t>
  </si>
  <si>
    <t xml:space="preserve">ЭФФЕКТИВНОСТЬ И НАГРУЗКА</t>
  </si>
  <si>
    <t xml:space="preserve">№</t>
  </si>
  <si>
    <t xml:space="preserve">Область</t>
  </si>
  <si>
    <t xml:space="preserve">Ответственный</t>
  </si>
  <si>
    <t xml:space="preserve">Сотруд-
ников</t>
  </si>
  <si>
    <t xml:space="preserve">Портфель,
сум</t>
  </si>
  <si>
    <t xml:space="preserve">Портфель,
шт</t>
  </si>
  <si>
    <t xml:space="preserve">Просрочка,
сум</t>
  </si>
  <si>
    <t xml:space="preserve">Просрочка,
шт</t>
  </si>
  <si>
    <t xml:space="preserve">% к
портфелю</t>
  </si>
  <si>
    <t xml:space="preserve">% к
кол-ву</t>
  </si>
  <si>
    <t xml:space="preserve">Дозвон,
сум</t>
  </si>
  <si>
    <t xml:space="preserve">Дозвон,
шт</t>
  </si>
  <si>
    <t xml:space="preserve">Обещали,
сум</t>
  </si>
  <si>
    <t xml:space="preserve">Обещали,
шт</t>
  </si>
  <si>
    <t xml:space="preserve">Не дозв.,
сум</t>
  </si>
  <si>
    <t xml:space="preserve">Не дозв.,
шт</t>
  </si>
  <si>
    <t xml:space="preserve">Объезд,
сум</t>
  </si>
  <si>
    <t xml:space="preserve">Объезд,
шт</t>
  </si>
  <si>
    <t xml:space="preserve">Оплачено,
сум</t>
  </si>
  <si>
    <t xml:space="preserve">Оплачено,
шт</t>
  </si>
  <si>
    <t xml:space="preserve">% дозвона
(шт)</t>
  </si>
  <si>
    <t xml:space="preserve">% обещаний
(от дозвона)</t>
  </si>
  <si>
    <t xml:space="preserve">Просрочка
на 1 сотр.</t>
  </si>
  <si>
    <t xml:space="preserve">Дозвон
на 1 сотр.</t>
  </si>
  <si>
    <t xml:space="preserve">служ. (для сортировки)</t>
  </si>
  <si>
    <t xml:space="preserve">АНДИЖОН ВИЛОЯТИ</t>
  </si>
  <si>
    <t xml:space="preserve">БУХОРО ВИЛОЯТИ</t>
  </si>
  <si>
    <t xml:space="preserve">ЖИЗЗАХ ВИЛОЯТИ</t>
  </si>
  <si>
    <t xml:space="preserve">КАШКАДАРЁ ВИЛОЯТИ</t>
  </si>
  <si>
    <t xml:space="preserve">КОРАКАЛПОГИСТОН РЕСПУБЛИКАСИ</t>
  </si>
  <si>
    <t xml:space="preserve">НАВОИЙ ВИЛОЯТИ</t>
  </si>
  <si>
    <t xml:space="preserve">НАМАНГАН ВИЛОЯТИ</t>
  </si>
  <si>
    <t xml:space="preserve">САМАРКАНД ВИЛОЯТИ</t>
  </si>
  <si>
    <t xml:space="preserve">СИРДАРЁ ВИЛОЯТИ</t>
  </si>
  <si>
    <t xml:space="preserve">СУРХОНДАРЁ ВИЛОЯТИ</t>
  </si>
  <si>
    <t xml:space="preserve">ТОШКЕНТ ВИЛОЯТИ</t>
  </si>
  <si>
    <t xml:space="preserve">ТОШКЕНТ ШАХРИ</t>
  </si>
  <si>
    <t xml:space="preserve">ФАРГОНА ВИЛОЯТИ</t>
  </si>
  <si>
    <t xml:space="preserve">ХОРАЗМ ВИЛОЯТИ</t>
  </si>
  <si>
    <t xml:space="preserve">ИТОГО</t>
  </si>
  <si>
    <t xml:space="preserve">1. ПОКАЗАТЕЛИ ДНЯ</t>
  </si>
  <si>
    <t xml:space="preserve">Портфель, сум</t>
  </si>
  <si>
    <t xml:space="preserve">Просрочка, сум</t>
  </si>
  <si>
    <t xml:space="preserve">% просрочки к портфелю</t>
  </si>
  <si>
    <t xml:space="preserve">Просрочка, шт</t>
  </si>
  <si>
    <t xml:space="preserve">Дозвонились, шт</t>
  </si>
  <si>
    <t xml:space="preserve">% дозвона</t>
  </si>
  <si>
    <t xml:space="preserve">Обещали оплату, шт</t>
  </si>
  <si>
    <t xml:space="preserve">Не дозвонились, шт</t>
  </si>
  <si>
    <t xml:space="preserve">Объезд, шт</t>
  </si>
  <si>
    <t xml:space="preserve">Оплачено за день, сум</t>
  </si>
  <si>
    <t xml:space="preserve">2. ДЕТАЛИЗАЦИЯ ПО ОБЛАСТЯМ</t>
  </si>
  <si>
    <t xml:space="preserve">Оплачено, сум</t>
  </si>
  <si>
    <t xml:space="preserve">Оценка</t>
  </si>
  <si>
    <t xml:space="preserve">6. ЛИДЕРЫ И ОТСТАЮЩИЕ ПО % ДОЗВОНА (по областям)</t>
  </si>
  <si>
    <t xml:space="preserve">Лидеры</t>
  </si>
  <si>
    <t xml:space="preserve">Требуют внимания</t>
  </si>
  <si>
    <t xml:space="preserve">Просрочка на 1 сотрудника, шт</t>
  </si>
  <si>
    <t xml:space="preserve">СВОД ПО ОБЛАСТЯМ</t>
  </si>
  <si>
    <t xml:space="preserve">Тип</t>
  </si>
  <si>
    <t xml:space="preserve">% просрочки</t>
  </si>
  <si>
    <t xml:space="preserve">Дозвон, шт</t>
  </si>
  <si>
    <t xml:space="preserve">Обещали, шт</t>
  </si>
  <si>
    <t xml:space="preserve">Филиал (точно как в файлах)</t>
  </si>
  <si>
    <t xml:space="preserve">Ответственный (Ф.И.О.)</t>
  </si>
  <si>
    <t xml:space="preserve">Кол-во сотрудников</t>
  </si>
  <si>
    <t xml:space="preserve">Телефон</t>
  </si>
  <si>
    <t xml:space="preserve">Норматив % просрочки</t>
  </si>
  <si>
    <t xml:space="preserve">Оценка эффективности</t>
  </si>
  <si>
    <t xml:space="preserve">Статус проверки</t>
  </si>
  <si>
    <t xml:space="preserve">Урганч филиали</t>
  </si>
  <si>
    <t xml:space="preserve">Регион</t>
  </si>
  <si>
    <t xml:space="preserve">— впишите —</t>
  </si>
  <si>
    <t xml:space="preserve">+998 __ ___ __ __</t>
  </si>
  <si>
    <t xml:space="preserve">Отлично (≥80% дозвона)</t>
  </si>
  <si>
    <t xml:space="preserve">Не проверено</t>
  </si>
  <si>
    <t xml:space="preserve">Самарқанд филиали</t>
  </si>
  <si>
    <t xml:space="preserve">Хорошо (50–79%)</t>
  </si>
  <si>
    <t xml:space="preserve">Проверено куратором</t>
  </si>
  <si>
    <t xml:space="preserve">Денов филиали</t>
  </si>
  <si>
    <t xml:space="preserve">Требует внимания (&lt;50%)</t>
  </si>
  <si>
    <t xml:space="preserve">Жиззах филиали</t>
  </si>
  <si>
    <t xml:space="preserve">Нет данных</t>
  </si>
  <si>
    <t xml:space="preserve">Андижон филиали</t>
  </si>
  <si>
    <t xml:space="preserve">Наманган филиали</t>
  </si>
  <si>
    <t xml:space="preserve">Фарғона филиали</t>
  </si>
  <si>
    <t xml:space="preserve">Қарши филиали</t>
  </si>
  <si>
    <t xml:space="preserve">Нукус филиали</t>
  </si>
  <si>
    <t xml:space="preserve">Навоий филиали</t>
  </si>
  <si>
    <t xml:space="preserve">Бухоро филиали</t>
  </si>
  <si>
    <t xml:space="preserve">Термиз филиали</t>
  </si>
  <si>
    <t xml:space="preserve">Гулистон филиали</t>
  </si>
  <si>
    <t xml:space="preserve">Олмалиқ филиали</t>
  </si>
  <si>
    <t xml:space="preserve">Чирчик филиали</t>
  </si>
  <si>
    <t xml:space="preserve">Янги Йул филиали</t>
  </si>
  <si>
    <t xml:space="preserve">SUPER BRANCH</t>
  </si>
  <si>
    <t xml:space="preserve">Центральное</t>
  </si>
  <si>
    <t xml:space="preserve">BOSH OFIS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</si>
</sst>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.mm\.yyyy"/>
    <numFmt numFmtId="166" formatCode="0.0%"/>
    <numFmt numFmtId="167" formatCode="#,##0"/>
    <numFmt numFmtId="168" formatCode="0.0"/>
    <numFmt numFmtId="169" formatCode="0.00%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color rgb="FFFFFFFF"/>
      <name val="Arial"/>
      <family val="2"/>
      <charset val="204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2"/>
    </font>
    <font>
      <b val="true"/>
      <sz val="16"/>
      <color rgb="FF1F4E79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1"/>
      <color rgb="FFFFFFFF"/>
      <name val="Arial"/>
      <family val="2"/>
      <charset val="204"/>
    </font>
    <font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9"/>
      <color rgb="FF1F4E79"/>
      <name val="Arial"/>
      <family val="0"/>
      <charset val="1"/>
    </font>
    <font>
      <b val="true"/>
      <sz val="9"/>
      <color rgb="FF7030A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2CC"/>
        <bgColor rgb="FFFFE8D9"/>
      </patternFill>
    </fill>
    <fill>
      <patternFill patternType="solid">
        <fgColor rgb="FF2E75B6"/>
        <bgColor rgb="FF4F81BD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E4DFEC"/>
        <bgColor rgb="FFD9E1F2"/>
      </patternFill>
    </fill>
    <fill>
      <patternFill patternType="solid">
        <fgColor rgb="FFD9E1F2"/>
        <bgColor rgb="FFE4DFEC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D9D9"/>
      </patternFill>
    </fill>
    <fill>
      <patternFill patternType="solid">
        <fgColor rgb="FFFFE8D9"/>
        <bgColor rgb="FFFFF2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4E79"/>
      </top>
      <bottom style="medium">
        <color rgb="FF1F4E79"/>
      </bottom>
      <diagonal/>
    </border>
    <border diagonalUp="false" diagonalDown="false">
      <left style="thin">
        <color rgb="FFBFBFBF"/>
      </left>
      <right/>
      <top style="medium">
        <color rgb="FF1F4E79"/>
      </top>
      <bottom style="medium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 applyNumberFormat="1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 applyNumberFormat="1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 applyNumberFormat="1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 applyNumberFormat="1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 applyNumberFormat="1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 applyNumberFormat="1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false" applyNumberFormat="1">
      <alignment horizontal="center" vertical="center" textRotation="0" wrapText="true" indent="0" shrinkToFit="false"/>
      <protection locked="true" hidden="false"/>
    </xf>
    <xf numFmtId="167" fontId="7" fillId="0" borderId="0" xfId="0" applyFont="true" applyBorder="false" applyAlignment="true" applyProtection="false" applyNumberFormat="1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 applyNumberFormat="1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 applyNumberFormat="1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 applyNumberFormat="1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 applyNumberFormat="1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 applyNumberFormat="1" applyFill="1">
      <alignment horizontal="lef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 applyNumberFormat="1" applyFill="1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7" fontId="14" fillId="2" borderId="1" xfId="0" applyFont="true" applyBorder="true" applyAlignment="true" applyProtection="false" applyNumberFormat="1" applyFill="1">
      <alignment horizontal="right" vertical="center" textRotation="0" wrapText="false" indent="0" shrinkToFit="false"/>
      <protection locked="true" hidden="false"/>
    </xf>
    <xf numFmtId="167" fontId="14" fillId="2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8" fontId="8" fillId="5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8" fontId="8" fillId="5" borderId="2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9" fontId="15" fillId="0" borderId="0" xfId="0" applyFont="true" applyBorder="false" applyAlignment="false" applyProtection="false" applyNumberFormat="1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 applyNumberFormat="1" applyFill="1">
      <alignment horizontal="left" vertical="center" textRotation="0" wrapText="false" indent="0" shrinkToFit="false"/>
      <protection locked="true" hidden="false"/>
    </xf>
    <xf numFmtId="164" fontId="16" fillId="7" borderId="3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7" fontId="16" fillId="7" borderId="3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7" fontId="16" fillId="7" borderId="3" xfId="0" applyFont="true" applyBorder="true" applyAlignment="true" applyProtection="false" applyNumberFormat="1" applyFill="1">
      <alignment horizontal="right" vertical="center" textRotation="0" wrapText="false" indent="0" shrinkToFit="false"/>
      <protection locked="true" hidden="false"/>
    </xf>
    <xf numFmtId="166" fontId="16" fillId="7" borderId="3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8" fontId="16" fillId="7" borderId="3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8" fontId="16" fillId="7" borderId="4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 applyNumberFormat="1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 applyNumberFormat="1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 applyNumberFormat="1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 applyNumberFormat="1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 applyNumberFormat="1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 applyNumberFormat="1">
      <alignment horizontal="general" vertical="bottom" textRotation="0" wrapText="false" indent="0" shrinkToFit="false"/>
      <protection locked="true" hidden="false"/>
    </xf>
    <xf numFmtId="165" fontId="23" fillId="7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24" fillId="3" borderId="0" xfId="0" applyFont="true" applyBorder="true" applyAlignment="true" applyProtection="false" applyNumberFormat="1" applyFill="1">
      <alignment horizontal="left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 applyNumberFormat="1">
      <alignment horizontal="lef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 applyNumberFormat="1">
      <alignment horizontal="left" vertical="center" textRotation="0" wrapText="false" indent="0" shrinkToFit="false"/>
      <protection locked="true" hidden="false"/>
    </xf>
    <xf numFmtId="167" fontId="25" fillId="0" borderId="1" xfId="0" applyFont="true" applyBorder="true" applyAlignment="true" applyProtection="false" applyNumberFormat="1">
      <alignment horizontal="center" vertical="center" textRotation="0" wrapText="true" indent="0" shrinkToFit="false"/>
      <protection locked="true" hidden="false"/>
    </xf>
    <xf numFmtId="166" fontId="25" fillId="0" borderId="1" xfId="0" applyFont="true" applyBorder="true" applyAlignment="true" applyProtection="false" applyNumberFormat="1">
      <alignment horizontal="center" vertical="center" textRotation="0" wrapText="true" indent="0" shrinkToFit="false"/>
      <protection locked="true" hidden="false"/>
    </xf>
    <xf numFmtId="168" fontId="25" fillId="0" borderId="1" xfId="0" applyFont="true" applyBorder="true" applyAlignment="true" applyProtection="false" applyNumberFormat="1">
      <alignment horizontal="center" vertical="center" textRotation="0" wrapText="true" indent="0" shrinkToFit="false"/>
      <protection locked="true" hidden="false"/>
    </xf>
    <xf numFmtId="167" fontId="25" fillId="0" borderId="1" xfId="0" applyFont="true" applyBorder="true" applyAlignment="true" applyProtection="false" applyNumberFormat="1">
      <alignment horizontal="right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 applyNumberFormat="1">
      <alignment horizontal="center" vertical="center" textRotation="0" wrapText="true" indent="0" shrinkToFit="false"/>
      <protection locked="true" hidden="false"/>
    </xf>
    <xf numFmtId="164" fontId="26" fillId="3" borderId="0" xfId="0" applyFont="true" applyBorder="true" applyAlignment="true" applyProtection="false" applyNumberFormat="1" applyFill="1">
      <alignment horizontal="left" vertical="center" textRotation="0" wrapText="false" indent="0" shrinkToFit="false"/>
      <protection locked="true" hidden="false"/>
    </xf>
    <xf numFmtId="164" fontId="25" fillId="8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6" fontId="25" fillId="8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25" fillId="9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6" fontId="25" fillId="9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 applyNumberFormat="1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 applyNumberFormat="1">
      <alignment horizontal="right" vertical="center" textRotation="0" wrapText="false" indent="0" shrinkToFit="false"/>
      <protection locked="true" hidden="false"/>
    </xf>
    <xf numFmtId="167" fontId="23" fillId="7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8" fontId="23" fillId="7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27" fillId="3" borderId="0" xfId="0" applyFont="true" applyBorder="true" applyAlignment="true" applyProtection="false" applyNumberFormat="1" applyFill="1">
      <alignment horizontal="left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 applyNumberFormat="1" applyFill="1">
      <alignment horizontal="left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true" applyAlignment="true" applyProtection="false" applyNumberFormat="1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 applyNumberFormat="1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false" applyAlignment="true" applyProtection="false" applyNumberFormat="1">
      <alignment horizontal="left" vertical="center" textRotation="0" wrapText="false" indent="0" shrinkToFit="false"/>
      <protection locked="true" hidden="false"/>
    </xf>
    <xf numFmtId="167" fontId="25" fillId="0" borderId="0" xfId="0" applyFont="true" applyBorder="false" applyAlignment="true" applyProtection="false" applyNumberFormat="1">
      <alignment horizontal="center" vertical="center" textRotation="0" wrapText="true" indent="0" shrinkToFit="false"/>
      <protection locked="true" hidden="false"/>
    </xf>
    <xf numFmtId="166" fontId="25" fillId="0" borderId="0" xfId="0" applyFont="true" applyBorder="false" applyAlignment="true" applyProtection="false" applyNumberFormat="1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 applyNumberFormat="1">
      <alignment horizontal="left" vertical="center" textRotation="0" wrapText="false" indent="0" shrinkToFit="false"/>
      <protection locked="true" hidden="false"/>
    </xf>
    <xf numFmtId="167" fontId="25" fillId="0" borderId="0" xfId="0" applyFont="true" applyBorder="false" applyAlignment="true" applyProtection="false" applyNumberFormat="1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 applyNumberFormat="1">
      <alignment horizontal="center" vertical="center" textRotation="0" wrapText="true" indent="0" shrinkToFit="false"/>
      <protection locked="true" hidden="false"/>
    </xf>
    <xf numFmtId="167" fontId="16" fillId="0" borderId="0" xfId="0" applyFont="true" applyBorder="false" applyAlignment="true" applyProtection="false" applyNumberFormat="1">
      <alignment horizontal="right" vertical="center" textRotation="0" wrapText="false" indent="0" shrinkToFit="false"/>
      <protection locked="true" hidden="false"/>
    </xf>
    <xf numFmtId="166" fontId="16" fillId="0" borderId="0" xfId="0" applyFont="true" applyBorder="false" applyAlignment="true" applyProtection="false" applyNumberFormat="1">
      <alignment horizontal="center" vertical="center" textRotation="0" wrapText="true" indent="0" shrinkToFit="false"/>
      <protection locked="true" hidden="false"/>
    </xf>
    <xf numFmtId="167" fontId="16" fillId="0" borderId="0" xfId="0" applyFont="true" applyBorder="false" applyAlignment="true" applyProtection="false" applyNumberFormat="1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 applyNumberFormat="1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 applyNumberFormat="1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 applyNumberFormat="1">
      <alignment horizontal="center" vertical="center" textRotation="0" wrapText="true" indent="0" shrinkToFit="false"/>
      <protection locked="true" hidden="false"/>
    </xf>
    <xf numFmtId="164" fontId="30" fillId="0" borderId="1" xfId="0" applyFont="true" applyBorder="true" applyAlignment="true" applyProtection="false" applyNumberFormat="1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 applyNumberFormat="1" applyFill="1">
      <alignment horizontal="left" vertical="center" textRotation="0" wrapText="false" indent="0" shrinkToFit="false"/>
      <protection locked="true" hidden="false"/>
    </xf>
    <xf numFmtId="166" fontId="14" fillId="2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 applyNumberFormat="1">
      <alignment horizontal="left" vertical="center" textRotation="0" wrapText="false" indent="0" shrinkToFit="false"/>
      <protection locked="true" hidden="false"/>
    </xf>
    <xf numFmtId="164" fontId="31" fillId="6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 applyNumberFormat="1" applyFill="1">
      <alignment horizontal="left" vertical="center" textRotation="0" wrapText="false" indent="0" shrinkToFit="false"/>
      <protection locked="true" hidden="false"/>
    </xf>
    <xf numFmtId="167" fontId="14" fillId="10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6" fontId="14" fillId="10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0" fillId="7" borderId="3" xfId="0" applyFont="false" applyBorder="true" applyAlignment="true" applyProtection="false" applyNumberFormat="1" applyFill="1">
      <alignment horizontal="general" vertical="bottom" textRotation="0" wrapText="false" indent="0" shrinkToFit="false"/>
      <protection locked="true" hidden="false"/>
    </xf>
    <xf numFmtId="164" fontId="16" fillId="7" borderId="3" xfId="0" applyFont="true" applyBorder="true" applyAlignment="true" applyProtection="false" applyNumberFormat="1" applyFill="1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82C77C"/>
          <bgColor rgb="FF000000"/>
        </patternFill>
      </fill>
    </dxf>
    <dxf>
      <fill>
        <patternFill patternType="solid">
          <fgColor rgb="FF8DCA7D"/>
          <bgColor rgb="FF000000"/>
        </patternFill>
      </fill>
    </dxf>
    <dxf>
      <fill>
        <patternFill patternType="solid">
          <fgColor rgb="FF8FCA7D"/>
          <bgColor rgb="FF000000"/>
        </patternFill>
      </fill>
    </dxf>
    <dxf>
      <fill>
        <patternFill patternType="solid">
          <fgColor rgb="FF96CC7D"/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9BCE7E"/>
          <bgColor rgb="FF000000"/>
        </patternFill>
      </fill>
    </dxf>
    <dxf>
      <fill>
        <patternFill patternType="solid">
          <fgColor rgb="FFABD37F"/>
          <bgColor rgb="FF000000"/>
        </patternFill>
      </fill>
    </dxf>
    <dxf>
      <fill>
        <patternFill patternType="solid">
          <fgColor rgb="FFAED37F"/>
          <bgColor rgb="FF000000"/>
        </patternFill>
      </fill>
    </dxf>
    <dxf>
      <fill>
        <patternFill patternType="solid">
          <fgColor rgb="FFD7DF81"/>
          <bgColor rgb="FF000000"/>
        </patternFill>
      </fill>
    </dxf>
    <dxf>
      <fill>
        <patternFill patternType="solid">
          <fgColor rgb="FFDEE182"/>
          <bgColor rgb="FF000000"/>
        </patternFill>
      </fill>
    </dxf>
    <dxf>
      <fill>
        <patternFill patternType="solid">
          <fgColor rgb="FFE1E282"/>
          <bgColor rgb="FF000000"/>
        </patternFill>
      </fill>
    </dxf>
    <dxf>
      <fill>
        <patternFill patternType="solid">
          <fgColor rgb="FFF3E783"/>
          <bgColor rgb="FF000000"/>
        </patternFill>
      </fill>
    </dxf>
    <dxf>
      <fill>
        <patternFill patternType="solid">
          <fgColor rgb="FFFECF7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6FC27C"/>
          <bgColor rgb="FF000000"/>
        </patternFill>
      </fill>
    </dxf>
    <dxf>
      <fill>
        <patternFill patternType="solid">
          <fgColor rgb="FFA7D27F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A9072"/>
          <bgColor rgb="FF000000"/>
        </patternFill>
      </fill>
    </dxf>
    <dxf>
      <fill>
        <patternFill patternType="solid">
          <fgColor rgb="FFFBB279"/>
          <bgColor rgb="FF000000"/>
        </patternFill>
      </fill>
    </dxf>
    <dxf>
      <fill>
        <patternFill patternType="solid">
          <fgColor rgb="FFFCB87A"/>
          <bgColor rgb="FF000000"/>
        </patternFill>
      </fill>
    </dxf>
    <dxf>
      <fill>
        <patternFill patternType="solid">
          <fgColor rgb="FFFEE583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ont>
        <name val="Arial"/>
        <charset val="1"/>
        <family val="0"/>
        <color rgb="FF006100"/>
        <sz val="9"/>
      </font>
      <fill>
        <patternFill>
          <bgColor rgb="FFC6EFCE"/>
        </patternFill>
      </fill>
    </dxf>
    <dxf>
      <font>
        <name val="Arial"/>
        <charset val="1"/>
        <family val="0"/>
        <color rgb="FF9C6500"/>
        <sz val="9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7F7F7F"/>
      <rgbColor rgb="FF7030A0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9DC3E6"/>
      <rgbColor rgb="FFFFE8D9"/>
      <rgbColor rgb="FFE4DFEC"/>
      <rgbColor rgb="FFFFC7CE"/>
      <rgbColor rgb="FF2E75B6"/>
      <rgbColor rgb="FF70AD47"/>
      <rgbColor rgb="FF9BBB59"/>
      <rgbColor rgb="FFFFCC00"/>
      <rgbColor rgb="FFFF9900"/>
      <rgbColor rgb="FFED7D31"/>
      <rgbColor rgb="FF8064A2"/>
      <rgbColor rgb="FF878787"/>
      <rgbColor rgb="FF003366"/>
      <rgbColor rgb="FF4F81BD"/>
      <rgbColor rgb="FF003300"/>
      <rgbColor rgb="FF333300"/>
      <rgbColor rgb="FF993300"/>
      <rgbColor rgb="FFC0504D"/>
      <rgbColor rgb="FF1F4E7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ru-RU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ru-RU" sz="1800" spc="-1" strike="noStrike">
                <a:solidFill>
                  <a:srgbClr val="000000"/>
                </a:solidFill>
                <a:latin typeface="Calibri"/>
              </a:rPr>
              <a:t>Просрочка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Дашборд!$E$8</c:f>
              <c:strCache>
                <c:ptCount val="1"/>
                <c:pt idx="0">
                  <c:v>Просрочка, сум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8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</c:strCache>
            </c:strRef>
          </c:cat>
          <c:val>
            <c:numRef>
              <c:f>Дашборд!$E$9:$E$26</c:f>
              <c:numCache>
                <c:formatCode>#,##0</c:formatCode>
                <c:ptCount val="18"/>
                <c:pt idx="0">
                  <c:v>216997310.13</c:v>
                </c:pt>
                <c:pt idx="1">
                  <c:v>202669512.91</c:v>
                </c:pt>
                <c:pt idx="2">
                  <c:v>249852799.42</c:v>
                </c:pt>
                <c:pt idx="3">
                  <c:v>205557960.12</c:v>
                </c:pt>
                <c:pt idx="4">
                  <c:v>259639584.46</c:v>
                </c:pt>
                <c:pt idx="5">
                  <c:v>107085347.11</c:v>
                </c:pt>
                <c:pt idx="6">
                  <c:v>597998506.93</c:v>
                </c:pt>
                <c:pt idx="7">
                  <c:v>267212425.58</c:v>
                </c:pt>
                <c:pt idx="8">
                  <c:v>97690450.19</c:v>
                </c:pt>
                <c:pt idx="9">
                  <c:v>1083751094.2</c:v>
                </c:pt>
                <c:pt idx="10">
                  <c:v>886986634.88</c:v>
                </c:pt>
                <c:pt idx="11">
                  <c:v>1625726684.3</c:v>
                </c:pt>
                <c:pt idx="12">
                  <c:v>806811380</c:v>
                </c:pt>
                <c:pt idx="13">
                  <c:v>293459857.04</c:v>
                </c:pt>
              </c:numCache>
            </c:numRef>
          </c:val>
        </c:ser>
        <c:gapWidth val="150"/>
        <c:overlap val="0"/>
        <c:axId val="71214765"/>
        <c:axId val="85112628"/>
      </c:barChart>
      <c:catAx>
        <c:axId val="712147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112628"/>
        <c:crosses val="autoZero"/>
        <c:auto val="1"/>
        <c:lblAlgn val="ctr"/>
        <c:lblOffset val="100"/>
        <c:noMultiLvlLbl val="0"/>
      </c:catAx>
      <c:valAx>
        <c:axId val="851126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2147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ru-RU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ru-RU" sz="1800" spc="-1" strike="noStrike">
                <a:solidFill>
                  <a:srgbClr val="000000"/>
                </a:solidFill>
                <a:latin typeface="Calibri"/>
              </a:rPr>
              <a:t>% просрочки к портфелю по филиалам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Дашборд!$F$8</c:f>
              <c:strCache>
                <c:ptCount val="1"/>
                <c:pt idx="0">
                  <c:v>% просрочки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8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</c:strCache>
            </c:strRef>
          </c:cat>
          <c:val>
            <c:numRef>
              <c:f>Дашборд!$F$9:$F$26</c:f>
              <c:numCache>
                <c:formatCode>0.0%</c:formatCode>
                <c:ptCount val="18"/>
                <c:pt idx="0">
                  <c:v>0.0100136350412701</c:v>
                </c:pt>
                <c:pt idx="1">
                  <c:v>0.0395593703875906</c:v>
                </c:pt>
                <c:pt idx="2">
                  <c:v>0.0179695851723092</c:v>
                </c:pt>
                <c:pt idx="3">
                  <c:v>0.016867583337316</c:v>
                </c:pt>
                <c:pt idx="4">
                  <c:v>0.0233498390675339</c:v>
                </c:pt>
                <c:pt idx="5">
                  <c:v>0.0165335665399284</c:v>
                </c:pt>
                <c:pt idx="6">
                  <c:v>0.0405983772924392</c:v>
                </c:pt>
                <c:pt idx="7">
                  <c:v>0.0166925774584609</c:v>
                </c:pt>
                <c:pt idx="8">
                  <c:v>0.0135874414351727</c:v>
                </c:pt>
                <c:pt idx="9">
                  <c:v>0.0653443540594063</c:v>
                </c:pt>
                <c:pt idx="10">
                  <c:v>0.0240562319092883</c:v>
                </c:pt>
                <c:pt idx="11">
                  <c:v>0.037345679371897</c:v>
                </c:pt>
                <c:pt idx="12">
                  <c:v>0.0463593081528477</c:v>
                </c:pt>
                <c:pt idx="13">
                  <c:v>0.0143157463084746</c:v>
                </c:pt>
              </c:numCache>
            </c:numRef>
          </c:val>
        </c:ser>
        <c:gapWidth val="150"/>
        <c:overlap val="0"/>
        <c:axId val="43054998"/>
        <c:axId val="44262132"/>
      </c:barChart>
      <c:catAx>
        <c:axId val="430549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262132"/>
        <c:crosses val="autoZero"/>
        <c:auto val="1"/>
        <c:lblAlgn val="ctr"/>
        <c:lblOffset val="100"/>
        <c:noMultiLvlLbl val="0"/>
      </c:catAx>
      <c:valAx>
        <c:axId val="442621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0549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ru-RU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ru-RU" sz="1800" spc="-1" strike="noStrike">
                <a:solidFill>
                  <a:srgbClr val="000000"/>
                </a:solidFill>
                <a:latin typeface="Calibri"/>
              </a:rPr>
              <a:t>% дозвона по филиалам (эффективность)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Дашборд!$I$8</c:f>
              <c:strCache>
                <c:ptCount val="1"/>
                <c:pt idx="0">
                  <c:v>% дозвона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8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</c:strCache>
            </c:strRef>
          </c:cat>
          <c:val>
            <c:numRef>
              <c:f>Дашборд!$I$9:$I$26</c:f>
              <c:numCache>
                <c:formatCode>0.0%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0.392156862745098</c:v>
                </c:pt>
                <c:pt idx="3">
                  <c:v>0.878787878787879</c:v>
                </c:pt>
                <c:pt idx="4">
                  <c:v>0.769230769230769</c:v>
                </c:pt>
                <c:pt idx="5">
                  <c:v>0.0555555555555556</c:v>
                </c:pt>
                <c:pt idx="6">
                  <c:v>0.483870967741936</c:v>
                </c:pt>
                <c:pt idx="7">
                  <c:v>0.245901639344262</c:v>
                </c:pt>
                <c:pt idx="8">
                  <c:v>0.588235294117647</c:v>
                </c:pt>
                <c:pt idx="9">
                  <c:v>0.185567010309278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0.469387755102041</c:v>
                </c:pt>
              </c:numCache>
            </c:numRef>
          </c:val>
        </c:ser>
        <c:gapWidth val="150"/>
        <c:overlap val="0"/>
        <c:axId val="68234107"/>
        <c:axId val="21209288"/>
      </c:barChart>
      <c:catAx>
        <c:axId val="682341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209288"/>
        <c:crosses val="autoZero"/>
        <c:auto val="1"/>
        <c:lblAlgn val="ctr"/>
        <c:lblOffset val="100"/>
        <c:noMultiLvlLbl val="0"/>
      </c:catAx>
      <c:valAx>
        <c:axId val="21209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2341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Нагрузка: просроченных договоров на 1 сотрудника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Дашборд!$J$8</c:f>
              <c:strCache>
                <c:ptCount val="1"/>
                <c:pt idx="0">
                  <c:v>Просрочка
на 1 сотр.</c:v>
                </c:pt>
              </c:strCache>
            </c:strRef>
          </c:tx>
          <c:spPr>
            <a:solidFill>
              <a:srgbClr val="7030a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8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</c:strCache>
            </c:strRef>
          </c:cat>
          <c:val>
            <c:numRef>
              <c:f>Дашборд!$J$9:$J$26</c:f>
              <c:numCache>
                <c:formatCode>0.0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gapWidth val="150"/>
        <c:overlap val="0"/>
        <c:axId val="26447490"/>
        <c:axId val="97794876"/>
      </c:barChart>
      <c:catAx>
        <c:axId val="264474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794876"/>
        <c:crosses val="autoZero"/>
        <c:auto val="1"/>
        <c:lblAlgn val="ctr"/>
        <c:lblOffset val="100"/>
        <c:noMultiLvlLbl val="0"/>
      </c:catAx>
      <c:valAx>
        <c:axId val="977948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474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Портфель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Дашборд!$D$8</c:f>
              <c:strCache>
                <c:ptCount val="1"/>
                <c:pt idx="0">
                  <c:v>Портфель, сум</c:v>
                </c:pt>
              </c:strCache>
            </c:strRef>
          </c:tx>
          <c:spPr>
            <a:solidFill>
              <a:srgbClr val="80808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8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</c:strCache>
            </c:strRef>
          </c:cat>
          <c:val>
            <c:numRef>
              <c:f>Дашборд!$D$9:$D$26</c:f>
              <c:numCache>
                <c:formatCode>#,##0</c:formatCode>
                <c:ptCount val="18"/>
                <c:pt idx="0">
                  <c:v>21670183628.19</c:v>
                </c:pt>
                <c:pt idx="1">
                  <c:v>5123173370.16</c:v>
                </c:pt>
                <c:pt idx="2">
                  <c:v>13904205190.28</c:v>
                </c:pt>
                <c:pt idx="3">
                  <c:v>12186568520.77</c:v>
                </c:pt>
                <c:pt idx="4">
                  <c:v>11119544923.16</c:v>
                </c:pt>
                <c:pt idx="5">
                  <c:v>6476844959.70001</c:v>
                </c:pt>
                <c:pt idx="6">
                  <c:v>14729615980.03</c:v>
                </c:pt>
                <c:pt idx="7">
                  <c:v>16007858956.77</c:v>
                </c:pt>
                <c:pt idx="8">
                  <c:v>7189760534.1</c:v>
                </c:pt>
                <c:pt idx="9">
                  <c:v>16585229279.56</c:v>
                </c:pt>
                <c:pt idx="10">
                  <c:v>36871386933.1101</c:v>
                </c:pt>
                <c:pt idx="11">
                  <c:v>43531854598.5101</c:v>
                </c:pt>
                <c:pt idx="12">
                  <c:v>17403438751.5</c:v>
                </c:pt>
                <c:pt idx="13">
                  <c:v>20499095940.69</c:v>
                </c:pt>
              </c:numCache>
            </c:numRef>
          </c:val>
        </c:ser>
        <c:gapWidth val="150"/>
        <c:overlap val="0"/>
        <c:axId val="92751537"/>
        <c:axId val="24896542"/>
      </c:barChart>
      <c:catAx>
        <c:axId val="927515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896542"/>
        <c:crosses val="autoZero"/>
        <c:auto val="1"/>
        <c:lblAlgn val="ctr"/>
        <c:lblOffset val="100"/>
        <c:noMultiLvlLbl val="0"/>
      </c:catAx>
      <c:valAx>
        <c:axId val="248965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7515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Оплачено за день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Дашборд!$L$8</c:f>
              <c:strCache>
                <c:ptCount val="1"/>
                <c:pt idx="0">
                  <c:v>Оплачено, сум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8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</c:strCache>
            </c:strRef>
          </c:cat>
          <c:val>
            <c:numRef>
              <c:f>Дашборд!$L$9:$L$26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gapWidth val="150"/>
        <c:overlap val="0"/>
        <c:axId val="7923531"/>
        <c:axId val="91779961"/>
      </c:barChart>
      <c:catAx>
        <c:axId val="79235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779961"/>
        <c:crosses val="autoZero"/>
        <c:auto val="1"/>
        <c:lblAlgn val="ctr"/>
        <c:lblOffset val="100"/>
        <c:noMultiLvlLbl val="0"/>
      </c:catAx>
      <c:valAx>
        <c:axId val="917799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235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Дозвон и обещания по филиалам, шт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Дашборд!$H$8</c:f>
              <c:strCache>
                <c:ptCount val="1"/>
                <c:pt idx="0">
                  <c:v>Дозвон, шт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8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</c:strCache>
            </c:strRef>
          </c:cat>
          <c:val>
            <c:numRef>
              <c:f>Дашборд!$H$9:$H$26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29</c:v>
                </c:pt>
                <c:pt idx="4">
                  <c:v>20</c:v>
                </c:pt>
                <c:pt idx="5">
                  <c:v>1</c:v>
                </c:pt>
                <c:pt idx="6">
                  <c:v>30</c:v>
                </c:pt>
                <c:pt idx="7">
                  <c:v>15</c:v>
                </c:pt>
                <c:pt idx="8">
                  <c:v>10</c:v>
                </c:pt>
                <c:pt idx="9">
                  <c:v>18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</c:v>
                </c:pt>
              </c:numCache>
            </c:numRef>
          </c:val>
        </c:ser>
        <c:ser>
          <c:idx val="1"/>
          <c:order val="1"/>
          <c:tx>
            <c:strRef>
              <c:f>Дашборд!$K$8</c:f>
              <c:strCache>
                <c:ptCount val="1"/>
                <c:pt idx="0">
                  <c:v>Обещали, шт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8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</c:strCache>
            </c:strRef>
          </c:cat>
          <c:val>
            <c:numRef>
              <c:f>Дашборд!$K$9:$K$26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19</c:v>
                </c:pt>
                <c:pt idx="3">
                  <c:v>18</c:v>
                </c:pt>
                <c:pt idx="4">
                  <c:v>4</c:v>
                </c:pt>
                <c:pt idx="5">
                  <c:v>1</c:v>
                </c:pt>
                <c:pt idx="6">
                  <c:v>30</c:v>
                </c:pt>
                <c:pt idx="7">
                  <c:v>15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</c:v>
                </c:pt>
              </c:numCache>
            </c:numRef>
          </c:val>
        </c:ser>
        <c:gapWidth val="150"/>
        <c:overlap val="0"/>
        <c:axId val="89986958"/>
        <c:axId val="3248866"/>
      </c:barChart>
      <c:catAx>
        <c:axId val="899869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48866"/>
        <c:crosses val="autoZero"/>
        <c:auto val="1"/>
        <c:lblAlgn val="ctr"/>
        <c:lblOffset val="100"/>
        <c:noMultiLvlLbl val="0"/>
      </c:catAx>
      <c:valAx>
        <c:axId val="32488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9869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Структура работы с просрочкой, шт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Дашборд!$B$31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numFmt formatCode="#,##0" sourceLinked="1"/>
            <c:dLbl>
              <c:idx val="0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Дашборд!$A$32:$A$35</c:f>
              <c:strCache>
                <c:ptCount val="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</c:strCache>
            </c:strRef>
          </c:cat>
          <c:val>
            <c:numRef>
              <c:f>Дашборд!$B$32:$B$35</c:f>
              <c:numCache>
                <c:formatCode>General</c:formatCode>
                <c:ptCount val="4"/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5</xdr:row>
      <xdr:rowOff>130680</xdr:rowOff>
    </xdr:from>
    <xdr:to>
      <xdr:col>24</xdr:col>
      <xdr:colOff>3600</xdr:colOff>
      <xdr:row>20</xdr:row>
      <xdr:rowOff>65160</xdr:rowOff>
    </xdr:to>
    <xdr:graphicFrame>
      <xdr:nvGraphicFramePr>
        <xdr:cNvPr id="0" name="Chart 1"/>
        <xdr:cNvGraphicFramePr/>
      </xdr:nvGraphicFramePr>
      <xdr:xfrm>
        <a:off x="13130640" y="1311840"/>
        <a:ext cx="6144120" cy="305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24</xdr:row>
      <xdr:rowOff>130680</xdr:rowOff>
    </xdr:from>
    <xdr:to>
      <xdr:col>24</xdr:col>
      <xdr:colOff>3600</xdr:colOff>
      <xdr:row>40</xdr:row>
      <xdr:rowOff>84240</xdr:rowOff>
    </xdr:to>
    <xdr:graphicFrame>
      <xdr:nvGraphicFramePr>
        <xdr:cNvPr id="1" name="Chart 2"/>
        <xdr:cNvGraphicFramePr/>
      </xdr:nvGraphicFramePr>
      <xdr:xfrm>
        <a:off x="13130640" y="5198040"/>
        <a:ext cx="6144120" cy="3115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43</xdr:row>
      <xdr:rowOff>130680</xdr:rowOff>
    </xdr:from>
    <xdr:to>
      <xdr:col>24</xdr:col>
      <xdr:colOff>3600</xdr:colOff>
      <xdr:row>59</xdr:row>
      <xdr:rowOff>141480</xdr:rowOff>
    </xdr:to>
    <xdr:graphicFrame>
      <xdr:nvGraphicFramePr>
        <xdr:cNvPr id="2" name="Chart 3"/>
        <xdr:cNvGraphicFramePr/>
      </xdr:nvGraphicFramePr>
      <xdr:xfrm>
        <a:off x="13130640" y="8931960"/>
        <a:ext cx="6144120" cy="305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62</xdr:row>
      <xdr:rowOff>130680</xdr:rowOff>
    </xdr:from>
    <xdr:to>
      <xdr:col>24</xdr:col>
      <xdr:colOff>3600</xdr:colOff>
      <xdr:row>78</xdr:row>
      <xdr:rowOff>141120</xdr:rowOff>
    </xdr:to>
    <xdr:graphicFrame>
      <xdr:nvGraphicFramePr>
        <xdr:cNvPr id="3" name="Chart 4"/>
        <xdr:cNvGraphicFramePr/>
      </xdr:nvGraphicFramePr>
      <xdr:xfrm>
        <a:off x="13130640" y="12551400"/>
        <a:ext cx="6144120" cy="305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24</xdr:col>
      <xdr:colOff>0</xdr:colOff>
      <xdr:row>62</xdr:row>
      <xdr:rowOff>130680</xdr:rowOff>
    </xdr:from>
    <xdr:to>
      <xdr:col>34</xdr:col>
      <xdr:colOff>3600</xdr:colOff>
      <xdr:row>78</xdr:row>
      <xdr:rowOff>141120</xdr:rowOff>
    </xdr:to>
    <xdr:graphicFrame>
      <xdr:nvGraphicFramePr>
        <xdr:cNvPr id="4" name="Chart 5"/>
        <xdr:cNvGraphicFramePr/>
      </xdr:nvGraphicFramePr>
      <xdr:xfrm>
        <a:off x="19271160" y="12551400"/>
        <a:ext cx="6143760" cy="305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24</xdr:col>
      <xdr:colOff>0</xdr:colOff>
      <xdr:row>43</xdr:row>
      <xdr:rowOff>130680</xdr:rowOff>
    </xdr:from>
    <xdr:to>
      <xdr:col>34</xdr:col>
      <xdr:colOff>3600</xdr:colOff>
      <xdr:row>59</xdr:row>
      <xdr:rowOff>141480</xdr:rowOff>
    </xdr:to>
    <xdr:graphicFrame>
      <xdr:nvGraphicFramePr>
        <xdr:cNvPr id="5" name="Chart 6"/>
        <xdr:cNvGraphicFramePr/>
      </xdr:nvGraphicFramePr>
      <xdr:xfrm>
        <a:off x="19271160" y="8931960"/>
        <a:ext cx="6143760" cy="305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24</xdr:col>
      <xdr:colOff>0</xdr:colOff>
      <xdr:row>5</xdr:row>
      <xdr:rowOff>130680</xdr:rowOff>
    </xdr:from>
    <xdr:to>
      <xdr:col>34</xdr:col>
      <xdr:colOff>3600</xdr:colOff>
      <xdr:row>20</xdr:row>
      <xdr:rowOff>65160</xdr:rowOff>
    </xdr:to>
    <xdr:graphicFrame>
      <xdr:nvGraphicFramePr>
        <xdr:cNvPr id="6" name="Chart 7"/>
        <xdr:cNvGraphicFramePr/>
      </xdr:nvGraphicFramePr>
      <xdr:xfrm>
        <a:off x="19271160" y="1311840"/>
        <a:ext cx="6143760" cy="305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24</xdr:col>
      <xdr:colOff>0</xdr:colOff>
      <xdr:row>24</xdr:row>
      <xdr:rowOff>130680</xdr:rowOff>
    </xdr:from>
    <xdr:to>
      <xdr:col>34</xdr:col>
      <xdr:colOff>3600</xdr:colOff>
      <xdr:row>40</xdr:row>
      <xdr:rowOff>84240</xdr:rowOff>
    </xdr:to>
    <xdr:graphicFrame>
      <xdr:nvGraphicFramePr>
        <xdr:cNvPr id="7" name="Chart 8"/>
        <xdr:cNvGraphicFramePr/>
      </xdr:nvGraphicFramePr>
      <xdr:xfrm>
        <a:off x="19271160" y="5198040"/>
        <a:ext cx="6143760" cy="3115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true"/>
  </sheetPr>
  <dimension ref="A1:AA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28" activeCellId="0" sqref="A28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9"/>
    <col collapsed="false" customWidth="true" hidden="false" outlineLevel="0" max="5" min="5" style="1" width="16"/>
    <col collapsed="false" customWidth="true" hidden="false" outlineLevel="0" max="6" min="6" style="1" width="10"/>
    <col collapsed="false" customWidth="true" hidden="false" outlineLevel="0" max="7" min="7" style="1" width="16"/>
    <col collapsed="false" customWidth="true" hidden="false" outlineLevel="0" max="8" min="8" style="1" width="11"/>
    <col collapsed="false" customWidth="true" hidden="false" outlineLevel="0" max="10" min="9" style="1" width="10"/>
    <col collapsed="false" customWidth="true" hidden="false" outlineLevel="0" max="11" min="11" style="1" width="15"/>
    <col collapsed="false" customWidth="true" hidden="false" outlineLevel="0" max="12" min="12" style="1" width="10"/>
    <col collapsed="false" customWidth="true" hidden="false" outlineLevel="0" max="13" min="13" style="1" width="15"/>
    <col collapsed="false" customWidth="true" hidden="false" outlineLevel="0" max="14" min="14" style="1" width="10"/>
    <col collapsed="false" customWidth="true" hidden="false" outlineLevel="0" max="15" min="15" style="1" width="15"/>
    <col collapsed="false" customWidth="true" hidden="false" outlineLevel="0" max="16" min="16" style="1" width="10"/>
    <col collapsed="false" customWidth="true" hidden="false" outlineLevel="0" max="17" min="17" style="1" width="14"/>
    <col collapsed="false" customWidth="true" hidden="false" outlineLevel="0" max="18" min="18" style="1" width="10"/>
    <col collapsed="false" customWidth="true" hidden="false" outlineLevel="0" max="19" min="19" style="1" width="15"/>
    <col collapsed="false" customWidth="true" hidden="false" outlineLevel="0" max="21" min="20" style="1" width="10"/>
    <col collapsed="false" customWidth="true" hidden="false" outlineLevel="0" max="24" min="22" style="1" width="11"/>
    <col collapsed="false" customWidth="true" hidden="false" outlineLevel="0" max="25" min="25" style="1" width="22"/>
    <col collapsed="false" customWidth="true" hidden="false" outlineLevel="0" max="26" min="26" style="1" width="18"/>
    <col collapsed="false" customWidth="true" hidden="true" outlineLevel="0" max="27" min="27" style="1" width="26"/>
    <col collapsed="false" customWidth="true" hidden="true" outlineLevel="0" max="29" min="28" style="1" width="1"/>
  </cols>
  <sheetData>
    <row r="1" customFormat="false" ht="17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0</v>
      </c>
      <c r="B2" s="3"/>
      <c r="C2" s="7">
        <v>46275</v>
      </c>
      <c r="E2" s="3"/>
      <c r="F2" s="3"/>
      <c r="G2" s="5"/>
      <c r="H2" s="6"/>
      <c r="I2" s="5"/>
      <c r="J2" s="7"/>
      <c r="L2" s="3"/>
      <c r="M2" s="3"/>
      <c r="N2" s="8"/>
    </row>
    <row r="3" customFormat="false" ht="25.5" hidden="false" customHeight="true" outlineLevel="0" collapsed="fals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customFormat="false" ht="51.75" hidden="false" customHeight="true" outlineLevel="0" collapsed="false">
      <c r="E4" s="10" t="s">
        <v>1</v>
      </c>
      <c r="F4" s="10"/>
      <c r="G4" s="11" t="s">
        <v>2</v>
      </c>
      <c r="H4" s="11"/>
      <c r="I4" s="11"/>
      <c r="J4" s="11"/>
      <c r="K4" s="11" t="s">
        <v>3</v>
      </c>
      <c r="L4" s="11"/>
      <c r="M4" s="11"/>
      <c r="N4" s="11"/>
      <c r="O4" s="11" t="s">
        <v>4</v>
      </c>
      <c r="P4" s="11"/>
      <c r="Q4" s="11"/>
      <c r="R4" s="11"/>
      <c r="S4" s="11" t="s">
        <v>5</v>
      </c>
      <c r="T4" s="11"/>
      <c r="U4" s="11" t="s">
        <v>6</v>
      </c>
      <c r="V4" s="11"/>
      <c r="W4" s="11"/>
      <c r="X4" s="11"/>
    </row>
    <row r="5" customFormat="false" ht="37.5" hidden="false" customHeight="true" outlineLevel="0" collapsed="false">
      <c r="A5" s="12" t="s">
        <v>7</v>
      </c>
      <c r="B5" s="12" t="s">
        <v>8</v>
      </c>
      <c r="C5" s="12" t="s">
        <v>9</v>
      </c>
      <c r="D5" s="12" t="s">
        <v>10</v>
      </c>
      <c r="E5" s="12" t="s">
        <v>11</v>
      </c>
      <c r="F5" s="12" t="s">
        <v>12</v>
      </c>
      <c r="G5" s="12" t="s">
        <v>13</v>
      </c>
      <c r="H5" s="12" t="s">
        <v>14</v>
      </c>
      <c r="I5" s="12" t="s">
        <v>15</v>
      </c>
      <c r="J5" s="12" t="s">
        <v>16</v>
      </c>
      <c r="K5" s="12" t="s">
        <v>17</v>
      </c>
      <c r="L5" s="12" t="s">
        <v>18</v>
      </c>
      <c r="M5" s="12" t="s">
        <v>19</v>
      </c>
      <c r="N5" s="12" t="s">
        <v>20</v>
      </c>
      <c r="O5" s="12" t="s">
        <v>21</v>
      </c>
      <c r="P5" s="12" t="s">
        <v>22</v>
      </c>
      <c r="Q5" s="12" t="s">
        <v>23</v>
      </c>
      <c r="R5" s="12" t="s">
        <v>24</v>
      </c>
      <c r="S5" s="12" t="s">
        <v>25</v>
      </c>
      <c r="T5" s="12" t="s">
        <v>26</v>
      </c>
      <c r="U5" s="12" t="s">
        <v>27</v>
      </c>
      <c r="V5" s="12" t="s">
        <v>28</v>
      </c>
      <c r="W5" s="12" t="s">
        <v>29</v>
      </c>
      <c r="X5" s="13" t="s">
        <v>30</v>
      </c>
      <c r="AA5" s="14" t="s">
        <v>31</v>
      </c>
    </row>
    <row r="6" customFormat="false" ht="18" hidden="false" customHeight="true" outlineLevel="0" collapsed="false">
      <c r="A6" s="15" t="n">
        <v>1</v>
      </c>
      <c r="B6" s="16" t="s">
        <v>32</v>
      </c>
      <c r="C6" s="17" t="str">
        <f aca="false">IFERROR(INDEX(Справочники!$D$4:$D$21,MATCH($B6,Справочники!$B$4:$B$21,0)),"")</f>
        <v/>
      </c>
      <c r="D6" s="18" t="n">
        <f aca="false">SUMIF(Справочники!$H$4:$H$21,$B6,Справочники!$E$4:$E$21)</f>
        <v>0</v>
      </c>
      <c r="E6" s="19">
        <v>21670183628.19</v>
      </c>
      <c r="F6" s="19">
        <v>445.0</v>
      </c>
      <c r="G6" s="19" t="n">
        <f aca="false">$K6+$O6</f>
        <v>216997310.13</v>
      </c>
      <c r="H6" s="18" t="n">
        <f aca="false">$L6+$P6</f>
        <v>32</v>
      </c>
      <c r="I6" s="20" t="n">
        <f aca="false">IFERROR($G6/$E6,"")</f>
        <v>0.0100136350412701</v>
      </c>
      <c r="J6" s="20" t="n">
        <f aca="false">IFERROR($H6/$F6,"")</f>
        <v>0.0719101123595506</v>
      </c>
      <c r="K6" s="19">
        <v>195278021.57</v>
      </c>
      <c r="L6" s="19">
        <v>56.0</v>
      </c>
      <c r="M6" s="19">
        <v>45364750.65</v>
      </c>
      <c r="N6" s="19">
        <v>18.0</v>
      </c>
      <c r="O6" s="19">
        <v>447235629.64</v>
      </c>
      <c r="P6" s="19">
        <v>89.0</v>
      </c>
      <c r="Q6" s="19">
        <v>190166704.11</v>
      </c>
      <c r="R6" s="19">
        <v>33.0</v>
      </c>
      <c r="S6" s="19">
        <v>17381009.37</v>
      </c>
      <c r="T6" s="19">
        <v>5.0</v>
      </c>
      <c r="U6" s="20" t="n">
        <f aca="false">IFERROR($L6/$H6,"")</f>
        <v>0</v>
      </c>
      <c r="V6" s="20" t="str">
        <f aca="false">IFERROR($N6/$L6,"")</f>
        <v/>
      </c>
      <c r="W6" s="23" t="str">
        <f aca="false">IFERROR($H6/$D6,"")</f>
        <v/>
      </c>
      <c r="X6" s="24" t="str">
        <f aca="false">IFERROR($L6/$D6,"")</f>
        <v/>
      </c>
      <c r="AA6" s="25" t="n">
        <f aca="false">IFERROR($U6,0)+ROW()/1000000</f>
        <v>6E-006</v>
      </c>
    </row>
    <row r="7" customFormat="false" ht="18" hidden="false" customHeight="true" outlineLevel="0" collapsed="false">
      <c r="A7" s="15" t="n">
        <v>2</v>
      </c>
      <c r="B7" s="16" t="s">
        <v>33</v>
      </c>
      <c r="C7" s="17" t="str">
        <f aca="false">IFERROR(INDEX(Справочники!$D$4:$D$21,MATCH($B7,Справочники!$B$4:$B$21,0)),"")</f>
        <v/>
      </c>
      <c r="D7" s="18" t="n">
        <f aca="false">SUMIF(Справочники!$H$4:$H$21,$B7,Справочники!$E$4:$E$21)</f>
        <v>0</v>
      </c>
      <c r="E7" s="19">
        <v>5123173370.16</v>
      </c>
      <c r="F7" s="19">
        <v>167.0</v>
      </c>
      <c r="G7" s="19" t="n">
        <f aca="false">$K7+$O7</f>
        <v>202669512.91</v>
      </c>
      <c r="H7" s="18" t="n">
        <f aca="false">$L7+$P7</f>
        <v>18</v>
      </c>
      <c r="I7" s="20" t="n">
        <f aca="false">IFERROR($G7/$E7,"")</f>
        <v>0.0395593703875906</v>
      </c>
      <c r="J7" s="20" t="n">
        <f aca="false">IFERROR($H7/$F7,"")</f>
        <v>0.107784431137725</v>
      </c>
      <c r="K7" s="19">
        <v>61425722.32</v>
      </c>
      <c r="L7" s="19">
        <v>15.0</v>
      </c>
      <c r="M7" s="19">
        <v>54382826.79</v>
      </c>
      <c r="N7" s="19">
        <v>13.0</v>
      </c>
      <c r="O7" s="19">
        <v>232066556.24</v>
      </c>
      <c r="P7" s="19">
        <v>43.0</v>
      </c>
      <c r="Q7" s="19">
        <v>13708652.1</v>
      </c>
      <c r="R7" s="19">
        <v>8.0</v>
      </c>
      <c r="S7" s="19">
        <v>302513.61</v>
      </c>
      <c r="T7" s="19">
        <v>1.0</v>
      </c>
      <c r="U7" s="20" t="n">
        <f aca="false">IFERROR($L7/$H7,"")</f>
        <v>0</v>
      </c>
      <c r="V7" s="20" t="str">
        <f aca="false">IFERROR($N7/$L7,"")</f>
        <v/>
      </c>
      <c r="W7" s="23" t="str">
        <f aca="false">IFERROR($H7/$D7,"")</f>
        <v/>
      </c>
      <c r="X7" s="24" t="str">
        <f aca="false">IFERROR($L7/$D7,"")</f>
        <v/>
      </c>
      <c r="AA7" s="25" t="n">
        <f aca="false">IFERROR($U7,0)+ROW()/1000000</f>
        <v>7E-006</v>
      </c>
    </row>
    <row r="8" customFormat="false" ht="18" hidden="false" customHeight="true" outlineLevel="0" collapsed="false">
      <c r="A8" s="15" t="n">
        <v>3</v>
      </c>
      <c r="B8" s="16" t="s">
        <v>34</v>
      </c>
      <c r="C8" s="17" t="str">
        <f aca="false">IFERROR(INDEX(Справочники!$D$4:$D$21,MATCH($B8,Справочники!$B$4:$B$21,0)),"")</f>
        <v/>
      </c>
      <c r="D8" s="18" t="n">
        <f aca="false">SUMIF(Справочники!$H$4:$H$21,$B8,Справочники!$E$4:$E$21)</f>
        <v>0</v>
      </c>
      <c r="E8" s="19">
        <v>13904205190.28</v>
      </c>
      <c r="F8" s="19">
        <v>493.0</v>
      </c>
      <c r="G8" s="19" t="n">
        <f aca="false">$K8+$O8</f>
        <v>249852799.42</v>
      </c>
      <c r="H8" s="18" t="n">
        <f aca="false">$L8+$P8</f>
        <v>51</v>
      </c>
      <c r="I8" s="20" t="n">
        <f aca="false">IFERROR($G8/$E8,"")</f>
        <v>0.0179695851723092</v>
      </c>
      <c r="J8" s="20" t="n">
        <f aca="false">IFERROR($H8/$F8,"")</f>
        <v>0.103448275862069</v>
      </c>
      <c r="K8" s="19">
        <v>117824487.73</v>
      </c>
      <c r="L8" s="19">
        <v>34.0</v>
      </c>
      <c r="M8" s="19">
        <v>114702377.43</v>
      </c>
      <c r="N8" s="19">
        <v>33.0</v>
      </c>
      <c r="O8" s="19">
        <v>413755627.47</v>
      </c>
      <c r="P8" s="19">
        <v>122.0</v>
      </c>
      <c r="Q8" s="19">
        <v>0.0</v>
      </c>
      <c r="R8" s="19">
        <v>0.0</v>
      </c>
      <c r="S8" s="19">
        <v>3122110.3</v>
      </c>
      <c r="T8" s="19">
        <v>1.0</v>
      </c>
      <c r="U8" s="20" t="n">
        <f aca="false">IFERROR($L8/$H8,"")</f>
        <v>0.392156862745098</v>
      </c>
      <c r="V8" s="20" t="n">
        <f aca="false">IFERROR($N8/$L8,"")</f>
        <v>0.95</v>
      </c>
      <c r="W8" s="23" t="str">
        <f aca="false">IFERROR($H8/$D8,"")</f>
        <v/>
      </c>
      <c r="X8" s="24" t="str">
        <f aca="false">IFERROR($L8/$D8,"")</f>
        <v/>
      </c>
      <c r="AA8" s="25" t="n">
        <f aca="false">IFERROR($U8,0)+ROW()/1000000</f>
        <v>0.392164862745098</v>
      </c>
    </row>
    <row r="9" customFormat="false" ht="18" hidden="false" customHeight="true" outlineLevel="0" collapsed="false">
      <c r="A9" s="15" t="n">
        <v>4</v>
      </c>
      <c r="B9" s="16" t="s">
        <v>35</v>
      </c>
      <c r="C9" s="17" t="str">
        <f aca="false">IFERROR(INDEX(Справочники!$D$4:$D$21,MATCH($B9,Справочники!$B$4:$B$21,0)),"")</f>
        <v/>
      </c>
      <c r="D9" s="18" t="n">
        <f aca="false">SUMIF(Справочники!$H$4:$H$21,$B9,Справочники!$E$4:$E$21)</f>
        <v>0</v>
      </c>
      <c r="E9" s="19">
        <v>12186568520.77</v>
      </c>
      <c r="F9" s="19">
        <v>418.0</v>
      </c>
      <c r="G9" s="19" t="n">
        <f aca="false">$K9+$O9</f>
        <v>205557960.12</v>
      </c>
      <c r="H9" s="18" t="n">
        <f aca="false">$L9+$P9</f>
        <v>33</v>
      </c>
      <c r="I9" s="20" t="n">
        <f aca="false">IFERROR($G9/$E9,"")</f>
        <v>0.016867583337316</v>
      </c>
      <c r="J9" s="20" t="n">
        <f aca="false">IFERROR($H9/$F9,"")</f>
        <v>0.0789473684210526</v>
      </c>
      <c r="K9" s="19">
        <v>122368191.21</v>
      </c>
      <c r="L9" s="19">
        <v>44.0</v>
      </c>
      <c r="M9" s="19">
        <v>31740948.0</v>
      </c>
      <c r="N9" s="19">
        <v>20.0</v>
      </c>
      <c r="O9" s="19">
        <v>407764693.4</v>
      </c>
      <c r="P9" s="19">
        <v>112.0</v>
      </c>
      <c r="Q9" s="19">
        <v>13748083.71</v>
      </c>
      <c r="R9" s="19">
        <v>3.0</v>
      </c>
      <c r="S9" s="19">
        <v>24869586.16</v>
      </c>
      <c r="T9" s="19">
        <v>10.0</v>
      </c>
      <c r="U9" s="20" t="n">
        <f aca="false">IFERROR($L9/$H9,"")</f>
        <v>0.878787878787879</v>
      </c>
      <c r="V9" s="20" t="n">
        <f aca="false">IFERROR($N9/$L9,"")</f>
        <v>0.620689655172414</v>
      </c>
      <c r="W9" s="23" t="str">
        <f aca="false">IFERROR($H9/$D9,"")</f>
        <v/>
      </c>
      <c r="X9" s="24" t="str">
        <f aca="false">IFERROR($L9/$D9,"")</f>
        <v/>
      </c>
      <c r="AA9" s="25" t="n">
        <f aca="false">IFERROR($U9,0)+ROW()/1000000</f>
        <v>0.878796878787879</v>
      </c>
    </row>
    <row r="10" customFormat="false" ht="18" hidden="false" customHeight="true" outlineLevel="0" collapsed="false">
      <c r="A10" s="15" t="n">
        <v>5</v>
      </c>
      <c r="B10" s="16" t="s">
        <v>36</v>
      </c>
      <c r="C10" s="17" t="str">
        <f aca="false">IFERROR(INDEX(Справочники!$D$4:$D$21,MATCH($B10,Справочники!$B$4:$B$21,0)),"")</f>
        <v/>
      </c>
      <c r="D10" s="18" t="n">
        <f aca="false">SUMIF(Справочники!$H$4:$H$21,$B10,Справочники!$E$4:$E$21)</f>
        <v>0</v>
      </c>
      <c r="E10" s="19">
        <v>11119544923.16</v>
      </c>
      <c r="F10" s="19">
        <v>269.0</v>
      </c>
      <c r="G10" s="19" t="n">
        <f aca="false">$K10+$O10</f>
        <v>259639584.46</v>
      </c>
      <c r="H10" s="18" t="n">
        <f aca="false">$L10+$P10</f>
        <v>26</v>
      </c>
      <c r="I10" s="20" t="n">
        <f aca="false">IFERROR($G10/$E10,"")</f>
        <v>0.0233498390675339</v>
      </c>
      <c r="J10" s="20" t="n">
        <f aca="false">IFERROR($H10/$F10,"")</f>
        <v>0.0966542750929368</v>
      </c>
      <c r="K10" s="19">
        <v>391951121.45</v>
      </c>
      <c r="L10" s="19">
        <v>74.0</v>
      </c>
      <c r="M10" s="19">
        <v>372732543.4</v>
      </c>
      <c r="N10" s="19">
        <v>66.0</v>
      </c>
      <c r="O10" s="19">
        <v>70479567.52</v>
      </c>
      <c r="P10" s="19">
        <v>20.0</v>
      </c>
      <c r="Q10" s="19">
        <v>33562065.94</v>
      </c>
      <c r="R10" s="19">
        <v>8.0</v>
      </c>
      <c r="S10" s="19">
        <v>2928340.1</v>
      </c>
      <c r="T10" s="19">
        <v>2.0</v>
      </c>
      <c r="U10" s="20" t="n">
        <f aca="false">IFERROR($L10/$H10,"")</f>
        <v>0.769230769230769</v>
      </c>
      <c r="V10" s="20" t="n">
        <f aca="false">IFERROR($N10/$L10,"")</f>
        <v>0.2</v>
      </c>
      <c r="W10" s="23" t="str">
        <f aca="false">IFERROR($H10/$D10,"")</f>
        <v/>
      </c>
      <c r="X10" s="24" t="str">
        <f aca="false">IFERROR($L10/$D10,"")</f>
        <v/>
      </c>
      <c r="AA10" s="25" t="n">
        <f aca="false">IFERROR($U10,0)+ROW()/1000000</f>
        <v>0.769240769230769</v>
      </c>
    </row>
    <row r="11" customFormat="false" ht="18" hidden="false" customHeight="true" outlineLevel="0" collapsed="false">
      <c r="A11" s="15" t="n">
        <v>6</v>
      </c>
      <c r="B11" s="16" t="s">
        <v>37</v>
      </c>
      <c r="C11" s="17" t="str">
        <f aca="false">IFERROR(INDEX(Справочники!$D$4:$D$21,MATCH($B11,Справочники!$B$4:$B$21,0)),"")</f>
        <v/>
      </c>
      <c r="D11" s="18" t="n">
        <f aca="false">SUMIF(Справочники!$H$4:$H$21,$B11,Справочники!$E$4:$E$21)</f>
        <v>0</v>
      </c>
      <c r="E11" s="19">
        <v>6476844959.7</v>
      </c>
      <c r="F11" s="19">
        <v>209.0</v>
      </c>
      <c r="G11" s="19" t="n">
        <f aca="false">$K11+$O11</f>
        <v>107085347.11</v>
      </c>
      <c r="H11" s="18" t="n">
        <f aca="false">$L11+$P11</f>
        <v>18</v>
      </c>
      <c r="I11" s="20" t="n">
        <f aca="false">IFERROR($G11/$E11,"")</f>
        <v>0.0165335665399284</v>
      </c>
      <c r="J11" s="20" t="n">
        <f aca="false">IFERROR($H11/$F11,"")</f>
        <v>0.0861244019138756</v>
      </c>
      <c r="K11" s="19">
        <v>146880634.33</v>
      </c>
      <c r="L11" s="19">
        <v>44.0</v>
      </c>
      <c r="M11" s="19">
        <v>62094719.47</v>
      </c>
      <c r="N11" s="19">
        <v>19.0</v>
      </c>
      <c r="O11" s="19">
        <v>131756977.76</v>
      </c>
      <c r="P11" s="19">
        <v>36.0</v>
      </c>
      <c r="Q11" s="19">
        <v>18297751.22</v>
      </c>
      <c r="R11" s="19">
        <v>4.0</v>
      </c>
      <c r="S11" s="19">
        <v>10356448.64</v>
      </c>
      <c r="T11" s="19">
        <v>6.0</v>
      </c>
      <c r="U11" s="20" t="n">
        <f aca="false">IFERROR($L11/$H11,"")</f>
        <v>0.0555555555555556</v>
      </c>
      <c r="V11" s="20" t="n">
        <f aca="false">IFERROR($N11/$L11,"")</f>
        <v>1</v>
      </c>
      <c r="W11" s="23" t="str">
        <f aca="false">IFERROR($H11/$D11,"")</f>
        <v/>
      </c>
      <c r="X11" s="24" t="str">
        <f aca="false">IFERROR($L11/$D11,"")</f>
        <v/>
      </c>
      <c r="AA11" s="25" t="n">
        <f aca="false">IFERROR($U11,0)+ROW()/1000000</f>
        <v>0.0555665555555556</v>
      </c>
    </row>
    <row r="12" customFormat="false" ht="18" hidden="false" customHeight="true" outlineLevel="0" collapsed="false">
      <c r="A12" s="15" t="n">
        <v>7</v>
      </c>
      <c r="B12" s="16" t="s">
        <v>38</v>
      </c>
      <c r="C12" s="17" t="str">
        <f aca="false">IFERROR(INDEX(Справочники!$D$4:$D$21,MATCH($B12,Справочники!$B$4:$B$21,0)),"")</f>
        <v/>
      </c>
      <c r="D12" s="18" t="n">
        <f aca="false">SUMIF(Справочники!$H$4:$H$21,$B12,Справочники!$E$4:$E$21)</f>
        <v>0</v>
      </c>
      <c r="E12" s="19">
        <v>14729615980.03</v>
      </c>
      <c r="F12" s="19">
        <v>438.0</v>
      </c>
      <c r="G12" s="19" t="n">
        <f aca="false">$K12+$O12</f>
        <v>597998506.93</v>
      </c>
      <c r="H12" s="18" t="n">
        <f aca="false">$L12+$P12</f>
        <v>62</v>
      </c>
      <c r="I12" s="20" t="n">
        <f aca="false">IFERROR($G12/$E12,"")</f>
        <v>0.0405983772924392</v>
      </c>
      <c r="J12" s="20" t="n">
        <f aca="false">IFERROR($H12/$F12,"")</f>
        <v>0.141552511415525</v>
      </c>
      <c r="K12" s="19">
        <v>105648041.69</v>
      </c>
      <c r="L12" s="19">
        <v>41.0</v>
      </c>
      <c r="M12" s="19">
        <v>10234015.81</v>
      </c>
      <c r="N12" s="19">
        <v>5.0</v>
      </c>
      <c r="O12" s="19">
        <v>906584869.07</v>
      </c>
      <c r="P12" s="19">
        <v>147.0</v>
      </c>
      <c r="Q12" s="19">
        <v>25425416.02</v>
      </c>
      <c r="R12" s="19">
        <v>10.0</v>
      </c>
      <c r="S12" s="19">
        <v>21776381.66</v>
      </c>
      <c r="T12" s="19">
        <v>7.0</v>
      </c>
      <c r="U12" s="20" t="n">
        <f aca="false">IFERROR($L12/$H12,"")</f>
        <v>0.483870967741936</v>
      </c>
      <c r="V12" s="20" t="n">
        <f aca="false">IFERROR($N12/$L12,"")</f>
        <v>1</v>
      </c>
      <c r="W12" s="23" t="str">
        <f aca="false">IFERROR($H12/$D12,"")</f>
        <v/>
      </c>
      <c r="X12" s="24" t="str">
        <f aca="false">IFERROR($L12/$D12,"")</f>
        <v/>
      </c>
      <c r="AA12" s="25" t="n">
        <f aca="false">IFERROR($U12,0)+ROW()/1000000</f>
        <v>0.483882967741936</v>
      </c>
    </row>
    <row r="13" customFormat="false" ht="18" hidden="false" customHeight="true" outlineLevel="0" collapsed="false">
      <c r="A13" s="15" t="n">
        <v>8</v>
      </c>
      <c r="B13" s="16" t="s">
        <v>39</v>
      </c>
      <c r="C13" s="17" t="str">
        <f aca="false">IFERROR(INDEX(Справочники!$D$4:$D$21,MATCH($B13,Справочники!$B$4:$B$21,0)),"")</f>
        <v/>
      </c>
      <c r="D13" s="18" t="n">
        <f aca="false">SUMIF(Справочники!$H$4:$H$21,$B13,Справочники!$E$4:$E$21)</f>
        <v>0</v>
      </c>
      <c r="E13" s="19">
        <v>16007858956.77</v>
      </c>
      <c r="F13" s="19">
        <v>549.0</v>
      </c>
      <c r="G13" s="19" t="n">
        <f aca="false">$K13+$O13</f>
        <v>267212425.58</v>
      </c>
      <c r="H13" s="18" t="n">
        <f aca="false">$L13+$P13</f>
        <v>61</v>
      </c>
      <c r="I13" s="20" t="n">
        <f aca="false">IFERROR($G13/$E13,"")</f>
        <v>0.0166925774584609</v>
      </c>
      <c r="J13" s="20" t="n">
        <f aca="false">IFERROR($H13/$F13,"")</f>
        <v>0.111111111111111</v>
      </c>
      <c r="K13" s="19">
        <v>0.0</v>
      </c>
      <c r="L13" s="19">
        <v>0.0</v>
      </c>
      <c r="M13" s="19">
        <v>0.0</v>
      </c>
      <c r="N13" s="19">
        <v>0.0</v>
      </c>
      <c r="O13" s="19">
        <v>743845963.43</v>
      </c>
      <c r="P13" s="19">
        <v>209.0</v>
      </c>
      <c r="Q13" s="19">
        <v>0.0</v>
      </c>
      <c r="R13" s="19">
        <v>0.0</v>
      </c>
      <c r="S13" s="19">
        <v>0.0</v>
      </c>
      <c r="T13" s="19">
        <v>0.0</v>
      </c>
      <c r="U13" s="20" t="n">
        <f aca="false">IFERROR($L13/$H13,"")</f>
        <v>0.245901639344262</v>
      </c>
      <c r="V13" s="20" t="n">
        <f aca="false">IFERROR($N13/$L13,"")</f>
        <v>1</v>
      </c>
      <c r="W13" s="23" t="str">
        <f aca="false">IFERROR($H13/$D13,"")</f>
        <v/>
      </c>
      <c r="X13" s="24" t="str">
        <f aca="false">IFERROR($L13/$D13,"")</f>
        <v/>
      </c>
      <c r="AA13" s="25" t="n">
        <f aca="false">IFERROR($U13,0)+ROW()/1000000</f>
        <v>0.245914639344262</v>
      </c>
    </row>
    <row r="14" customFormat="false" ht="18" hidden="false" customHeight="true" outlineLevel="0" collapsed="false">
      <c r="A14" s="15" t="n">
        <v>9</v>
      </c>
      <c r="B14" s="16" t="s">
        <v>40</v>
      </c>
      <c r="C14" s="17" t="str">
        <f aca="false">IFERROR(INDEX(Справочники!$D$4:$D$21,MATCH($B14,Справочники!$B$4:$B$21,0)),"")</f>
        <v/>
      </c>
      <c r="D14" s="18" t="n">
        <f aca="false">SUMIF(Справочники!$H$4:$H$21,$B14,Справочники!$E$4:$E$21)</f>
        <v>0</v>
      </c>
      <c r="E14" s="19">
        <v>7189760534.1</v>
      </c>
      <c r="F14" s="19">
        <v>151.0</v>
      </c>
      <c r="G14" s="19" t="n">
        <f aca="false">$K14+$O14</f>
        <v>97690450.19</v>
      </c>
      <c r="H14" s="18" t="n">
        <f aca="false">$L14+$P14</f>
        <v>17</v>
      </c>
      <c r="I14" s="20" t="n">
        <f aca="false">IFERROR($G14/$E14,"")</f>
        <v>0.0135874414351727</v>
      </c>
      <c r="J14" s="20" t="n">
        <f aca="false">IFERROR($H14/$F14,"")</f>
        <v>0.112582781456954</v>
      </c>
      <c r="K14" s="19">
        <v>154863455.6</v>
      </c>
      <c r="L14" s="19">
        <v>43.0</v>
      </c>
      <c r="M14" s="19">
        <v>137579205.61</v>
      </c>
      <c r="N14" s="19">
        <v>37.0</v>
      </c>
      <c r="O14" s="19">
        <v>95563028.14</v>
      </c>
      <c r="P14" s="19">
        <v>15.0</v>
      </c>
      <c r="Q14" s="19">
        <v>0.0</v>
      </c>
      <c r="R14" s="19">
        <v>0.0</v>
      </c>
      <c r="S14" s="19">
        <v>2171308.55</v>
      </c>
      <c r="T14" s="19">
        <v>1.0</v>
      </c>
      <c r="U14" s="20" t="n">
        <f aca="false">IFERROR($L14/$H14,"")</f>
        <v>0.588235294117647</v>
      </c>
      <c r="V14" s="20" t="n">
        <f aca="false">IFERROR($N14/$L14,"")</f>
        <v>0.1</v>
      </c>
      <c r="W14" s="23" t="str">
        <f aca="false">IFERROR($H14/$D14,"")</f>
        <v/>
      </c>
      <c r="X14" s="24" t="str">
        <f aca="false">IFERROR($L14/$D14,"")</f>
        <v/>
      </c>
      <c r="AA14" s="25" t="n">
        <f aca="false">IFERROR($U14,0)+ROW()/1000000</f>
        <v>0.588249294117647</v>
      </c>
    </row>
    <row r="15" customFormat="false" ht="18" hidden="false" customHeight="true" outlineLevel="0" collapsed="false">
      <c r="A15" s="15" t="n">
        <v>10</v>
      </c>
      <c r="B15" s="16" t="s">
        <v>41</v>
      </c>
      <c r="C15" s="17" t="str">
        <f aca="false">IFERROR(INDEX(Справочники!$D$4:$D$21,MATCH($B15,Справочники!$B$4:$B$21,0)),"")</f>
        <v/>
      </c>
      <c r="D15" s="18" t="n">
        <f aca="false">SUMIF(Справочники!$H$4:$H$21,$B15,Справочники!$E$4:$E$21)</f>
        <v>0</v>
      </c>
      <c r="E15" s="19">
        <v>16585229279.56</v>
      </c>
      <c r="F15" s="19">
        <v>558.0</v>
      </c>
      <c r="G15" s="19" t="n">
        <f aca="false">$K15+$O15</f>
        <v>1083751094.2</v>
      </c>
      <c r="H15" s="18" t="n">
        <f aca="false">$L15+$P15</f>
        <v>97</v>
      </c>
      <c r="I15" s="20" t="n">
        <f aca="false">IFERROR($G15/$E15,"")</f>
        <v>0.0653443540594063</v>
      </c>
      <c r="J15" s="20" t="n">
        <f aca="false">IFERROR($H15/$F15,"")</f>
        <v>0.173835125448029</v>
      </c>
      <c r="K15" s="19">
        <v>366634621.24</v>
      </c>
      <c r="L15" s="19">
        <v>106.0</v>
      </c>
      <c r="M15" s="19">
        <v>150782607.94</v>
      </c>
      <c r="N15" s="19">
        <v>47.0</v>
      </c>
      <c r="O15" s="19">
        <v>1163513676.85</v>
      </c>
      <c r="P15" s="19">
        <v>129.0</v>
      </c>
      <c r="Q15" s="19">
        <v>19012841.13</v>
      </c>
      <c r="R15" s="19">
        <v>8.0</v>
      </c>
      <c r="S15" s="19">
        <v>19057792.52</v>
      </c>
      <c r="T15" s="19">
        <v>9.0</v>
      </c>
      <c r="U15" s="20" t="n">
        <f aca="false">IFERROR($L15/$H15,"")</f>
        <v>0.185567010309278</v>
      </c>
      <c r="V15" s="20" t="n">
        <f aca="false">IFERROR($N15/$L15,"")</f>
        <v>0.111111111111111</v>
      </c>
      <c r="W15" s="23" t="str">
        <f aca="false">IFERROR($H15/$D15,"")</f>
        <v/>
      </c>
      <c r="X15" s="24" t="str">
        <f aca="false">IFERROR($L15/$D15,"")</f>
        <v/>
      </c>
      <c r="AA15" s="25" t="n">
        <f aca="false">IFERROR($U15,0)+ROW()/1000000</f>
        <v>0.185582010309278</v>
      </c>
    </row>
    <row r="16" customFormat="false" ht="18" hidden="false" customHeight="true" outlineLevel="0" collapsed="false">
      <c r="A16" s="15" t="n">
        <v>11</v>
      </c>
      <c r="B16" s="16" t="s">
        <v>42</v>
      </c>
      <c r="C16" s="17" t="str">
        <f aca="false">IFERROR(INDEX(Справочники!$D$4:$D$21,MATCH($B16,Справочники!$B$4:$B$21,0)),"")</f>
        <v/>
      </c>
      <c r="D16" s="18" t="n">
        <f aca="false">SUMIF(Справочники!$H$4:$H$21,$B16,Справочники!$E$4:$E$21)</f>
        <v>0</v>
      </c>
      <c r="E16" s="19">
        <v>36871386933.11</v>
      </c>
      <c r="F16" s="19">
        <v>842.0</v>
      </c>
      <c r="G16" s="19" t="n">
        <f aca="false">$K16+$O16</f>
        <v>886986634.88</v>
      </c>
      <c r="H16" s="18" t="n">
        <f aca="false">$L16+$P16</f>
        <v>93</v>
      </c>
      <c r="I16" s="20" t="n">
        <f aca="false">IFERROR($G16/$E16,"")</f>
        <v>0.0240562319092883</v>
      </c>
      <c r="J16" s="20" t="n">
        <f aca="false">IFERROR($H16/$F16,"")</f>
        <v>0.110451306413302</v>
      </c>
      <c r="K16" s="19">
        <v>0.0</v>
      </c>
      <c r="L16" s="19">
        <v>0.0</v>
      </c>
      <c r="M16" s="19">
        <v>0.0</v>
      </c>
      <c r="N16" s="19">
        <v>0.0</v>
      </c>
      <c r="O16" s="19">
        <v>1642556828.38</v>
      </c>
      <c r="P16" s="19">
        <v>305.0</v>
      </c>
      <c r="Q16" s="19">
        <v>0.0</v>
      </c>
      <c r="R16" s="19">
        <v>0.0</v>
      </c>
      <c r="S16" s="19">
        <v>0.0</v>
      </c>
      <c r="T16" s="19">
        <v>0.0</v>
      </c>
      <c r="U16" s="20" t="n">
        <f aca="false">IFERROR($L16/$H16,"")</f>
        <v>0</v>
      </c>
      <c r="V16" s="20" t="str">
        <f aca="false">IFERROR($N16/$L16,"")</f>
        <v/>
      </c>
      <c r="W16" s="23" t="str">
        <f aca="false">IFERROR($H16/$D16,"")</f>
        <v/>
      </c>
      <c r="X16" s="24" t="str">
        <f aca="false">IFERROR($L16/$D16,"")</f>
        <v/>
      </c>
      <c r="AA16" s="25" t="n">
        <f aca="false">IFERROR($U16,0)+ROW()/1000000</f>
        <v>1.6E-005</v>
      </c>
    </row>
    <row r="17" customFormat="false" ht="18" hidden="false" customHeight="true" outlineLevel="0" collapsed="false">
      <c r="A17" s="15" t="n">
        <v>12</v>
      </c>
      <c r="B17" s="16" t="s">
        <v>43</v>
      </c>
      <c r="C17" s="17" t="str">
        <f aca="false">IFERROR(INDEX(Справочники!$D$4:$D$21,MATCH($B17,Справочники!$B$4:$B$21,0)),"")</f>
        <v/>
      </c>
      <c r="D17" s="18" t="n">
        <f aca="false">SUMIF(Справочники!$H$4:$H$21,$B17,Справочники!$E$4:$E$21)</f>
        <v>0</v>
      </c>
      <c r="E17" s="19">
        <v>43531854598.51</v>
      </c>
      <c r="F17" s="19">
        <v>908.0</v>
      </c>
      <c r="G17" s="19" t="n">
        <f aca="false">$K17+$O17</f>
        <v>1625726684.3</v>
      </c>
      <c r="H17" s="18" t="n">
        <f aca="false">$L17+$P17</f>
        <v>115</v>
      </c>
      <c r="I17" s="20" t="n">
        <f aca="false">IFERROR($G17/$E17,"")</f>
        <v>0.037345679371897</v>
      </c>
      <c r="J17" s="20" t="n">
        <f aca="false">IFERROR($H17/$F17,"")</f>
        <v>0.126651982378855</v>
      </c>
      <c r="K17" s="19">
        <v>0.0</v>
      </c>
      <c r="L17" s="19">
        <v>0.0</v>
      </c>
      <c r="M17" s="19">
        <v>0.0</v>
      </c>
      <c r="N17" s="19">
        <v>0.0</v>
      </c>
      <c r="O17" s="19">
        <v>2185289564.86</v>
      </c>
      <c r="P17" s="19">
        <v>278.0</v>
      </c>
      <c r="Q17" s="19">
        <v>0.0</v>
      </c>
      <c r="R17" s="19">
        <v>0.0</v>
      </c>
      <c r="S17" s="19">
        <v>0.0</v>
      </c>
      <c r="T17" s="19">
        <v>0.0</v>
      </c>
      <c r="U17" s="20" t="n">
        <f aca="false">IFERROR($L17/$H17,"")</f>
        <v>0</v>
      </c>
      <c r="V17" s="20" t="str">
        <f aca="false">IFERROR($N17/$L17,"")</f>
        <v/>
      </c>
      <c r="W17" s="23" t="str">
        <f aca="false">IFERROR($H17/$D17,"")</f>
        <v/>
      </c>
      <c r="X17" s="24" t="str">
        <f aca="false">IFERROR($L17/$D17,"")</f>
        <v/>
      </c>
      <c r="AA17" s="25" t="n">
        <f aca="false">IFERROR($U17,0)+ROW()/1000000</f>
        <v>1.7E-005</v>
      </c>
    </row>
    <row r="18" customFormat="false" ht="18" hidden="false" customHeight="true" outlineLevel="0" collapsed="false">
      <c r="A18" s="15" t="n">
        <v>13</v>
      </c>
      <c r="B18" s="16" t="s">
        <v>44</v>
      </c>
      <c r="C18" s="17" t="str">
        <f aca="false">IFERROR(INDEX(Справочники!$D$4:$D$21,MATCH($B18,Справочники!$B$4:$B$21,0)),"")</f>
        <v/>
      </c>
      <c r="D18" s="18" t="n">
        <f aca="false">SUMIF(Справочники!$H$4:$H$21,$B18,Справочники!$E$4:$E$21)</f>
        <v>0</v>
      </c>
      <c r="E18" s="19">
        <v>17403438751.5</v>
      </c>
      <c r="F18" s="19">
        <v>361.0</v>
      </c>
      <c r="G18" s="19" t="n">
        <f aca="false">$K18+$O18</f>
        <v>806811380</v>
      </c>
      <c r="H18" s="18" t="n">
        <f aca="false">$L18+$P18</f>
        <v>53</v>
      </c>
      <c r="I18" s="20" t="n">
        <f aca="false">IFERROR($G18/$E18,"")</f>
        <v>0.0463593081528477</v>
      </c>
      <c r="J18" s="20" t="n">
        <f aca="false">IFERROR($H18/$F18,"")</f>
        <v>0.146814404432133</v>
      </c>
      <c r="K18" s="19">
        <v>247260379.92</v>
      </c>
      <c r="L18" s="19">
        <v>57.0</v>
      </c>
      <c r="M18" s="19">
        <v>92476385.47</v>
      </c>
      <c r="N18" s="19">
        <v>26.0</v>
      </c>
      <c r="O18" s="19">
        <v>977515288.37</v>
      </c>
      <c r="P18" s="19">
        <v>83.0</v>
      </c>
      <c r="Q18" s="19">
        <v>616108846.6</v>
      </c>
      <c r="R18" s="19">
        <v>24.0</v>
      </c>
      <c r="S18" s="19">
        <v>8652606.0</v>
      </c>
      <c r="T18" s="19">
        <v>6.0</v>
      </c>
      <c r="U18" s="20" t="n">
        <f aca="false">IFERROR($L18/$H18,"")</f>
        <v>0</v>
      </c>
      <c r="V18" s="20" t="str">
        <f aca="false">IFERROR($N18/$L18,"")</f>
        <v/>
      </c>
      <c r="W18" s="23" t="str">
        <f aca="false">IFERROR($H18/$D18,"")</f>
        <v/>
      </c>
      <c r="X18" s="24" t="str">
        <f aca="false">IFERROR($L18/$D18,"")</f>
        <v/>
      </c>
      <c r="AA18" s="25" t="n">
        <f aca="false">IFERROR($U18,0)+ROW()/1000000</f>
        <v>1.8E-005</v>
      </c>
    </row>
    <row r="19" customFormat="false" ht="18" hidden="false" customHeight="true" outlineLevel="0" collapsed="false">
      <c r="A19" s="15" t="n">
        <v>14</v>
      </c>
      <c r="B19" s="16" t="s">
        <v>45</v>
      </c>
      <c r="C19" s="17" t="str">
        <f aca="false">IFERROR(INDEX(Справочники!$D$4:$D$21,MATCH($B19,Справочники!$B$4:$B$21,0)),"")</f>
        <v/>
      </c>
      <c r="D19" s="18" t="n">
        <f aca="false">SUMIF(Справочники!$H$4:$H$21,$B19,Справочники!$E$4:$E$21)</f>
        <v>0</v>
      </c>
      <c r="E19" s="19">
        <v>20499095940.69</v>
      </c>
      <c r="F19" s="19">
        <v>504.0</v>
      </c>
      <c r="G19" s="19" t="n">
        <f aca="false">$K19+$O19</f>
        <v>293459857.04</v>
      </c>
      <c r="H19" s="18" t="n">
        <f aca="false">$L19+$P19</f>
        <v>49</v>
      </c>
      <c r="I19" s="20" t="n">
        <f aca="false">IFERROR($G19/$E19,"")</f>
        <v>0.0143157463084746</v>
      </c>
      <c r="J19" s="20" t="n">
        <f aca="false">IFERROR($H19/$F19,"")</f>
        <v>0.0972222222222222</v>
      </c>
      <c r="K19" s="19">
        <v>225401859.46</v>
      </c>
      <c r="L19" s="19">
        <v>57.0</v>
      </c>
      <c r="M19" s="19">
        <v>188824667.67</v>
      </c>
      <c r="N19" s="19">
        <v>45.0</v>
      </c>
      <c r="O19" s="19">
        <v>471203593.31</v>
      </c>
      <c r="P19" s="19">
        <v>109.0</v>
      </c>
      <c r="Q19" s="19">
        <v>3416292.02</v>
      </c>
      <c r="R19" s="19">
        <v>2.0</v>
      </c>
      <c r="S19" s="19">
        <v>1081718.36</v>
      </c>
      <c r="T19" s="19">
        <v>3.0</v>
      </c>
      <c r="U19" s="20" t="n">
        <f aca="false">IFERROR($L19/$H19,"")</f>
        <v>0.469387755102041</v>
      </c>
      <c r="V19" s="20" t="n">
        <f aca="false">IFERROR($N19/$L19,"")</f>
        <v>0.260869565217391</v>
      </c>
      <c r="W19" s="23" t="str">
        <f aca="false">IFERROR($H19/$D19,"")</f>
        <v/>
      </c>
      <c r="X19" s="24" t="str">
        <f aca="false">IFERROR($L19/$D19,"")</f>
        <v/>
      </c>
      <c r="AA19" s="25" t="n">
        <f aca="false">IFERROR($U19,0)+ROW()/1000000</f>
        <v>0.469406755102041</v>
      </c>
    </row>
    <row r="20" customFormat="false" ht="18" hidden="false" customHeight="true" outlineLevel="0" collapsed="false">
      <c r="A20" s="15"/>
      <c r="B20" s="16"/>
      <c r="C20" s="17"/>
      <c r="D20" s="18"/>
      <c r="E20" s="19"/>
      <c r="F20" s="18"/>
      <c r="G20" s="19"/>
      <c r="H20" s="18"/>
      <c r="I20" s="20"/>
      <c r="J20" s="20"/>
      <c r="K20" s="19"/>
      <c r="L20" s="18"/>
      <c r="M20" s="19"/>
      <c r="N20" s="18"/>
      <c r="O20" s="19"/>
      <c r="P20" s="18"/>
      <c r="Q20" s="19"/>
      <c r="R20" s="18"/>
      <c r="S20" s="21"/>
      <c r="T20" s="22"/>
      <c r="U20" s="20"/>
      <c r="V20" s="20"/>
      <c r="W20" s="23"/>
      <c r="X20" s="24"/>
    </row>
    <row r="21" customFormat="false" ht="18" hidden="false" customHeight="true" outlineLevel="0" collapsed="false">
      <c r="A21" s="15"/>
      <c r="B21" s="16"/>
      <c r="C21" s="17"/>
      <c r="D21" s="18"/>
      <c r="E21" s="19"/>
      <c r="F21" s="18"/>
      <c r="G21" s="19"/>
      <c r="H21" s="18"/>
      <c r="I21" s="20"/>
      <c r="J21" s="20"/>
      <c r="K21" s="19"/>
      <c r="L21" s="18"/>
      <c r="M21" s="19"/>
      <c r="N21" s="18"/>
      <c r="O21" s="19"/>
      <c r="P21" s="18"/>
      <c r="Q21" s="19"/>
      <c r="R21" s="18"/>
      <c r="S21" s="21"/>
      <c r="T21" s="22"/>
      <c r="U21" s="20"/>
      <c r="V21" s="20"/>
      <c r="W21" s="23"/>
      <c r="X21" s="24"/>
    </row>
    <row r="22" customFormat="false" ht="18" hidden="false" customHeight="true" outlineLevel="0" collapsed="false">
      <c r="A22" s="26"/>
      <c r="B22" s="27"/>
      <c r="C22" s="17"/>
      <c r="D22" s="18"/>
      <c r="E22" s="19"/>
      <c r="F22" s="18"/>
      <c r="G22" s="19"/>
      <c r="H22" s="18"/>
      <c r="I22" s="20"/>
      <c r="J22" s="20"/>
      <c r="K22" s="19"/>
      <c r="L22" s="18"/>
      <c r="M22" s="19"/>
      <c r="N22" s="18"/>
      <c r="O22" s="19"/>
      <c r="P22" s="18"/>
      <c r="Q22" s="19"/>
      <c r="R22" s="18"/>
      <c r="S22" s="21"/>
      <c r="T22" s="22"/>
      <c r="U22" s="20"/>
      <c r="V22" s="20"/>
      <c r="W22" s="23"/>
      <c r="X22" s="24"/>
    </row>
    <row r="23" customFormat="false" ht="18" hidden="false" customHeight="true" outlineLevel="0" collapsed="false">
      <c r="A23" s="26"/>
      <c r="B23" s="27"/>
      <c r="C23" s="17"/>
      <c r="D23" s="18"/>
      <c r="E23" s="19"/>
      <c r="F23" s="18"/>
      <c r="G23" s="19"/>
      <c r="H23" s="18"/>
      <c r="I23" s="20"/>
      <c r="J23" s="20"/>
      <c r="K23" s="19"/>
      <c r="L23" s="18"/>
      <c r="M23" s="19"/>
      <c r="N23" s="18"/>
      <c r="O23" s="19"/>
      <c r="P23" s="18"/>
      <c r="Q23" s="19"/>
      <c r="R23" s="18"/>
      <c r="S23" s="21"/>
      <c r="T23" s="22"/>
      <c r="U23" s="20"/>
      <c r="V23" s="20"/>
      <c r="W23" s="23"/>
      <c r="X23" s="24"/>
    </row>
    <row r="24" customFormat="false" ht="21.75" hidden="false" customHeight="true" outlineLevel="0" collapsed="false">
      <c r="A24" s="28"/>
      <c r="B24" s="28" t="s">
        <v>46</v>
      </c>
      <c r="C24" s="28"/>
      <c r="D24" s="29" t="n">
        <f aca="false">SUM(D6:D23)</f>
        <v>0</v>
      </c>
      <c r="E24" s="30" t="n">
        <f aca="false">SUM(E6:E23)</f>
        <v>243298761566.53</v>
      </c>
      <c r="F24" s="29" t="n">
        <f aca="false">SUM(F6:F23)</f>
        <v>6312</v>
      </c>
      <c r="G24" s="30" t="n">
        <f aca="false">SUM(G6:G23)</f>
        <v>6901439547.27</v>
      </c>
      <c r="H24" s="29" t="n">
        <f aca="false">SUM(H6:H23)</f>
        <v>725</v>
      </c>
      <c r="I24" s="31" t="n">
        <f aca="false">IFERROR($G24/$E24,"")</f>
        <v>0.0283661104677789</v>
      </c>
      <c r="J24" s="31" t="n">
        <f aca="false">IFERROR($H24/$F24,"")</f>
        <v>0.114860583016477</v>
      </c>
      <c r="K24" s="30" t="n">
        <f aca="false">SUM(K6:K23)</f>
        <v>1188247694.59</v>
      </c>
      <c r="L24" s="29" t="n">
        <f aca="false">SUM(L6:L23)</f>
        <v>166</v>
      </c>
      <c r="M24" s="30" t="n">
        <f aca="false">SUM(M6:M23)</f>
        <v>748285987.45</v>
      </c>
      <c r="N24" s="29" t="n">
        <f aca="false">SUM(N6:N23)</f>
        <v>96</v>
      </c>
      <c r="O24" s="30" t="n">
        <f aca="false">SUM(O6:O23)</f>
        <v>5713191852.68</v>
      </c>
      <c r="P24" s="29" t="n">
        <f aca="false">SUM(P6:P23)</f>
        <v>559</v>
      </c>
      <c r="Q24" s="30" t="n">
        <f aca="false">SUM(Q6:Q23)</f>
        <v>3291590.6</v>
      </c>
      <c r="R24" s="29" t="n">
        <f aca="false">SUM(R6:R23)</f>
        <v>2</v>
      </c>
      <c r="S24" s="30" t="n">
        <f aca="false">SUM(S6:S23)</f>
        <v>0</v>
      </c>
      <c r="T24" s="29" t="n">
        <f aca="false">SUM(T6:T23)</f>
        <v>28</v>
      </c>
      <c r="U24" s="31" t="n">
        <f aca="false">IFERROR($L24/$H24,"")</f>
        <v>0.228965517241379</v>
      </c>
      <c r="V24" s="31" t="n">
        <f aca="false">IFERROR($N24/$L24,"")</f>
        <v>0.578313253012048</v>
      </c>
      <c r="W24" s="32" t="str">
        <f aca="false">IFERROR($H24/$D24,"")</f>
        <v/>
      </c>
      <c r="X24" s="33" t="str">
        <f aca="false">IFERROR($L24/$D24,"")</f>
        <v/>
      </c>
    </row>
    <row r="25" customFormat="false" ht="22.5" hidden="false" customHeight="true" outlineLevel="0" collapsed="false"/>
    <row r="26" customFormat="false" ht="15" hidden="false" customHeight="true" outlineLevel="0" collapsed="false">
      <c r="A26" s="34"/>
    </row>
    <row r="27" customFormat="false" ht="15" hidden="false" customHeight="true" outlineLevel="0" collapsed="false">
      <c r="A27" s="35"/>
      <c r="B27" s="35"/>
      <c r="C27" s="35"/>
      <c r="D27" s="36"/>
      <c r="E27" s="36"/>
      <c r="F27" s="36"/>
      <c r="G27" s="36"/>
      <c r="H27" s="36"/>
      <c r="I27" s="36"/>
      <c r="J27" s="36"/>
      <c r="K27" s="36"/>
    </row>
    <row r="28" customFormat="false" ht="15" hidden="false" customHeight="true" outlineLevel="0" collapsed="false">
      <c r="A28" s="35"/>
      <c r="B28" s="35"/>
      <c r="C28" s="35"/>
      <c r="D28" s="36"/>
      <c r="E28" s="36"/>
      <c r="F28" s="36"/>
      <c r="G28" s="36"/>
      <c r="H28" s="36"/>
      <c r="I28" s="36"/>
      <c r="J28" s="36"/>
      <c r="K28" s="36"/>
    </row>
    <row r="29" customFormat="false" ht="15" hidden="false" customHeight="true" outlineLevel="0" collapsed="false">
      <c r="A29" s="35"/>
      <c r="B29" s="35"/>
      <c r="C29" s="35"/>
      <c r="D29" s="36"/>
      <c r="E29" s="36"/>
      <c r="F29" s="36"/>
      <c r="G29" s="36"/>
      <c r="H29" s="36"/>
      <c r="I29" s="36"/>
      <c r="J29" s="36"/>
      <c r="K29" s="36"/>
    </row>
    <row r="30" customFormat="false" ht="15" hidden="false" customHeight="true" outlineLevel="0" collapsed="false">
      <c r="A30" s="35"/>
      <c r="B30" s="35"/>
      <c r="C30" s="35"/>
      <c r="D30" s="36"/>
      <c r="E30" s="36"/>
      <c r="F30" s="36"/>
      <c r="G30" s="36"/>
      <c r="H30" s="36"/>
      <c r="I30" s="36"/>
      <c r="J30" s="36"/>
      <c r="K30" s="36"/>
    </row>
    <row r="31" customFormat="false" ht="15" hidden="false" customHeight="true" outlineLevel="0" collapsed="false">
      <c r="A31" s="35"/>
      <c r="B31" s="35"/>
      <c r="C31" s="35"/>
      <c r="D31" s="36"/>
      <c r="E31" s="36"/>
      <c r="F31" s="36"/>
      <c r="G31" s="36"/>
      <c r="H31" s="36"/>
      <c r="I31" s="36"/>
      <c r="J31" s="36"/>
      <c r="K31" s="36"/>
    </row>
  </sheetData>
  <autoFilter ref="A5:AA23"/>
  <mergeCells count="22">
    <mergeCell ref="A1:J1"/>
    <mergeCell ref="A2:B2"/>
    <mergeCell ref="E2:F2"/>
    <mergeCell ref="L2:M2"/>
    <mergeCell ref="A3:AA3"/>
    <mergeCell ref="E4:F4"/>
    <mergeCell ref="G4:J4"/>
    <mergeCell ref="K4:N4"/>
    <mergeCell ref="O4:R4"/>
    <mergeCell ref="S4:T4"/>
    <mergeCell ref="U4:X4"/>
    <mergeCell ref="B24:C24"/>
    <mergeCell ref="A27:C27"/>
    <mergeCell ref="D27:K27"/>
    <mergeCell ref="A28:C28"/>
    <mergeCell ref="D28:K28"/>
    <mergeCell ref="A29:C29"/>
    <mergeCell ref="D29:K29"/>
    <mergeCell ref="A30:C30"/>
    <mergeCell ref="D30:K30"/>
    <mergeCell ref="A31:C31"/>
    <mergeCell ref="D31:K31"/>
  </mergeCells>
  <conditionalFormatting sqref="I6:I23">
    <cfRule type="colorScale" priority="2">
      <colorScale>
        <cfvo type="num" val="0"/>
        <cfvo type="num" val="0.05"/>
        <cfvo type="num" val="0.12"/>
        <color rgb="FF63BE7B"/>
        <color rgb="FFFFEB84"/>
        <color rgb="FFF8696B"/>
      </colorScale>
    </cfRule>
  </conditionalFormatting>
  <conditionalFormatting sqref="U6:U23">
    <cfRule type="colorScale" priority="3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W6:W23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dataValidations count="1">
    <dataValidation allowBlank="true" error="Значение не может быть отрицательным" errorStyle="stop" errorTitle="Некорректное значение" operator="greaterThanOrEqual" showDropDown="false" showErrorMessage="false" showInputMessage="false" sqref="S6:T23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I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0"/>
    <col collapsed="false" customWidth="true" hidden="false" outlineLevel="0" max="3" min="3" style="1" width="9"/>
    <col collapsed="false" customWidth="true" hidden="false" outlineLevel="0" max="4" min="4" style="1" width="19"/>
    <col collapsed="false" customWidth="true" hidden="false" outlineLevel="0" max="5" min="5" style="1" width="20"/>
    <col collapsed="false" customWidth="true" hidden="false" outlineLevel="0" max="6" min="6" style="1" width="11"/>
    <col collapsed="false" customWidth="true" hidden="false" outlineLevel="0" max="7" min="7" style="1" width="12"/>
    <col collapsed="false" customWidth="true" hidden="false" outlineLevel="0" max="8" min="8" style="1" width="15"/>
    <col collapsed="false" customWidth="true" hidden="false" outlineLevel="0" max="9" min="9" style="1" width="18"/>
  </cols>
  <sheetData>
    <row r="1" customFormat="false" ht="19.5" hidden="false" customHeight="true" outlineLevel="0" collapsed="false">
      <c r="A1" s="37"/>
      <c r="B1" s="37"/>
      <c r="C1" s="37"/>
      <c r="D1" s="37"/>
      <c r="E1" s="37"/>
      <c r="F1" s="37"/>
      <c r="G1" s="37"/>
      <c r="H1" s="37"/>
      <c r="I1" s="37"/>
    </row>
    <row r="2" customFormat="false" ht="15" hidden="false" customHeight="true" outlineLevel="0" collapsed="false">
      <c r="A2" s="38"/>
      <c r="B2" s="38"/>
      <c r="C2" s="38"/>
      <c r="D2" s="38"/>
      <c r="E2" s="38"/>
      <c r="F2" s="38"/>
      <c r="G2" s="38"/>
      <c r="H2" s="38"/>
      <c r="I2" s="38"/>
    </row>
    <row r="3" customFormat="false" ht="15" hidden="false" customHeight="true" outlineLevel="0" collapsed="false">
      <c r="A3" s="39" t="s">
        <v>0</v>
      </c>
      <c r="C3" s="40" t="n">
        <f aca="false">Ввод!$C$2</f>
        <v>46272</v>
      </c>
      <c r="D3" s="40"/>
    </row>
    <row r="5" customFormat="false" ht="19.5" hidden="false" customHeight="true" outlineLevel="0" collapsed="false"/>
    <row r="6" customFormat="false" ht="15" hidden="false" customHeight="true" outlineLevel="0" collapsed="false">
      <c r="A6" s="41" t="s">
        <v>47</v>
      </c>
      <c r="B6" s="41"/>
      <c r="C6" s="41"/>
      <c r="D6" s="41"/>
      <c r="E6" s="41"/>
      <c r="F6" s="41"/>
      <c r="G6" s="41"/>
      <c r="H6" s="41"/>
      <c r="I6" s="41"/>
    </row>
    <row r="7" customFormat="false" ht="15" hidden="false" customHeight="true" outlineLevel="0" collapsed="false">
      <c r="A7" s="16" t="s">
        <v>48</v>
      </c>
      <c r="B7" s="16"/>
      <c r="C7" s="16"/>
      <c r="D7" s="42" t="n">
        <f aca="false">Ввод!$E$24</f>
        <v>243298761566.53</v>
      </c>
    </row>
    <row r="8" customFormat="false" ht="15" hidden="false" customHeight="true" outlineLevel="0" collapsed="false">
      <c r="A8" s="16" t="s">
        <v>49</v>
      </c>
      <c r="B8" s="16"/>
      <c r="C8" s="16"/>
      <c r="D8" s="42" t="n">
        <f aca="false">Ввод!$G$24</f>
        <v>6901439547.27</v>
      </c>
    </row>
    <row r="9" customFormat="false" ht="15" hidden="false" customHeight="true" outlineLevel="0" collapsed="false">
      <c r="A9" s="43" t="s">
        <v>50</v>
      </c>
      <c r="B9" s="43"/>
      <c r="C9" s="43"/>
      <c r="D9" s="44" t="n">
        <f aca="false">Ввод!$I$24</f>
        <v>0.0283661104677789</v>
      </c>
    </row>
    <row r="10" customFormat="false" ht="15" hidden="false" customHeight="true" outlineLevel="0" collapsed="false">
      <c r="A10" s="16" t="s">
        <v>51</v>
      </c>
      <c r="B10" s="16"/>
      <c r="C10" s="16"/>
      <c r="D10" s="42" t="n">
        <f aca="false">Ввод!$H$24</f>
        <v>725</v>
      </c>
    </row>
    <row r="11" customFormat="false" ht="15" hidden="false" customHeight="true" outlineLevel="0" collapsed="false">
      <c r="A11" s="16" t="s">
        <v>52</v>
      </c>
      <c r="B11" s="16"/>
      <c r="C11" s="16"/>
      <c r="D11" s="42" t="n">
        <f aca="false">Ввод!$L$24</f>
        <v>166</v>
      </c>
    </row>
    <row r="12" customFormat="false" ht="15" hidden="false" customHeight="true" outlineLevel="0" collapsed="false">
      <c r="A12" s="43" t="s">
        <v>53</v>
      </c>
      <c r="B12" s="43"/>
      <c r="C12" s="43"/>
      <c r="D12" s="44" t="n">
        <f aca="false">Ввод!$U$24</f>
        <v>0.228965517241379</v>
      </c>
    </row>
    <row r="13" customFormat="false" ht="15" hidden="false" customHeight="true" outlineLevel="0" collapsed="false">
      <c r="A13" s="16" t="s">
        <v>54</v>
      </c>
      <c r="B13" s="16"/>
      <c r="C13" s="16"/>
      <c r="D13" s="42" t="n">
        <f aca="false">Ввод!$N$24</f>
        <v>96</v>
      </c>
    </row>
    <row r="14" customFormat="false" ht="19.5" hidden="false" customHeight="true" outlineLevel="0" collapsed="false">
      <c r="A14" s="16" t="s">
        <v>55</v>
      </c>
      <c r="B14" s="16"/>
      <c r="C14" s="16"/>
      <c r="D14" s="42" t="n">
        <f aca="false">Ввод!$P$24</f>
        <v>559</v>
      </c>
    </row>
    <row r="15" customFormat="false" ht="15" hidden="false" customHeight="true" outlineLevel="0" collapsed="false">
      <c r="A15" s="16" t="s">
        <v>56</v>
      </c>
      <c r="B15" s="16"/>
      <c r="C15" s="16"/>
      <c r="D15" s="42" t="n">
        <f aca="false">Ввод!$R$24</f>
        <v>2</v>
      </c>
    </row>
    <row r="16" customFormat="false" ht="15" hidden="false" customHeight="true" outlineLevel="0" collapsed="false">
      <c r="A16" s="43" t="s">
        <v>57</v>
      </c>
      <c r="B16" s="43"/>
      <c r="C16" s="43"/>
      <c r="D16" s="42" t="n">
        <f aca="false">Ввод!$S$24</f>
        <v>0</v>
      </c>
    </row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>
      <c r="A19" s="41" t="s">
        <v>58</v>
      </c>
      <c r="B19" s="41"/>
      <c r="C19" s="41"/>
      <c r="D19" s="41"/>
      <c r="E19" s="41"/>
      <c r="F19" s="41"/>
      <c r="G19" s="41"/>
      <c r="H19" s="41"/>
      <c r="I19" s="41"/>
    </row>
    <row r="20" customFormat="false" ht="15" hidden="false" customHeight="true" outlineLevel="0" collapsed="false"/>
    <row r="21" customFormat="false" ht="21.75" hidden="false" customHeight="true" outlineLevel="0" collapsed="false">
      <c r="A21" s="12" t="s">
        <v>8</v>
      </c>
      <c r="B21" s="12" t="s">
        <v>9</v>
      </c>
      <c r="C21" s="12" t="s">
        <v>10</v>
      </c>
      <c r="D21" s="12" t="s">
        <v>53</v>
      </c>
      <c r="E21" s="12" t="s">
        <v>29</v>
      </c>
      <c r="F21" s="12" t="s">
        <v>59</v>
      </c>
      <c r="G21" s="12" t="s">
        <v>60</v>
      </c>
    </row>
    <row r="22" customFormat="false" ht="21.75" hidden="false" customHeight="true" outlineLevel="0" collapsed="false">
      <c r="A22" s="45" t="str">
        <f aca="false">Ввод!$B$6</f>
        <v>АНДИЖОН ВИЛОЯТИ</v>
      </c>
      <c r="B22" s="45" t="str">
        <f aca="false">Ввод!$C$6</f>
        <v/>
      </c>
      <c r="C22" s="46" t="n">
        <f aca="false">Ввод!$D$6</f>
        <v>0</v>
      </c>
      <c r="D22" s="47" t="n">
        <f aca="false">IFERROR(Ввод!$U$6,0)</f>
        <v>0</v>
      </c>
      <c r="E22" s="48" t="str">
        <f aca="false">IFERROR(Ввод!$W$6,0)</f>
        <v/>
      </c>
      <c r="F22" s="49" t="n">
        <f aca="false">Ввод!$S$6</f>
        <v>0</v>
      </c>
      <c r="G22" s="50" t="str">
        <f aca="false">IF(Ввод!$H$6=0,"Нет данных",IF($D22&gt;=0.8,"Отлично",IF($D22&gt;=0.5,"Хорошо","Требует внимания")))</f>
        <v>Требует внимания</v>
      </c>
    </row>
    <row r="23" customFormat="false" ht="21.75" hidden="false" customHeight="true" outlineLevel="0" collapsed="false">
      <c r="A23" s="45" t="str">
        <f aca="false">Ввод!$B$7</f>
        <v>БУХОРО ВИЛОЯТИ</v>
      </c>
      <c r="B23" s="45" t="str">
        <f aca="false">Ввод!$C$7</f>
        <v/>
      </c>
      <c r="C23" s="46" t="n">
        <f aca="false">Ввод!$D$7</f>
        <v>0</v>
      </c>
      <c r="D23" s="47" t="n">
        <f aca="false">IFERROR(Ввод!$U$7,0)</f>
        <v>0</v>
      </c>
      <c r="E23" s="48" t="str">
        <f aca="false">IFERROR(Ввод!$W$7,0)</f>
        <v/>
      </c>
      <c r="F23" s="49" t="n">
        <f aca="false">Ввод!$S$7</f>
        <v>0</v>
      </c>
      <c r="G23" s="50" t="str">
        <f aca="false">IF(Ввод!$H$7=0,"Нет данных",IF($D23&gt;=0.8,"Отлично",IF($D23&gt;=0.5,"Хорошо","Требует внимания")))</f>
        <v>Требует внимания</v>
      </c>
    </row>
    <row r="24" customFormat="false" ht="21.75" hidden="false" customHeight="true" outlineLevel="0" collapsed="false">
      <c r="A24" s="45" t="str">
        <f aca="false">Ввод!$B$8</f>
        <v>ЖИЗЗАХ ВИЛОЯТИ</v>
      </c>
      <c r="B24" s="45" t="str">
        <f aca="false">Ввод!$C$8</f>
        <v/>
      </c>
      <c r="C24" s="46" t="n">
        <f aca="false">Ввод!$D$8</f>
        <v>0</v>
      </c>
      <c r="D24" s="47" t="n">
        <f aca="false">IFERROR(Ввод!$U$8,0)</f>
        <v>0.392156862745098</v>
      </c>
      <c r="E24" s="48" t="str">
        <f aca="false">IFERROR(Ввод!$W$8,0)</f>
        <v/>
      </c>
      <c r="F24" s="49" t="n">
        <f aca="false">Ввод!$S$8</f>
        <v>0</v>
      </c>
      <c r="G24" s="50" t="str">
        <f aca="false">IF(Ввод!$H$8=0,"Нет данных",IF($D24&gt;=0.8,"Отлично",IF($D24&gt;=0.5,"Хорошо","Требует внимания")))</f>
        <v>Требует внимания</v>
      </c>
    </row>
    <row r="25" customFormat="false" ht="21.75" hidden="false" customHeight="true" outlineLevel="0" collapsed="false">
      <c r="A25" s="45" t="str">
        <f aca="false">Ввод!$B$9</f>
        <v>КАШКАДАРЁ ВИЛОЯТИ</v>
      </c>
      <c r="B25" s="45" t="str">
        <f aca="false">Ввод!$C$9</f>
        <v/>
      </c>
      <c r="C25" s="46" t="n">
        <f aca="false">Ввод!$D$9</f>
        <v>0</v>
      </c>
      <c r="D25" s="47" t="n">
        <f aca="false">IFERROR(Ввод!$U$9,0)</f>
        <v>0.878787878787879</v>
      </c>
      <c r="E25" s="48" t="str">
        <f aca="false">IFERROR(Ввод!$W$9,0)</f>
        <v/>
      </c>
      <c r="F25" s="49" t="n">
        <f aca="false">Ввод!$S$9</f>
        <v>0</v>
      </c>
      <c r="G25" s="50" t="str">
        <f aca="false">IF(Ввод!$H$9=0,"Нет данных",IF($D25&gt;=0.8,"Отлично",IF($D25&gt;=0.5,"Хорошо","Требует внимания")))</f>
        <v>Отлично</v>
      </c>
    </row>
    <row r="26" customFormat="false" ht="21.75" hidden="false" customHeight="true" outlineLevel="0" collapsed="false">
      <c r="A26" s="45" t="str">
        <f aca="false">Ввод!$B$10</f>
        <v>КОРАКАЛПОГИСТОН РЕСПУБЛИКАСИ</v>
      </c>
      <c r="B26" s="45" t="str">
        <f aca="false">Ввод!$C$10</f>
        <v/>
      </c>
      <c r="C26" s="46" t="n">
        <f aca="false">Ввод!$D$10</f>
        <v>0</v>
      </c>
      <c r="D26" s="47" t="n">
        <f aca="false">IFERROR(Ввод!$U$10,0)</f>
        <v>0.769230769230769</v>
      </c>
      <c r="E26" s="48" t="str">
        <f aca="false">IFERROR(Ввод!$W$10,0)</f>
        <v/>
      </c>
      <c r="F26" s="49" t="n">
        <f aca="false">Ввод!$S$10</f>
        <v>0</v>
      </c>
      <c r="G26" s="50" t="str">
        <f aca="false">IF(Ввод!$H$10=0,"Нет данных",IF($D26&gt;=0.8,"Отлично",IF($D26&gt;=0.5,"Хорошо","Требует внимания")))</f>
        <v>Хорошо</v>
      </c>
    </row>
    <row r="27" customFormat="false" ht="21.75" hidden="false" customHeight="true" outlineLevel="0" collapsed="false">
      <c r="A27" s="45" t="str">
        <f aca="false">Ввод!$B$11</f>
        <v>НАВОИЙ ВИЛОЯТИ</v>
      </c>
      <c r="B27" s="45" t="str">
        <f aca="false">Ввод!$C$11</f>
        <v/>
      </c>
      <c r="C27" s="46" t="n">
        <f aca="false">Ввод!$D$11</f>
        <v>0</v>
      </c>
      <c r="D27" s="47" t="n">
        <f aca="false">IFERROR(Ввод!$U$11,0)</f>
        <v>0.0555555555555556</v>
      </c>
      <c r="E27" s="48" t="str">
        <f aca="false">IFERROR(Ввод!$W$11,0)</f>
        <v/>
      </c>
      <c r="F27" s="49" t="n">
        <f aca="false">Ввод!$S$11</f>
        <v>0</v>
      </c>
      <c r="G27" s="50" t="str">
        <f aca="false">IF(Ввод!$H$11=0,"Нет данных",IF($D27&gt;=0.8,"Отлично",IF($D27&gt;=0.5,"Хорошо","Требует внимания")))</f>
        <v>Требует внимания</v>
      </c>
    </row>
    <row r="28" customFormat="false" ht="21.75" hidden="false" customHeight="true" outlineLevel="0" collapsed="false">
      <c r="A28" s="45" t="str">
        <f aca="false">Ввод!$B$12</f>
        <v>НАМАНГАН ВИЛОЯТИ</v>
      </c>
      <c r="B28" s="45" t="str">
        <f aca="false">Ввод!$C$12</f>
        <v/>
      </c>
      <c r="C28" s="46" t="n">
        <f aca="false">Ввод!$D$12</f>
        <v>0</v>
      </c>
      <c r="D28" s="47" t="n">
        <f aca="false">IFERROR(Ввод!$U$12,0)</f>
        <v>0.483870967741936</v>
      </c>
      <c r="E28" s="48" t="str">
        <f aca="false">IFERROR(Ввод!$W$12,0)</f>
        <v/>
      </c>
      <c r="F28" s="49" t="n">
        <f aca="false">Ввод!$S$12</f>
        <v>0</v>
      </c>
      <c r="G28" s="50" t="str">
        <f aca="false">IF(Ввод!$H$12=0,"Нет данных",IF($D28&gt;=0.8,"Отлично",IF($D28&gt;=0.5,"Хорошо","Требует внимания")))</f>
        <v>Требует внимания</v>
      </c>
    </row>
    <row r="29" customFormat="false" ht="21.75" hidden="false" customHeight="true" outlineLevel="0" collapsed="false">
      <c r="A29" s="45" t="str">
        <f aca="false">Ввод!$B$13</f>
        <v>САМАРКАНД ВИЛОЯТИ</v>
      </c>
      <c r="B29" s="45" t="str">
        <f aca="false">Ввод!$C$13</f>
        <v/>
      </c>
      <c r="C29" s="46" t="n">
        <f aca="false">Ввод!$D$13</f>
        <v>0</v>
      </c>
      <c r="D29" s="47" t="n">
        <f aca="false">IFERROR(Ввод!$U$13,0)</f>
        <v>0.245901639344262</v>
      </c>
      <c r="E29" s="48" t="str">
        <f aca="false">IFERROR(Ввод!$W$13,0)</f>
        <v/>
      </c>
      <c r="F29" s="49" t="n">
        <f aca="false">Ввод!$S$13</f>
        <v>0</v>
      </c>
      <c r="G29" s="50" t="str">
        <f aca="false">IF(Ввод!$H$13=0,"Нет данных",IF($D29&gt;=0.8,"Отлично",IF($D29&gt;=0.5,"Хорошо","Требует внимания")))</f>
        <v>Требует внимания</v>
      </c>
    </row>
    <row r="30" customFormat="false" ht="21.75" hidden="false" customHeight="true" outlineLevel="0" collapsed="false">
      <c r="A30" s="45" t="str">
        <f aca="false">Ввод!$B$14</f>
        <v>СИРДАРЁ ВИЛОЯТИ</v>
      </c>
      <c r="B30" s="45" t="str">
        <f aca="false">Ввод!$C$14</f>
        <v/>
      </c>
      <c r="C30" s="46" t="n">
        <f aca="false">Ввод!$D$14</f>
        <v>0</v>
      </c>
      <c r="D30" s="47" t="n">
        <f aca="false">IFERROR(Ввод!$U$14,0)</f>
        <v>0.588235294117647</v>
      </c>
      <c r="E30" s="48" t="str">
        <f aca="false">IFERROR(Ввод!$W$14,0)</f>
        <v/>
      </c>
      <c r="F30" s="49" t="n">
        <f aca="false">Ввод!$S$14</f>
        <v>0</v>
      </c>
      <c r="G30" s="50" t="str">
        <f aca="false">IF(Ввод!$H$14=0,"Нет данных",IF($D30&gt;=0.8,"Отлично",IF($D30&gt;=0.5,"Хорошо","Требует внимания")))</f>
        <v>Хорошо</v>
      </c>
    </row>
    <row r="31" customFormat="false" ht="21.75" hidden="false" customHeight="true" outlineLevel="0" collapsed="false">
      <c r="A31" s="45" t="str">
        <f aca="false">Ввод!$B$15</f>
        <v>СУРХОНДАРЁ ВИЛОЯТИ</v>
      </c>
      <c r="B31" s="45" t="str">
        <f aca="false">Ввод!$C$15</f>
        <v/>
      </c>
      <c r="C31" s="46" t="n">
        <f aca="false">Ввод!$D$15</f>
        <v>0</v>
      </c>
      <c r="D31" s="47" t="n">
        <f aca="false">IFERROR(Ввод!$U$15,0)</f>
        <v>0.185567010309278</v>
      </c>
      <c r="E31" s="48" t="str">
        <f aca="false">IFERROR(Ввод!$W$15,0)</f>
        <v/>
      </c>
      <c r="F31" s="49" t="n">
        <f aca="false">Ввод!$S$15</f>
        <v>0</v>
      </c>
      <c r="G31" s="50" t="str">
        <f aca="false">IF(Ввод!$H$15=0,"Нет данных",IF($D31&gt;=0.8,"Отлично",IF($D31&gt;=0.5,"Хорошо","Требует внимания")))</f>
        <v>Требует внимания</v>
      </c>
    </row>
    <row r="32" customFormat="false" ht="21.75" hidden="false" customHeight="true" outlineLevel="0" collapsed="false">
      <c r="A32" s="45" t="str">
        <f aca="false">Ввод!$B$16</f>
        <v>ТОШКЕНТ ВИЛОЯТИ</v>
      </c>
      <c r="B32" s="45" t="str">
        <f aca="false">Ввод!$C$16</f>
        <v/>
      </c>
      <c r="C32" s="46" t="n">
        <f aca="false">Ввод!$D$16</f>
        <v>0</v>
      </c>
      <c r="D32" s="47" t="n">
        <f aca="false">IFERROR(Ввод!$U$16,0)</f>
        <v>0</v>
      </c>
      <c r="E32" s="48" t="str">
        <f aca="false">IFERROR(Ввод!$W$16,0)</f>
        <v/>
      </c>
      <c r="F32" s="49" t="n">
        <f aca="false">Ввод!$S$16</f>
        <v>0</v>
      </c>
      <c r="G32" s="50" t="str">
        <f aca="false">IF(Ввод!$H$16=0,"Нет данных",IF($D32&gt;=0.8,"Отлично",IF($D32&gt;=0.5,"Хорошо","Требует внимания")))</f>
        <v>Требует внимания</v>
      </c>
    </row>
    <row r="33" customFormat="false" ht="21.75" hidden="false" customHeight="true" outlineLevel="0" collapsed="false">
      <c r="A33" s="45" t="str">
        <f aca="false">Ввод!$B$17</f>
        <v>ТОШКЕНТ ШАХРИ</v>
      </c>
      <c r="B33" s="45" t="str">
        <f aca="false">Ввод!$C$17</f>
        <v/>
      </c>
      <c r="C33" s="46" t="n">
        <f aca="false">Ввод!$D$17</f>
        <v>0</v>
      </c>
      <c r="D33" s="47" t="n">
        <f aca="false">IFERROR(Ввод!$U$17,0)</f>
        <v>0</v>
      </c>
      <c r="E33" s="48" t="str">
        <f aca="false">IFERROR(Ввод!$W$17,0)</f>
        <v/>
      </c>
      <c r="F33" s="49" t="n">
        <f aca="false">Ввод!$S$17</f>
        <v>0</v>
      </c>
      <c r="G33" s="50" t="str">
        <f aca="false">IF(Ввод!$H$17=0,"Нет данных",IF($D33&gt;=0.8,"Отлично",IF($D33&gt;=0.5,"Хорошо","Требует внимания")))</f>
        <v>Требует внимания</v>
      </c>
    </row>
    <row r="34" customFormat="false" ht="21.75" hidden="false" customHeight="true" outlineLevel="0" collapsed="false">
      <c r="A34" s="45" t="str">
        <f aca="false">Ввод!$B$18</f>
        <v>ФАРГОНА ВИЛОЯТИ</v>
      </c>
      <c r="B34" s="45" t="str">
        <f aca="false">Ввод!$C$18</f>
        <v/>
      </c>
      <c r="C34" s="46" t="n">
        <f aca="false">Ввод!$D$18</f>
        <v>0</v>
      </c>
      <c r="D34" s="47" t="n">
        <f aca="false">IFERROR(Ввод!$U$18,0)</f>
        <v>0</v>
      </c>
      <c r="E34" s="48" t="str">
        <f aca="false">IFERROR(Ввод!$W$18,0)</f>
        <v/>
      </c>
      <c r="F34" s="49" t="n">
        <f aca="false">Ввод!$S$18</f>
        <v>0</v>
      </c>
      <c r="G34" s="50" t="str">
        <f aca="false">IF(Ввод!$H$18=0,"Нет данных",IF($D34&gt;=0.8,"Отлично",IF($D34&gt;=0.5,"Хорошо","Требует внимания")))</f>
        <v>Требует внимания</v>
      </c>
    </row>
    <row r="35" customFormat="false" ht="21.75" hidden="false" customHeight="true" outlineLevel="0" collapsed="false">
      <c r="A35" s="45" t="str">
        <f aca="false">Ввод!$B$19</f>
        <v>ХОРАЗМ ВИЛОЯТИ</v>
      </c>
      <c r="B35" s="45" t="str">
        <f aca="false">Ввод!$C$19</f>
        <v/>
      </c>
      <c r="C35" s="46" t="n">
        <f aca="false">Ввод!$D$19</f>
        <v>0</v>
      </c>
      <c r="D35" s="47" t="n">
        <f aca="false">IFERROR(Ввод!$U$19,0)</f>
        <v>0.469387755102041</v>
      </c>
      <c r="E35" s="48" t="str">
        <f aca="false">IFERROR(Ввод!$W$19,0)</f>
        <v/>
      </c>
      <c r="F35" s="49" t="n">
        <f aca="false">Ввод!$S$19</f>
        <v>0</v>
      </c>
      <c r="G35" s="50" t="str">
        <f aca="false">IF(Ввод!$H$19=0,"Нет данных",IF($D35&gt;=0.8,"Отлично",IF($D35&gt;=0.5,"Хорошо","Требует внимания")))</f>
        <v>Требует внимания</v>
      </c>
    </row>
    <row r="36" customFormat="false" ht="21.75" hidden="false" customHeight="true" outlineLevel="0" collapsed="false">
      <c r="A36" s="45"/>
      <c r="B36" s="45"/>
      <c r="C36" s="46"/>
      <c r="D36" s="47"/>
      <c r="E36" s="48"/>
      <c r="F36" s="49"/>
      <c r="G36" s="50"/>
    </row>
    <row r="37" customFormat="false" ht="21.75" hidden="false" customHeight="true" outlineLevel="0" collapsed="false">
      <c r="A37" s="45"/>
      <c r="B37" s="45"/>
      <c r="C37" s="46"/>
      <c r="D37" s="47"/>
      <c r="E37" s="48"/>
      <c r="F37" s="49"/>
      <c r="G37" s="50"/>
    </row>
    <row r="38" customFormat="false" ht="21.75" hidden="false" customHeight="true" outlineLevel="0" collapsed="false">
      <c r="A38" s="45"/>
      <c r="B38" s="45"/>
      <c r="C38" s="46"/>
      <c r="D38" s="47"/>
      <c r="E38" s="48"/>
      <c r="F38" s="49"/>
      <c r="G38" s="50"/>
    </row>
    <row r="39" customFormat="false" ht="21.75" hidden="false" customHeight="true" outlineLevel="0" collapsed="false">
      <c r="A39" s="45"/>
      <c r="B39" s="45"/>
      <c r="C39" s="46"/>
      <c r="D39" s="47"/>
      <c r="E39" s="48"/>
      <c r="F39" s="49"/>
      <c r="G39" s="50"/>
    </row>
    <row r="40" customFormat="false" ht="15" hidden="false" customHeight="true" outlineLevel="0" collapsed="false"/>
    <row r="41" customFormat="false" ht="15" hidden="false" customHeight="true" outlineLevel="0" collapsed="false">
      <c r="A41" s="51" t="s">
        <v>61</v>
      </c>
      <c r="B41" s="51"/>
      <c r="C41" s="51"/>
      <c r="D41" s="51"/>
      <c r="E41" s="51"/>
      <c r="F41" s="51"/>
      <c r="G41" s="51"/>
      <c r="H41" s="51"/>
      <c r="I41" s="51"/>
    </row>
    <row r="42" customFormat="false" ht="15" hidden="false" customHeight="true" outlineLevel="0" collapsed="false">
      <c r="A42" s="12" t="s">
        <v>62</v>
      </c>
      <c r="B42" s="12"/>
      <c r="C42" s="12" t="s">
        <v>53</v>
      </c>
      <c r="D42" s="12"/>
      <c r="E42" s="12" t="s">
        <v>63</v>
      </c>
      <c r="F42" s="12"/>
      <c r="G42" s="12"/>
      <c r="H42" s="12" t="s">
        <v>53</v>
      </c>
      <c r="I42" s="12"/>
    </row>
    <row r="43" customFormat="false" ht="15" hidden="false" customHeight="true" outlineLevel="0" collapsed="false">
      <c r="A43" s="52" t="str">
        <f aca="false">IFERROR(INDEX(Ввод!$B$6:$B$19,MATCH(LARGE(Ввод!$AA$6:$AA$19,1),Ввод!$AA$6:$AA$19,0)),"")</f>
        <v>КАШКАДАРЁ ВИЛОЯТИ</v>
      </c>
      <c r="B43" s="52"/>
      <c r="C43" s="53" t="n">
        <f aca="false">IFERROR(INDEX(Ввод!$U$6:$U$19,MATCH(LARGE(Ввод!$AA$6:$AA$19,1),Ввод!$AA$6:$AA$19,0)),"")</f>
        <v>0.878787878787879</v>
      </c>
      <c r="D43" s="53"/>
      <c r="E43" s="54" t="str">
        <f aca="false">IFERROR(INDEX(Ввод!$B$6:$B$19,MATCH(SMALL(Ввод!$AA$6:$AA$19,1),Ввод!$AA$6:$AA$19,0)),"")</f>
        <v>АНДИЖОН ВИЛОЯТИ</v>
      </c>
      <c r="F43" s="54"/>
      <c r="G43" s="54"/>
      <c r="H43" s="55" t="n">
        <f aca="false">IFERROR(INDEX(Ввод!$U$6:$U$19,MATCH(SMALL(Ввод!$AA$6:$AA$19,1),Ввод!$AA$6:$AA$19,0)),"")</f>
        <v>0</v>
      </c>
      <c r="I43" s="55"/>
    </row>
    <row r="44" customFormat="false" ht="15" hidden="false" customHeight="true" outlineLevel="0" collapsed="false">
      <c r="A44" s="52" t="str">
        <f aca="false">IFERROR(INDEX(Ввод!$B$6:$B$19,MATCH(LARGE(Ввод!$AA$6:$AA$19,2),Ввод!$AA$6:$AA$19,0)),"")</f>
        <v>КОРАКАЛПОГИСТОН РЕСПУБЛИКАСИ</v>
      </c>
      <c r="B44" s="52"/>
      <c r="C44" s="53" t="n">
        <f aca="false">IFERROR(INDEX(Ввод!$U$6:$U$19,MATCH(LARGE(Ввод!$AA$6:$AA$19,2),Ввод!$AA$6:$AA$19,0)),"")</f>
        <v>0.769230769230769</v>
      </c>
      <c r="D44" s="53"/>
      <c r="E44" s="54" t="str">
        <f aca="false">IFERROR(INDEX(Ввод!$B$6:$B$19,MATCH(SMALL(Ввод!$AA$6:$AA$19,2),Ввод!$AA$6:$AA$19,0)),"")</f>
        <v>БУХОРО ВИЛОЯТИ</v>
      </c>
      <c r="F44" s="54"/>
      <c r="G44" s="54"/>
      <c r="H44" s="55" t="n">
        <f aca="false">IFERROR(INDEX(Ввод!$U$6:$U$19,MATCH(SMALL(Ввод!$AA$6:$AA$19,2),Ввод!$AA$6:$AA$19,0)),"")</f>
        <v>0</v>
      </c>
      <c r="I44" s="55"/>
    </row>
    <row r="45" customFormat="false" ht="15" hidden="false" customHeight="true" outlineLevel="0" collapsed="false">
      <c r="A45" s="52" t="str">
        <f aca="false">IFERROR(INDEX(Ввод!$B$6:$B$19,MATCH(LARGE(Ввод!$AA$6:$AA$19,3),Ввод!$AA$6:$AA$19,0)),"")</f>
        <v>СИРДАРЁ ВИЛОЯТИ</v>
      </c>
      <c r="B45" s="52"/>
      <c r="C45" s="53" t="n">
        <f aca="false">IFERROR(INDEX(Ввод!$U$6:$U$19,MATCH(LARGE(Ввод!$AA$6:$AA$19,3),Ввод!$AA$6:$AA$19,0)),"")</f>
        <v>0.588235294117647</v>
      </c>
      <c r="D45" s="53"/>
      <c r="E45" s="54" t="str">
        <f aca="false">IFERROR(INDEX(Ввод!$B$6:$B$19,MATCH(SMALL(Ввод!$AA$6:$AA$19,3),Ввод!$AA$6:$AA$19,0)),"")</f>
        <v>ТОШКЕНТ ВИЛОЯТИ</v>
      </c>
      <c r="F45" s="54"/>
      <c r="G45" s="54"/>
      <c r="H45" s="55" t="n">
        <f aca="false">IFERROR(INDEX(Ввод!$U$6:$U$19,MATCH(SMALL(Ввод!$AA$6:$AA$19,3),Ввод!$AA$6:$AA$19,0)),"")</f>
        <v>0</v>
      </c>
      <c r="I45" s="55"/>
    </row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7" customFormat="false" ht="19.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</sheetData>
  <mergeCells count="32">
    <mergeCell ref="A1:I1"/>
    <mergeCell ref="A2:I2"/>
    <mergeCell ref="C3:D3"/>
    <mergeCell ref="A6:I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9:I19"/>
    <mergeCell ref="A41:I41"/>
    <mergeCell ref="A42:B42"/>
    <mergeCell ref="C42:D42"/>
    <mergeCell ref="E42:G42"/>
    <mergeCell ref="H42:I42"/>
    <mergeCell ref="A43:B43"/>
    <mergeCell ref="C43:D43"/>
    <mergeCell ref="E43:G43"/>
    <mergeCell ref="H43:I43"/>
    <mergeCell ref="A44:B44"/>
    <mergeCell ref="C44:D44"/>
    <mergeCell ref="E44:G44"/>
    <mergeCell ref="H44:I44"/>
    <mergeCell ref="A45:B45"/>
    <mergeCell ref="C45:D45"/>
    <mergeCell ref="E45:G45"/>
    <mergeCell ref="H45:I45"/>
  </mergeCells>
  <conditionalFormatting sqref="G22:G39">
    <cfRule type="expression" priority="2" aboveAverage="0" equalAverage="0" bottom="0" percent="0" rank="0" text="" dxfId="29">
      <formula>$G22="Отлично"</formula>
    </cfRule>
    <cfRule type="expression" priority="3" aboveAverage="0" equalAverage="0" bottom="0" percent="0" rank="0" text="" dxfId="30">
      <formula>$G22="Хорошо"</formula>
    </cfRule>
    <cfRule type="expression" priority="4" aboveAverage="0" equalAverage="0" bottom="0" percent="0" rank="0" text="" dxfId="31">
      <formula>$G22="Требует внимания"</formula>
    </cfRule>
  </conditionalFormatting>
  <conditionalFormatting sqref="D22:D39">
    <cfRule type="colorScale" priority="5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E22:E39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N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5" activeCellId="0" sqref="M5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3" min="3" style="1" width="9"/>
    <col collapsed="false" customWidth="true" hidden="false" outlineLevel="0" max="5" min="4" style="1" width="16"/>
    <col collapsed="false" customWidth="true" hidden="false" outlineLevel="0" max="7" min="6" style="1" width="11"/>
    <col collapsed="false" customWidth="true" hidden="false" outlineLevel="0" max="9" min="8" style="1" width="10"/>
    <col collapsed="false" customWidth="true" hidden="false" outlineLevel="0" max="11" min="10" style="1" width="11"/>
    <col collapsed="false" customWidth="true" hidden="false" outlineLevel="0" max="12" min="12" style="1" width="15"/>
    <col collapsed="false" customWidth="true" hidden="false" outlineLevel="0" max="13" min="13" style="1" width="18"/>
    <col collapsed="false" customWidth="true" hidden="false" outlineLevel="0" max="14" min="14" style="1" width="14.29"/>
  </cols>
  <sheetData>
    <row r="1" customFormat="false" ht="19.5" hidden="false" customHeight="true" outlineLevel="0" collapsed="false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customFormat="false" ht="15" hidden="false" customHeight="true" outlineLevel="0" collapsed="false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customFormat="false" ht="19.5" hidden="false" customHeight="true" outlineLevel="0" collapsed="false">
      <c r="A3" s="56" t="s">
        <v>0</v>
      </c>
      <c r="B3" s="56"/>
      <c r="C3" s="40" t="n">
        <f aca="false">Ввод!$C$2</f>
        <v>46272</v>
      </c>
      <c r="D3" s="40"/>
      <c r="E3" s="57" t="s">
        <v>49</v>
      </c>
      <c r="F3" s="57"/>
      <c r="G3" s="57"/>
      <c r="H3" s="58" t="n">
        <f aca="false">Ввод!$G$24</f>
        <v>6901439547.27</v>
      </c>
      <c r="I3" s="58"/>
      <c r="J3" s="58"/>
    </row>
    <row r="4" customFormat="false" ht="19.5" hidden="false" customHeight="true" outlineLevel="0" collapsed="false">
      <c r="E4" s="57" t="s">
        <v>57</v>
      </c>
      <c r="F4" s="57"/>
      <c r="G4" s="57"/>
      <c r="H4" s="58" t="n">
        <f aca="false">Ввод!$S$24</f>
        <v>0</v>
      </c>
      <c r="I4" s="58"/>
      <c r="J4" s="58"/>
    </row>
    <row r="5" customFormat="false" ht="19.5" hidden="false" customHeight="true" outlineLevel="0" collapsed="false">
      <c r="E5" s="57" t="s">
        <v>64</v>
      </c>
      <c r="F5" s="57"/>
      <c r="G5" s="57"/>
      <c r="H5" s="59" t="n">
        <f aca="false">IFERROR(Ввод!$H$24/Ввод!$D$24,0)</f>
        <v>0</v>
      </c>
      <c r="I5" s="59"/>
      <c r="J5" s="59"/>
    </row>
    <row r="7" customFormat="false" ht="19.5" hidden="false" customHeight="true" outlineLevel="0" collapsed="false">
      <c r="A7" s="60" t="s">
        <v>65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</row>
    <row r="8" customFormat="false" ht="31.5" hidden="false" customHeight="true" outlineLevel="0" collapsed="false">
      <c r="A8" s="12" t="s">
        <v>8</v>
      </c>
      <c r="B8" s="12" t="s">
        <v>66</v>
      </c>
      <c r="C8" s="12" t="s">
        <v>10</v>
      </c>
      <c r="D8" s="12" t="s">
        <v>48</v>
      </c>
      <c r="E8" s="12" t="s">
        <v>49</v>
      </c>
      <c r="F8" s="12" t="s">
        <v>67</v>
      </c>
      <c r="G8" s="12" t="s">
        <v>51</v>
      </c>
      <c r="H8" s="12" t="s">
        <v>68</v>
      </c>
      <c r="I8" s="12" t="s">
        <v>53</v>
      </c>
      <c r="J8" s="12" t="s">
        <v>29</v>
      </c>
      <c r="K8" s="12" t="s">
        <v>69</v>
      </c>
      <c r="L8" s="12" t="s">
        <v>59</v>
      </c>
      <c r="M8" s="12" t="s">
        <v>60</v>
      </c>
      <c r="N8" s="12" t="s">
        <v>8</v>
      </c>
    </row>
    <row r="9" customFormat="false" ht="15" hidden="false" customHeight="true" outlineLevel="0" collapsed="false">
      <c r="A9" s="45" t="str">
        <f aca="false">Ввод!$B$6</f>
        <v>АНДИЖОН ВИЛОЯТИ</v>
      </c>
      <c r="B9" s="50"/>
      <c r="C9" s="46" t="n">
        <f aca="false">Ввод!$D$6</f>
        <v>0</v>
      </c>
      <c r="D9" s="49" t="n">
        <f aca="false">Ввод!$E$6</f>
        <v>21670183628.19</v>
      </c>
      <c r="E9" s="49" t="n">
        <f aca="false">Ввод!$G$6</f>
        <v>216997310.13</v>
      </c>
      <c r="F9" s="47" t="n">
        <f aca="false">IFERROR($E9/$D9,0)</f>
        <v>0.0100136350412701</v>
      </c>
      <c r="G9" s="46" t="n">
        <f aca="false">Ввод!$H$6</f>
        <v>32</v>
      </c>
      <c r="H9" s="46" t="n">
        <f aca="false">Ввод!$L$6</f>
        <v>0</v>
      </c>
      <c r="I9" s="47" t="n">
        <f aca="false">IFERROR($H9/$G9,0)</f>
        <v>0</v>
      </c>
      <c r="J9" s="48" t="n">
        <f aca="false">IFERROR($G9/$C9,0)</f>
        <v>0</v>
      </c>
      <c r="K9" s="46" t="n">
        <f aca="false">Ввод!$N$6</f>
        <v>0</v>
      </c>
      <c r="L9" s="49" t="n">
        <f aca="false">Ввод!$S$6</f>
        <v>0</v>
      </c>
      <c r="M9" s="50" t="str">
        <f aca="false">IF($G9=0,"Нет данных",IF($I9&gt;=0.8,"Отлично",IF($I9&gt;=0.5,"Хорошо","Требует внимания")))</f>
        <v>Требует внимания</v>
      </c>
      <c r="N9" s="50" t="str">
        <f aca="false">IFERROR(INDEX(Справочники!$H$4:$H$21,MATCH($A9,Справочники!$B$4:$B$21,0)),"")</f>
        <v/>
      </c>
    </row>
    <row r="10" customFormat="false" ht="15" hidden="false" customHeight="true" outlineLevel="0" collapsed="false">
      <c r="A10" s="45" t="str">
        <f aca="false">Ввод!$B$7</f>
        <v>БУХОРО ВИЛОЯТИ</v>
      </c>
      <c r="B10" s="50"/>
      <c r="C10" s="46" t="n">
        <f aca="false">Ввод!$D$7</f>
        <v>0</v>
      </c>
      <c r="D10" s="49" t="n">
        <f aca="false">Ввод!$E$7</f>
        <v>5123173370.16</v>
      </c>
      <c r="E10" s="49" t="n">
        <f aca="false">Ввод!$G$7</f>
        <v>202669512.91</v>
      </c>
      <c r="F10" s="47" t="n">
        <f aca="false">IFERROR($E10/$D10,0)</f>
        <v>0.0395593703875906</v>
      </c>
      <c r="G10" s="46" t="n">
        <f aca="false">Ввод!$H$7</f>
        <v>18</v>
      </c>
      <c r="H10" s="46" t="n">
        <f aca="false">Ввод!$L$7</f>
        <v>0</v>
      </c>
      <c r="I10" s="47" t="n">
        <f aca="false">IFERROR($H10/$G10,0)</f>
        <v>0</v>
      </c>
      <c r="J10" s="48" t="n">
        <f aca="false">IFERROR($G10/$C10,0)</f>
        <v>0</v>
      </c>
      <c r="K10" s="46" t="n">
        <f aca="false">Ввод!$N$7</f>
        <v>0</v>
      </c>
      <c r="L10" s="49" t="n">
        <f aca="false">Ввод!$S$7</f>
        <v>0</v>
      </c>
      <c r="M10" s="50" t="str">
        <f aca="false">IF($G10=0,"Нет данных",IF($I10&gt;=0.8,"Отлично",IF($I10&gt;=0.5,"Хорошо","Требует внимания")))</f>
        <v>Требует внимания</v>
      </c>
      <c r="N10" s="50" t="str">
        <f aca="false">IFERROR(INDEX(Справочники!$H$4:$H$21,MATCH($A10,Справочники!$B$4:$B$21,0)),"")</f>
        <v/>
      </c>
    </row>
    <row r="11" customFormat="false" ht="15" hidden="false" customHeight="true" outlineLevel="0" collapsed="false">
      <c r="A11" s="45" t="str">
        <f aca="false">Ввод!$B$8</f>
        <v>ЖИЗЗАХ ВИЛОЯТИ</v>
      </c>
      <c r="B11" s="50"/>
      <c r="C11" s="46" t="n">
        <f aca="false">Ввод!$D$8</f>
        <v>0</v>
      </c>
      <c r="D11" s="49" t="n">
        <f aca="false">Ввод!$E$8</f>
        <v>13904205190.28</v>
      </c>
      <c r="E11" s="49" t="n">
        <f aca="false">Ввод!$G$8</f>
        <v>249852799.42</v>
      </c>
      <c r="F11" s="47" t="n">
        <f aca="false">IFERROR($E11/$D11,0)</f>
        <v>0.0179695851723092</v>
      </c>
      <c r="G11" s="46" t="n">
        <f aca="false">Ввод!$H$8</f>
        <v>51</v>
      </c>
      <c r="H11" s="46" t="n">
        <f aca="false">Ввод!$L$8</f>
        <v>20</v>
      </c>
      <c r="I11" s="47" t="n">
        <f aca="false">IFERROR($H11/$G11,0)</f>
        <v>0.392156862745098</v>
      </c>
      <c r="J11" s="48" t="n">
        <f aca="false">IFERROR($G11/$C11,0)</f>
        <v>0</v>
      </c>
      <c r="K11" s="46" t="n">
        <f aca="false">Ввод!$N$8</f>
        <v>19</v>
      </c>
      <c r="L11" s="49" t="n">
        <f aca="false">Ввод!$S$8</f>
        <v>0</v>
      </c>
      <c r="M11" s="50" t="str">
        <f aca="false">IF($G11=0,"Нет данных",IF($I11&gt;=0.8,"Отлично",IF($I11&gt;=0.5,"Хорошо","Требует внимания")))</f>
        <v>Требует внимания</v>
      </c>
      <c r="N11" s="50" t="str">
        <f aca="false">IFERROR(INDEX(Справочники!$H$4:$H$21,MATCH($A11,Справочники!$B$4:$B$21,0)),"")</f>
        <v/>
      </c>
    </row>
    <row r="12" customFormat="false" ht="15" hidden="false" customHeight="true" outlineLevel="0" collapsed="false">
      <c r="A12" s="45" t="str">
        <f aca="false">Ввод!$B$9</f>
        <v>КАШКАДАРЁ ВИЛОЯТИ</v>
      </c>
      <c r="B12" s="50"/>
      <c r="C12" s="46" t="n">
        <f aca="false">Ввод!$D$9</f>
        <v>0</v>
      </c>
      <c r="D12" s="49" t="n">
        <f aca="false">Ввод!$E$9</f>
        <v>12186568520.77</v>
      </c>
      <c r="E12" s="49" t="n">
        <f aca="false">Ввод!$G$9</f>
        <v>205557960.12</v>
      </c>
      <c r="F12" s="47" t="n">
        <f aca="false">IFERROR($E12/$D12,0)</f>
        <v>0.016867583337316</v>
      </c>
      <c r="G12" s="46" t="n">
        <f aca="false">Ввод!$H$9</f>
        <v>33</v>
      </c>
      <c r="H12" s="46" t="n">
        <f aca="false">Ввод!$L$9</f>
        <v>29</v>
      </c>
      <c r="I12" s="47" t="n">
        <f aca="false">IFERROR($H12/$G12,0)</f>
        <v>0.878787878787879</v>
      </c>
      <c r="J12" s="48" t="n">
        <f aca="false">IFERROR($G12/$C12,0)</f>
        <v>0</v>
      </c>
      <c r="K12" s="46" t="n">
        <f aca="false">Ввод!$N$9</f>
        <v>18</v>
      </c>
      <c r="L12" s="49" t="n">
        <f aca="false">Ввод!$S$9</f>
        <v>0</v>
      </c>
      <c r="M12" s="50" t="str">
        <f aca="false">IF($G12=0,"Нет данных",IF($I12&gt;=0.8,"Отлично",IF($I12&gt;=0.5,"Хорошо","Требует внимания")))</f>
        <v>Отлично</v>
      </c>
      <c r="N12" s="50" t="str">
        <f aca="false">IFERROR(INDEX(Справочники!$H$4:$H$21,MATCH($A12,Справочники!$B$4:$B$21,0)),"")</f>
        <v/>
      </c>
    </row>
    <row r="13" customFormat="false" ht="15" hidden="false" customHeight="true" outlineLevel="0" collapsed="false">
      <c r="A13" s="45" t="str">
        <f aca="false">Ввод!$B$10</f>
        <v>КОРАКАЛПОГИСТОН РЕСПУБЛИКАСИ</v>
      </c>
      <c r="B13" s="50"/>
      <c r="C13" s="46" t="n">
        <f aca="false">Ввод!$D$10</f>
        <v>0</v>
      </c>
      <c r="D13" s="49" t="n">
        <f aca="false">Ввод!$E$10</f>
        <v>11119544923.16</v>
      </c>
      <c r="E13" s="49" t="n">
        <f aca="false">Ввод!$G$10</f>
        <v>259639584.46</v>
      </c>
      <c r="F13" s="47" t="n">
        <f aca="false">IFERROR($E13/$D13,0)</f>
        <v>0.0233498390675339</v>
      </c>
      <c r="G13" s="46" t="n">
        <f aca="false">Ввод!$H$10</f>
        <v>26</v>
      </c>
      <c r="H13" s="46" t="n">
        <f aca="false">Ввод!$L$10</f>
        <v>20</v>
      </c>
      <c r="I13" s="47" t="n">
        <f aca="false">IFERROR($H13/$G13,0)</f>
        <v>0.769230769230769</v>
      </c>
      <c r="J13" s="48" t="n">
        <f aca="false">IFERROR($G13/$C13,0)</f>
        <v>0</v>
      </c>
      <c r="K13" s="46" t="n">
        <f aca="false">Ввод!$N$10</f>
        <v>4</v>
      </c>
      <c r="L13" s="49" t="n">
        <f aca="false">Ввод!$S$10</f>
        <v>0</v>
      </c>
      <c r="M13" s="50" t="str">
        <f aca="false">IF($G13=0,"Нет данных",IF($I13&gt;=0.8,"Отлично",IF($I13&gt;=0.5,"Хорошо","Требует внимания")))</f>
        <v>Хорошо</v>
      </c>
      <c r="N13" s="50" t="str">
        <f aca="false">IFERROR(INDEX(Справочники!$H$4:$H$21,MATCH($A13,Справочники!$B$4:$B$21,0)),"")</f>
        <v/>
      </c>
    </row>
    <row r="14" customFormat="false" ht="15" hidden="false" customHeight="true" outlineLevel="0" collapsed="false">
      <c r="A14" s="45" t="str">
        <f aca="false">Ввод!$B$11</f>
        <v>НАВОИЙ ВИЛОЯТИ</v>
      </c>
      <c r="B14" s="50"/>
      <c r="C14" s="46" t="n">
        <f aca="false">Ввод!$D$11</f>
        <v>0</v>
      </c>
      <c r="D14" s="49" t="n">
        <f aca="false">Ввод!$E$11</f>
        <v>6476844959.70001</v>
      </c>
      <c r="E14" s="49" t="n">
        <f aca="false">Ввод!$G$11</f>
        <v>107085347.11</v>
      </c>
      <c r="F14" s="47" t="n">
        <f aca="false">IFERROR($E14/$D14,0)</f>
        <v>0.0165335665399284</v>
      </c>
      <c r="G14" s="46" t="n">
        <f aca="false">Ввод!$H$11</f>
        <v>18</v>
      </c>
      <c r="H14" s="46" t="n">
        <f aca="false">Ввод!$L$11</f>
        <v>1</v>
      </c>
      <c r="I14" s="47" t="n">
        <f aca="false">IFERROR($H14/$G14,0)</f>
        <v>0.0555555555555556</v>
      </c>
      <c r="J14" s="48" t="n">
        <f aca="false">IFERROR($G14/$C14,0)</f>
        <v>0</v>
      </c>
      <c r="K14" s="46" t="n">
        <f aca="false">Ввод!$N$11</f>
        <v>1</v>
      </c>
      <c r="L14" s="49" t="n">
        <f aca="false">Ввод!$S$11</f>
        <v>0</v>
      </c>
      <c r="M14" s="50" t="str">
        <f aca="false">IF($G14=0,"Нет данных",IF($I14&gt;=0.8,"Отлично",IF($I14&gt;=0.5,"Хорошо","Требует внимания")))</f>
        <v>Требует внимания</v>
      </c>
      <c r="N14" s="50" t="str">
        <f aca="false">IFERROR(INDEX(Справочники!$H$4:$H$21,MATCH($A14,Справочники!$B$4:$B$21,0)),"")</f>
        <v/>
      </c>
    </row>
    <row r="15" customFormat="false" ht="15" hidden="false" customHeight="true" outlineLevel="0" collapsed="false">
      <c r="A15" s="45" t="str">
        <f aca="false">Ввод!$B$12</f>
        <v>НАМАНГАН ВИЛОЯТИ</v>
      </c>
      <c r="B15" s="50"/>
      <c r="C15" s="46" t="n">
        <f aca="false">Ввод!$D$12</f>
        <v>0</v>
      </c>
      <c r="D15" s="49" t="n">
        <f aca="false">Ввод!$E$12</f>
        <v>14729615980.03</v>
      </c>
      <c r="E15" s="49" t="n">
        <f aca="false">Ввод!$G$12</f>
        <v>597998506.93</v>
      </c>
      <c r="F15" s="47" t="n">
        <f aca="false">IFERROR($E15/$D15,0)</f>
        <v>0.0405983772924392</v>
      </c>
      <c r="G15" s="46" t="n">
        <f aca="false">Ввод!$H$12</f>
        <v>62</v>
      </c>
      <c r="H15" s="46" t="n">
        <f aca="false">Ввод!$L$12</f>
        <v>30</v>
      </c>
      <c r="I15" s="47" t="n">
        <f aca="false">IFERROR($H15/$G15,0)</f>
        <v>0.483870967741936</v>
      </c>
      <c r="J15" s="48" t="n">
        <f aca="false">IFERROR($G15/$C15,0)</f>
        <v>0</v>
      </c>
      <c r="K15" s="46" t="n">
        <f aca="false">Ввод!$N$12</f>
        <v>30</v>
      </c>
      <c r="L15" s="49" t="n">
        <f aca="false">Ввод!$S$12</f>
        <v>0</v>
      </c>
      <c r="M15" s="50" t="str">
        <f aca="false">IF($G15=0,"Нет данных",IF($I15&gt;=0.8,"Отлично",IF($I15&gt;=0.5,"Хорошо","Требует внимания")))</f>
        <v>Требует внимания</v>
      </c>
      <c r="N15" s="50" t="str">
        <f aca="false">IFERROR(INDEX(Справочники!$H$4:$H$21,MATCH($A15,Справочники!$B$4:$B$21,0)),"")</f>
        <v/>
      </c>
    </row>
    <row r="16" customFormat="false" ht="15" hidden="false" customHeight="true" outlineLevel="0" collapsed="false">
      <c r="A16" s="45" t="str">
        <f aca="false">Ввод!$B$13</f>
        <v>САМАРКАНД ВИЛОЯТИ</v>
      </c>
      <c r="B16" s="50"/>
      <c r="C16" s="46" t="n">
        <f aca="false">Ввод!$D$13</f>
        <v>0</v>
      </c>
      <c r="D16" s="49" t="n">
        <f aca="false">Ввод!$E$13</f>
        <v>16007858956.77</v>
      </c>
      <c r="E16" s="49" t="n">
        <f aca="false">Ввод!$G$13</f>
        <v>267212425.58</v>
      </c>
      <c r="F16" s="47" t="n">
        <f aca="false">IFERROR($E16/$D16,0)</f>
        <v>0.0166925774584609</v>
      </c>
      <c r="G16" s="46" t="n">
        <f aca="false">Ввод!$H$13</f>
        <v>61</v>
      </c>
      <c r="H16" s="46" t="n">
        <f aca="false">Ввод!$L$13</f>
        <v>15</v>
      </c>
      <c r="I16" s="47" t="n">
        <f aca="false">IFERROR($H16/$G16,0)</f>
        <v>0.245901639344262</v>
      </c>
      <c r="J16" s="48" t="n">
        <f aca="false">IFERROR($G16/$C16,0)</f>
        <v>0</v>
      </c>
      <c r="K16" s="46" t="n">
        <f aca="false">Ввод!$N$13</f>
        <v>15</v>
      </c>
      <c r="L16" s="49" t="n">
        <f aca="false">Ввод!$S$13</f>
        <v>0</v>
      </c>
      <c r="M16" s="50" t="str">
        <f aca="false">IF($G16=0,"Нет данных",IF($I16&gt;=0.8,"Отлично",IF($I16&gt;=0.5,"Хорошо","Требует внимания")))</f>
        <v>Требует внимания</v>
      </c>
      <c r="N16" s="50" t="str">
        <f aca="false">IFERROR(INDEX(Справочники!$H$4:$H$21,MATCH($A16,Справочники!$B$4:$B$21,0)),"")</f>
        <v/>
      </c>
    </row>
    <row r="17" customFormat="false" ht="15" hidden="false" customHeight="true" outlineLevel="0" collapsed="false">
      <c r="A17" s="45" t="str">
        <f aca="false">Ввод!$B$14</f>
        <v>СИРДАРЁ ВИЛОЯТИ</v>
      </c>
      <c r="B17" s="50"/>
      <c r="C17" s="46" t="n">
        <f aca="false">Ввод!$D$14</f>
        <v>0</v>
      </c>
      <c r="D17" s="49" t="n">
        <f aca="false">Ввод!$E$14</f>
        <v>7189760534.1</v>
      </c>
      <c r="E17" s="49" t="n">
        <f aca="false">Ввод!$G$14</f>
        <v>97690450.19</v>
      </c>
      <c r="F17" s="47" t="n">
        <f aca="false">IFERROR($E17/$D17,0)</f>
        <v>0.0135874414351727</v>
      </c>
      <c r="G17" s="46" t="n">
        <f aca="false">Ввод!$H$14</f>
        <v>17</v>
      </c>
      <c r="H17" s="46" t="n">
        <f aca="false">Ввод!$L$14</f>
        <v>10</v>
      </c>
      <c r="I17" s="47" t="n">
        <f aca="false">IFERROR($H17/$G17,0)</f>
        <v>0.588235294117647</v>
      </c>
      <c r="J17" s="48" t="n">
        <f aca="false">IFERROR($G17/$C17,0)</f>
        <v>0</v>
      </c>
      <c r="K17" s="46" t="n">
        <f aca="false">Ввод!$N$14</f>
        <v>1</v>
      </c>
      <c r="L17" s="49" t="n">
        <f aca="false">Ввод!$S$14</f>
        <v>0</v>
      </c>
      <c r="M17" s="50" t="str">
        <f aca="false">IF($G17=0,"Нет данных",IF($I17&gt;=0.8,"Отлично",IF($I17&gt;=0.5,"Хорошо","Требует внимания")))</f>
        <v>Хорошо</v>
      </c>
      <c r="N17" s="50" t="str">
        <f aca="false">IFERROR(INDEX(Справочники!$H$4:$H$21,MATCH($A17,Справочники!$B$4:$B$21,0)),"")</f>
        <v/>
      </c>
    </row>
    <row r="18" customFormat="false" ht="15" hidden="false" customHeight="true" outlineLevel="0" collapsed="false">
      <c r="A18" s="45" t="str">
        <f aca="false">Ввод!$B$15</f>
        <v>СУРХОНДАРЁ ВИЛОЯТИ</v>
      </c>
      <c r="B18" s="50"/>
      <c r="C18" s="46" t="n">
        <f aca="false">Ввод!$D$15</f>
        <v>0</v>
      </c>
      <c r="D18" s="49" t="n">
        <f aca="false">Ввод!$E$15</f>
        <v>16585229279.56</v>
      </c>
      <c r="E18" s="49" t="n">
        <f aca="false">Ввод!$G$15</f>
        <v>1083751094.2</v>
      </c>
      <c r="F18" s="47" t="n">
        <f aca="false">IFERROR($E18/$D18,0)</f>
        <v>0.0653443540594063</v>
      </c>
      <c r="G18" s="46" t="n">
        <f aca="false">Ввод!$H$15</f>
        <v>97</v>
      </c>
      <c r="H18" s="46" t="n">
        <f aca="false">Ввод!$L$15</f>
        <v>18</v>
      </c>
      <c r="I18" s="47" t="n">
        <f aca="false">IFERROR($H18/$G18,0)</f>
        <v>0.185567010309278</v>
      </c>
      <c r="J18" s="48" t="n">
        <f aca="false">IFERROR($G18/$C18,0)</f>
        <v>0</v>
      </c>
      <c r="K18" s="46" t="n">
        <f aca="false">Ввод!$N$15</f>
        <v>2</v>
      </c>
      <c r="L18" s="49" t="n">
        <f aca="false">Ввод!$S$15</f>
        <v>0</v>
      </c>
      <c r="M18" s="50" t="str">
        <f aca="false">IF($G18=0,"Нет данных",IF($I18&gt;=0.8,"Отлично",IF($I18&gt;=0.5,"Хорошо","Требует внимания")))</f>
        <v>Требует внимания</v>
      </c>
      <c r="N18" s="50" t="str">
        <f aca="false">IFERROR(INDEX(Справочники!$H$4:$H$21,MATCH($A18,Справочники!$B$4:$B$21,0)),"")</f>
        <v/>
      </c>
    </row>
    <row r="19" customFormat="false" ht="15" hidden="false" customHeight="true" outlineLevel="0" collapsed="false">
      <c r="A19" s="45" t="str">
        <f aca="false">Ввод!$B$16</f>
        <v>ТОШКЕНТ ВИЛОЯТИ</v>
      </c>
      <c r="B19" s="50"/>
      <c r="C19" s="46" t="n">
        <f aca="false">Ввод!$D$16</f>
        <v>0</v>
      </c>
      <c r="D19" s="49" t="n">
        <f aca="false">Ввод!$E$16</f>
        <v>36871386933.1101</v>
      </c>
      <c r="E19" s="49" t="n">
        <f aca="false">Ввод!$G$16</f>
        <v>886986634.88</v>
      </c>
      <c r="F19" s="47" t="n">
        <f aca="false">IFERROR($E19/$D19,0)</f>
        <v>0.0240562319092883</v>
      </c>
      <c r="G19" s="46" t="n">
        <f aca="false">Ввод!$H$16</f>
        <v>93</v>
      </c>
      <c r="H19" s="46" t="n">
        <f aca="false">Ввод!$L$16</f>
        <v>0</v>
      </c>
      <c r="I19" s="47" t="n">
        <f aca="false">IFERROR($H19/$G19,0)</f>
        <v>0</v>
      </c>
      <c r="J19" s="48" t="n">
        <f aca="false">IFERROR($G19/$C19,0)</f>
        <v>0</v>
      </c>
      <c r="K19" s="46" t="n">
        <f aca="false">Ввод!$N$16</f>
        <v>0</v>
      </c>
      <c r="L19" s="49" t="n">
        <f aca="false">Ввод!$S$16</f>
        <v>0</v>
      </c>
      <c r="M19" s="50" t="str">
        <f aca="false">IF($G19=0,"Нет данных",IF($I19&gt;=0.8,"Отлично",IF($I19&gt;=0.5,"Хорошо","Требует внимания")))</f>
        <v>Требует внимания</v>
      </c>
      <c r="N19" s="50" t="str">
        <f aca="false">IFERROR(INDEX(Справочники!$H$4:$H$21,MATCH($A19,Справочники!$B$4:$B$21,0)),"")</f>
        <v/>
      </c>
    </row>
    <row r="20" customFormat="false" ht="15" hidden="false" customHeight="true" outlineLevel="0" collapsed="false">
      <c r="A20" s="45" t="str">
        <f aca="false">Ввод!$B$17</f>
        <v>ТОШКЕНТ ШАХРИ</v>
      </c>
      <c r="B20" s="50"/>
      <c r="C20" s="46" t="n">
        <f aca="false">Ввод!$D$17</f>
        <v>0</v>
      </c>
      <c r="D20" s="49" t="n">
        <f aca="false">Ввод!$E$17</f>
        <v>43531854598.5101</v>
      </c>
      <c r="E20" s="49" t="n">
        <f aca="false">Ввод!$G$17</f>
        <v>1625726684.3</v>
      </c>
      <c r="F20" s="47" t="n">
        <f aca="false">IFERROR($E20/$D20,0)</f>
        <v>0.037345679371897</v>
      </c>
      <c r="G20" s="46" t="n">
        <f aca="false">Ввод!$H$17</f>
        <v>115</v>
      </c>
      <c r="H20" s="46" t="n">
        <f aca="false">Ввод!$L$17</f>
        <v>0</v>
      </c>
      <c r="I20" s="47" t="n">
        <f aca="false">IFERROR($H20/$G20,0)</f>
        <v>0</v>
      </c>
      <c r="J20" s="48" t="n">
        <f aca="false">IFERROR($G20/$C20,0)</f>
        <v>0</v>
      </c>
      <c r="K20" s="46" t="n">
        <f aca="false">Ввод!$N$17</f>
        <v>0</v>
      </c>
      <c r="L20" s="49" t="n">
        <f aca="false">Ввод!$S$17</f>
        <v>0</v>
      </c>
      <c r="M20" s="50" t="str">
        <f aca="false">IF($G20=0,"Нет данных",IF($I20&gt;=0.8,"Отлично",IF($I20&gt;=0.5,"Хорошо","Требует внимания")))</f>
        <v>Требует внимания</v>
      </c>
      <c r="N20" s="50" t="str">
        <f aca="false">IFERROR(INDEX(Справочники!$H$4:$H$21,MATCH($A20,Справочники!$B$4:$B$21,0)),"")</f>
        <v/>
      </c>
    </row>
    <row r="21" customFormat="false" ht="15" hidden="false" customHeight="true" outlineLevel="0" collapsed="false">
      <c r="A21" s="45" t="str">
        <f aca="false">Ввод!$B$18</f>
        <v>ФАРГОНА ВИЛОЯТИ</v>
      </c>
      <c r="B21" s="50"/>
      <c r="C21" s="46" t="n">
        <f aca="false">Ввод!$D$18</f>
        <v>0</v>
      </c>
      <c r="D21" s="49" t="n">
        <f aca="false">Ввод!$E$18</f>
        <v>17403438751.5</v>
      </c>
      <c r="E21" s="49" t="n">
        <f aca="false">Ввод!$G$18</f>
        <v>806811380</v>
      </c>
      <c r="F21" s="47" t="n">
        <f aca="false">IFERROR($E21/$D21,0)</f>
        <v>0.0463593081528477</v>
      </c>
      <c r="G21" s="46" t="n">
        <f aca="false">Ввод!$H$18</f>
        <v>53</v>
      </c>
      <c r="H21" s="46" t="n">
        <f aca="false">Ввод!$L$18</f>
        <v>0</v>
      </c>
      <c r="I21" s="47" t="n">
        <f aca="false">IFERROR($H21/$G21,0)</f>
        <v>0</v>
      </c>
      <c r="J21" s="48" t="n">
        <f aca="false">IFERROR($G21/$C21,0)</f>
        <v>0</v>
      </c>
      <c r="K21" s="46" t="n">
        <f aca="false">Ввод!$N$18</f>
        <v>0</v>
      </c>
      <c r="L21" s="49" t="n">
        <f aca="false">Ввод!$S$18</f>
        <v>0</v>
      </c>
      <c r="M21" s="50" t="str">
        <f aca="false">IF($G21=0,"Нет данных",IF($I21&gt;=0.8,"Отлично",IF($I21&gt;=0.5,"Хорошо","Требует внимания")))</f>
        <v>Требует внимания</v>
      </c>
      <c r="N21" s="50" t="str">
        <f aca="false">IFERROR(INDEX(Справочники!$H$4:$H$21,MATCH($A21,Справочники!$B$4:$B$21,0)),"")</f>
        <v/>
      </c>
    </row>
    <row r="22" customFormat="false" ht="15" hidden="false" customHeight="true" outlineLevel="0" collapsed="false">
      <c r="A22" s="45" t="str">
        <f aca="false">Ввод!$B$19</f>
        <v>ХОРАЗМ ВИЛОЯТИ</v>
      </c>
      <c r="B22" s="50"/>
      <c r="C22" s="46" t="n">
        <f aca="false">Ввод!$D$19</f>
        <v>0</v>
      </c>
      <c r="D22" s="49" t="n">
        <f aca="false">Ввод!$E$19</f>
        <v>20499095940.69</v>
      </c>
      <c r="E22" s="49" t="n">
        <f aca="false">Ввод!$G$19</f>
        <v>293459857.04</v>
      </c>
      <c r="F22" s="47" t="n">
        <f aca="false">IFERROR($E22/$D22,0)</f>
        <v>0.0143157463084746</v>
      </c>
      <c r="G22" s="46" t="n">
        <f aca="false">Ввод!$H$19</f>
        <v>49</v>
      </c>
      <c r="H22" s="46" t="n">
        <f aca="false">Ввод!$L$19</f>
        <v>23</v>
      </c>
      <c r="I22" s="47" t="n">
        <f aca="false">IFERROR($H22/$G22,0)</f>
        <v>0.469387755102041</v>
      </c>
      <c r="J22" s="48" t="n">
        <f aca="false">IFERROR($G22/$C22,0)</f>
        <v>0</v>
      </c>
      <c r="K22" s="46" t="n">
        <f aca="false">Ввод!$N$19</f>
        <v>6</v>
      </c>
      <c r="L22" s="49" t="n">
        <f aca="false">Ввод!$S$19</f>
        <v>0</v>
      </c>
      <c r="M22" s="50" t="str">
        <f aca="false">IF($G22=0,"Нет данных",IF($I22&gt;=0.8,"Отлично",IF($I22&gt;=0.5,"Хорошо","Требует внимания")))</f>
        <v>Требует внимания</v>
      </c>
      <c r="N22" s="50" t="str">
        <f aca="false">IFERROR(INDEX(Справочники!$H$4:$H$21,MATCH($A22,Справочники!$B$4:$B$21,0)),"")</f>
        <v/>
      </c>
    </row>
    <row r="23" customFormat="false" ht="15" hidden="false" customHeight="true" outlineLevel="0" collapsed="false">
      <c r="A23" s="45"/>
      <c r="B23" s="50"/>
      <c r="C23" s="46"/>
      <c r="D23" s="49"/>
      <c r="E23" s="49"/>
      <c r="F23" s="47"/>
      <c r="G23" s="46"/>
      <c r="H23" s="46"/>
      <c r="I23" s="47"/>
      <c r="J23" s="48"/>
      <c r="K23" s="46"/>
      <c r="L23" s="49"/>
      <c r="M23" s="50"/>
      <c r="N23" s="50"/>
    </row>
    <row r="24" customFormat="false" ht="15" hidden="false" customHeight="true" outlineLevel="0" collapsed="false">
      <c r="A24" s="45"/>
      <c r="B24" s="50"/>
      <c r="C24" s="46"/>
      <c r="D24" s="49"/>
      <c r="E24" s="49"/>
      <c r="F24" s="47"/>
      <c r="G24" s="46"/>
      <c r="H24" s="46"/>
      <c r="I24" s="47"/>
      <c r="J24" s="48"/>
      <c r="K24" s="46"/>
      <c r="L24" s="49"/>
      <c r="M24" s="50"/>
      <c r="N24" s="50"/>
    </row>
    <row r="25" customFormat="false" ht="15" hidden="false" customHeight="true" outlineLevel="0" collapsed="false">
      <c r="A25" s="61"/>
      <c r="B25" s="62"/>
      <c r="C25" s="46"/>
      <c r="D25" s="49"/>
      <c r="E25" s="49"/>
      <c r="F25" s="47"/>
      <c r="G25" s="46"/>
      <c r="H25" s="46"/>
      <c r="I25" s="47"/>
      <c r="J25" s="48"/>
      <c r="K25" s="46"/>
      <c r="L25" s="49"/>
      <c r="M25" s="50"/>
      <c r="N25" s="50"/>
    </row>
    <row r="26" customFormat="false" ht="15" hidden="false" customHeight="true" outlineLevel="0" collapsed="false">
      <c r="A26" s="61"/>
      <c r="B26" s="62"/>
      <c r="C26" s="46"/>
      <c r="D26" s="49"/>
      <c r="E26" s="49"/>
      <c r="F26" s="47"/>
      <c r="G26" s="46"/>
      <c r="H26" s="46"/>
      <c r="I26" s="47"/>
      <c r="J26" s="48"/>
      <c r="K26" s="46"/>
      <c r="L26" s="49"/>
      <c r="M26" s="50"/>
      <c r="N26" s="50"/>
    </row>
    <row r="27" customFormat="false" ht="15" hidden="false" customHeight="true" outlineLevel="0" collapsed="false">
      <c r="A27" s="28" t="s">
        <v>46</v>
      </c>
      <c r="B27" s="28"/>
      <c r="C27" s="29" t="n">
        <f aca="false">SUM(C9:C26)</f>
        <v>0</v>
      </c>
      <c r="D27" s="30" t="n">
        <f aca="false">SUM(D9:D26)</f>
        <v>243298761566.53</v>
      </c>
      <c r="E27" s="30" t="n">
        <f aca="false">SUM(E9:E26)</f>
        <v>6901439547.27</v>
      </c>
      <c r="F27" s="31" t="n">
        <f aca="false">IFERROR($E27/$D27,0)</f>
        <v>0.0283661104677789</v>
      </c>
      <c r="G27" s="29" t="n">
        <f aca="false">SUM(G9:G26)</f>
        <v>725</v>
      </c>
      <c r="H27" s="29" t="n">
        <f aca="false">SUM(H9:H26)</f>
        <v>166</v>
      </c>
      <c r="I27" s="31" t="n">
        <f aca="false">IFERROR($H27/$G27,0)</f>
        <v>0.228965517241379</v>
      </c>
      <c r="J27" s="32" t="n">
        <f aca="false">IFERROR($G27/$C27,0)</f>
        <v>0</v>
      </c>
      <c r="K27" s="29" t="n">
        <f aca="false">SUM(K9:K26)</f>
        <v>96</v>
      </c>
      <c r="L27" s="30" t="n">
        <f aca="false">SUM(L9:L26)</f>
        <v>0</v>
      </c>
      <c r="M27" s="28" t="str">
        <f aca="false">IF($I27&gt;=0.8,"Отлично",IF($I27&gt;=0.5,"Хорошо","Требует внимания"))</f>
        <v>Требует внимания</v>
      </c>
    </row>
    <row r="30" customFormat="false" ht="19.5" hidden="false" customHeight="true" outlineLevel="0" collapsed="false">
      <c r="A30" s="63"/>
      <c r="B30" s="63"/>
      <c r="C30" s="63"/>
    </row>
    <row r="31" customFormat="false" ht="15" hidden="false" customHeight="true" outlineLevel="0" collapsed="false">
      <c r="A31" s="64"/>
      <c r="B31" s="64"/>
      <c r="C31" s="64"/>
    </row>
    <row r="32" customFormat="false" ht="15" hidden="false" customHeight="true" outlineLevel="0" collapsed="false">
      <c r="A32" s="65"/>
      <c r="B32" s="66"/>
      <c r="C32" s="67"/>
    </row>
    <row r="33" customFormat="false" ht="15" hidden="false" customHeight="true" outlineLevel="0" collapsed="false">
      <c r="A33" s="65"/>
      <c r="B33" s="66"/>
      <c r="C33" s="67"/>
    </row>
    <row r="34" customFormat="false" ht="15" hidden="false" customHeight="true" outlineLevel="0" collapsed="false">
      <c r="A34" s="65"/>
      <c r="B34" s="66"/>
      <c r="C34" s="67"/>
    </row>
    <row r="35" customFormat="false" ht="15" hidden="false" customHeight="true" outlineLevel="0" collapsed="false">
      <c r="A35" s="65"/>
      <c r="B35" s="66"/>
      <c r="C35" s="67"/>
    </row>
    <row r="38" customFormat="false" ht="19.5" hidden="false" customHeight="true" outlineLevel="0" collapsed="false">
      <c r="A38" s="68"/>
      <c r="B38" s="68"/>
      <c r="C38" s="68"/>
      <c r="D38" s="68"/>
      <c r="E38" s="68"/>
      <c r="F38" s="68"/>
      <c r="G38" s="68"/>
    </row>
    <row r="39" customFormat="false" ht="15" hidden="false" customHeight="true" outlineLevel="0" collapsed="false">
      <c r="A39" s="64"/>
      <c r="B39" s="64"/>
      <c r="C39" s="64"/>
      <c r="D39" s="64"/>
      <c r="E39" s="64"/>
      <c r="F39" s="64"/>
      <c r="G39" s="64"/>
    </row>
    <row r="40" customFormat="false" ht="15" hidden="false" customHeight="true" outlineLevel="0" collapsed="false">
      <c r="A40" s="65"/>
      <c r="B40" s="69"/>
      <c r="C40" s="69"/>
      <c r="D40" s="67"/>
      <c r="E40" s="66"/>
      <c r="F40" s="66"/>
      <c r="G40" s="67"/>
    </row>
    <row r="41" customFormat="false" ht="15" hidden="false" customHeight="true" outlineLevel="0" collapsed="false">
      <c r="A41" s="65"/>
      <c r="B41" s="69"/>
      <c r="C41" s="69"/>
      <c r="D41" s="67"/>
      <c r="E41" s="66"/>
      <c r="F41" s="66"/>
      <c r="G41" s="67"/>
    </row>
    <row r="42" customFormat="false" ht="15" hidden="false" customHeight="true" outlineLevel="0" collapsed="false">
      <c r="A42" s="65"/>
      <c r="B42" s="69"/>
      <c r="C42" s="69"/>
      <c r="D42" s="67"/>
      <c r="E42" s="66"/>
      <c r="F42" s="66"/>
      <c r="G42" s="67"/>
    </row>
    <row r="43" customFormat="false" ht="15" hidden="false" customHeight="true" outlineLevel="0" collapsed="false">
      <c r="A43" s="65"/>
      <c r="B43" s="69"/>
      <c r="C43" s="69"/>
      <c r="D43" s="67"/>
      <c r="E43" s="66"/>
      <c r="F43" s="66"/>
      <c r="G43" s="67"/>
    </row>
    <row r="44" customFormat="false" ht="15" hidden="false" customHeight="true" outlineLevel="0" collapsed="false">
      <c r="A44" s="65"/>
      <c r="B44" s="69"/>
      <c r="C44" s="69"/>
      <c r="D44" s="67"/>
      <c r="E44" s="66"/>
      <c r="F44" s="66"/>
      <c r="G44" s="67"/>
    </row>
    <row r="45" customFormat="false" ht="15" hidden="false" customHeight="true" outlineLevel="0" collapsed="false">
      <c r="A45" s="65"/>
      <c r="B45" s="69"/>
      <c r="C45" s="69"/>
      <c r="D45" s="67"/>
      <c r="E45" s="66"/>
      <c r="F45" s="66"/>
      <c r="G45" s="67"/>
    </row>
    <row r="46" customFormat="false" ht="15" hidden="false" customHeight="true" outlineLevel="0" collapsed="false">
      <c r="A46" s="65"/>
      <c r="B46" s="69"/>
      <c r="C46" s="69"/>
      <c r="D46" s="67"/>
      <c r="E46" s="66"/>
      <c r="F46" s="66"/>
      <c r="G46" s="67"/>
    </row>
    <row r="47" customFormat="false" ht="15" hidden="false" customHeight="true" outlineLevel="0" collapsed="false">
      <c r="A47" s="65"/>
      <c r="B47" s="69"/>
      <c r="C47" s="69"/>
      <c r="D47" s="67"/>
      <c r="E47" s="66"/>
      <c r="F47" s="66"/>
      <c r="G47" s="67"/>
    </row>
    <row r="48" customFormat="false" ht="15" hidden="false" customHeight="true" outlineLevel="0" collapsed="false">
      <c r="A48" s="65"/>
      <c r="B48" s="69"/>
      <c r="C48" s="69"/>
      <c r="D48" s="67"/>
      <c r="E48" s="66"/>
      <c r="F48" s="66"/>
      <c r="G48" s="67"/>
    </row>
    <row r="49" customFormat="false" ht="15" hidden="false" customHeight="true" outlineLevel="0" collapsed="false">
      <c r="A49" s="65"/>
      <c r="B49" s="69"/>
      <c r="C49" s="69"/>
      <c r="D49" s="67"/>
      <c r="E49" s="66"/>
      <c r="F49" s="66"/>
      <c r="G49" s="67"/>
    </row>
    <row r="50" customFormat="false" ht="15" hidden="false" customHeight="true" outlineLevel="0" collapsed="false">
      <c r="A50" s="65"/>
      <c r="B50" s="69"/>
      <c r="C50" s="69"/>
      <c r="D50" s="67"/>
      <c r="E50" s="66"/>
      <c r="F50" s="66"/>
      <c r="G50" s="67"/>
    </row>
    <row r="51" customFormat="false" ht="15" hidden="false" customHeight="true" outlineLevel="0" collapsed="false">
      <c r="A51" s="65"/>
      <c r="B51" s="69"/>
      <c r="C51" s="69"/>
      <c r="D51" s="67"/>
      <c r="E51" s="66"/>
      <c r="F51" s="66"/>
      <c r="G51" s="67"/>
    </row>
    <row r="52" customFormat="false" ht="15" hidden="false" customHeight="true" outlineLevel="0" collapsed="false">
      <c r="A52" s="65"/>
      <c r="B52" s="69"/>
      <c r="C52" s="69"/>
      <c r="D52" s="67"/>
      <c r="E52" s="66"/>
      <c r="F52" s="66"/>
      <c r="G52" s="67"/>
    </row>
    <row r="53" customFormat="false" ht="15" hidden="false" customHeight="true" outlineLevel="0" collapsed="false">
      <c r="A53" s="65"/>
      <c r="B53" s="69"/>
      <c r="C53" s="69"/>
      <c r="D53" s="67"/>
      <c r="E53" s="66"/>
      <c r="F53" s="66"/>
      <c r="G53" s="67"/>
    </row>
    <row r="54" customFormat="false" ht="15" hidden="false" customHeight="true" outlineLevel="0" collapsed="false">
      <c r="A54" s="70"/>
      <c r="B54" s="71"/>
      <c r="C54" s="71"/>
      <c r="D54" s="72"/>
      <c r="E54" s="73"/>
      <c r="F54" s="73"/>
      <c r="G54" s="72"/>
    </row>
  </sheetData>
  <mergeCells count="12">
    <mergeCell ref="A1:M1"/>
    <mergeCell ref="A2:M2"/>
    <mergeCell ref="A3:B3"/>
    <mergeCell ref="C3:D3"/>
    <mergeCell ref="E3:G3"/>
    <mergeCell ref="H3:J3"/>
    <mergeCell ref="E4:G4"/>
    <mergeCell ref="H4:J4"/>
    <mergeCell ref="E5:G5"/>
    <mergeCell ref="H5:J5"/>
    <mergeCell ref="A7:M7"/>
    <mergeCell ref="A30:C30"/>
  </mergeCells>
  <conditionalFormatting sqref="F9:F26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:I26">
    <cfRule type="colorScale" priority="3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J9:J26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9:M26">
    <cfRule type="expression" priority="5" aboveAverage="0" equalAverage="0" bottom="0" percent="0" rank="0" text="" dxfId="29">
      <formula>$M9="Отлично"</formula>
    </cfRule>
    <cfRule type="expression" priority="6" aboveAverage="0" equalAverage="0" bottom="0" percent="0" rank="0" text="" dxfId="30">
      <formula>$M9="Хорошо"</formula>
    </cfRule>
    <cfRule type="expression" priority="7" aboveAverage="0" equalAverage="0" bottom="0" percent="0" rank="0" text="" dxfId="31">
      <formula>$M9="Требует внимания"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22"/>
    <col collapsed="false" customWidth="true" hidden="false" outlineLevel="0" max="5" min="5" style="1" width="12"/>
    <col collapsed="false" customWidth="true" hidden="false" outlineLevel="0" max="7" min="6" style="1" width="20"/>
    <col collapsed="false" customWidth="true" hidden="false" outlineLevel="0" max="8" min="8" style="1" width="38.29"/>
    <col collapsed="false" customWidth="true" hidden="false" outlineLevel="0" max="9" min="9" style="1" width="22"/>
    <col collapsed="false" customWidth="true" hidden="false" outlineLevel="0" max="10" min="10" style="1" width="3"/>
    <col collapsed="false" customWidth="true" hidden="false" outlineLevel="0" max="11" min="11" style="1" width="26"/>
    <col collapsed="false" customWidth="true" hidden="false" outlineLevel="0" max="14" min="14" style="1" width="20.57"/>
  </cols>
  <sheetData>
    <row r="1" customFormat="false" ht="17.25" hidden="false" customHeight="true" outlineLevel="0" collapsed="false">
      <c r="A1" s="74"/>
      <c r="M1" s="75"/>
    </row>
    <row r="2" customFormat="false" ht="15" hidden="false" customHeight="true" outlineLevel="0" collapsed="false">
      <c r="A2" s="75"/>
    </row>
    <row r="3" customFormat="false" ht="30" hidden="false" customHeight="true" outlineLevel="0" collapsed="false">
      <c r="A3" s="76" t="s">
        <v>7</v>
      </c>
      <c r="B3" s="76" t="s">
        <v>70</v>
      </c>
      <c r="C3" s="76" t="s">
        <v>66</v>
      </c>
      <c r="D3" s="76" t="s">
        <v>71</v>
      </c>
      <c r="E3" s="76" t="s">
        <v>72</v>
      </c>
      <c r="F3" s="76" t="s">
        <v>73</v>
      </c>
      <c r="G3" s="76" t="s">
        <v>74</v>
      </c>
      <c r="H3" s="77" t="s">
        <v>8</v>
      </c>
      <c r="I3" s="78"/>
      <c r="K3" s="76" t="s">
        <v>75</v>
      </c>
      <c r="N3" s="76" t="s">
        <v>76</v>
      </c>
    </row>
    <row r="4" customFormat="false" ht="15" hidden="false" customHeight="true" outlineLevel="0" collapsed="false">
      <c r="A4" s="15" t="n">
        <v>1</v>
      </c>
      <c r="B4" s="16" t="s">
        <v>77</v>
      </c>
      <c r="C4" s="79" t="s">
        <v>78</v>
      </c>
      <c r="D4" s="80" t="s">
        <v>79</v>
      </c>
      <c r="E4" s="22" t="n">
        <v>0</v>
      </c>
      <c r="F4" s="80" t="s">
        <v>80</v>
      </c>
      <c r="G4" s="81" t="n">
        <v>0.05</v>
      </c>
      <c r="H4" s="1" t="s">
        <v>45</v>
      </c>
      <c r="I4" s="82"/>
      <c r="K4" s="16" t="s">
        <v>81</v>
      </c>
      <c r="N4" s="16" t="s">
        <v>82</v>
      </c>
    </row>
    <row r="5" customFormat="false" ht="15" hidden="false" customHeight="true" outlineLevel="0" collapsed="false">
      <c r="A5" s="15" t="n">
        <v>2</v>
      </c>
      <c r="B5" s="16" t="s">
        <v>83</v>
      </c>
      <c r="C5" s="79" t="s">
        <v>78</v>
      </c>
      <c r="D5" s="80" t="s">
        <v>79</v>
      </c>
      <c r="E5" s="22" t="n">
        <v>0</v>
      </c>
      <c r="F5" s="80" t="s">
        <v>80</v>
      </c>
      <c r="G5" s="81" t="n">
        <v>0.05</v>
      </c>
      <c r="H5" s="1" t="s">
        <v>39</v>
      </c>
      <c r="I5" s="82"/>
      <c r="K5" s="16" t="s">
        <v>84</v>
      </c>
      <c r="N5" s="16" t="s">
        <v>85</v>
      </c>
    </row>
    <row r="6" customFormat="false" ht="15" hidden="false" customHeight="true" outlineLevel="0" collapsed="false">
      <c r="A6" s="15" t="n">
        <v>3</v>
      </c>
      <c r="B6" s="16" t="s">
        <v>86</v>
      </c>
      <c r="C6" s="79" t="s">
        <v>78</v>
      </c>
      <c r="D6" s="80" t="s">
        <v>79</v>
      </c>
      <c r="E6" s="22" t="n">
        <v>0</v>
      </c>
      <c r="F6" s="80" t="s">
        <v>80</v>
      </c>
      <c r="G6" s="81" t="n">
        <v>0.05</v>
      </c>
      <c r="H6" s="1" t="s">
        <v>41</v>
      </c>
      <c r="K6" s="16" t="s">
        <v>87</v>
      </c>
    </row>
    <row r="7" customFormat="false" ht="15" hidden="false" customHeight="true" outlineLevel="0" collapsed="false">
      <c r="A7" s="15" t="n">
        <v>4</v>
      </c>
      <c r="B7" s="16" t="s">
        <v>88</v>
      </c>
      <c r="C7" s="79" t="s">
        <v>78</v>
      </c>
      <c r="D7" s="80" t="s">
        <v>79</v>
      </c>
      <c r="E7" s="22" t="n">
        <v>0</v>
      </c>
      <c r="F7" s="80" t="s">
        <v>80</v>
      </c>
      <c r="G7" s="81" t="n">
        <v>0.05</v>
      </c>
      <c r="H7" s="1" t="s">
        <v>34</v>
      </c>
      <c r="K7" s="16" t="s">
        <v>89</v>
      </c>
    </row>
    <row r="8" customFormat="false" ht="15" hidden="false" customHeight="true" outlineLevel="0" collapsed="false">
      <c r="A8" s="15" t="n">
        <v>5</v>
      </c>
      <c r="B8" s="16" t="s">
        <v>90</v>
      </c>
      <c r="C8" s="79" t="s">
        <v>78</v>
      </c>
      <c r="D8" s="80" t="s">
        <v>79</v>
      </c>
      <c r="E8" s="22" t="n">
        <v>0</v>
      </c>
      <c r="F8" s="80" t="s">
        <v>80</v>
      </c>
      <c r="G8" s="81" t="n">
        <v>0.05</v>
      </c>
      <c r="H8" s="1" t="s">
        <v>32</v>
      </c>
    </row>
    <row r="9" customFormat="false" ht="15" hidden="false" customHeight="true" outlineLevel="0" collapsed="false">
      <c r="A9" s="15" t="n">
        <v>6</v>
      </c>
      <c r="B9" s="16" t="s">
        <v>91</v>
      </c>
      <c r="C9" s="79" t="s">
        <v>78</v>
      </c>
      <c r="D9" s="80" t="s">
        <v>79</v>
      </c>
      <c r="E9" s="22" t="n">
        <v>0</v>
      </c>
      <c r="F9" s="80" t="s">
        <v>80</v>
      </c>
      <c r="G9" s="81" t="n">
        <v>0.05</v>
      </c>
      <c r="H9" s="1" t="s">
        <v>38</v>
      </c>
    </row>
    <row r="10" customFormat="false" ht="15" hidden="false" customHeight="true" outlineLevel="0" collapsed="false">
      <c r="A10" s="15" t="n">
        <v>7</v>
      </c>
      <c r="B10" s="16" t="s">
        <v>92</v>
      </c>
      <c r="C10" s="79" t="s">
        <v>78</v>
      </c>
      <c r="D10" s="80" t="s">
        <v>79</v>
      </c>
      <c r="E10" s="22" t="n">
        <v>0</v>
      </c>
      <c r="F10" s="80" t="s">
        <v>80</v>
      </c>
      <c r="G10" s="81" t="n">
        <v>0.05</v>
      </c>
      <c r="H10" s="1" t="s">
        <v>44</v>
      </c>
    </row>
    <row r="11" customFormat="false" ht="15" hidden="false" customHeight="true" outlineLevel="0" collapsed="false">
      <c r="A11" s="15" t="n">
        <v>8</v>
      </c>
      <c r="B11" s="16" t="s">
        <v>93</v>
      </c>
      <c r="C11" s="79" t="s">
        <v>78</v>
      </c>
      <c r="D11" s="80" t="s">
        <v>79</v>
      </c>
      <c r="E11" s="22" t="n">
        <v>0</v>
      </c>
      <c r="F11" s="80" t="s">
        <v>80</v>
      </c>
      <c r="G11" s="81" t="n">
        <v>0.05</v>
      </c>
      <c r="H11" s="1" t="s">
        <v>35</v>
      </c>
    </row>
    <row r="12" customFormat="false" ht="15" hidden="false" customHeight="true" outlineLevel="0" collapsed="false">
      <c r="A12" s="15" t="n">
        <v>9</v>
      </c>
      <c r="B12" s="16" t="s">
        <v>94</v>
      </c>
      <c r="C12" s="79" t="s">
        <v>78</v>
      </c>
      <c r="D12" s="80" t="s">
        <v>79</v>
      </c>
      <c r="E12" s="22" t="n">
        <v>0</v>
      </c>
      <c r="F12" s="80" t="s">
        <v>80</v>
      </c>
      <c r="G12" s="81" t="n">
        <v>0.05</v>
      </c>
      <c r="H12" s="1" t="s">
        <v>36</v>
      </c>
    </row>
    <row r="13" customFormat="false" ht="15" hidden="false" customHeight="true" outlineLevel="0" collapsed="false">
      <c r="A13" s="15" t="n">
        <v>10</v>
      </c>
      <c r="B13" s="16" t="s">
        <v>95</v>
      </c>
      <c r="C13" s="79" t="s">
        <v>78</v>
      </c>
      <c r="D13" s="80" t="s">
        <v>79</v>
      </c>
      <c r="E13" s="22" t="n">
        <v>0</v>
      </c>
      <c r="F13" s="80" t="s">
        <v>80</v>
      </c>
      <c r="G13" s="81" t="n">
        <v>0.05</v>
      </c>
      <c r="H13" s="1" t="s">
        <v>37</v>
      </c>
    </row>
    <row r="14" customFormat="false" ht="15" hidden="false" customHeight="true" outlineLevel="0" collapsed="false">
      <c r="A14" s="15" t="n">
        <v>11</v>
      </c>
      <c r="B14" s="16" t="s">
        <v>96</v>
      </c>
      <c r="C14" s="79" t="s">
        <v>78</v>
      </c>
      <c r="D14" s="80" t="s">
        <v>79</v>
      </c>
      <c r="E14" s="22" t="n">
        <v>0</v>
      </c>
      <c r="F14" s="80" t="s">
        <v>80</v>
      </c>
      <c r="G14" s="81" t="n">
        <v>0.05</v>
      </c>
      <c r="H14" s="1" t="s">
        <v>33</v>
      </c>
    </row>
    <row r="15" customFormat="false" ht="15" hidden="false" customHeight="true" outlineLevel="0" collapsed="false">
      <c r="A15" s="15" t="n">
        <v>12</v>
      </c>
      <c r="B15" s="16" t="s">
        <v>97</v>
      </c>
      <c r="C15" s="79" t="s">
        <v>78</v>
      </c>
      <c r="D15" s="80" t="s">
        <v>79</v>
      </c>
      <c r="E15" s="22" t="n">
        <v>0</v>
      </c>
      <c r="F15" s="80" t="s">
        <v>80</v>
      </c>
      <c r="G15" s="81" t="n">
        <v>0.05</v>
      </c>
      <c r="H15" s="1" t="s">
        <v>41</v>
      </c>
    </row>
    <row r="16" customFormat="false" ht="15" hidden="false" customHeight="true" outlineLevel="0" collapsed="false">
      <c r="A16" s="15" t="n">
        <v>13</v>
      </c>
      <c r="B16" s="16" t="s">
        <v>98</v>
      </c>
      <c r="C16" s="79" t="s">
        <v>78</v>
      </c>
      <c r="D16" s="80" t="s">
        <v>79</v>
      </c>
      <c r="E16" s="22" t="n">
        <v>0</v>
      </c>
      <c r="F16" s="80" t="s">
        <v>80</v>
      </c>
      <c r="G16" s="81" t="n">
        <v>0.05</v>
      </c>
      <c r="H16" s="1" t="s">
        <v>40</v>
      </c>
    </row>
    <row r="17" customFormat="false" ht="15" hidden="false" customHeight="true" outlineLevel="0" collapsed="false">
      <c r="A17" s="15" t="n">
        <v>14</v>
      </c>
      <c r="B17" s="16" t="s">
        <v>99</v>
      </c>
      <c r="C17" s="79" t="s">
        <v>78</v>
      </c>
      <c r="D17" s="80" t="s">
        <v>79</v>
      </c>
      <c r="E17" s="22" t="n">
        <v>0</v>
      </c>
      <c r="F17" s="80" t="s">
        <v>80</v>
      </c>
      <c r="G17" s="81" t="n">
        <v>0.05</v>
      </c>
      <c r="H17" s="1" t="s">
        <v>42</v>
      </c>
    </row>
    <row r="18" customFormat="false" ht="15" hidden="false" customHeight="true" outlineLevel="0" collapsed="false">
      <c r="A18" s="15" t="n">
        <v>15</v>
      </c>
      <c r="B18" s="16" t="s">
        <v>100</v>
      </c>
      <c r="C18" s="79" t="s">
        <v>78</v>
      </c>
      <c r="D18" s="80" t="s">
        <v>79</v>
      </c>
      <c r="E18" s="22" t="n">
        <v>0</v>
      </c>
      <c r="F18" s="80" t="s">
        <v>80</v>
      </c>
      <c r="G18" s="81" t="n">
        <v>0.05</v>
      </c>
      <c r="H18" s="1" t="s">
        <v>42</v>
      </c>
    </row>
    <row r="19" customFormat="false" ht="15" hidden="false" customHeight="true" outlineLevel="0" collapsed="false">
      <c r="A19" s="15" t="n">
        <v>16</v>
      </c>
      <c r="B19" s="16" t="s">
        <v>101</v>
      </c>
      <c r="C19" s="79" t="s">
        <v>78</v>
      </c>
      <c r="D19" s="80" t="s">
        <v>79</v>
      </c>
      <c r="E19" s="22" t="n">
        <v>0</v>
      </c>
      <c r="F19" s="80" t="s">
        <v>80</v>
      </c>
      <c r="G19" s="81" t="n">
        <v>0.05</v>
      </c>
      <c r="H19" s="1" t="s">
        <v>42</v>
      </c>
    </row>
    <row r="20" customFormat="false" ht="15" hidden="false" customHeight="true" outlineLevel="0" collapsed="false">
      <c r="A20" s="26" t="n">
        <v>17</v>
      </c>
      <c r="B20" s="27" t="s">
        <v>102</v>
      </c>
      <c r="C20" s="83" t="s">
        <v>103</v>
      </c>
      <c r="D20" s="84" t="s">
        <v>79</v>
      </c>
      <c r="E20" s="85" t="n">
        <v>0</v>
      </c>
      <c r="F20" s="84" t="s">
        <v>80</v>
      </c>
      <c r="G20" s="86" t="n">
        <v>0.05</v>
      </c>
      <c r="H20" s="1" t="s">
        <v>43</v>
      </c>
    </row>
    <row r="21" customFormat="false" ht="15" hidden="false" customHeight="true" outlineLevel="0" collapsed="false">
      <c r="A21" s="26" t="n">
        <v>18</v>
      </c>
      <c r="B21" s="27" t="s">
        <v>104</v>
      </c>
      <c r="C21" s="83" t="s">
        <v>103</v>
      </c>
      <c r="D21" s="84" t="s">
        <v>79</v>
      </c>
      <c r="E21" s="85" t="n">
        <v>0</v>
      </c>
      <c r="F21" s="84" t="s">
        <v>80</v>
      </c>
      <c r="G21" s="86" t="n">
        <v>0.05</v>
      </c>
      <c r="H21" s="1" t="s">
        <v>43</v>
      </c>
    </row>
    <row r="22" customFormat="false" ht="15" hidden="false" customHeight="true" outlineLevel="0" collapsed="false">
      <c r="A22" s="87"/>
      <c r="B22" s="88" t="s">
        <v>46</v>
      </c>
      <c r="C22" s="87"/>
      <c r="D22" s="87"/>
      <c r="E22" s="29" t="n">
        <f aca="false">SUM(E4:E21)</f>
        <v>0</v>
      </c>
      <c r="F22" s="87"/>
      <c r="G22" s="8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2026-09-04T10:48:33Z</dcterms:created>
  <dc:creator>openpyxl</dc:creator>
  <dc:description/>
  <dc:language>en-US</dc:language>
  <cp:lastModifiedBy/>
  <dcterms:modified xsi:type="dcterms:W3CDTF">2026-09-07T20:15:43Z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