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Дозвонились" sheetId="5" r:id="rId5"/>
    <sheet name="Обещали" sheetId="6" r:id="rId10"/>
    <sheet name="Оплатили" sheetId="7" r:id="rId11"/>
    <sheet name="Не дозвонились" sheetId="8" r:id="rId12"/>
    <sheet name="Объезд" sheetId="9" r:id="rId13"/>
    <sheet name="Оплатили без разговора" sheetId="10" r:id="rId14"/>
  </sheets>
  <definedNames>
    <definedName name="_FilterDatabase" localSheetId="0" hidden="1">Ввод!$A$5:$AG$19</definedName>
    <definedName name="_xlnm._FilterDatabase" localSheetId="0" hidden="1">Ввод!$A$5:$AG$19</definedName>
    <definedName name="Print_Titles" localSheetId="0">Ввод!$4:$5</definedName>
    <definedName name="БазоваяПапка">Справочники!$N$1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4" i="1" l="1"/>
  <c r="U24" i="1"/>
  <c r="P24" i="1"/>
  <c r="O24" i="1"/>
  <c r="E22" i="4"/>
  <c r="L22" i="3"/>
  <c r="K22" i="3"/>
  <c r="H22" i="3"/>
  <c r="D22" i="3"/>
  <c r="A22" i="3"/>
  <c r="N22" i="3" s="1"/>
  <c r="L21" i="3"/>
  <c r="K21" i="3"/>
  <c r="H21" i="3"/>
  <c r="D21" i="3"/>
  <c r="A21" i="3"/>
  <c r="N21" i="3" s="1"/>
  <c r="L20" i="3"/>
  <c r="K20" i="3"/>
  <c r="H20" i="3"/>
  <c r="D20" i="3"/>
  <c r="A20" i="3"/>
  <c r="N20" i="3" s="1"/>
  <c r="L19" i="3"/>
  <c r="K19" i="3"/>
  <c r="H19" i="3"/>
  <c r="D19" i="3"/>
  <c r="A19" i="3"/>
  <c r="N19" i="3" s="1"/>
  <c r="L18" i="3"/>
  <c r="K18" i="3"/>
  <c r="H18" i="3"/>
  <c r="D18" i="3"/>
  <c r="A18" i="3"/>
  <c r="N18" i="3" s="1"/>
  <c r="L17" i="3"/>
  <c r="K17" i="3"/>
  <c r="H17" i="3"/>
  <c r="D17" i="3"/>
  <c r="A17" i="3"/>
  <c r="N17" i="3" s="1"/>
  <c r="L16" i="3"/>
  <c r="K16" i="3"/>
  <c r="H16" i="3"/>
  <c r="D16" i="3"/>
  <c r="A16" i="3"/>
  <c r="N16" i="3" s="1"/>
  <c r="L15" i="3"/>
  <c r="K15" i="3"/>
  <c r="H15" i="3"/>
  <c r="D15" i="3"/>
  <c r="A15" i="3"/>
  <c r="N15" i="3" s="1"/>
  <c r="L14" i="3"/>
  <c r="K14" i="3"/>
  <c r="H14" i="3"/>
  <c r="D14" i="3"/>
  <c r="A14" i="3"/>
  <c r="N14" i="3" s="1"/>
  <c r="L13" i="3"/>
  <c r="K13" i="3"/>
  <c r="H13" i="3"/>
  <c r="D13" i="3"/>
  <c r="A13" i="3"/>
  <c r="N13" i="3" s="1"/>
  <c r="L12" i="3"/>
  <c r="K12" i="3"/>
  <c r="H12" i="3"/>
  <c r="D12" i="3"/>
  <c r="A12" i="3"/>
  <c r="N12" i="3" s="1"/>
  <c r="L11" i="3"/>
  <c r="K11" i="3"/>
  <c r="H11" i="3"/>
  <c r="D11" i="3"/>
  <c r="A11" i="3"/>
  <c r="N11" i="3" s="1"/>
  <c r="L10" i="3"/>
  <c r="K10" i="3"/>
  <c r="H10" i="3"/>
  <c r="D10" i="3"/>
  <c r="A10" i="3"/>
  <c r="N10" i="3" s="1"/>
  <c r="L9" i="3"/>
  <c r="K9" i="3"/>
  <c r="H9" i="3"/>
  <c r="D9" i="3"/>
  <c r="D27" i="3" s="1"/>
  <c r="A9" i="3"/>
  <c r="N9" i="3" s="1"/>
  <c r="C3" i="3"/>
  <c r="F35" i="2"/>
  <c r="A35" i="2"/>
  <c r="F34" i="2"/>
  <c r="A34" i="2"/>
  <c r="F33" i="2"/>
  <c r="A33" i="2"/>
  <c r="F32" i="2"/>
  <c r="A32" i="2"/>
  <c r="F31" i="2"/>
  <c r="A31" i="2"/>
  <c r="F30" i="2"/>
  <c r="A30" i="2"/>
  <c r="F29" i="2"/>
  <c r="A29" i="2"/>
  <c r="F28" i="2"/>
  <c r="A28" i="2"/>
  <c r="F27" i="2"/>
  <c r="A27" i="2"/>
  <c r="F26" i="2"/>
  <c r="A26" i="2"/>
  <c r="F25" i="2"/>
  <c r="A25" i="2"/>
  <c r="F24" i="2"/>
  <c r="A24" i="2"/>
  <c r="F23" i="2"/>
  <c r="A23" i="2"/>
  <c r="F22" i="2"/>
  <c r="A22" i="2"/>
  <c r="C3" i="2"/>
  <c r="X24" i="1"/>
  <c r="W24" i="1"/>
  <c r="H4" i="3" s="1"/>
  <c r="T24" i="1"/>
  <c r="D15" i="2" s="1"/>
  <c r="S24" i="1"/>
  <c r="R24" i="1"/>
  <c r="D14" i="2" s="1"/>
  <c r="Q24" i="1"/>
  <c r="N24" i="1"/>
  <c r="M24" i="1"/>
  <c r="L24" i="1"/>
  <c r="D11" i="2" s="1"/>
  <c r="K24" i="1"/>
  <c r="F24" i="1"/>
  <c r="E24" i="1"/>
  <c r="D7" i="2" s="1"/>
  <c r="Z19" i="1"/>
  <c r="H19" i="1"/>
  <c r="Y19" i="1" s="1"/>
  <c r="G19" i="1"/>
  <c r="E22" i="3" s="1"/>
  <c r="F22" i="3" s="1"/>
  <c r="D19" i="1"/>
  <c r="AB19" i="1" s="1"/>
  <c r="C19" i="1"/>
  <c r="B35" i="2" s="1"/>
  <c r="Z18" i="1"/>
  <c r="H18" i="1"/>
  <c r="G18" i="1"/>
  <c r="I18" i="1" s="1"/>
  <c r="D18" i="1"/>
  <c r="C21" i="3" s="1"/>
  <c r="C18" i="1"/>
  <c r="B34" i="2" s="1"/>
  <c r="Z17" i="1"/>
  <c r="H17" i="1"/>
  <c r="J17" i="1" s="1"/>
  <c r="G17" i="1"/>
  <c r="E20" i="3" s="1"/>
  <c r="F20" i="3" s="1"/>
  <c r="D17" i="1"/>
  <c r="C33" i="2" s="1"/>
  <c r="C17" i="1"/>
  <c r="B33" i="2" s="1"/>
  <c r="Z16" i="1"/>
  <c r="H16" i="1"/>
  <c r="J16" i="1" s="1"/>
  <c r="G16" i="1"/>
  <c r="E19" i="3" s="1"/>
  <c r="F19" i="3" s="1"/>
  <c r="D16" i="1"/>
  <c r="C32" i="2" s="1"/>
  <c r="C16" i="1"/>
  <c r="B32" i="2" s="1"/>
  <c r="Z15" i="1"/>
  <c r="H15" i="1"/>
  <c r="J15" i="1" s="1"/>
  <c r="G15" i="1"/>
  <c r="E18" i="3" s="1"/>
  <c r="F18" i="3" s="1"/>
  <c r="D15" i="1"/>
  <c r="C31" i="2" s="1"/>
  <c r="C15" i="1"/>
  <c r="B31" i="2" s="1"/>
  <c r="Z14" i="1"/>
  <c r="H14" i="1"/>
  <c r="Y14" i="1" s="1"/>
  <c r="G14" i="1"/>
  <c r="I14" i="1" s="1"/>
  <c r="D14" i="1"/>
  <c r="C17" i="3" s="1"/>
  <c r="C14" i="1"/>
  <c r="B30" i="2" s="1"/>
  <c r="Z13" i="1"/>
  <c r="H13" i="1"/>
  <c r="G16" i="3" s="1"/>
  <c r="G13" i="1"/>
  <c r="E16" i="3" s="1"/>
  <c r="F16" i="3" s="1"/>
  <c r="D13" i="1"/>
  <c r="C16" i="3" s="1"/>
  <c r="C13" i="1"/>
  <c r="B29" i="2" s="1"/>
  <c r="Z12" i="1"/>
  <c r="H12" i="1"/>
  <c r="G15" i="3" s="1"/>
  <c r="G12" i="1"/>
  <c r="I12" i="1" s="1"/>
  <c r="D12" i="1"/>
  <c r="C15" i="3" s="1"/>
  <c r="C12" i="1"/>
  <c r="B28" i="2" s="1"/>
  <c r="Z11" i="1"/>
  <c r="H11" i="1"/>
  <c r="G14" i="3" s="1"/>
  <c r="G11" i="1"/>
  <c r="E14" i="3" s="1"/>
  <c r="F14" i="3" s="1"/>
  <c r="D11" i="1"/>
  <c r="C27" i="2" s="1"/>
  <c r="C11" i="1"/>
  <c r="B27" i="2" s="1"/>
  <c r="Z10" i="1"/>
  <c r="H10" i="1"/>
  <c r="G13" i="3" s="1"/>
  <c r="G10" i="1"/>
  <c r="E13" i="3" s="1"/>
  <c r="F13" i="3" s="1"/>
  <c r="D10" i="1"/>
  <c r="C26" i="2" s="1"/>
  <c r="C10" i="1"/>
  <c r="B26" i="2" s="1"/>
  <c r="Z9" i="1"/>
  <c r="H9" i="1"/>
  <c r="G12" i="3" s="1"/>
  <c r="G9" i="1"/>
  <c r="E12" i="3" s="1"/>
  <c r="F12" i="3" s="1"/>
  <c r="D9" i="1"/>
  <c r="AB9" i="1" s="1"/>
  <c r="C9" i="1"/>
  <c r="B25" i="2" s="1"/>
  <c r="Z8" i="1"/>
  <c r="H8" i="1"/>
  <c r="G11" i="3" s="1"/>
  <c r="G8" i="1"/>
  <c r="E11" i="3" s="1"/>
  <c r="F11" i="3" s="1"/>
  <c r="D8" i="1"/>
  <c r="C24" i="2" s="1"/>
  <c r="C8" i="1"/>
  <c r="B24" i="2" s="1"/>
  <c r="Z7" i="1"/>
  <c r="H7" i="1"/>
  <c r="J7" i="1" s="1"/>
  <c r="G7" i="1"/>
  <c r="E10" i="3" s="1"/>
  <c r="F10" i="3" s="1"/>
  <c r="D7" i="1"/>
  <c r="AB7" i="1" s="1"/>
  <c r="C7" i="1"/>
  <c r="B23" i="2" s="1"/>
  <c r="Z6" i="1"/>
  <c r="J6" i="1"/>
  <c r="I6" i="1"/>
  <c r="H6" i="1"/>
  <c r="G6" i="1"/>
  <c r="D6" i="1"/>
  <c r="C9" i="3" s="1"/>
  <c r="C6" i="1"/>
  <c r="B22" i="2" s="1"/>
  <c r="D35" i="2" l="1"/>
  <c r="AE19" i="1"/>
  <c r="I15" i="1"/>
  <c r="AB6" i="1"/>
  <c r="Y13" i="1"/>
  <c r="D29" i="2" s="1"/>
  <c r="G29" i="2" s="1"/>
  <c r="AA17" i="1"/>
  <c r="E33" i="2" s="1"/>
  <c r="AA13" i="1"/>
  <c r="E29" i="2" s="1"/>
  <c r="Y15" i="1"/>
  <c r="D31" i="2" s="1"/>
  <c r="Y17" i="1"/>
  <c r="D33" i="2" s="1"/>
  <c r="AB13" i="1"/>
  <c r="I12" i="3"/>
  <c r="M12" i="3" s="1"/>
  <c r="I10" i="1"/>
  <c r="I13" i="1"/>
  <c r="Y7" i="1"/>
  <c r="J11" i="1"/>
  <c r="J14" i="1"/>
  <c r="G24" i="1"/>
  <c r="H3" i="3" s="1"/>
  <c r="Y11" i="1"/>
  <c r="I16" i="1"/>
  <c r="C29" i="2"/>
  <c r="C19" i="3"/>
  <c r="E17" i="3"/>
  <c r="F17" i="3" s="1"/>
  <c r="AA11" i="1"/>
  <c r="E27" i="2" s="1"/>
  <c r="L27" i="3"/>
  <c r="E15" i="3"/>
  <c r="F15" i="3" s="1"/>
  <c r="G17" i="3"/>
  <c r="Y8" i="1"/>
  <c r="I17" i="3"/>
  <c r="AB11" i="1"/>
  <c r="AB16" i="1"/>
  <c r="AA10" i="1"/>
  <c r="E26" i="2" s="1"/>
  <c r="J18" i="1"/>
  <c r="Y18" i="1"/>
  <c r="H27" i="3"/>
  <c r="I17" i="1"/>
  <c r="K27" i="3"/>
  <c r="Z24" i="1"/>
  <c r="G35" i="2"/>
  <c r="I24" i="1"/>
  <c r="D9" i="2" s="1"/>
  <c r="J16" i="3"/>
  <c r="D30" i="2"/>
  <c r="G30" i="2" s="1"/>
  <c r="AE14" i="1"/>
  <c r="G33" i="2"/>
  <c r="I11" i="3"/>
  <c r="M11" i="3" s="1"/>
  <c r="I15" i="3"/>
  <c r="M15" i="3"/>
  <c r="J15" i="3"/>
  <c r="I16" i="3"/>
  <c r="M16" i="3" s="1"/>
  <c r="I14" i="3"/>
  <c r="M14" i="3" s="1"/>
  <c r="I8" i="1"/>
  <c r="J9" i="1"/>
  <c r="Y10" i="1"/>
  <c r="AA12" i="1"/>
  <c r="E28" i="2" s="1"/>
  <c r="H24" i="1"/>
  <c r="D13" i="2"/>
  <c r="C28" i="2"/>
  <c r="C10" i="3"/>
  <c r="G18" i="3"/>
  <c r="C22" i="3"/>
  <c r="AB18" i="1"/>
  <c r="AA14" i="1"/>
  <c r="E30" i="2" s="1"/>
  <c r="I9" i="1"/>
  <c r="J10" i="1"/>
  <c r="AB14" i="1"/>
  <c r="AE15" i="1"/>
  <c r="I7" i="1"/>
  <c r="J8" i="1"/>
  <c r="Y9" i="1"/>
  <c r="AB12" i="1"/>
  <c r="AE13" i="1"/>
  <c r="I19" i="1"/>
  <c r="C23" i="2"/>
  <c r="G31" i="2"/>
  <c r="C35" i="2"/>
  <c r="E9" i="3"/>
  <c r="C11" i="3"/>
  <c r="G19" i="3"/>
  <c r="E21" i="3"/>
  <c r="F21" i="3" s="1"/>
  <c r="J19" i="1"/>
  <c r="C30" i="2"/>
  <c r="C12" i="3"/>
  <c r="J12" i="3" s="1"/>
  <c r="J17" i="3"/>
  <c r="G20" i="3"/>
  <c r="D16" i="2"/>
  <c r="C25" i="2"/>
  <c r="G9" i="3"/>
  <c r="C13" i="3"/>
  <c r="J13" i="3" s="1"/>
  <c r="G21" i="3"/>
  <c r="I21" i="3" s="1"/>
  <c r="I11" i="1"/>
  <c r="AA9" i="1"/>
  <c r="E25" i="2" s="1"/>
  <c r="AB10" i="1"/>
  <c r="Y6" i="1"/>
  <c r="AA8" i="1"/>
  <c r="E24" i="2" s="1"/>
  <c r="G10" i="3"/>
  <c r="C14" i="3"/>
  <c r="J14" i="3" s="1"/>
  <c r="G22" i="3"/>
  <c r="AA15" i="1"/>
  <c r="E31" i="2" s="1"/>
  <c r="Y12" i="1"/>
  <c r="AA19" i="1"/>
  <c r="E35" i="2" s="1"/>
  <c r="AB15" i="1"/>
  <c r="AA7" i="1"/>
  <c r="E23" i="2" s="1"/>
  <c r="AB8" i="1"/>
  <c r="AA6" i="1"/>
  <c r="E22" i="2" s="1"/>
  <c r="Y16" i="1"/>
  <c r="AA18" i="1"/>
  <c r="E34" i="2" s="1"/>
  <c r="C22" i="2"/>
  <c r="C34" i="2"/>
  <c r="J13" i="1"/>
  <c r="AA16" i="1"/>
  <c r="E32" i="2" s="1"/>
  <c r="AB17" i="1"/>
  <c r="D24" i="1"/>
  <c r="AB24" i="1" s="1"/>
  <c r="C18" i="3"/>
  <c r="J12" i="1"/>
  <c r="I13" i="3"/>
  <c r="M13" i="3" s="1"/>
  <c r="C20" i="3"/>
  <c r="AE17" i="1" l="1"/>
  <c r="D8" i="2"/>
  <c r="AE18" i="1"/>
  <c r="D34" i="2"/>
  <c r="G34" i="2" s="1"/>
  <c r="D27" i="2"/>
  <c r="G27" i="2" s="1"/>
  <c r="AE11" i="1"/>
  <c r="AE8" i="1"/>
  <c r="D24" i="2"/>
  <c r="G24" i="2" s="1"/>
  <c r="M17" i="3"/>
  <c r="C27" i="3"/>
  <c r="D23" i="2"/>
  <c r="G23" i="2" s="1"/>
  <c r="AE7" i="1"/>
  <c r="J22" i="3"/>
  <c r="I22" i="3"/>
  <c r="M22" i="3" s="1"/>
  <c r="J9" i="3"/>
  <c r="G27" i="3"/>
  <c r="H5" i="3"/>
  <c r="D10" i="2"/>
  <c r="AA24" i="1"/>
  <c r="J24" i="1"/>
  <c r="E27" i="3"/>
  <c r="F27" i="3" s="1"/>
  <c r="F9" i="3"/>
  <c r="J11" i="3"/>
  <c r="D26" i="2"/>
  <c r="G26" i="2" s="1"/>
  <c r="AE10" i="1"/>
  <c r="J10" i="3"/>
  <c r="I10" i="3"/>
  <c r="M10" i="3" s="1"/>
  <c r="D32" i="2"/>
  <c r="G32" i="2" s="1"/>
  <c r="AE16" i="1"/>
  <c r="J20" i="3"/>
  <c r="I20" i="3"/>
  <c r="M20" i="3" s="1"/>
  <c r="Y24" i="1"/>
  <c r="D12" i="2" s="1"/>
  <c r="AE12" i="1"/>
  <c r="D28" i="2"/>
  <c r="G28" i="2" s="1"/>
  <c r="AE6" i="1"/>
  <c r="D22" i="2"/>
  <c r="G22" i="2" s="1"/>
  <c r="M21" i="3"/>
  <c r="J21" i="3"/>
  <c r="J18" i="3"/>
  <c r="I18" i="3"/>
  <c r="M18" i="3" s="1"/>
  <c r="I9" i="3"/>
  <c r="M9" i="3" s="1"/>
  <c r="J19" i="3"/>
  <c r="I19" i="3"/>
  <c r="M19" i="3" s="1"/>
  <c r="AE9" i="1"/>
  <c r="D25" i="2"/>
  <c r="G25" i="2" s="1"/>
  <c r="J27" i="3" l="1"/>
  <c r="I27" i="3"/>
  <c r="M27" i="3" s="1"/>
  <c r="C44" i="2"/>
  <c r="A44" i="2"/>
  <c r="H43" i="2"/>
  <c r="E43" i="2"/>
  <c r="A43" i="2"/>
  <c r="H45" i="2"/>
  <c r="E45" i="2"/>
  <c r="C45" i="2"/>
  <c r="A45" i="2"/>
  <c r="H44" i="2"/>
  <c r="E44" i="2"/>
  <c r="C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Портфель и просрочка подтягиваются из Power Query — убедитесь, что данные на листах ПК_Портфель / ПК_Просрочка обновлены на эту дату.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<sst xmlns="http://schemas.openxmlformats.org/spreadsheetml/2006/main" count="204" uniqueCount="108">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</sst>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29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b val="true"/>
      <sz val="10"/>
      <name val="Calibri"/>
    </font>
    <font>
      <u val="single"/>
      <sz val="10"/>
      <color rgb="FF0563C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8CBAD"/>
        <bgColor rgb="FFF8CBAD"/>
      </patternFill>
    </fill>
    <fill>
      <patternFill patternType="solid">
        <fgColor rgb="FFDBEEF4"/>
        <bgColor rgb="FFDBEEF4"/>
      </patternFill>
    </fill>
    <fill>
      <patternFill patternType="solid">
        <fgColor rgb="FFFFE699"/>
        <bgColor rgb="FFFFE6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11" borderId="0" xfId="0" applyNumberFormat="true" applyFont="true" applyFill="true"/>
    <xf numFmtId="0" fontId="28" fillId="12" borderId="0" xfId="0" applyFont="true" applyFill="true" applyAlignment="true">
      <alignment horizontal="center" vertical="center"/>
    </xf>
    <xf numFmtId="0" fontId="28" fillId="13" borderId="0" xfId="0" applyNumberFormat="true" applyFont="true" applyFill="true"/>
    <xf numFmtId="0" fontId="0" fillId="13" borderId="0" xfId="0" applyNumberFormat="true" applyFont="true" applyFill="true"/>
    <xf numFmtId="3" fontId="0" fillId="13" borderId="0" xfId="0" applyNumberFormat="true" applyFont="true" applyFill="true"/>
    <xf numFmtId="0" fontId="0" fillId="14" borderId="0" xfId="0" applyNumberFormat="true" applyFont="true" applyFill="true"/>
    <xf numFmtId="3" fontId="0" fillId="14" borderId="0" xfId="0" applyNumberFormat="true" applyFont="true" applyFill="true"/>
    <xf numFmtId="0" fontId="0" fillId="15" borderId="0" xfId="0" applyNumberFormat="true" applyFont="true" applyFill="true"/>
    <xf numFmtId="3" fontId="0" fillId="15" borderId="0" xfId="0" applyNumberFormat="true" applyFont="true" applyFill="true"/>
    <xf numFmtId="0" fontId="0" fillId="16" borderId="0" xfId="0" applyNumberFormat="true" applyFont="true" applyFill="true"/>
    <xf numFmtId="3" fontId="0" fillId="16" borderId="0" xfId="0" applyNumberFormat="true" applyFont="true" applyFill="true"/>
    <xf numFmtId="0" fontId="0" fillId="17" borderId="0" xfId="0" applyNumberFormat="true" applyFont="true" applyFill="true"/>
    <xf numFmtId="3" fontId="0" fillId="17" borderId="0" xfId="0" applyNumberFormat="true" applyFont="true" applyFill="true"/>
    <xf numFmtId="0" fontId="0" fillId="18" borderId="0" xfId="0" applyNumberFormat="true" applyFont="true" applyFill="true"/>
    <xf numFmtId="3" fontId="0" fillId="18" borderId="0" xfId="0" applyNumberFormat="true" applyFont="true" applyFill="true"/>
    <xf numFmtId="0" fontId="0" fillId="19" borderId="0" xfId="0" applyNumberFormat="true" applyFont="true" applyFill="true"/>
    <xf numFmtId="3" fontId="0" fillId="19" borderId="0" xfId="0" applyNumberFormat="true" applyFont="true" applyFill="true"/>
    <xf numFmtId="0" fontId="0" fillId="20" borderId="0" xfId="0" applyNumberFormat="true" applyFont="true" applyFill="true"/>
    <xf numFmtId="3" fontId="0" fillId="20" borderId="0" xfId="0" applyNumberFormat="true" applyFont="true" applyFill="true"/>
    <xf numFmtId="0" fontId="0" fillId="21" borderId="0" xfId="0" applyNumberFormat="true" applyFont="true" applyFill="true"/>
    <xf numFmtId="3" fontId="0" fillId="21" borderId="0" xfId="0" applyNumberFormat="true" applyFont="true" applyFill="true"/>
    <xf numFmtId="0" fontId="0" fillId="22" borderId="0" xfId="0" applyNumberFormat="true" applyFont="true" applyFill="true"/>
    <xf numFmtId="3" fontId="0" fillId="22" borderId="0" xfId="0" applyNumberFormat="true" applyFont="true" applyFill="true"/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Дашборд!$A$32:$A$35</c:f>
              <c:numCache>
                <c:formatCode>General</c:formatCode>
                <c:ptCount val="4"/>
              </c:numCache>
            </c:num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G38"/>
  <sheetViews>
    <sheetView showGridLines="0" zoomScaleNormal="75" workbookViewId="0" zoomScale="75">
      <pane xSplit="4" ySplit="5" topLeftCell="E6" activePane="bottomRight" state="frozen"/>
      <selection pane="topRight" activeCell="E1" sqref="E1"/>
      <selection pane="bottomLeft" activeCell="A6" sqref="A6"/>
      <selection pane="bottomRight" activeCell="W24" sqref="W24:X24"/>
    </sheetView>
  </sheetViews>
  <sheetFormatPr defaultColWidth="8.7109375" defaultRowHeight="15" x14ac:dyDescent="0.25"/>
  <cols>
    <col min="21" max="21" width="14" style="1" customWidth="1"/>
    <col min="22" max="22" width="10" style="1" customWidth="1"/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0" style="1" customWidth="1"/>
    <col min="7" max="7" width="16" style="1" customWidth="1"/>
    <col min="8" max="8" width="11" style="1" customWidth="1"/>
    <col min="9" max="10" width="10" style="1" customWidth="1"/>
    <col min="11" max="11" width="15" style="1" customWidth="1"/>
    <col min="12" max="12" width="10" style="1" customWidth="1"/>
    <col min="13" max="13" width="15" style="1" customWidth="1"/>
    <col min="14" max="14" width="10" style="1" customWidth="1"/>
    <col min="15" max="15" width="15" style="1" customWidth="1"/>
    <col min="16" max="16" width="10" style="1" customWidth="1"/>
    <col min="17" max="17" width="15" style="1" customWidth="1"/>
    <col min="18" max="18" width="10" style="1" customWidth="1"/>
    <col min="19" max="19" width="14" style="1" customWidth="1"/>
    <col min="20" max="20" width="10" style="1" customWidth="1"/>
    <col min="21" max="21" width="14" style="1" customWidth="1"/>
    <col min="22" max="22" width="10" style="1" customWidth="1"/>
    <col min="23" max="23" width="15" style="1" customWidth="1"/>
    <col min="24" max="25" width="10" style="1" customWidth="1"/>
    <col min="26" max="28" width="11" style="1" customWidth="1"/>
    <col min="29" max="29" width="22" style="1" customWidth="1"/>
    <col min="30" max="30" width="18" style="1" customWidth="1"/>
    <col min="31" max="31" width="26" style="1" hidden="1" customWidth="1"/>
    <col min="32" max="33" width="1" style="1" hidden="1" customWidth="1"/>
  </cols>
  <sheetData>
    <row r="1" spans="1:31" ht="17.2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</row>
    <row r="2" spans="1:31" ht="15" customHeight="1" x14ac:dyDescent="0.25">
      <c r="A2" s="75" t="s">
        <v>0</v>
      </c>
      <c r="B2" s="75"/>
      <c r="C2" s="2" t="n">
        <v>46280</v>
      </c>
      <c r="E2" s="75"/>
      <c r="F2" s="75"/>
      <c r="G2" s="3"/>
      <c r="H2" s="4"/>
      <c r="I2" s="3"/>
      <c r="J2" s="5"/>
      <c r="L2" s="75"/>
      <c r="M2" s="75"/>
      <c r="N2" s="6"/>
      <c r="O2" s="6"/>
      <c r="P2" s="6"/>
    </row>
    <row r="3" spans="1:31" ht="25.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</row>
    <row r="4" spans="1:31" ht="51.75" customHeight="1" x14ac:dyDescent="0.25">
      <c r="E4" s="73" t="s">
        <v>1</v>
      </c>
      <c r="F4" s="73"/>
      <c r="G4" s="68" t="s">
        <v>2</v>
      </c>
      <c r="H4" s="68"/>
      <c r="I4" s="68"/>
      <c r="J4" s="68"/>
      <c r="K4" s="70" t="s">
        <v>3</v>
      </c>
      <c r="L4" s="71"/>
      <c r="M4" s="71"/>
      <c r="N4" s="71"/>
      <c r="O4" s="71"/>
      <c r="P4" s="72"/>
      <c r="Q4" s="70" t="s">
        <v>4</v>
      </c>
      <c r="R4" s="71"/>
      <c r="S4" s="71"/>
      <c r="T4" s="71"/>
      <c r="W4" s="71"/>
      <c r="X4" s="72"/>
      <c r="Y4" s="68" t="s">
        <v>106</v>
      </c>
      <c r="Z4" s="68"/>
      <c r="AA4" s="68" t="s">
        <v>5</v>
      </c>
      <c r="AB4" s="68"/>
      <c r="AC4" s="68"/>
      <c r="AD4" s="68"/>
    </row>
    <row r="5" spans="1:31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104</v>
      </c>
      <c r="P5" s="7" t="s">
        <v>105</v>
      </c>
      <c r="Q5" s="7" t="s">
        <v>20</v>
      </c>
      <c r="R5" s="7" t="s">
        <v>21</v>
      </c>
      <c r="S5" s="7" t="inlineStr">
        <is>
          <t xml:space="preserve">Объезд: обещал,
сум</t>
        </is>
      </c>
      <c r="T5" s="7" t="inlineStr">
        <is>
          <t xml:space="preserve">Объезд: обещал,
шт</t>
        </is>
      </c>
      <c r="U5" s="7" t="inlineStr">
        <is>
          <t xml:space="preserve">Объезд: оплатил,
сум</t>
        </is>
      </c>
      <c r="V5" s="7" t="inlineStr">
        <is>
          <t xml:space="preserve">Объезд: оплатил,
шт</t>
        </is>
      </c>
      <c r="W5" s="7" t="inlineStr">
        <is>
          <t xml:space="preserve">Оплатил,
сум</t>
        </is>
      </c>
      <c r="X5" s="7" t="inlineStr">
        <is>
          <t xml:space="preserve">Оплатил,
шт</t>
        </is>
      </c>
      <c r="Y5" s="7" t="s">
        <v>24</v>
      </c>
      <c r="Z5" s="7" t="s">
        <v>25</v>
      </c>
      <c r="AA5" s="7" t="s">
        <v>26</v>
      </c>
      <c r="AB5" s="7" t="s">
        <v>27</v>
      </c>
      <c r="AC5" s="7" t="s">
        <v>28</v>
      </c>
      <c r="AD5" s="8" t="s">
        <v>29</v>
      </c>
      <c r="AG5" s="9" t="s">
        <v>30</v>
      </c>
    </row>
    <row r="6" spans="1:31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  <v/>
      </c>
      <c r="D6" s="13">
        <f>SUMIF(Справочники!$H$4:$H$21,$B6,Справочники!$E$4:$E$21)</f>
        <v>0</v>
      </c>
      <c r="E6" s="14" t="n">
        <v>21670183628.19</v>
      </c>
      <c r="F6" s="13" t="n">
        <v>445.0</v>
      </c>
      <c r="G6" s="14">
        <f t="shared" ref="G6:G19" si="0">$K6+$Q6</f>
        <v>216997310.13</v>
      </c>
      <c r="H6" s="13">
        <f t="shared" ref="H6:H19" si="1">$L6+$R6</f>
        <v>32</v>
      </c>
      <c r="I6" s="15">
        <f t="shared" ref="I6:I19" si="2">IFERROR($G6/$E6,"")</f>
        <v>1.0013635041270053E-2</v>
      </c>
      <c r="J6" s="15">
        <f t="shared" ref="J6:J19" si="3">IFERROR($H6/$F6,"")</f>
        <v>7.1910112359550568E-2</v>
      </c>
      <c r="K6" s="14" t="n">
        <v>0.0</v>
      </c>
      <c r="L6" s="13" t="n">
        <v>0.0</v>
      </c>
      <c r="M6" s="14" t="n">
        <v>0.0</v>
      </c>
      <c r="N6" s="13" t="n">
        <v>0.0</v>
      </c>
      <c r="O6" s="14" t="n">
        <v>0.0</v>
      </c>
      <c r="P6" s="13" t="n">
        <v>0.0</v>
      </c>
      <c r="Q6" s="14" t="n">
        <v>542046744.73</v>
      </c>
      <c r="R6" s="13" t="n">
        <v>126.0</v>
      </c>
      <c r="S6" s="14" t="n">
        <v>0.0</v>
      </c>
      <c r="T6" s="13" t="n">
        <v>0.0</v>
      </c>
      <c r="U6" s="14" t="n">
        <v>0.0</v>
      </c>
      <c r="V6" s="13" t="n">
        <v>0.0</v>
      </c>
      <c r="W6" s="14" t="n">
        <v>0.0</v>
      </c>
      <c r="X6" s="13" t="n">
        <v>0.0</v>
      </c>
      <c r="Y6" s="16" t="n">
        <v>0.0</v>
      </c>
      <c r="Z6" s="17" t="n">
        <v>0.0</v>
      </c>
      <c r="AA6" s="15">
        <f t="shared" ref="AA6:AA19" si="4">IFERROR($L6/$H6,"")</f>
        <v>0</v>
      </c>
      <c r="AB6" s="15" t="str">
        <f t="shared" ref="AB6:AB19" si="5">IFERROR($N6/$L6,"")</f>
        <v/>
      </c>
      <c r="AC6" s="18" t="str">
        <f t="shared" ref="AC6:AC19" si="6">IFERROR($H6/$D6,"")</f>
        <v/>
      </c>
      <c r="AD6" s="19" t="str">
        <f t="shared" ref="AD6:AD19" si="7">IFERROR($L6/$D6,"")</f>
        <v/>
      </c>
      <c r="AG6" s="20">
        <f t="shared" ref="AG6:AG19" si="8">IFERROR($AA6,0)+ROW()/1000000</f>
        <v>6.0000000000000002E-6</v>
      </c>
    </row>
    <row r="7" spans="1:31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  <v/>
      </c>
      <c r="D7" s="13">
        <f>SUMIF(Справочники!$H$4:$H$21,$B7,Справочники!$E$4:$E$21)</f>
        <v>0</v>
      </c>
      <c r="E7" s="14" t="n">
        <v>5123173370.16</v>
      </c>
      <c r="F7" s="13" t="n">
        <v>167.0</v>
      </c>
      <c r="G7" s="14">
        <f t="shared" si="0"/>
        <v>202669512.91</v>
      </c>
      <c r="H7" s="13">
        <f t="shared" si="1"/>
        <v>18</v>
      </c>
      <c r="I7" s="15">
        <f t="shared" si="2"/>
        <v>3.9559370387590553E-2</v>
      </c>
      <c r="J7" s="15">
        <f t="shared" si="3"/>
        <v>0.10778443113772455</v>
      </c>
      <c r="K7" s="14" t="n">
        <v>95285619.21</v>
      </c>
      <c r="L7" s="13" t="n">
        <v>39.0</v>
      </c>
      <c r="M7" s="14" t="n">
        <v>70433469.73</v>
      </c>
      <c r="N7" s="13" t="n">
        <v>31.0</v>
      </c>
      <c r="O7" s="14" t="n">
        <v>24852149.48</v>
      </c>
      <c r="P7" s="13" t="n">
        <v>8.0</v>
      </c>
      <c r="Q7" s="14" t="n">
        <v>175551875.93</v>
      </c>
      <c r="R7" s="13" t="n">
        <v>13.0</v>
      </c>
      <c r="S7" s="14" t="n">
        <v>5579415.3</v>
      </c>
      <c r="T7" s="13" t="n">
        <v>3.0</v>
      </c>
      <c r="U7" s="14" t="n">
        <v>2968080.06</v>
      </c>
      <c r="V7" s="13" t="n">
        <v>1.0</v>
      </c>
      <c r="W7" s="14" t="n">
        <v>0.0</v>
      </c>
      <c r="X7" s="13" t="n">
        <v>0.0</v>
      </c>
      <c r="Y7" s="16" t="n">
        <v>27820229.54</v>
      </c>
      <c r="Z7" s="17" t="n">
        <v>9.0</v>
      </c>
      <c r="AA7" s="15">
        <f t="shared" si="4"/>
        <v>0</v>
      </c>
      <c r="AB7" s="15" t="str">
        <f t="shared" si="5"/>
        <v/>
      </c>
      <c r="AC7" s="18" t="str">
        <f t="shared" si="6"/>
        <v/>
      </c>
      <c r="AD7" s="19" t="str">
        <f t="shared" si="7"/>
        <v/>
      </c>
      <c r="AG7" s="20">
        <f t="shared" si="8"/>
        <v>6.9999999999999999E-6</v>
      </c>
    </row>
    <row r="8" spans="1:31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  <v/>
      </c>
      <c r="D8" s="13">
        <f>SUMIF(Справочники!$H$4:$H$21,$B8,Справочники!$E$4:$E$21)</f>
        <v>0</v>
      </c>
      <c r="E8" s="14" t="n">
        <v>13904205190.28</v>
      </c>
      <c r="F8" s="13" t="n">
        <v>493.0</v>
      </c>
      <c r="G8" s="14">
        <f t="shared" si="0"/>
        <v>249852799.42000002</v>
      </c>
      <c r="H8" s="13">
        <f t="shared" si="1"/>
        <v>51</v>
      </c>
      <c r="I8" s="15">
        <f t="shared" si="2"/>
        <v>1.7969585172309191E-2</v>
      </c>
      <c r="J8" s="15">
        <f t="shared" si="3"/>
        <v>0.10344827586206896</v>
      </c>
      <c r="K8" s="14" t="n">
        <v>179852858.66</v>
      </c>
      <c r="L8" s="13" t="n">
        <v>54.0</v>
      </c>
      <c r="M8" s="14" t="n">
        <v>147922427.33</v>
      </c>
      <c r="N8" s="13" t="n">
        <v>39.0</v>
      </c>
      <c r="O8" s="14" t="n">
        <v>31930431.33</v>
      </c>
      <c r="P8" s="13" t="n">
        <v>15.0</v>
      </c>
      <c r="Q8" s="14" t="n">
        <v>181326053.04</v>
      </c>
      <c r="R8" s="13" t="n">
        <v>44.0</v>
      </c>
      <c r="S8" s="14" t="n">
        <v>38493365.73</v>
      </c>
      <c r="T8" s="13" t="n">
        <v>7.0</v>
      </c>
      <c r="U8" s="14" t="n">
        <v>6829564.88</v>
      </c>
      <c r="V8" s="13" t="n">
        <v>1.0</v>
      </c>
      <c r="W8" s="14" t="n">
        <v>0.0</v>
      </c>
      <c r="X8" s="13" t="n">
        <v>0.0</v>
      </c>
      <c r="Y8" s="16" t="n">
        <v>38759996.21</v>
      </c>
      <c r="Z8" s="17" t="n">
        <v>16.0</v>
      </c>
      <c r="AA8" s="15">
        <f t="shared" si="4"/>
        <v>0.39215686274509803</v>
      </c>
      <c r="AB8" s="15">
        <f t="shared" si="5"/>
        <v>0.95</v>
      </c>
      <c r="AC8" s="18" t="str">
        <f t="shared" si="6"/>
        <v/>
      </c>
      <c r="AD8" s="19" t="str">
        <f t="shared" si="7"/>
        <v/>
      </c>
      <c r="AG8" s="20">
        <f t="shared" si="8"/>
        <v>0.39216486274509804</v>
      </c>
    </row>
    <row r="9" spans="1:31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  <v/>
      </c>
      <c r="D9" s="13">
        <f>SUMIF(Справочники!$H$4:$H$21,$B9,Справочники!$E$4:$E$21)</f>
        <v>0</v>
      </c>
      <c r="E9" s="14" t="n">
        <v>12186568520.77</v>
      </c>
      <c r="F9" s="13" t="n">
        <v>418.0</v>
      </c>
      <c r="G9" s="14">
        <f t="shared" si="0"/>
        <v>205557960.12</v>
      </c>
      <c r="H9" s="13">
        <f t="shared" si="1"/>
        <v>33</v>
      </c>
      <c r="I9" s="15">
        <f t="shared" si="2"/>
        <v>1.6867583337316021E-2</v>
      </c>
      <c r="J9" s="15">
        <f t="shared" si="3"/>
        <v>7.8947368421052627E-2</v>
      </c>
      <c r="K9" s="14" t="n">
        <v>110662813.86</v>
      </c>
      <c r="L9" s="13" t="n">
        <v>30.0</v>
      </c>
      <c r="M9" s="14" t="n">
        <v>99913911.14</v>
      </c>
      <c r="N9" s="13" t="n">
        <v>25.0</v>
      </c>
      <c r="O9" s="14" t="n">
        <v>4598852.39</v>
      </c>
      <c r="P9" s="13" t="n">
        <v>4.0</v>
      </c>
      <c r="Q9" s="14" t="n">
        <v>310105407.88</v>
      </c>
      <c r="R9" s="13" t="n">
        <v>91.0</v>
      </c>
      <c r="S9" s="14" t="n">
        <v>43293472.15</v>
      </c>
      <c r="T9" s="13" t="n">
        <v>13.0</v>
      </c>
      <c r="U9" s="14" t="n">
        <v>8357865.71</v>
      </c>
      <c r="V9" s="13" t="n">
        <v>4.0</v>
      </c>
      <c r="W9" s="14" t="n">
        <v>0.0</v>
      </c>
      <c r="X9" s="13" t="n">
        <v>0.0</v>
      </c>
      <c r="Y9" s="16" t="n">
        <v>12956718.1</v>
      </c>
      <c r="Z9" s="17" t="n">
        <v>8.0</v>
      </c>
      <c r="AA9" s="15">
        <f t="shared" si="4"/>
        <v>0.87878787878787878</v>
      </c>
      <c r="AB9" s="15">
        <f t="shared" si="5"/>
        <v>0.62068965517241381</v>
      </c>
      <c r="AC9" s="18" t="str">
        <f t="shared" si="6"/>
        <v/>
      </c>
      <c r="AD9" s="19" t="str">
        <f t="shared" si="7"/>
        <v/>
      </c>
      <c r="AG9" s="20">
        <f t="shared" si="8"/>
        <v>0.87879687878787882</v>
      </c>
    </row>
    <row r="10" spans="1:31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  <v/>
      </c>
      <c r="D10" s="13">
        <f>SUMIF(Справочники!$H$4:$H$21,$B10,Справочники!$E$4:$E$21)</f>
        <v>0</v>
      </c>
      <c r="E10" s="14" t="n">
        <v>11119544923.16</v>
      </c>
      <c r="F10" s="13" t="n">
        <v>269.0</v>
      </c>
      <c r="G10" s="14">
        <f t="shared" si="0"/>
        <v>259639584.46000001</v>
      </c>
      <c r="H10" s="13">
        <f t="shared" si="1"/>
        <v>26</v>
      </c>
      <c r="I10" s="15">
        <f t="shared" si="2"/>
        <v>2.3349839067533937E-2</v>
      </c>
      <c r="J10" s="15">
        <f t="shared" si="3"/>
        <v>9.6654275092936809E-2</v>
      </c>
      <c r="K10" s="14" t="n">
        <v>160805927.52</v>
      </c>
      <c r="L10" s="13" t="n">
        <v>41.0</v>
      </c>
      <c r="M10" s="14" t="n">
        <v>109256616.98</v>
      </c>
      <c r="N10" s="13" t="n">
        <v>27.0</v>
      </c>
      <c r="O10" s="14" t="n">
        <v>12226021.74</v>
      </c>
      <c r="P10" s="13" t="n">
        <v>4.0</v>
      </c>
      <c r="Q10" s="14" t="n">
        <v>143259558.25</v>
      </c>
      <c r="R10" s="13" t="n">
        <v>25.0</v>
      </c>
      <c r="S10" s="14" t="n">
        <v>98869393.96</v>
      </c>
      <c r="T10" s="13" t="n">
        <v>14.0</v>
      </c>
      <c r="U10" s="14" t="n">
        <v>0.0</v>
      </c>
      <c r="V10" s="13" t="n">
        <v>0.0</v>
      </c>
      <c r="W10" s="14" t="n">
        <v>0.0</v>
      </c>
      <c r="X10" s="13" t="n">
        <v>0.0</v>
      </c>
      <c r="Y10" s="16" t="n">
        <v>12226021.74</v>
      </c>
      <c r="Z10" s="17" t="n">
        <v>4.0</v>
      </c>
      <c r="AA10" s="15">
        <f t="shared" si="4"/>
        <v>0.76923076923076927</v>
      </c>
      <c r="AB10" s="15">
        <f t="shared" si="5"/>
        <v>0.2</v>
      </c>
      <c r="AC10" s="18" t="str">
        <f t="shared" si="6"/>
        <v/>
      </c>
      <c r="AD10" s="19" t="str">
        <f t="shared" si="7"/>
        <v/>
      </c>
      <c r="AG10" s="20">
        <f t="shared" si="8"/>
        <v>0.76924076923076923</v>
      </c>
    </row>
    <row r="11" spans="1:3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  <v/>
      </c>
      <c r="D11" s="13">
        <f>SUMIF(Справочники!$H$4:$H$21,$B11,Справочники!$E$4:$E$21)</f>
        <v>0</v>
      </c>
      <c r="E11" s="14" t="n">
        <v>6476844959.7</v>
      </c>
      <c r="F11" s="13" t="n">
        <v>209.0</v>
      </c>
      <c r="G11" s="14">
        <f t="shared" si="0"/>
        <v>107085347.11</v>
      </c>
      <c r="H11" s="13">
        <f t="shared" si="1"/>
        <v>18</v>
      </c>
      <c r="I11" s="15">
        <f t="shared" si="2"/>
        <v>1.65335665399284E-2</v>
      </c>
      <c r="J11" s="15">
        <f t="shared" si="3"/>
        <v>8.6124401913875603E-2</v>
      </c>
      <c r="K11" s="14" t="n">
        <v>56491064.41</v>
      </c>
      <c r="L11" s="13" t="n">
        <v>14.0</v>
      </c>
      <c r="M11" s="14" t="n">
        <v>18594376.91</v>
      </c>
      <c r="N11" s="13" t="n">
        <v>4.0</v>
      </c>
      <c r="O11" s="14" t="n">
        <v>21230023.72</v>
      </c>
      <c r="P11" s="13" t="n">
        <v>6.0</v>
      </c>
      <c r="Q11" s="14" t="n">
        <v>189467832.68</v>
      </c>
      <c r="R11" s="13" t="n">
        <v>54.0</v>
      </c>
      <c r="S11" s="14" t="n">
        <v>0.0</v>
      </c>
      <c r="T11" s="13" t="n">
        <v>0.0</v>
      </c>
      <c r="U11" s="14" t="n">
        <v>0.0</v>
      </c>
      <c r="V11" s="13" t="n">
        <v>0.0</v>
      </c>
      <c r="W11" s="14" t="n">
        <v>0.0</v>
      </c>
      <c r="X11" s="13" t="n">
        <v>0.0</v>
      </c>
      <c r="Y11" s="16" t="n">
        <v>21230023.72</v>
      </c>
      <c r="Z11" s="17" t="n">
        <v>6.0</v>
      </c>
      <c r="AA11" s="15">
        <f t="shared" si="4"/>
        <v>5.5555555555555552E-2</v>
      </c>
      <c r="AB11" s="15">
        <f t="shared" si="5"/>
        <v>1</v>
      </c>
      <c r="AC11" s="18" t="str">
        <f t="shared" si="6"/>
        <v/>
      </c>
      <c r="AD11" s="19" t="str">
        <f t="shared" si="7"/>
        <v/>
      </c>
      <c r="AG11" s="20">
        <f t="shared" si="8"/>
        <v>5.556655555555555E-2</v>
      </c>
    </row>
    <row r="12" spans="1:31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  <v/>
      </c>
      <c r="D12" s="13">
        <f>SUMIF(Справочники!$H$4:$H$21,$B12,Справочники!$E$4:$E$21)</f>
        <v>0</v>
      </c>
      <c r="E12" s="14" t="n">
        <v>14729615980.03</v>
      </c>
      <c r="F12" s="13" t="n">
        <v>438.0</v>
      </c>
      <c r="G12" s="14">
        <f t="shared" si="0"/>
        <v>597998506.93000007</v>
      </c>
      <c r="H12" s="13">
        <f t="shared" si="1"/>
        <v>62</v>
      </c>
      <c r="I12" s="15">
        <f t="shared" si="2"/>
        <v>4.0598377292439237E-2</v>
      </c>
      <c r="J12" s="15">
        <f t="shared" si="3"/>
        <v>0.14155251141552511</v>
      </c>
      <c r="K12" s="14" t="n">
        <v>330916762.26</v>
      </c>
      <c r="L12" s="13" t="n">
        <v>57.0</v>
      </c>
      <c r="M12" s="14" t="n">
        <v>19229763.37</v>
      </c>
      <c r="N12" s="13" t="n">
        <v>9.0</v>
      </c>
      <c r="O12" s="14" t="n">
        <v>1832838.74</v>
      </c>
      <c r="P12" s="13" t="n">
        <v>1.0</v>
      </c>
      <c r="Q12" s="14" t="n">
        <v>623964772.29</v>
      </c>
      <c r="R12" s="13" t="n">
        <v>104.0</v>
      </c>
      <c r="S12" s="14" t="n">
        <v>22291379.16</v>
      </c>
      <c r="T12" s="13" t="n">
        <v>7.0</v>
      </c>
      <c r="U12" s="14" t="n">
        <v>0.0</v>
      </c>
      <c r="V12" s="13" t="n">
        <v>0.0</v>
      </c>
      <c r="W12" s="14" t="n">
        <v>0.0</v>
      </c>
      <c r="X12" s="13" t="n">
        <v>0.0</v>
      </c>
      <c r="Y12" s="16" t="n">
        <v>1832838.74</v>
      </c>
      <c r="Z12" s="17" t="n">
        <v>1.0</v>
      </c>
      <c r="AA12" s="15">
        <f t="shared" si="4"/>
        <v>0.4838709677419355</v>
      </c>
      <c r="AB12" s="15">
        <f t="shared" si="5"/>
        <v>1</v>
      </c>
      <c r="AC12" s="18" t="str">
        <f t="shared" si="6"/>
        <v/>
      </c>
      <c r="AD12" s="19" t="str">
        <f t="shared" si="7"/>
        <v/>
      </c>
      <c r="AG12" s="20">
        <f t="shared" si="8"/>
        <v>0.48388296774193551</v>
      </c>
    </row>
    <row r="13" spans="1:31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  <v/>
      </c>
      <c r="D13" s="13">
        <f>SUMIF(Справочники!$H$4:$H$21,$B13,Справочники!$E$4:$E$21)</f>
        <v>0</v>
      </c>
      <c r="E13" s="14" t="n">
        <v>16007858956.77</v>
      </c>
      <c r="F13" s="13" t="n">
        <v>549.0</v>
      </c>
      <c r="G13" s="14">
        <f t="shared" si="0"/>
        <v>267212425.58000001</v>
      </c>
      <c r="H13" s="13">
        <f t="shared" si="1"/>
        <v>61</v>
      </c>
      <c r="I13" s="15">
        <f t="shared" si="2"/>
        <v>1.669257745846088E-2</v>
      </c>
      <c r="J13" s="15">
        <f t="shared" si="3"/>
        <v>0.1111111111111111</v>
      </c>
      <c r="K13" s="14" t="n">
        <v>75847566.55</v>
      </c>
      <c r="L13" s="13" t="n">
        <v>26.0</v>
      </c>
      <c r="M13" s="14" t="n">
        <v>66850720.09</v>
      </c>
      <c r="N13" s="13" t="n">
        <v>20.0</v>
      </c>
      <c r="O13" s="14" t="n">
        <v>5817515.67</v>
      </c>
      <c r="P13" s="13" t="n">
        <v>5.0</v>
      </c>
      <c r="Q13" s="14" t="n">
        <v>520370165.64</v>
      </c>
      <c r="R13" s="13" t="n">
        <v>134.0</v>
      </c>
      <c r="S13" s="14" t="n">
        <v>28936131.87</v>
      </c>
      <c r="T13" s="13" t="n">
        <v>12.0</v>
      </c>
      <c r="U13" s="14" t="n">
        <v>18691648.17</v>
      </c>
      <c r="V13" s="13" t="n">
        <v>7.0</v>
      </c>
      <c r="W13" s="14" t="n">
        <v>0.0</v>
      </c>
      <c r="X13" s="13" t="n">
        <v>0.0</v>
      </c>
      <c r="Y13" s="16" t="n">
        <v>24509163.84</v>
      </c>
      <c r="Z13" s="17" t="n">
        <v>12.0</v>
      </c>
      <c r="AA13" s="15">
        <f t="shared" si="4"/>
        <v>0.24590163934426229</v>
      </c>
      <c r="AB13" s="15">
        <f t="shared" si="5"/>
        <v>1</v>
      </c>
      <c r="AC13" s="18" t="str">
        <f t="shared" si="6"/>
        <v/>
      </c>
      <c r="AD13" s="19" t="str">
        <f t="shared" si="7"/>
        <v/>
      </c>
      <c r="AG13" s="20">
        <f t="shared" si="8"/>
        <v>0.2459146393442623</v>
      </c>
    </row>
    <row r="14" spans="1:31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  <v/>
      </c>
      <c r="D14" s="13">
        <f>SUMIF(Справочники!$H$4:$H$21,$B14,Справочники!$E$4:$E$21)</f>
        <v>0</v>
      </c>
      <c r="E14" s="14" t="n">
        <v>7189760534.1</v>
      </c>
      <c r="F14" s="13" t="n">
        <v>151.0</v>
      </c>
      <c r="G14" s="14">
        <f t="shared" si="0"/>
        <v>97690450.189999998</v>
      </c>
      <c r="H14" s="13">
        <f t="shared" si="1"/>
        <v>17</v>
      </c>
      <c r="I14" s="15">
        <f t="shared" si="2"/>
        <v>1.3587441435172735E-2</v>
      </c>
      <c r="J14" s="15">
        <f t="shared" si="3"/>
        <v>0.11258278145695365</v>
      </c>
      <c r="K14" s="14" t="n">
        <v>0.0</v>
      </c>
      <c r="L14" s="13" t="n">
        <v>0.0</v>
      </c>
      <c r="M14" s="14" t="n">
        <v>0.0</v>
      </c>
      <c r="N14" s="13" t="n">
        <v>0.0</v>
      </c>
      <c r="O14" s="14" t="n">
        <v>0.0</v>
      </c>
      <c r="P14" s="13" t="n">
        <v>0.0</v>
      </c>
      <c r="Q14" s="14" t="n">
        <v>209446224.12</v>
      </c>
      <c r="R14" s="13" t="n">
        <v>51.0</v>
      </c>
      <c r="S14" s="14" t="n">
        <v>0.0</v>
      </c>
      <c r="T14" s="13" t="n">
        <v>0.0</v>
      </c>
      <c r="U14" s="14" t="n">
        <v>0.0</v>
      </c>
      <c r="V14" s="13" t="n">
        <v>0.0</v>
      </c>
      <c r="W14" s="14" t="n">
        <v>0.0</v>
      </c>
      <c r="X14" s="13" t="n">
        <v>0.0</v>
      </c>
      <c r="Y14" s="16" t="n">
        <v>0.0</v>
      </c>
      <c r="Z14" s="17" t="n">
        <v>0.0</v>
      </c>
      <c r="AA14" s="15">
        <f t="shared" si="4"/>
        <v>0.58823529411764708</v>
      </c>
      <c r="AB14" s="15">
        <f t="shared" si="5"/>
        <v>0.1</v>
      </c>
      <c r="AC14" s="18" t="str">
        <f t="shared" si="6"/>
        <v/>
      </c>
      <c r="AD14" s="19" t="str">
        <f t="shared" si="7"/>
        <v/>
      </c>
      <c r="AG14" s="20">
        <f t="shared" si="8"/>
        <v>0.58824929411764704</v>
      </c>
    </row>
    <row r="15" spans="1:31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  <v/>
      </c>
      <c r="D15" s="13">
        <f>SUMIF(Справочники!$H$4:$H$21,$B15,Справочники!$E$4:$E$21)</f>
        <v>0</v>
      </c>
      <c r="E15" s="14" t="n">
        <v>16585229279.56</v>
      </c>
      <c r="F15" s="13" t="n">
        <v>558.0</v>
      </c>
      <c r="G15" s="14">
        <f t="shared" si="0"/>
        <v>1083751094.2</v>
      </c>
      <c r="H15" s="13">
        <f t="shared" si="1"/>
        <v>97</v>
      </c>
      <c r="I15" s="15">
        <f t="shared" si="2"/>
        <v>6.5344354059406265E-2</v>
      </c>
      <c r="J15" s="15">
        <f t="shared" si="3"/>
        <v>0.17383512544802868</v>
      </c>
      <c r="K15" s="14" t="n">
        <v>139093644.03</v>
      </c>
      <c r="L15" s="13" t="n">
        <v>44.0</v>
      </c>
      <c r="M15" s="14" t="n">
        <v>139071857.84</v>
      </c>
      <c r="N15" s="13" t="n">
        <v>43.0</v>
      </c>
      <c r="O15" s="14" t="n">
        <v>21786.19</v>
      </c>
      <c r="P15" s="13" t="n">
        <v>1.0</v>
      </c>
      <c r="Q15" s="14" t="n">
        <v>1376386677.92</v>
      </c>
      <c r="R15" s="13" t="n">
        <v>187.0</v>
      </c>
      <c r="S15" s="14" t="n">
        <v>14102688.15</v>
      </c>
      <c r="T15" s="13" t="n">
        <v>8.0</v>
      </c>
      <c r="U15" s="14" t="n">
        <v>6495805.83</v>
      </c>
      <c r="V15" s="13" t="n">
        <v>3.0</v>
      </c>
      <c r="W15" s="14" t="n">
        <v>0.0</v>
      </c>
      <c r="X15" s="13" t="n">
        <v>0.0</v>
      </c>
      <c r="Y15" s="16" t="n">
        <v>6517592.02</v>
      </c>
      <c r="Z15" s="17" t="n">
        <v>4.0</v>
      </c>
      <c r="AA15" s="15">
        <f t="shared" si="4"/>
        <v>0.18556701030927836</v>
      </c>
      <c r="AB15" s="15">
        <f t="shared" si="5"/>
        <v>0.1111111111111111</v>
      </c>
      <c r="AC15" s="18" t="str">
        <f t="shared" si="6"/>
        <v/>
      </c>
      <c r="AD15" s="19" t="str">
        <f t="shared" si="7"/>
        <v/>
      </c>
      <c r="AG15" s="20">
        <f t="shared" si="8"/>
        <v>0.18558201030927834</v>
      </c>
    </row>
    <row r="16" spans="1:31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  <v/>
      </c>
      <c r="D16" s="13">
        <f>SUMIF(Справочники!$H$4:$H$21,$B16,Справочники!$E$4:$E$21)</f>
        <v>0</v>
      </c>
      <c r="E16" s="14" t="n">
        <v>36871386933.11</v>
      </c>
      <c r="F16" s="13" t="n">
        <v>842.0</v>
      </c>
      <c r="G16" s="14">
        <f t="shared" si="0"/>
        <v>886986634.88</v>
      </c>
      <c r="H16" s="13">
        <f t="shared" si="1"/>
        <v>93</v>
      </c>
      <c r="I16" s="15">
        <f t="shared" si="2"/>
        <v>2.4056231909288329E-2</v>
      </c>
      <c r="J16" s="15">
        <f t="shared" si="3"/>
        <v>0.11045130641330166</v>
      </c>
      <c r="K16" s="14" t="n">
        <v>0.0</v>
      </c>
      <c r="L16" s="13" t="n">
        <v>0.0</v>
      </c>
      <c r="M16" s="14" t="n">
        <v>0.0</v>
      </c>
      <c r="N16" s="13" t="n">
        <v>0.0</v>
      </c>
      <c r="O16" s="14" t="n">
        <v>0.0</v>
      </c>
      <c r="P16" s="13" t="n">
        <v>0.0</v>
      </c>
      <c r="Q16" s="14" t="n">
        <v>1392423450.97</v>
      </c>
      <c r="R16" s="13" t="n">
        <v>245.0</v>
      </c>
      <c r="S16" s="14" t="n">
        <v>0.0</v>
      </c>
      <c r="T16" s="13" t="n">
        <v>0.0</v>
      </c>
      <c r="U16" s="14" t="n">
        <v>0.0</v>
      </c>
      <c r="V16" s="13" t="n">
        <v>0.0</v>
      </c>
      <c r="W16" s="14" t="n">
        <v>0.0</v>
      </c>
      <c r="X16" s="13" t="n">
        <v>0.0</v>
      </c>
      <c r="Y16" s="16" t="n">
        <v>0.0</v>
      </c>
      <c r="Z16" s="17" t="n">
        <v>0.0</v>
      </c>
      <c r="AA16" s="15">
        <f t="shared" si="4"/>
        <v>0</v>
      </c>
      <c r="AB16" s="15" t="str">
        <f t="shared" si="5"/>
        <v/>
      </c>
      <c r="AC16" s="18" t="str">
        <f t="shared" si="6"/>
        <v/>
      </c>
      <c r="AD16" s="19" t="str">
        <f t="shared" si="7"/>
        <v/>
      </c>
      <c r="AG16" s="20">
        <f t="shared" si="8"/>
        <v>1.5999999999999999E-5</v>
      </c>
    </row>
    <row r="17" spans="1:31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  <v/>
      </c>
      <c r="D17" s="13">
        <f>SUMIF(Справочники!$H$4:$H$21,$B17,Справочники!$E$4:$E$21)</f>
        <v>0</v>
      </c>
      <c r="E17" s="14" t="n">
        <v>43531854598.51</v>
      </c>
      <c r="F17" s="13" t="n">
        <v>908.0</v>
      </c>
      <c r="G17" s="14">
        <f t="shared" si="0"/>
        <v>1625726684.3</v>
      </c>
      <c r="H17" s="13">
        <f t="shared" si="1"/>
        <v>115</v>
      </c>
      <c r="I17" s="15">
        <f t="shared" si="2"/>
        <v>3.7345679371897041E-2</v>
      </c>
      <c r="J17" s="15">
        <f t="shared" si="3"/>
        <v>0.12665198237885464</v>
      </c>
      <c r="K17" s="14" t="n">
        <v>58642688.02</v>
      </c>
      <c r="L17" s="13" t="n">
        <v>14.0</v>
      </c>
      <c r="M17" s="14" t="n">
        <v>56137551.57</v>
      </c>
      <c r="N17" s="13" t="n">
        <v>13.0</v>
      </c>
      <c r="O17" s="14" t="n">
        <v>2505136.45</v>
      </c>
      <c r="P17" s="13" t="n">
        <v>1.0</v>
      </c>
      <c r="Q17" s="14" t="n">
        <v>1733680840.57</v>
      </c>
      <c r="R17" s="13" t="n">
        <v>214.0</v>
      </c>
      <c r="S17" s="14" t="n">
        <v>97012423.77</v>
      </c>
      <c r="T17" s="13" t="n">
        <v>10.0</v>
      </c>
      <c r="U17" s="14" t="n">
        <v>14652136.57</v>
      </c>
      <c r="V17" s="13" t="n">
        <v>5.0</v>
      </c>
      <c r="W17" s="14" t="n">
        <v>0.0</v>
      </c>
      <c r="X17" s="13" t="n">
        <v>0.0</v>
      </c>
      <c r="Y17" s="16" t="n">
        <v>17157273.02</v>
      </c>
      <c r="Z17" s="17" t="n">
        <v>6.0</v>
      </c>
      <c r="AA17" s="15">
        <f t="shared" si="4"/>
        <v>0</v>
      </c>
      <c r="AB17" s="15" t="str">
        <f t="shared" si="5"/>
        <v/>
      </c>
      <c r="AC17" s="18" t="str">
        <f t="shared" si="6"/>
        <v/>
      </c>
      <c r="AD17" s="19" t="str">
        <f t="shared" si="7"/>
        <v/>
      </c>
      <c r="AG17" s="20">
        <f t="shared" si="8"/>
        <v>1.7E-5</v>
      </c>
    </row>
    <row r="18" spans="1:31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  <v/>
      </c>
      <c r="D18" s="13">
        <f>SUMIF(Справочники!$H$4:$H$21,$B18,Справочники!$E$4:$E$21)</f>
        <v>0</v>
      </c>
      <c r="E18" s="14" t="n">
        <v>17403438751.5</v>
      </c>
      <c r="F18" s="13" t="n">
        <v>361.0</v>
      </c>
      <c r="G18" s="14">
        <f t="shared" si="0"/>
        <v>806811380</v>
      </c>
      <c r="H18" s="13">
        <f t="shared" si="1"/>
        <v>53</v>
      </c>
      <c r="I18" s="15">
        <f t="shared" si="2"/>
        <v>4.6359308152847729E-2</v>
      </c>
      <c r="J18" s="15">
        <f t="shared" si="3"/>
        <v>0.14681440443213298</v>
      </c>
      <c r="K18" s="14" t="n">
        <v>194871571.89</v>
      </c>
      <c r="L18" s="13" t="n">
        <v>53.0</v>
      </c>
      <c r="M18" s="14" t="n">
        <v>191966330.31</v>
      </c>
      <c r="N18" s="13" t="n">
        <v>50.0</v>
      </c>
      <c r="O18" s="14" t="n">
        <v>1501589.38</v>
      </c>
      <c r="P18" s="13" t="n">
        <v>3.0</v>
      </c>
      <c r="Q18" s="14" t="n">
        <v>899849489.73</v>
      </c>
      <c r="R18" s="13" t="n">
        <v>68.0</v>
      </c>
      <c r="S18" s="14" t="n">
        <v>307796997.24</v>
      </c>
      <c r="T18" s="13" t="n">
        <v>25.0</v>
      </c>
      <c r="U18" s="14" t="n">
        <v>5845198.0</v>
      </c>
      <c r="V18" s="13" t="n">
        <v>5.0</v>
      </c>
      <c r="W18" s="14" t="n">
        <v>0.0</v>
      </c>
      <c r="X18" s="13" t="n">
        <v>0.0</v>
      </c>
      <c r="Y18" s="16" t="n">
        <v>7346787.38</v>
      </c>
      <c r="Z18" s="17" t="n">
        <v>8.0</v>
      </c>
      <c r="AA18" s="15">
        <f t="shared" si="4"/>
        <v>0</v>
      </c>
      <c r="AB18" s="15" t="str">
        <f t="shared" si="5"/>
        <v/>
      </c>
      <c r="AC18" s="18" t="str">
        <f t="shared" si="6"/>
        <v/>
      </c>
      <c r="AD18" s="19" t="str">
        <f t="shared" si="7"/>
        <v/>
      </c>
      <c r="AG18" s="20">
        <f t="shared" si="8"/>
        <v>1.8E-5</v>
      </c>
    </row>
    <row r="19" spans="1:31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  <v/>
      </c>
      <c r="D19" s="13">
        <f>SUMIF(Справочники!$H$4:$H$21,$B19,Справочники!$E$4:$E$21)</f>
        <v>0</v>
      </c>
      <c r="E19" s="14" t="n">
        <v>20499095940.69</v>
      </c>
      <c r="F19" s="13" t="n">
        <v>504.0</v>
      </c>
      <c r="G19" s="14">
        <f t="shared" si="0"/>
        <v>293459857.04000002</v>
      </c>
      <c r="H19" s="13">
        <f t="shared" si="1"/>
        <v>49</v>
      </c>
      <c r="I19" s="15">
        <f t="shared" si="2"/>
        <v>1.4315746308474625E-2</v>
      </c>
      <c r="J19" s="15">
        <f t="shared" si="3"/>
        <v>9.7222222222222224E-2</v>
      </c>
      <c r="K19" s="14" t="n">
        <v>168059184.34</v>
      </c>
      <c r="L19" s="13" t="n">
        <v>50.0</v>
      </c>
      <c r="M19" s="14" t="n">
        <v>149380580.23</v>
      </c>
      <c r="N19" s="13" t="n">
        <v>44.0</v>
      </c>
      <c r="O19" s="14" t="n">
        <v>17082324.61</v>
      </c>
      <c r="P19" s="13" t="n">
        <v>5.0</v>
      </c>
      <c r="Q19" s="14" t="n">
        <v>465081882.82</v>
      </c>
      <c r="R19" s="13" t="n">
        <v>95.0</v>
      </c>
      <c r="S19" s="14" t="n">
        <v>27724170.06</v>
      </c>
      <c r="T19" s="13" t="n">
        <v>7.0</v>
      </c>
      <c r="U19" s="14" t="n">
        <v>0.0</v>
      </c>
      <c r="V19" s="13" t="n">
        <v>0.0</v>
      </c>
      <c r="W19" s="14" t="n">
        <v>0.0</v>
      </c>
      <c r="X19" s="13" t="n">
        <v>0.0</v>
      </c>
      <c r="Y19" s="16" t="n">
        <v>17082324.61</v>
      </c>
      <c r="Z19" s="17" t="n">
        <v>5.0</v>
      </c>
      <c r="AA19" s="15">
        <f t="shared" si="4"/>
        <v>0.46938775510204084</v>
      </c>
      <c r="AB19" s="15">
        <f t="shared" si="5"/>
        <v>0.2608695652173913</v>
      </c>
      <c r="AC19" s="18" t="str">
        <f t="shared" si="6"/>
        <v/>
      </c>
      <c r="AD19" s="19" t="str">
        <f t="shared" si="7"/>
        <v/>
      </c>
      <c r="AG19" s="20">
        <f t="shared" si="8"/>
        <v>0.46940675510204083</v>
      </c>
    </row>
    <row r="20" spans="1:31" ht="21.75" customHeight="1" x14ac:dyDescent="0.25">
      <c r="A20" s="23"/>
      <c r="B20" s="69" t="s">
        <v>45</v>
      </c>
      <c r="C20" s="69"/>
      <c r="D20" s="24">
        <f>SUM(D6:D19)</f>
        <v>0</v>
      </c>
      <c r="E20" s="25">
        <f>SUM(E6:E19)</f>
        <v>243298761566.53021</v>
      </c>
      <c r="F20" s="24">
        <f>SUM(F6:F19)</f>
        <v>6312</v>
      </c>
      <c r="G20" s="25">
        <f>SUM(G6:G19)</f>
        <v>6901439547.2700005</v>
      </c>
      <c r="H20" s="24">
        <f>SUM(H6:H19)</f>
        <v>725</v>
      </c>
      <c r="I20" s="26">
        <f>IFERROR($G20/$E20,"")</f>
        <v>2.836611046777892E-2</v>
      </c>
      <c r="J20" s="26">
        <f>IFERROR($H20/$F20,"")</f>
        <v>0.11486058301647656</v>
      </c>
      <c r="K20" s="25">
        <f t="shared" ref="K20:Z20" si="9">SUM(K6:K19)</f>
        <v>1188247694.5900002</v>
      </c>
      <c r="L20" s="24">
        <f t="shared" si="9"/>
        <v>166</v>
      </c>
      <c r="M20" s="25">
        <f t="shared" si="9"/>
        <v>748285987.45000005</v>
      </c>
      <c r="N20" s="24">
        <f t="shared" si="9"/>
        <v>96</v>
      </c>
      <c r="O20" s="24">
        <f t="shared" ref="O20" si="10">SUM(O6:O19)</f>
        <v>0</v>
      </c>
      <c r="P20" s="24">
        <f t="shared" ref="P20" si="11">SUM(P6:P19)</f>
        <v>0</v>
      </c>
      <c r="Q20" s="25">
        <f t="shared" si="9"/>
        <v>5713191852.6799994</v>
      </c>
      <c r="R20" s="24">
        <f t="shared" si="9"/>
        <v>559</v>
      </c>
      <c r="S20" s="25">
        <f t="shared" si="9"/>
        <v>3291590.6</v>
      </c>
      <c r="T20" s="24">
        <f t="shared" si="9"/>
        <v>2</v>
      </c>
      <c r="U20" s="25" t="n">
        <f>SUM(U6:U19)</f>
        <v>0</v>
      </c>
      <c r="V20" s="24" t="n">
        <f>SUM(V6:V19)</f>
        <v>0</v>
      </c>
      <c r="W20" s="24">
        <f t="shared" ref="W20" si="12">SUM(W6:W19)</f>
        <v>0</v>
      </c>
      <c r="X20" s="24">
        <f t="shared" ref="X20" si="13">SUM(X6:X19)</f>
        <v>0</v>
      </c>
      <c r="Y20" s="25">
        <f t="shared" si="9"/>
        <v>0</v>
      </c>
      <c r="Z20" s="24">
        <f t="shared" si="9"/>
        <v>28</v>
      </c>
      <c r="AA20" s="26">
        <f>IFERROR($L20/$H20,"")</f>
        <v>0.22896551724137931</v>
      </c>
      <c r="AB20" s="26">
        <f>IFERROR($N20/$L20,"")</f>
        <v>0.57831325301204817</v>
      </c>
      <c r="AC20" s="27" t="str">
        <f>IFERROR($H20/$D20,"")</f>
        <v/>
      </c>
      <c r="AD20" s="28" t="str">
        <f>IFERROR($L20/$D20,"")</f>
        <v/>
      </c>
    </row>
    <row r="21" spans="1:31" ht="22.5" customHeight="1" x14ac:dyDescent="0.25"/>
    <row r="23">
      <c r="B23" s="95" t="inlineStr">
        <is>
          <t xml:space="preserve">ОТКРЫТЬ СПИСОК КЛИЕНТОВ</t>
        </is>
      </c>
    </row>
    <row r="24">
      <c r="B24" s="95" t="inlineStr">
        <is>
          <t xml:space="preserve">Область</t>
        </is>
      </c>
      <c r="C24" s="95" t="inlineStr">
        <is>
          <t xml:space="preserve">Дозв.</t>
        </is>
      </c>
      <c r="D24" s="95" t="inlineStr">
        <is>
          <t xml:space="preserve">Обещ.</t>
        </is>
      </c>
      <c r="E24" s="95" t="inlineStr">
        <is>
          <t xml:space="preserve">Опл.</t>
        </is>
      </c>
      <c r="F24" s="95" t="inlineStr">
        <is>
          <t xml:space="preserve">Не дозв.</t>
        </is>
      </c>
      <c r="G24" s="95" t="inlineStr">
        <is>
          <t xml:space="preserve">Объезд</t>
        </is>
      </c>
      <c r="H24" s="95" t="inlineStr">
        <is>
          <t xml:space="preserve">Опл. без разг.</t>
        </is>
      </c>
      <c r="I24" s="95" t="inlineStr">
        <is>
          <t xml:space="preserve">Всего</t>
        </is>
      </c>
    </row>
    <row r="25">
      <c r="B25" s="98" t="inlineStr">
        <is>
          <t xml:space="preserve">АНДИЖОН ВИЛОЯТИ</t>
        </is>
      </c>
      <c r="F25" s="96" t="inlineStr">
        <is>
          <t xml:space="preserve">▸</t>
        </is>
      </c>
    </row>
    <row r="26" spans="1:31" ht="15" customHeight="1" x14ac:dyDescent="0.25">
      <c r="A26" s="29"/>
      <c r="B26" s="98" t="inlineStr">
        <is>
          <t xml:space="preserve">БУХОРО ВИЛОЯТИ</t>
        </is>
      </c>
      <c r="C26" s="96" t="inlineStr">
        <is>
          <t xml:space="preserve">▸</t>
        </is>
      </c>
      <c r="D26" s="96" t="inlineStr">
        <is>
          <t xml:space="preserve">▸</t>
        </is>
      </c>
      <c r="E26" s="96" t="inlineStr">
        <is>
          <t xml:space="preserve">▸</t>
        </is>
      </c>
      <c r="F26" s="96" t="inlineStr">
        <is>
          <t xml:space="preserve">▸</t>
        </is>
      </c>
      <c r="G26" s="96" t="inlineStr">
        <is>
          <t xml:space="preserve">▸</t>
        </is>
      </c>
      <c r="I26" s="96" t="inlineStr">
        <is>
          <t xml:space="preserve">▸</t>
        </is>
      </c>
    </row>
    <row r="27">
      <c r="B27" s="98" t="inlineStr">
        <is>
          <t xml:space="preserve">ЖИЗЗАХ ВИЛОЯТИ</t>
        </is>
      </c>
      <c r="C27" s="96" t="inlineStr">
        <is>
          <t xml:space="preserve">▸</t>
        </is>
      </c>
      <c r="D27" s="96" t="inlineStr">
        <is>
          <t xml:space="preserve">▸</t>
        </is>
      </c>
      <c r="E27" s="96" t="inlineStr">
        <is>
          <t xml:space="preserve">▸</t>
        </is>
      </c>
      <c r="F27" s="96" t="inlineStr">
        <is>
          <t xml:space="preserve">▸</t>
        </is>
      </c>
      <c r="G27" s="96" t="inlineStr">
        <is>
          <t xml:space="preserve">▸</t>
        </is>
      </c>
      <c r="I27" s="96" t="inlineStr">
        <is>
          <t xml:space="preserve">▸</t>
        </is>
      </c>
    </row>
    <row r="28">
      <c r="B28" s="98" t="inlineStr">
        <is>
          <t xml:space="preserve">КАШКАДАРЁ ВИЛОЯТИ</t>
        </is>
      </c>
      <c r="C28" s="96" t="inlineStr">
        <is>
          <t xml:space="preserve">▸</t>
        </is>
      </c>
      <c r="D28" s="96" t="inlineStr">
        <is>
          <t xml:space="preserve">▸</t>
        </is>
      </c>
      <c r="E28" s="96" t="inlineStr">
        <is>
          <t xml:space="preserve">▸</t>
        </is>
      </c>
      <c r="F28" s="96" t="inlineStr">
        <is>
          <t xml:space="preserve">▸</t>
        </is>
      </c>
      <c r="G28" s="96" t="inlineStr">
        <is>
          <t xml:space="preserve">▸</t>
        </is>
      </c>
      <c r="I28" s="96" t="inlineStr">
        <is>
          <t xml:space="preserve">▸</t>
        </is>
      </c>
    </row>
    <row r="29">
      <c r="B29" s="98" t="inlineStr">
        <is>
          <t xml:space="preserve">КОРАКАЛПОГИСТОН РЕСПУБЛИКАСИ</t>
        </is>
      </c>
      <c r="C29" s="96" t="inlineStr">
        <is>
          <t xml:space="preserve">▸</t>
        </is>
      </c>
      <c r="D29" s="96" t="inlineStr">
        <is>
          <t xml:space="preserve">▸</t>
        </is>
      </c>
      <c r="E29" s="96" t="inlineStr">
        <is>
          <t xml:space="preserve">▸</t>
        </is>
      </c>
      <c r="F29" s="96" t="inlineStr">
        <is>
          <t xml:space="preserve">▸</t>
        </is>
      </c>
      <c r="G29" s="96" t="inlineStr">
        <is>
          <t xml:space="preserve">▸</t>
        </is>
      </c>
      <c r="I29" s="96" t="inlineStr">
        <is>
          <t xml:space="preserve">▸</t>
        </is>
      </c>
    </row>
    <row r="30">
      <c r="B30" s="98" t="inlineStr">
        <is>
          <t xml:space="preserve">НАВОИЙ ВИЛОЯТИ</t>
        </is>
      </c>
      <c r="C30" s="96" t="inlineStr">
        <is>
          <t xml:space="preserve">▸</t>
        </is>
      </c>
      <c r="D30" s="96" t="inlineStr">
        <is>
          <t xml:space="preserve">▸</t>
        </is>
      </c>
      <c r="E30" s="96" t="inlineStr">
        <is>
          <t xml:space="preserve">▸</t>
        </is>
      </c>
      <c r="F30" s="96" t="inlineStr">
        <is>
          <t xml:space="preserve">▸</t>
        </is>
      </c>
      <c r="I30" s="96" t="inlineStr">
        <is>
          <t xml:space="preserve">▸</t>
        </is>
      </c>
    </row>
    <row r="31">
      <c r="B31" s="98" t="inlineStr">
        <is>
          <t xml:space="preserve">НАМАНГАН ВИЛОЯТИ</t>
        </is>
      </c>
      <c r="C31" s="96" t="inlineStr">
        <is>
          <t xml:space="preserve">▸</t>
        </is>
      </c>
      <c r="D31" s="96" t="inlineStr">
        <is>
          <t xml:space="preserve">▸</t>
        </is>
      </c>
      <c r="E31" s="96" t="inlineStr">
        <is>
          <t xml:space="preserve">▸</t>
        </is>
      </c>
      <c r="F31" s="96" t="inlineStr">
        <is>
          <t xml:space="preserve">▸</t>
        </is>
      </c>
      <c r="G31" s="96" t="inlineStr">
        <is>
          <t xml:space="preserve">▸</t>
        </is>
      </c>
      <c r="I31" s="96" t="inlineStr">
        <is>
          <t xml:space="preserve">▸</t>
        </is>
      </c>
    </row>
    <row r="32">
      <c r="B32" s="98" t="inlineStr">
        <is>
          <t xml:space="preserve">САМАРКАНД ВИЛОЯТИ</t>
        </is>
      </c>
      <c r="C32" s="96" t="inlineStr">
        <is>
          <t xml:space="preserve">▸</t>
        </is>
      </c>
      <c r="D32" s="96" t="inlineStr">
        <is>
          <t xml:space="preserve">▸</t>
        </is>
      </c>
      <c r="E32" s="96" t="inlineStr">
        <is>
          <t xml:space="preserve">▸</t>
        </is>
      </c>
      <c r="F32" s="96" t="inlineStr">
        <is>
          <t xml:space="preserve">▸</t>
        </is>
      </c>
      <c r="G32" s="96" t="inlineStr">
        <is>
          <t xml:space="preserve">▸</t>
        </is>
      </c>
      <c r="I32" s="96" t="inlineStr">
        <is>
          <t xml:space="preserve">▸</t>
        </is>
      </c>
    </row>
    <row r="33">
      <c r="B33" s="98" t="inlineStr">
        <is>
          <t xml:space="preserve">СИРДАРЁ ВИЛОЯТИ</t>
        </is>
      </c>
      <c r="F33" s="96" t="inlineStr">
        <is>
          <t xml:space="preserve">▸</t>
        </is>
      </c>
    </row>
    <row r="34">
      <c r="B34" s="98" t="inlineStr">
        <is>
          <t xml:space="preserve">СУРХОНДАРЁ ВИЛОЯТИ</t>
        </is>
      </c>
      <c r="C34" s="96" t="inlineStr">
        <is>
          <t xml:space="preserve">▸</t>
        </is>
      </c>
      <c r="D34" s="96" t="inlineStr">
        <is>
          <t xml:space="preserve">▸</t>
        </is>
      </c>
      <c r="E34" s="96" t="inlineStr">
        <is>
          <t xml:space="preserve">▸</t>
        </is>
      </c>
      <c r="F34" s="96" t="inlineStr">
        <is>
          <t xml:space="preserve">▸</t>
        </is>
      </c>
      <c r="G34" s="96" t="inlineStr">
        <is>
          <t xml:space="preserve">▸</t>
        </is>
      </c>
      <c r="I34" s="96" t="inlineStr">
        <is>
          <t xml:space="preserve">▸</t>
        </is>
      </c>
    </row>
    <row r="35">
      <c r="B35" s="98" t="inlineStr">
        <is>
          <t xml:space="preserve">ТОШКЕНТ ВИЛОЯТИ</t>
        </is>
      </c>
      <c r="F35" s="96" t="inlineStr">
        <is>
          <t xml:space="preserve">▸</t>
        </is>
      </c>
    </row>
    <row r="36">
      <c r="B36" s="98" t="inlineStr">
        <is>
          <t xml:space="preserve">ТОШКЕНТ ШАХРИ</t>
        </is>
      </c>
      <c r="C36" s="96" t="inlineStr">
        <is>
          <t xml:space="preserve">▸</t>
        </is>
      </c>
      <c r="D36" s="96" t="inlineStr">
        <is>
          <t xml:space="preserve">▸</t>
        </is>
      </c>
      <c r="E36" s="96" t="inlineStr">
        <is>
          <t xml:space="preserve">▸</t>
        </is>
      </c>
      <c r="F36" s="96" t="inlineStr">
        <is>
          <t xml:space="preserve">▸</t>
        </is>
      </c>
      <c r="G36" s="96" t="inlineStr">
        <is>
          <t xml:space="preserve">▸</t>
        </is>
      </c>
      <c r="I36" s="96" t="inlineStr">
        <is>
          <t xml:space="preserve">▸</t>
        </is>
      </c>
    </row>
    <row r="37">
      <c r="B37" s="98" t="inlineStr">
        <is>
          <t xml:space="preserve">ФАРГОНА ВИЛОЯТИ</t>
        </is>
      </c>
      <c r="C37" s="96" t="inlineStr">
        <is>
          <t xml:space="preserve">▸</t>
        </is>
      </c>
      <c r="D37" s="96" t="inlineStr">
        <is>
          <t xml:space="preserve">▸</t>
        </is>
      </c>
      <c r="E37" s="96" t="inlineStr">
        <is>
          <t xml:space="preserve">▸</t>
        </is>
      </c>
      <c r="F37" s="96" t="inlineStr">
        <is>
          <t xml:space="preserve">▸</t>
        </is>
      </c>
      <c r="G37" s="96" t="inlineStr">
        <is>
          <t xml:space="preserve">▸</t>
        </is>
      </c>
      <c r="I37" s="96" t="inlineStr">
        <is>
          <t xml:space="preserve">▸</t>
        </is>
      </c>
    </row>
    <row r="38">
      <c r="B38" s="98" t="inlineStr">
        <is>
          <t xml:space="preserve">ХОРАЗМ ВИЛОЯТИ</t>
        </is>
      </c>
      <c r="C38" s="96" t="inlineStr">
        <is>
          <t xml:space="preserve">▸</t>
        </is>
      </c>
      <c r="D38" s="96" t="inlineStr">
        <is>
          <t xml:space="preserve">▸</t>
        </is>
      </c>
      <c r="E38" s="96" t="inlineStr">
        <is>
          <t xml:space="preserve">▸</t>
        </is>
      </c>
      <c r="F38" s="96" t="inlineStr">
        <is>
          <t xml:space="preserve">▸</t>
        </is>
      </c>
      <c r="G38" s="96" t="inlineStr">
        <is>
          <t xml:space="preserve">▸</t>
        </is>
      </c>
      <c r="I38" s="96" t="inlineStr">
        <is>
          <t xml:space="preserve">▸</t>
        </is>
      </c>
    </row>
  </sheetData>
  <autoFilter ref="A5:AG19" xr:uid="{00000000-0001-0000-0000-000000000000}"/>
  <mergeCells count="12">
    <mergeCell ref="A1:J1"/>
    <mergeCell ref="A2:B2"/>
    <mergeCell ref="E2:F2"/>
    <mergeCell ref="L2:M2"/>
    <mergeCell ref="A3:AG3"/>
    <mergeCell ref="AA4:AD4"/>
    <mergeCell ref="B20:C20"/>
    <mergeCell ref="K4:P4"/>
    <mergeCell ref="Q4:X4"/>
    <mergeCell ref="E4:F4"/>
    <mergeCell ref="G4:J4"/>
    <mergeCell ref="Y4:Z4"/>
  </mergeCells>
  <conditionalFormatting sqref="I6:I19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AA6:AA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C6:AC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Y6:Z23" xr:uid="{00000000-0002-0000-0000-000000000000}">
      <formula1>0</formula1>
      <formula2>0</formula2>
    </dataValidation>
  </dataValidations>
  <hyperlinks>
    <hyperlink ref="F25" location="'Не дозвонились'!A3" tooltip="Список: Не дозвонились"/>
    <hyperlink ref="C26" location="'Дозвонились'!A3" tooltip="Список: Дозвонились"/>
    <hyperlink ref="D26" location="'Обещали'!A3" tooltip="Список: Обещали"/>
    <hyperlink ref="E26" location="'Оплатили'!A3" tooltip="Список: Оплатили"/>
    <hyperlink ref="F26" location="'Не дозвонились'!A129" tooltip="Список: Не дозвонились"/>
    <hyperlink ref="G26" location="'Объезд'!A3" tooltip="Список: Объезд"/>
    <hyperlink ref="I26" location="'Оплатили'!A3" tooltip="Список: Оплатили"/>
    <hyperlink ref="C27" location="'Дозвонились'!A42" tooltip="Список: Дозвонились"/>
    <hyperlink ref="D27" location="'Обещали'!A34" tooltip="Список: Обещали"/>
    <hyperlink ref="E27" location="'Оплатили'!A12" tooltip="Список: Оплатили"/>
    <hyperlink ref="F27" location="'Не дозвонились'!A142" tooltip="Список: Не дозвонились"/>
    <hyperlink ref="G27" location="'Объезд'!A7" tooltip="Список: Объезд"/>
    <hyperlink ref="I27" location="'Оплатили'!A12" tooltip="Список: Оплатили"/>
    <hyperlink ref="C28" location="'Дозвонились'!A96" tooltip="Список: Дозвонились"/>
    <hyperlink ref="D28" location="'Обещали'!A73" tooltip="Список: Обещали"/>
    <hyperlink ref="E28" location="'Оплатили'!A28" tooltip="Список: Оплатили"/>
    <hyperlink ref="F28" location="'Не дозвонились'!A186" tooltip="Список: Не дозвонились"/>
    <hyperlink ref="G28" location="'Объезд'!A15" tooltip="Список: Объезд"/>
    <hyperlink ref="I28" location="'Оплатили'!A28" tooltip="Список: Оплатили"/>
    <hyperlink ref="C29" location="'Дозвонились'!A126" tooltip="Список: Дозвонились"/>
    <hyperlink ref="D29" location="'Обещали'!A98" tooltip="Список: Обещали"/>
    <hyperlink ref="E29" location="'Оплатили'!A36" tooltip="Список: Оплатили"/>
    <hyperlink ref="F29" location="'Не дозвонились'!A277" tooltip="Список: Не дозвонились"/>
    <hyperlink ref="G29" location="'Объезд'!A32" tooltip="Список: Объезд"/>
    <hyperlink ref="I29" location="'Оплатили'!A36" tooltip="Список: Оплатили"/>
    <hyperlink ref="C30" location="'Дозвонились'!A167" tooltip="Список: Дозвонились"/>
    <hyperlink ref="D30" location="'Обещали'!A125" tooltip="Список: Обещали"/>
    <hyperlink ref="E30" location="'Оплатили'!A40" tooltip="Список: Оплатили"/>
    <hyperlink ref="F30" location="'Не дозвонились'!A302" tooltip="Список: Не дозвонились"/>
    <hyperlink ref="I30" location="'Оплатили'!A40" tooltip="Список: Оплатили"/>
    <hyperlink ref="C31" location="'Дозвонились'!A181" tooltip="Список: Дозвонились"/>
    <hyperlink ref="D31" location="'Обещали'!A129" tooltip="Список: Обещали"/>
    <hyperlink ref="E31" location="'Оплатили'!A46" tooltip="Список: Оплатили"/>
    <hyperlink ref="F31" location="'Не дозвонились'!A356" tooltip="Список: Не дозвонились"/>
    <hyperlink ref="G31" location="'Объезд'!A46" tooltip="Список: Объезд"/>
    <hyperlink ref="I31" location="'Оплатили'!A46" tooltip="Список: Оплатили"/>
    <hyperlink ref="C32" location="'Дозвонились'!A238" tooltip="Список: Дозвонились"/>
    <hyperlink ref="D32" location="'Обещали'!A138" tooltip="Список: Обещали"/>
    <hyperlink ref="E32" location="'Оплатили'!A47" tooltip="Список: Оплатили"/>
    <hyperlink ref="F32" location="'Не дозвонились'!A460" tooltip="Список: Не дозвонились"/>
    <hyperlink ref="G32" location="'Объезд'!A53" tooltip="Список: Объезд"/>
    <hyperlink ref="I32" location="'Оплатили'!A47" tooltip="Список: Оплатили"/>
    <hyperlink ref="F33" location="'Не дозвонились'!A594" tooltip="Список: Не дозвонились"/>
    <hyperlink ref="C34" location="'Дозвонились'!A264" tooltip="Список: Дозвонились"/>
    <hyperlink ref="D34" location="'Обещали'!A158" tooltip="Список: Обещали"/>
    <hyperlink ref="E34" location="'Оплатили'!A59" tooltip="Список: Оплатили"/>
    <hyperlink ref="F34" location="'Не дозвонились'!A645" tooltip="Список: Не дозвонились"/>
    <hyperlink ref="G34" location="'Объезд'!A72" tooltip="Список: Объезд"/>
    <hyperlink ref="I34" location="'Оплатили'!A59" tooltip="Список: Оплатили"/>
    <hyperlink ref="F35" location="'Не дозвонились'!A832" tooltip="Список: Не дозвонились"/>
    <hyperlink ref="C36" location="'Дозвонились'!A308" tooltip="Список: Дозвонились"/>
    <hyperlink ref="D36" location="'Обещали'!A201" tooltip="Список: Обещали"/>
    <hyperlink ref="E36" location="'Оплатили'!A63" tooltip="Список: Оплатили"/>
    <hyperlink ref="F36" location="'Не дозвонились'!A1077" tooltip="Список: Не дозвонились"/>
    <hyperlink ref="G36" location="'Объезд'!A83" tooltip="Список: Объезд"/>
    <hyperlink ref="I36" location="'Оплатили'!A63" tooltip="Список: Оплатили"/>
    <hyperlink ref="C37" location="'Дозвонились'!A322" tooltip="Список: Дозвонились"/>
    <hyperlink ref="D37" location="'Обещали'!A214" tooltip="Список: Обещали"/>
    <hyperlink ref="E37" location="'Оплатили'!A69" tooltip="Список: Оплатили"/>
    <hyperlink ref="F37" location="'Не дозвонились'!A1291" tooltip="Список: Не дозвонились"/>
    <hyperlink ref="G37" location="'Объезд'!A98" tooltip="Список: Объезд"/>
    <hyperlink ref="I37" location="'Оплатили'!A69" tooltip="Список: Оплатили"/>
    <hyperlink ref="C38" location="'Дозвонились'!A375" tooltip="Список: Дозвонились"/>
    <hyperlink ref="D38" location="'Обещали'!A264" tooltip="Список: Обещали"/>
    <hyperlink ref="E38" location="'Оплатили'!A77" tooltip="Список: Оплатили"/>
    <hyperlink ref="F38" location="'Не дозвонились'!A1359" tooltip="Список: Не дозвонились"/>
    <hyperlink ref="G38" location="'Объезд'!A128" tooltip="Список: Объезд"/>
    <hyperlink ref="I38" location="'Оплатили'!A77" tooltip="Список: Оплатили"/>
  </hyperlink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Ввод!$I$20</f>
        <v>2.836611046777892E-2</v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s">
        <v>51</v>
      </c>
      <c r="B11" s="83"/>
      <c r="C11" s="83"/>
      <c r="D11" s="31">
        <f>Ввод!$L$20</f>
        <v>166</v>
      </c>
    </row>
    <row r="12" spans="1:9" ht="15" customHeight="1" x14ac:dyDescent="0.25">
      <c r="A12" s="84" t="s">
        <v>52</v>
      </c>
      <c r="B12" s="84"/>
      <c r="C12" s="84"/>
      <c r="D12" s="32">
        <f>Ввод!$AA$20</f>
        <v>0.22896551724137931</v>
      </c>
    </row>
    <row r="13" spans="1:9" ht="15" customHeight="1" x14ac:dyDescent="0.25">
      <c r="A13" s="83" t="s">
        <v>53</v>
      </c>
      <c r="B13" s="83"/>
      <c r="C13" s="83"/>
      <c r="D13" s="31">
        <f>Ввод!$N$20</f>
        <v>96</v>
      </c>
    </row>
    <row r="14" spans="1:9" ht="19.5" customHeight="1" x14ac:dyDescent="0.25">
      <c r="A14" s="83" t="s">
        <v>54</v>
      </c>
      <c r="B14" s="83"/>
      <c r="C14" s="83"/>
      <c r="D14" s="31">
        <f>Ввод!$R$20</f>
        <v>559</v>
      </c>
    </row>
    <row r="15" spans="1:9" ht="15" customHeight="1" x14ac:dyDescent="0.25">
      <c r="A15" s="83" t="s">
        <v>55</v>
      </c>
      <c r="B15" s="83"/>
      <c r="C15" s="83"/>
      <c r="D15" s="31">
        <f>Ввод!$T$20</f>
        <v>2</v>
      </c>
    </row>
    <row r="16" spans="1:9" ht="15" customHeight="1" x14ac:dyDescent="0.25">
      <c r="A16" s="84" t="s">
        <v>56</v>
      </c>
      <c r="B16" s="84"/>
      <c r="C16" s="84"/>
      <c r="D16" s="31">
        <f>Ввод!$Y$20</f>
        <v>0</v>
      </c>
    </row>
    <row r="17" spans="1:9" ht="15" customHeight="1" x14ac:dyDescent="0.25"/>
    <row r="18" spans="1:9" ht="15" customHeight="1" x14ac:dyDescent="0.25"/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IFERROR(Ввод!$AA$6,0)</f>
        <v>0</v>
      </c>
      <c r="E22" s="36" t="str">
        <f>IFERROR(Ввод!$AC$6,0)</f>
        <v/>
      </c>
      <c r="F22" s="37">
        <f>Ввод!$Y$6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IFERROR(Ввод!$AA$7,0)</f>
        <v>0</v>
      </c>
      <c r="E23" s="36" t="str">
        <f>IFERROR(Ввод!$AC$7,0)</f>
        <v/>
      </c>
      <c r="F23" s="37">
        <f>Ввод!$Y$7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IFERROR(Ввод!$AA$8,0)</f>
        <v>0.39215686274509803</v>
      </c>
      <c r="E24" s="36" t="str">
        <f>IFERROR(Ввод!$AC$8,0)</f>
        <v/>
      </c>
      <c r="F24" s="37">
        <f>Ввод!$Y$8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IFERROR(Ввод!$AA$9,0)</f>
        <v>0.87878787878787878</v>
      </c>
      <c r="E25" s="36" t="str">
        <f>IFERROR(Ввод!$AC$9,0)</f>
        <v/>
      </c>
      <c r="F25" s="37">
        <f>Ввод!$Y$9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IFERROR(Ввод!$AA$10,0)</f>
        <v>0.76923076923076927</v>
      </c>
      <c r="E26" s="36" t="str">
        <f>IFERROR(Ввод!$AC$10,0)</f>
        <v/>
      </c>
      <c r="F26" s="37">
        <f>Ввод!$Y$10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IFERROR(Ввод!$AA$11,0)</f>
        <v>5.5555555555555552E-2</v>
      </c>
      <c r="E27" s="36" t="str">
        <f>IFERROR(Ввод!$AC$11,0)</f>
        <v/>
      </c>
      <c r="F27" s="37">
        <f>Ввод!$Y$11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IFERROR(Ввод!$AA$12,0)</f>
        <v>0.4838709677419355</v>
      </c>
      <c r="E28" s="36" t="str">
        <f>IFERROR(Ввод!$AC$12,0)</f>
        <v/>
      </c>
      <c r="F28" s="37">
        <f>Ввод!$Y$12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IFERROR(Ввод!$AA$13,0)</f>
        <v>0.24590163934426229</v>
      </c>
      <c r="E29" s="36" t="str">
        <f>IFERROR(Ввод!$AC$13,0)</f>
        <v/>
      </c>
      <c r="F29" s="37">
        <f>Ввод!$Y$13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IFERROR(Ввод!$AA$14,0)</f>
        <v>0.58823529411764708</v>
      </c>
      <c r="E30" s="36" t="str">
        <f>IFERROR(Ввод!$AC$14,0)</f>
        <v/>
      </c>
      <c r="F30" s="37">
        <f>Ввод!$Y$14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IFERROR(Ввод!$AA$15,0)</f>
        <v>0.18556701030927836</v>
      </c>
      <c r="E31" s="36" t="str">
        <f>IFERROR(Ввод!$AC$15,0)</f>
        <v/>
      </c>
      <c r="F31" s="37">
        <f>Ввод!$Y$15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IFERROR(Ввод!$AA$16,0)</f>
        <v>0</v>
      </c>
      <c r="E32" s="36" t="str">
        <f>IFERROR(Ввод!$AC$16,0)</f>
        <v/>
      </c>
      <c r="F32" s="37">
        <f>Ввод!$Y$16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IFERROR(Ввод!$AA$17,0)</f>
        <v>0</v>
      </c>
      <c r="E33" s="36" t="str">
        <f>IFERROR(Ввод!$AC$17,0)</f>
        <v/>
      </c>
      <c r="F33" s="37">
        <f>Ввод!$Y$17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IFERROR(Ввод!$AA$18,0)</f>
        <v>0</v>
      </c>
      <c r="E34" s="36" t="str">
        <f>IFERROR(Ввод!$AC$18,0)</f>
        <v/>
      </c>
      <c r="F34" s="37">
        <f>Ввод!$Y$18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IFERROR(Ввод!$AA$19,0)</f>
        <v>0.46938775510204084</v>
      </c>
      <c r="E35" s="36" t="str">
        <f>IFERROR(Ввод!$AC$19,0)</f>
        <v/>
      </c>
      <c r="F35" s="37">
        <f>Ввод!$Y$19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IFERROR(INDEX(Ввод!$B$6:$B$19,MATCH(LARGE(Ввод!$AG$6:$AG$19,1),Ввод!$AG$6:$AG$19,0)),"")</f>
        <v>КАШКАДАРЁ ВИЛОЯТИ</v>
      </c>
      <c r="B43" s="77"/>
      <c r="C43" s="78">
        <f>IFERROR(INDEX(Ввод!$AA$6:$AA$19,MATCH(LARGE(Ввод!$AG$6:$AG$19,1),Ввод!$AG$6:$AG$19,0)),"")</f>
        <v>0.87878787878787878</v>
      </c>
      <c r="D43" s="78"/>
      <c r="E43" s="79" t="str">
        <f>IFERROR(INDEX(Ввод!$B$6:$B$19,MATCH(SMALL(Ввод!$AG$6:$AG$19,1),Ввод!$AG$6:$AG$19,0)),"")</f>
        <v>АНДИЖОН ВИЛОЯТИ</v>
      </c>
      <c r="F43" s="79"/>
      <c r="G43" s="79"/>
      <c r="H43" s="80">
        <f>IFERROR(INDEX(Ввод!$AA$6:$AA$19,MATCH(SMALL(Ввод!$AG$6:$AG$19,1),Ввод!$AG$6:$AG$19,0)),"")</f>
        <v>0</v>
      </c>
      <c r="I43" s="80"/>
    </row>
    <row r="44" spans="1:9" ht="15" customHeight="1" x14ac:dyDescent="0.25">
      <c r="A44" s="77" t="str">
        <f>IFERROR(INDEX(Ввод!$B$6:$B$19,MATCH(LARGE(Ввод!$AG$6:$AG$19,2),Ввод!$AG$6:$AG$19,0)),"")</f>
        <v>КОРАКАЛПОГИСТОН РЕСПУБЛИКАСИ</v>
      </c>
      <c r="B44" s="77"/>
      <c r="C44" s="78">
        <f>IFERROR(INDEX(Ввод!$AA$6:$AA$19,MATCH(LARGE(Ввод!$AG$6:$AG$19,2),Ввод!$AG$6:$AG$19,0)),"")</f>
        <v>0.76923076923076927</v>
      </c>
      <c r="D44" s="78"/>
      <c r="E44" s="79" t="str">
        <f>IFERROR(INDEX(Ввод!$B$6:$B$19,MATCH(SMALL(Ввод!$AG$6:$AG$19,2),Ввод!$AG$6:$AG$19,0)),"")</f>
        <v>БУХОРО ВИЛОЯТИ</v>
      </c>
      <c r="F44" s="79"/>
      <c r="G44" s="79"/>
      <c r="H44" s="80">
        <f>IFERROR(INDEX(Ввод!$AA$6:$AA$19,MATCH(SMALL(Ввод!$AG$6:$AG$19,2),Ввод!$AG$6:$AG$19,0)),"")</f>
        <v>0</v>
      </c>
      <c r="I44" s="80"/>
    </row>
    <row r="45" spans="1:9" ht="15" customHeight="1" x14ac:dyDescent="0.25">
      <c r="A45" s="77" t="str">
        <f>IFERROR(INDEX(Ввод!$B$6:$B$19,MATCH(LARGE(Ввод!$AG$6:$AG$19,3),Ввод!$AG$6:$AG$19,0)),"")</f>
        <v>СИРДАРЁ ВИЛОЯТИ</v>
      </c>
      <c r="B45" s="77"/>
      <c r="C45" s="78">
        <f>IFERROR(INDEX(Ввод!$AA$6:$AA$19,MATCH(LARGE(Ввод!$AG$6:$AG$19,3),Ввод!$AG$6:$AG$19,0)),"")</f>
        <v>0.58823529411764708</v>
      </c>
      <c r="D45" s="78"/>
      <c r="E45" s="79" t="str">
        <f>IFERROR(INDEX(Ввод!$B$6:$B$19,MATCH(SMALL(Ввод!$AG$6:$AG$19,3),Ввод!$AG$6:$AG$19,0)),"")</f>
        <v>ТОШКЕНТ ВИЛОЯТИ</v>
      </c>
      <c r="F45" s="79"/>
      <c r="G45" s="79"/>
      <c r="H45" s="80">
        <f>IFERROR(INDEX(Ввод!$AA$6:$AA$19,MATCH(SMALL(Ввод!$AG$6:$AG$19,3),Ввод!$AG$6:$AG$19,0)),"")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2"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Ввод!$Y$20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Ввод!$N$6</f>
        <v>0</v>
      </c>
      <c r="L9" s="37">
        <f>Ввод!$Y$6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Ввод!$N$7</f>
        <v>0</v>
      </c>
      <c r="L10" s="37">
        <f>Ввод!$Y$7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Ввод!$N$8</f>
        <v>19</v>
      </c>
      <c r="L11" s="37">
        <f>Ввод!$Y$8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Ввод!$N$9</f>
        <v>18</v>
      </c>
      <c r="L12" s="37">
        <f>Ввод!$Y$9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Ввод!$N$10</f>
        <v>4</v>
      </c>
      <c r="L13" s="37">
        <f>Ввод!$Y$10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Ввод!$N$11</f>
        <v>1</v>
      </c>
      <c r="L14" s="37">
        <f>Ввод!$Y$11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Ввод!$N$12</f>
        <v>30</v>
      </c>
      <c r="L15" s="37">
        <f>Ввод!$Y$12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Ввод!$N$13</f>
        <v>15</v>
      </c>
      <c r="L16" s="37">
        <f>Ввод!$Y$13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Ввод!$N$14</f>
        <v>1</v>
      </c>
      <c r="L17" s="37">
        <f>Ввод!$Y$14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Ввод!$N$15</f>
        <v>2</v>
      </c>
      <c r="L18" s="37">
        <f>Ввод!$Y$15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Ввод!$N$16</f>
        <v>0</v>
      </c>
      <c r="L19" s="37">
        <f>Ввод!$Y$16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Ввод!$N$17</f>
        <v>0</v>
      </c>
      <c r="L20" s="37">
        <f>Ввод!$Y$17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Ввод!$N$18</f>
        <v>0</v>
      </c>
      <c r="L21" s="37">
        <f>Ввод!$Y$18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Ввод!$N$19</f>
        <v>6</v>
      </c>
      <c r="L22" s="37">
        <f>Ввод!$Y$19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/>
      <c r="B30" s="89"/>
      <c r="C30" s="89"/>
    </row>
    <row r="31" spans="1:14" ht="15" customHeight="1" x14ac:dyDescent="0.25">
      <c r="A31" s="41"/>
      <c r="B31" s="41"/>
      <c r="C31" s="41"/>
    </row>
    <row r="32" spans="1:14" ht="15" customHeight="1" x14ac:dyDescent="0.25">
      <c r="A32" s="42"/>
      <c r="B32" s="43"/>
      <c r="C32" s="44"/>
    </row>
    <row r="33" spans="1:7" ht="15" customHeight="1" x14ac:dyDescent="0.25">
      <c r="A33" s="42"/>
      <c r="B33" s="43"/>
      <c r="C33" s="44"/>
    </row>
    <row r="34" spans="1:7" ht="15" customHeight="1" x14ac:dyDescent="0.25">
      <c r="A34" s="42"/>
      <c r="B34" s="43"/>
      <c r="C34" s="44"/>
    </row>
    <row r="35" spans="1:7" ht="15" customHeight="1" x14ac:dyDescent="0.25">
      <c r="A35" s="42"/>
      <c r="B35" s="43"/>
      <c r="C35" s="44"/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>
  <dimension ref="A1:K42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БУХОРО ВИЛОЯТИ</t>
        </is>
      </c>
      <c r="C3" s="98" t="inlineStr">
        <is>
          <t xml:space="preserve">Дозвон</t>
        </is>
      </c>
      <c r="D3" s="98" t="inlineStr">
        <is>
          <t xml:space="preserve">Кр-99063147-1</t>
        </is>
      </c>
      <c r="E3" s="98" t="inlineStr">
        <is>
          <t xml:space="preserve">YUSUPOV TALGAT RAVILEVICH</t>
        </is>
      </c>
      <c r="F3" s="98" t="inlineStr">
        <is>
          <t xml:space="preserve">+998934589950 SMS O’ZI, 998504052350 SMS AYOLI, 998936202480 SMS QIZI, 998936560151 SMS ONASI,</t>
        </is>
      </c>
      <c r="G3" s="98" t="inlineStr">
        <is>
          <t xml:space="preserve">5-СОН ГАФУР ГУЛОМ НОМЛИ МФЙ, ИФТИХОР КУЧАСИ,  32-UY</t>
        </is>
      </c>
      <c r="H3" s="99">
        <v>8.0</v>
      </c>
      <c r="I3" s="99">
        <v>8437576.39</v>
      </c>
      <c r="J3" s="99">
        <v>8437576.39</v>
      </c>
      <c r="K3" s="98" t="inlineStr">
        <is>
          <t xml:space="preserve">To'ladi</t>
        </is>
      </c>
    </row>
    <row r="4">
      <c r="A4" s="98" t="inlineStr">
        <is>
          <t xml:space="preserve">БУХОРО ВИЛОЯТИ</t>
        </is>
      </c>
      <c r="C4" s="98" t="inlineStr">
        <is>
          <t xml:space="preserve">Дозвон</t>
        </is>
      </c>
      <c r="D4" s="98" t="inlineStr">
        <is>
          <t xml:space="preserve">Кр-99038186-1</t>
        </is>
      </c>
      <c r="E4" s="98" t="inlineStr">
        <is>
          <t xml:space="preserve">SA’DULLAYEVA ROXILLA SADULLO QIZI</t>
        </is>
      </c>
      <c r="F4" s="98" t="inlineStr">
        <is>
          <t xml:space="preserve">998933094290 SMS OZI, 998993803457 SMS QUDASI, 998990943457 SMS SINGLISI,</t>
        </is>
      </c>
      <c r="G4" s="98" t="inlineStr">
        <is>
          <t xml:space="preserve">BUXORO VILOYATI BUXORO TUMANI, QALQO QISHLOG'I, 4-MUYILISH, 8-UY </t>
        </is>
      </c>
      <c r="H4" s="99">
        <v>1.0</v>
      </c>
      <c r="I4" s="99">
        <v>7600197.61</v>
      </c>
      <c r="J4" s="99">
        <v>7600197.61</v>
      </c>
      <c r="K4" s="98" t="inlineStr">
        <is>
          <t xml:space="preserve">To'ladi</t>
        </is>
      </c>
    </row>
    <row r="5">
      <c r="A5" s="98" t="inlineStr">
        <is>
          <t xml:space="preserve">БУХОРО ВИЛОЯТИ</t>
        </is>
      </c>
      <c r="C5" s="98" t="inlineStr">
        <is>
          <t xml:space="preserve">Обещал</t>
        </is>
      </c>
      <c r="D5" s="98" t="inlineStr">
        <is>
          <t xml:space="preserve">Кр-99036711-1</t>
        </is>
      </c>
      <c r="E5" s="98" t="inlineStr">
        <is>
          <t xml:space="preserve">ERGASHOV ALISHER NARZULLAYEVICH</t>
        </is>
      </c>
      <c r="F5" s="98" t="inlineStr">
        <is>
          <t xml:space="preserve">998934784464 SMS O’ZI, 998939569626 SMS OTASI, 998931571911 SMS ONASI, 998930052290 SMS SINGLISI ,</t>
        </is>
      </c>
      <c r="G5" s="98" t="inlineStr">
        <is>
          <t xml:space="preserve">BUXORO VILOYATI, QORAKO'L TUMANI, ISTIQLOL MFY, YANGI QISHLOQ KO'CHASI, 15-UY</t>
        </is>
      </c>
      <c r="H5" s="99">
        <v>1.0</v>
      </c>
      <c r="I5" s="99">
        <v>5020948.32</v>
      </c>
      <c r="K5" s="98" t="inlineStr">
        <is>
          <t xml:space="preserve">Va'da berdi | ertaga anq tulaydi</t>
        </is>
      </c>
    </row>
    <row r="6">
      <c r="A6" s="98" t="inlineStr">
        <is>
          <t xml:space="preserve">БУХОРО ВИЛОЯТИ</t>
        </is>
      </c>
      <c r="C6" s="98" t="inlineStr">
        <is>
          <t xml:space="preserve">Обещал</t>
        </is>
      </c>
      <c r="D6" s="98" t="inlineStr">
        <is>
          <t xml:space="preserve">Кр-99028153-4</t>
        </is>
      </c>
      <c r="E6" s="98" t="inlineStr">
        <is>
          <t xml:space="preserve">GOIPOV EL’BRUS RAXMADOVICH</t>
        </is>
      </c>
      <c r="F6" s="98" t="inlineStr">
        <is>
          <t xml:space="preserve">94-120-61-31 SMS OZI, 94-219-60-83  SMS AYOLI, 94-782-03-28  OGLI (бегана), 94-382-28-11 SMS QIZI,</t>
        </is>
      </c>
      <c r="G6" s="98" t="inlineStr">
        <is>
          <t xml:space="preserve">BUXORO VILOYATI OLOT TUMANI XIDREYLI MFY 141-UY</t>
        </is>
      </c>
      <c r="H6" s="99">
        <v>8.0</v>
      </c>
      <c r="I6" s="99">
        <v>4961647.17</v>
      </c>
      <c r="K6" s="98" t="inlineStr">
        <is>
          <t xml:space="preserve">Va'da berdi</t>
        </is>
      </c>
    </row>
    <row r="7">
      <c r="A7" s="98" t="inlineStr">
        <is>
          <t xml:space="preserve">БУХОРО ВИЛОЯТИ</t>
        </is>
      </c>
      <c r="C7" s="98" t="inlineStr">
        <is>
          <t xml:space="preserve">Обещал</t>
        </is>
      </c>
      <c r="D7" s="98" t="inlineStr">
        <is>
          <t xml:space="preserve">Кр-99034426-1</t>
        </is>
      </c>
      <c r="E7" s="98" t="inlineStr">
        <is>
          <t xml:space="preserve">AZIZOV ILXOM BAXTIYAROVICH</t>
        </is>
      </c>
      <c r="F7" s="98" t="inlineStr">
        <is>
          <t xml:space="preserve">998905146560 SMS OZI, 998907121044 SMS AYOLI, 998938741010 SMS OTASI, 998936421010 SMS ONASI, 998936421010 толовчичи шодиёр,</t>
        </is>
      </c>
      <c r="G7" s="98" t="inlineStr">
        <is>
          <t xml:space="preserve">BUXORO VILOYATI BUXORO SHAHAR TOJIQARAYEV MFY 61-UY</t>
        </is>
      </c>
      <c r="H7" s="99">
        <v>1.0</v>
      </c>
      <c r="I7" s="99">
        <v>4692523.66</v>
      </c>
      <c r="K7" s="98" t="inlineStr">
        <is>
          <t xml:space="preserve">Va'da berdi | ertaga</t>
        </is>
      </c>
    </row>
    <row r="8">
      <c r="A8" s="98" t="inlineStr">
        <is>
          <t xml:space="preserve">БУХОРО ВИЛОЯТИ</t>
        </is>
      </c>
      <c r="C8" s="98" t="inlineStr">
        <is>
          <t xml:space="preserve">Обещал</t>
        </is>
      </c>
      <c r="D8" s="98" t="inlineStr">
        <is>
          <t xml:space="preserve">Кр-99062677-2</t>
        </is>
      </c>
      <c r="E8" s="98" t="inlineStr">
        <is>
          <t xml:space="preserve">POCHCHOYEVA ZULAYXO TOLIBJONOVNA</t>
        </is>
      </c>
      <c r="F8" s="98" t="inlineStr">
        <is>
          <t xml:space="preserve">+998932594485 SMS O’ZI, 998952224447 SMS ERI, 998992304600 SMS QAYNONASI, 998995554600 SMS QAYNOTA, 998939564485 узи 2,</t>
        </is>
      </c>
      <c r="G8" s="98" t="inlineStr">
        <is>
          <t xml:space="preserve">BUXORO VILOYAT JONDOR TUMAN IBN SINO MFY ASBOBSOZ KO’CHA 130-UY</t>
        </is>
      </c>
      <c r="H8" s="99">
        <v>8.0</v>
      </c>
      <c r="I8" s="99">
        <v>4269476.86</v>
      </c>
      <c r="K8" s="98" t="inlineStr">
        <is>
          <t xml:space="preserve">Va'da berdi | JUMA KUNI TOLOV QLAMN OYLI TUWADI DEDI</t>
        </is>
      </c>
    </row>
    <row r="9">
      <c r="A9" s="98" t="inlineStr">
        <is>
          <t xml:space="preserve">БУХОРО ВИЛОЯТИ</t>
        </is>
      </c>
      <c r="C9" s="98" t="inlineStr">
        <is>
          <t xml:space="preserve">Обещал</t>
        </is>
      </c>
      <c r="D9" s="98" t="inlineStr">
        <is>
          <t xml:space="preserve">Кр-99018891-5</t>
        </is>
      </c>
      <c r="E9" s="98" t="inlineStr">
        <is>
          <t xml:space="preserve">FAXILLOYEVA MOXINUR FOZILOVNA</t>
        </is>
      </c>
      <c r="F9" s="98" t="inlineStr">
        <is>
          <t xml:space="preserve">97-306-16-10  SMS OZI, 90-513-05-03 SMS  ERI, 97-854-75-48  SMS QAYNONA, 91-411-91-88  SMS QAYNOTA, 50-578-16-10 SMS UZI2,</t>
        </is>
      </c>
      <c r="G9" s="98" t="inlineStr">
        <is>
          <t xml:space="preserve">BUXORO VILOYATI BUXORO TUMANI NOVMETAN QFY </t>
        </is>
      </c>
      <c r="H9" s="99">
        <v>8.0</v>
      </c>
      <c r="I9" s="99">
        <v>4132073.32</v>
      </c>
      <c r="K9" s="98" t="inlineStr">
        <is>
          <t xml:space="preserve">Va'da berdi | bugun tolov qladi 5 gaca filialga borb</t>
        </is>
      </c>
    </row>
    <row r="10">
      <c r="A10" s="98" t="inlineStr">
        <is>
          <t xml:space="preserve">БУХОРО ВИЛОЯТИ</t>
        </is>
      </c>
      <c r="C10" s="98" t="inlineStr">
        <is>
          <t xml:space="preserve">Обещал</t>
        </is>
      </c>
      <c r="D10" s="98" t="inlineStr">
        <is>
          <t xml:space="preserve">Кр-99033022-1</t>
        </is>
      </c>
      <c r="E10" s="98" t="inlineStr">
        <is>
          <t xml:space="preserve">ASKAROV SHOHBOZ ULUG’BEKOVICH</t>
        </is>
      </c>
      <c r="F10" s="98" t="inlineStr">
        <is>
          <t xml:space="preserve">998944219181 SMS OIZ, 998796441812 SMS OZI 2, 998931971731 SMS AYOLI,</t>
        </is>
      </c>
      <c r="G10" s="98" t="inlineStr">
        <is>
          <t xml:space="preserve">TOSHKENT SHAHAR,  YANGIHAYOT TUMANI,  YANGI DARXON MFY, NAVRO'Z KOCHASI 16-UY</t>
        </is>
      </c>
      <c r="H10" s="99">
        <v>8.0</v>
      </c>
      <c r="I10" s="99">
        <v>3155149.22</v>
      </c>
      <c r="K10" s="98" t="inlineStr">
        <is>
          <t xml:space="preserve">Va'da berdi | JUMA KUNI TOLOV QLAMN OYLI TUWADI DEDI</t>
        </is>
      </c>
    </row>
    <row r="11">
      <c r="A11" s="98" t="inlineStr">
        <is>
          <t xml:space="preserve">БУХОРО ВИЛОЯТИ</t>
        </is>
      </c>
      <c r="C11" s="98" t="inlineStr">
        <is>
          <t xml:space="preserve">Дозвон</t>
        </is>
      </c>
      <c r="D11" s="98" t="inlineStr">
        <is>
          <t xml:space="preserve">Кр-99040789-2</t>
        </is>
      </c>
      <c r="E11" s="98" t="inlineStr">
        <is>
          <t xml:space="preserve">DJURAYEVA SHAXINABONU ERKIN QIZI</t>
        </is>
      </c>
      <c r="F11" s="98" t="inlineStr">
        <is>
          <t xml:space="preserve">+998882100226 SMS O’ZI, 998772011384 SMS ONASI, 998991035070 SMS OTASI, 998997982977 SMS ZALAGADATEL,</t>
        </is>
      </c>
      <c r="G11" s="98" t="inlineStr">
        <is>
          <t xml:space="preserve">Уртачул МФЙ, Урта-Чул қишлоғи, 26-уй</t>
        </is>
      </c>
      <c r="H11" s="99">
        <v>8.0</v>
      </c>
      <c r="I11" s="99">
        <v>3150032.52</v>
      </c>
      <c r="J11" s="99">
        <v>3150032.52</v>
      </c>
      <c r="K11" s="98" t="inlineStr">
        <is>
          <t xml:space="preserve">To'ladi</t>
        </is>
      </c>
    </row>
    <row r="12">
      <c r="A12" s="98" t="inlineStr">
        <is>
          <t xml:space="preserve">БУХОРО ВИЛОЯТИ</t>
        </is>
      </c>
      <c r="C12" s="98" t="inlineStr">
        <is>
          <t xml:space="preserve">Обещал</t>
        </is>
      </c>
      <c r="D12" s="98" t="inlineStr">
        <is>
          <t xml:space="preserve">Кр-99038162-1</t>
        </is>
      </c>
      <c r="E12" s="98" t="inlineStr">
        <is>
          <t xml:space="preserve">DJAMOLOV BOBIR BAHRIDDINOVICH</t>
        </is>
      </c>
      <c r="F12" s="98" t="inlineStr">
        <is>
          <t xml:space="preserve">998914174488 SMS OZI, 998914182244 SMS OZI, 998934225600 SMS O’G’LI Бехруз шу номерга қилинсин, 998930807508 SMS O’G’LI,</t>
        </is>
      </c>
      <c r="G12" s="98" t="inlineStr">
        <is>
          <t xml:space="preserve">BUXORO VILOYATI, VOBKENT TUMANI, ROZMOZ MFY, ELACH KO'CHASI, 4-UY</t>
        </is>
      </c>
      <c r="H12" s="99">
        <v>1.0</v>
      </c>
      <c r="I12" s="99">
        <v>2825554.48</v>
      </c>
      <c r="K12" s="98" t="inlineStr">
        <is>
          <t xml:space="preserve">Va'da berdi | bugun tulaydi</t>
        </is>
      </c>
    </row>
    <row r="13">
      <c r="A13" s="98" t="inlineStr">
        <is>
          <t xml:space="preserve">БУХОРО ВИЛОЯТИ</t>
        </is>
      </c>
      <c r="C13" s="98" t="inlineStr">
        <is>
          <t xml:space="preserve">Обещал</t>
        </is>
      </c>
      <c r="D13" s="98" t="inlineStr">
        <is>
          <t xml:space="preserve">Кр-99037180-2</t>
        </is>
      </c>
      <c r="E13" s="98" t="inlineStr">
        <is>
          <t xml:space="preserve">YULDASHEVA DILNOZA FAXRIDINOVNA</t>
        </is>
      </c>
      <c r="F13" s="98" t="inlineStr">
        <is>
          <t xml:space="preserve">998914076943 SMS OZI, 998907441349 SMS ERI , 998941250707 SMS JIYANI, 998507056161 SMS AMAKISI, +998914076943 SMS O’ZI,</t>
        </is>
      </c>
      <c r="G13" s="98" t="inlineStr">
        <is>
          <t xml:space="preserve">ИСТИКБОЛ МФЙ, ШУРОБОД, 67-УЙ</t>
        </is>
      </c>
      <c r="H13" s="99">
        <v>8.0</v>
      </c>
      <c r="I13" s="99">
        <v>2736915.38</v>
      </c>
      <c r="K13" s="98" t="inlineStr">
        <is>
          <t xml:space="preserve">Va'da berdi | bugun tulaydi</t>
        </is>
      </c>
    </row>
    <row r="14">
      <c r="A14" s="98" t="inlineStr">
        <is>
          <t xml:space="preserve">БУХОРО ВИЛОЯТИ</t>
        </is>
      </c>
      <c r="C14" s="98" t="inlineStr">
        <is>
          <t xml:space="preserve">Обещал</t>
        </is>
      </c>
      <c r="D14" s="98" t="inlineStr">
        <is>
          <t xml:space="preserve">Кр-99033611-1</t>
        </is>
      </c>
      <c r="E14" s="98" t="inlineStr">
        <is>
          <t xml:space="preserve">ELMURODOVA ZEBINISO ODILOVNA</t>
        </is>
      </c>
      <c r="F14" s="98" t="inlineStr">
        <is>
          <t xml:space="preserve">998939904907 SMS O’ZI, 998939983008 SMS ERI, 998943754907 SMS OTASI, 998931374907 SMS O’G’LI, 998501888730 SMS ERI 2, 998501204758  to'lovchi,</t>
        </is>
      </c>
      <c r="G14" s="98" t="inlineStr">
        <is>
          <t xml:space="preserve">BUXORO VILOYATI SHOFIRKON TUMANI PATTAXON MFY, YANGIOBOD q-q, 18-UY</t>
        </is>
      </c>
      <c r="H14" s="99">
        <v>1.0</v>
      </c>
      <c r="I14" s="99">
        <v>2701930.7</v>
      </c>
      <c r="K14" s="98" t="inlineStr">
        <is>
          <t xml:space="preserve">Va'da berdi | 18 sida tolaydi</t>
        </is>
      </c>
    </row>
    <row r="15">
      <c r="A15" s="98" t="inlineStr">
        <is>
          <t xml:space="preserve">БУХОРО ВИЛОЯТИ</t>
        </is>
      </c>
      <c r="C15" s="98" t="inlineStr">
        <is>
          <t xml:space="preserve">Обещал</t>
        </is>
      </c>
      <c r="D15" s="98" t="inlineStr">
        <is>
          <t xml:space="preserve">Кр-99048166-1</t>
        </is>
      </c>
      <c r="E15" s="98" t="inlineStr">
        <is>
          <t xml:space="preserve">KURBANOV DILMUROD TUYMURADOVICH</t>
        </is>
      </c>
      <c r="F15" s="98" t="inlineStr">
        <is>
          <t xml:space="preserve">+998936859009 SMS O’ZI, 998505100034 SMS QIZI, 998931361133 SMS O’G’LI, 998956001133 SMS AYOLI,</t>
        </is>
      </c>
      <c r="G15" s="98" t="inlineStr">
        <is>
          <t xml:space="preserve">BUXORO VILOYATI, BUXORO SHAHAR, IBN SINO MFY, BAHOUDDIN NAQSH BAND KO’CHASI,197-UY, 91-XONADON</t>
        </is>
      </c>
      <c r="H15" s="99">
        <v>8.0</v>
      </c>
      <c r="I15" s="99">
        <v>2505488.03</v>
      </c>
      <c r="K15" s="98" t="inlineStr">
        <is>
          <t xml:space="preserve">Va'da berdi</t>
        </is>
      </c>
    </row>
    <row r="16">
      <c r="A16" s="98" t="inlineStr">
        <is>
          <t xml:space="preserve">БУХОРО ВИЛОЯТИ</t>
        </is>
      </c>
      <c r="C16" s="98" t="inlineStr">
        <is>
          <t xml:space="preserve">Обещал</t>
        </is>
      </c>
      <c r="D16" s="98" t="inlineStr">
        <is>
          <t xml:space="preserve">Кр-99039939-1</t>
        </is>
      </c>
      <c r="E16" s="98" t="inlineStr">
        <is>
          <t xml:space="preserve">TUXTAYEVA NARGIZA JURAYEVNA</t>
        </is>
      </c>
      <c r="F16" s="98" t="inlineStr">
        <is>
          <t xml:space="preserve">998918365488 SMS OZI, 998903407973 SMS ONASI, 998331951802 SMS ERI, 998994452534 SMS UY,</t>
        </is>
      </c>
      <c r="G16" s="98" t="inlineStr">
        <is>
          <t xml:space="preserve">BUXORO VILOYATI BUXORO SHAHAR FOSHUN MFY ALPOMISH KO'CHASI, 17/3 UY, 10-XONADON</t>
        </is>
      </c>
      <c r="H16" s="99">
        <v>8.0</v>
      </c>
      <c r="I16" s="99">
        <v>2408716.9</v>
      </c>
      <c r="K16" s="98" t="inlineStr">
        <is>
          <t xml:space="preserve">Va'da berdi</t>
        </is>
      </c>
    </row>
    <row r="17">
      <c r="A17" s="98" t="inlineStr">
        <is>
          <t xml:space="preserve">БУХОРО ВИЛОЯТИ</t>
        </is>
      </c>
      <c r="C17" s="98" t="inlineStr">
        <is>
          <t xml:space="preserve">Обещал</t>
        </is>
      </c>
      <c r="D17" s="98" t="inlineStr">
        <is>
          <t xml:space="preserve">Кр-99033006-2</t>
        </is>
      </c>
      <c r="E17" s="98" t="inlineStr">
        <is>
          <t xml:space="preserve">AMIRQULOV AZIZBEK FARXOD O’G’LI</t>
        </is>
      </c>
      <c r="F17" s="98" t="inlineStr">
        <is>
          <t xml:space="preserve">998943206655 SMS O’ZI , 998930065166 SMS AKASI, 998940514494 SMS UKASI,</t>
        </is>
      </c>
      <c r="G17" s="98" t="inlineStr">
        <is>
          <t xml:space="preserve">BUXORO VILOYATI KORAKO’L TUMANI DARG’ALI MFY OQG’UN QISHLOG’I 22-UY</t>
        </is>
      </c>
      <c r="H17" s="99">
        <v>13.0</v>
      </c>
      <c r="I17" s="99">
        <v>2230158.71</v>
      </c>
      <c r="K17" s="98" t="inlineStr">
        <is>
          <t xml:space="preserve">Va'da berdi | ozi kotarmadi akasi ozm toliman 2 kunda dedi</t>
        </is>
      </c>
    </row>
    <row r="18">
      <c r="A18" s="98" t="inlineStr">
        <is>
          <t xml:space="preserve">БУХОРО ВИЛОЯТИ</t>
        </is>
      </c>
      <c r="C18" s="98" t="inlineStr">
        <is>
          <t xml:space="preserve">Обещал</t>
        </is>
      </c>
      <c r="D18" s="98" t="inlineStr">
        <is>
          <t xml:space="preserve">Кр-99062595-1</t>
        </is>
      </c>
      <c r="E18" s="98" t="inlineStr">
        <is>
          <t xml:space="preserve">NORQULOV HAYOT XODJIYEVICH</t>
        </is>
      </c>
      <c r="F18" s="98" t="inlineStr">
        <is>
          <t xml:space="preserve">998907109550 SMS OZI, 998907119550 SMS AYOLI, 998902980454 SMS DOSTI, 998919369550 SMS UY,</t>
        </is>
      </c>
      <c r="G18" s="98" t="inlineStr">
        <is>
          <t xml:space="preserve">BUXORO VILOYATI BUXORO SHAHAR 19-SONLI FAYZULLA XO'JAYEV NOMLI MFY, SHODLIK KO'CHASI</t>
        </is>
      </c>
      <c r="H18" s="99">
        <v>8.0</v>
      </c>
      <c r="I18" s="99">
        <v>2213446.39</v>
      </c>
      <c r="K18" s="98" t="inlineStr">
        <is>
          <t xml:space="preserve">Va'da berdi | ertaga anq tolov qladi filialga borb</t>
        </is>
      </c>
    </row>
    <row r="19">
      <c r="A19" s="98" t="inlineStr">
        <is>
          <t xml:space="preserve">БУХОРО ВИЛОЯТИ</t>
        </is>
      </c>
      <c r="C19" s="98" t="inlineStr">
        <is>
          <t xml:space="preserve">Обещал</t>
        </is>
      </c>
      <c r="D19" s="98" t="inlineStr">
        <is>
          <t xml:space="preserve">Кр-99019690-5</t>
        </is>
      </c>
      <c r="E19" s="98" t="inlineStr">
        <is>
          <t xml:space="preserve">HAYDAROV FURQAT RAXMATILLOYEVICH</t>
        </is>
      </c>
      <c r="F19" s="98" t="inlineStr">
        <is>
          <t xml:space="preserve">97-488-07-66  SMS O'ZI, 88-301-90-93  SMS AKASI, 97-296-06-93  SMS UY, 93-841-53-50  SMS AYOLI, 998505999203 SMS O'ZI2,</t>
        </is>
      </c>
      <c r="G19" s="98" t="inlineStr">
        <is>
          <t xml:space="preserve">BUXORO VILOYAT BUXORO SHAHRI BESHKAPPA KO'CHASI 106 UY</t>
        </is>
      </c>
      <c r="H19" s="99">
        <v>8.0</v>
      </c>
      <c r="I19" s="99">
        <v>2186873.8</v>
      </c>
      <c r="K19" s="98" t="inlineStr">
        <is>
          <t xml:space="preserve">Va'da berdi | OZI KOTARMADI UYDIGILANI TELI UCHGAN TGDAN YOZDM BUGUN TOLOV QLAMAN FILIALDAGI NMIRON BN GAPLAWGANMAN DEDI</t>
        </is>
      </c>
    </row>
    <row r="20">
      <c r="A20" s="98" t="inlineStr">
        <is>
          <t xml:space="preserve">БУХОРО ВИЛОЯТИ</t>
        </is>
      </c>
      <c r="C20" s="98" t="inlineStr">
        <is>
          <t xml:space="preserve">Дозвон</t>
        </is>
      </c>
      <c r="D20" s="98" t="inlineStr">
        <is>
          <t xml:space="preserve">Кр-99062944-1</t>
        </is>
      </c>
      <c r="E20" s="98" t="inlineStr">
        <is>
          <t xml:space="preserve">SAMIYEV DOSTONBEK TAVAKKALZODA</t>
        </is>
      </c>
      <c r="F20" s="98" t="inlineStr">
        <is>
          <t xml:space="preserve">+998882814800 SMS O’ZI, 998505068777 SMS UKASI, 998883064800 SMS UKASI, 998883440311 SMS ONASI,</t>
        </is>
      </c>
      <c r="G20" s="98" t="inlineStr">
        <is>
          <t xml:space="preserve">BUXORO VILOYATI SHOFIRKON TUMANI G’ULOMTE MFY G’ULOMTE QISHLOG’I</t>
        </is>
      </c>
      <c r="H20" s="99">
        <v>8.0</v>
      </c>
      <c r="I20" s="99">
        <v>2105616.6</v>
      </c>
      <c r="J20" s="99">
        <v>2105616.6</v>
      </c>
      <c r="K20" s="98" t="inlineStr">
        <is>
          <t xml:space="preserve">To'ladi | filialga naxt tolangan</t>
        </is>
      </c>
    </row>
    <row r="21">
      <c r="A21" s="98" t="inlineStr">
        <is>
          <t xml:space="preserve">БУХОРО ВИЛОЯТИ</t>
        </is>
      </c>
      <c r="C21" s="98" t="inlineStr">
        <is>
          <t xml:space="preserve">Обещал</t>
        </is>
      </c>
      <c r="D21" s="98" t="inlineStr">
        <is>
          <t xml:space="preserve">Кр-99041320-3</t>
        </is>
      </c>
      <c r="E21" s="98" t="inlineStr">
        <is>
          <t xml:space="preserve">SHODIYEV ULUG’BEK SALIMOVICH</t>
        </is>
      </c>
      <c r="F21" s="98" t="inlineStr">
        <is>
          <t xml:space="preserve">+998914431901 sms o’zi, 998907119935 sms onasi, 998912408206 sms ayoli, 998914471901 sms o’zi 2,</t>
        </is>
      </c>
      <c r="G21" s="98" t="inlineStr">
        <is>
          <t xml:space="preserve">Бухарская область, Гиждуванский район, Соктари МСГ, Соктари, дом 239</t>
        </is>
      </c>
      <c r="H21" s="99">
        <v>8.0</v>
      </c>
      <c r="I21" s="99">
        <v>2084855.96</v>
      </c>
      <c r="K21" s="98" t="inlineStr">
        <is>
          <t xml:space="preserve">Va'da berdi | avans tuwadi 2kunda toliman dedi</t>
        </is>
      </c>
    </row>
    <row r="22">
      <c r="A22" s="98" t="inlineStr">
        <is>
          <t xml:space="preserve">БУХОРО ВИЛОЯТИ</t>
        </is>
      </c>
      <c r="C22" s="98" t="inlineStr">
        <is>
          <t xml:space="preserve">Обещал</t>
        </is>
      </c>
      <c r="D22" s="98" t="inlineStr">
        <is>
          <t xml:space="preserve">Кр-99063975-1</t>
        </is>
      </c>
      <c r="E22" s="98" t="inlineStr">
        <is>
          <t xml:space="preserve">QUZIYEV MAQSUD HIKMATULLOYEVICH</t>
        </is>
      </c>
      <c r="F22" s="98" t="inlineStr">
        <is>
          <t xml:space="preserve">998912463904 SINGLISI, 998933147491 AYOLI, 998996229992 O’ZI,</t>
        </is>
      </c>
      <c r="G22" s="98" t="inlineStr">
        <is>
          <t xml:space="preserve">SDFC</t>
        </is>
      </c>
      <c r="H22" s="99">
        <v>8.0</v>
      </c>
      <c r="I22" s="99">
        <v>2059464.53</v>
      </c>
      <c r="K22" s="98" t="inlineStr">
        <is>
          <t xml:space="preserve">Va'da berdi</t>
        </is>
      </c>
    </row>
    <row r="23">
      <c r="A23" s="98" t="inlineStr">
        <is>
          <t xml:space="preserve">БУХОРО ВИЛОЯТИ</t>
        </is>
      </c>
      <c r="C23" s="98" t="inlineStr">
        <is>
          <t xml:space="preserve">Обещал</t>
        </is>
      </c>
      <c r="D23" s="98" t="inlineStr">
        <is>
          <t xml:space="preserve">Кр-99040399-1</t>
        </is>
      </c>
      <c r="E23" s="98" t="inlineStr">
        <is>
          <t xml:space="preserve">FATULLOYEV RIXSILLO SAYFULLA O’G’LI</t>
        </is>
      </c>
      <c r="F23" s="98" t="inlineStr">
        <is>
          <t xml:space="preserve">+998933163138 SMS O’ZI, 998933019922 SMS AKASI, 998934553785 SMS OTASI, 998943129933 SMS YANGASI,</t>
        </is>
      </c>
      <c r="G23" s="98" t="inlineStr">
        <is>
          <t xml:space="preserve">Бухарская область, Жондоpский район, Жамият МСГ, Шамширгарон, дом 309/1</t>
        </is>
      </c>
      <c r="H23" s="99">
        <v>8.0</v>
      </c>
      <c r="I23" s="99">
        <v>1856810.47</v>
      </c>
      <c r="K23" s="98" t="inlineStr">
        <is>
          <t xml:space="preserve">Va'da berdi</t>
        </is>
      </c>
    </row>
    <row r="24">
      <c r="A24" s="98" t="inlineStr">
        <is>
          <t xml:space="preserve">БУХОРО ВИЛОЯТИ</t>
        </is>
      </c>
      <c r="C24" s="98" t="inlineStr">
        <is>
          <t xml:space="preserve">Обещал</t>
        </is>
      </c>
      <c r="D24" s="98" t="inlineStr">
        <is>
          <t xml:space="preserve">Кр-99057620-1</t>
        </is>
      </c>
      <c r="E24" s="98" t="inlineStr">
        <is>
          <t xml:space="preserve">SADRIDDINOV SAVRIDDIN HUSNIDDIN O’G’LI</t>
        </is>
      </c>
      <c r="F24" s="98" t="inlineStr">
        <is>
          <t xml:space="preserve">998997027515 SMS UZI, 998906367515 SMS OTASI, 998997077515 SMS ONASI, 998918087515 SMS AKASI,</t>
        </is>
      </c>
      <c r="G24" s="98" t="inlineStr">
        <is>
          <t xml:space="preserve">BUXORO VILOYATI VOBKENT TUMANI KO'LXATIB MFY, NAVOIY KO'CHASI, 4-UY </t>
        </is>
      </c>
      <c r="H24" s="99">
        <v>8.0</v>
      </c>
      <c r="I24" s="99">
        <v>1845061.77</v>
      </c>
      <c r="K24" s="98" t="inlineStr">
        <is>
          <t xml:space="preserve">Va'da berdi | 16 SIDA OYLI TUWAD</t>
        </is>
      </c>
    </row>
    <row r="25">
      <c r="A25" s="98" t="inlineStr">
        <is>
          <t xml:space="preserve">БУХОРО ВИЛОЯТИ</t>
        </is>
      </c>
      <c r="C25" s="98" t="inlineStr">
        <is>
          <t xml:space="preserve">Обещал</t>
        </is>
      </c>
      <c r="D25" s="98" t="inlineStr">
        <is>
          <t xml:space="preserve">Кр-99047434-2</t>
        </is>
      </c>
      <c r="E25" s="98" t="inlineStr">
        <is>
          <t xml:space="preserve">UMRZOQOV FAXRIDDIN AXMEDJONOVICH</t>
        </is>
      </c>
      <c r="F25" s="98" t="inlineStr">
        <is>
          <t xml:space="preserve">998959754272 O`ZI, 998941220757 AYOLI, 998945457562 DO`STI, 998959754272 uzi, 998941220757 ayoli, 998945457562 dosti,</t>
        </is>
      </c>
      <c r="G25" s="98" t="inlineStr">
        <is>
          <t xml:space="preserve">Бухоро шахар коракул тумани Мустакиллик 50 уй</t>
        </is>
      </c>
      <c r="H25" s="99">
        <v>8.0</v>
      </c>
      <c r="I25" s="99">
        <v>1815275.28</v>
      </c>
      <c r="K25" s="98" t="inlineStr">
        <is>
          <t xml:space="preserve">Va'da berdi</t>
        </is>
      </c>
    </row>
    <row r="26">
      <c r="A26" s="98" t="inlineStr">
        <is>
          <t xml:space="preserve">БУХОРО ВИЛОЯТИ</t>
        </is>
      </c>
      <c r="C26" s="98" t="inlineStr">
        <is>
          <t xml:space="preserve">Обещал</t>
        </is>
      </c>
      <c r="D26" s="98" t="inlineStr">
        <is>
          <t xml:space="preserve">Кр-99038109-1</t>
        </is>
      </c>
      <c r="E26" s="98" t="inlineStr">
        <is>
          <t xml:space="preserve">QO’YLIYEV SARDOR SATTOR O’G’LI</t>
        </is>
      </c>
      <c r="F26" s="98" t="inlineStr">
        <is>
          <t xml:space="preserve">998885546677 SMS OZI, 998954741616 SMS AKASI, 998990748047 SMS OPASI, 998883041232 SMS UYI,</t>
        </is>
      </c>
      <c r="G26" s="98" t="inlineStr">
        <is>
          <t xml:space="preserve">BUXORO VILOYATI KOGON TUMANI, NIYOZ HOJI MFY, VADAN QISHLOG'I 88-UY </t>
        </is>
      </c>
      <c r="H26" s="99">
        <v>1.0</v>
      </c>
      <c r="I26" s="99">
        <v>1763754.28</v>
      </c>
      <c r="K26" s="98" t="inlineStr">
        <is>
          <t xml:space="preserve">Va'da berdi | sewanba kun oylik tuwadi tolov qlaman dedi</t>
        </is>
      </c>
    </row>
    <row r="27">
      <c r="A27" s="98" t="inlineStr">
        <is>
          <t xml:space="preserve">БУХОРО ВИЛОЯТИ</t>
        </is>
      </c>
      <c r="C27" s="98" t="inlineStr">
        <is>
          <t xml:space="preserve">Обещал</t>
        </is>
      </c>
      <c r="D27" s="98" t="inlineStr">
        <is>
          <t xml:space="preserve">Кр-99041716-1</t>
        </is>
      </c>
      <c r="E27" s="98" t="inlineStr">
        <is>
          <t xml:space="preserve">ODINAYEV ASLON AZIMOVICH</t>
        </is>
      </c>
      <c r="F27" s="98" t="inlineStr">
        <is>
          <t xml:space="preserve">+998872504057 SMS O’ZI, 998905122625 SMS DO’STI, 998912479697 SMS O’G’LI, 998978588778 SMS O’G’LI 2, 998882802662 yangi nomer o'zi,</t>
        </is>
      </c>
      <c r="G27" s="98" t="inlineStr">
        <is>
          <t xml:space="preserve">Убачули МФЙ, Мевазор кучаси, 96-уй</t>
        </is>
      </c>
      <c r="H27" s="99">
        <v>8.0</v>
      </c>
      <c r="I27" s="99">
        <v>1724153.68</v>
      </c>
      <c r="K27" s="98" t="inlineStr">
        <is>
          <t xml:space="preserve">Va'da berdi</t>
        </is>
      </c>
    </row>
    <row r="28">
      <c r="A28" s="98" t="inlineStr">
        <is>
          <t xml:space="preserve">БУХОРО ВИЛОЯТИ</t>
        </is>
      </c>
      <c r="C28" s="98" t="inlineStr">
        <is>
          <t xml:space="preserve">Обещал</t>
        </is>
      </c>
      <c r="D28" s="98" t="inlineStr">
        <is>
          <t xml:space="preserve">Кр-99031584-1</t>
        </is>
      </c>
      <c r="E28" s="98" t="inlineStr">
        <is>
          <t xml:space="preserve">NOROVA IRODA NE’MATOVNA</t>
        </is>
      </c>
      <c r="F28" s="98" t="inlineStr">
        <is>
          <t xml:space="preserve">90-809-45-45  SMS O'ZI, 93-372-19-81  SMS QIZI MAFTUNA, 50-758-04-06  SMS QIZI MAHSUDA tanimidi, 91-016-68-42  SMS ONASI, 950378185 opchasi, 998774080081 узи  ,</t>
        </is>
      </c>
      <c r="G28" s="98" t="inlineStr">
        <is>
          <t xml:space="preserve">BUXORO VILOYATI QORAKO’L TUMANI TASHABBUS MFY ADXAM / YUNUSOBOD TUMANI  2-MAVZE 31-UY 45-XONADON </t>
        </is>
      </c>
      <c r="H28" s="99">
        <v>8.0</v>
      </c>
      <c r="I28" s="99">
        <v>1670536.4</v>
      </c>
      <c r="K28" s="98" t="inlineStr">
        <is>
          <t xml:space="preserve">Va'da berdi</t>
        </is>
      </c>
    </row>
    <row r="29">
      <c r="A29" s="98" t="inlineStr">
        <is>
          <t xml:space="preserve">БУХОРО ВИЛОЯТИ</t>
        </is>
      </c>
      <c r="C29" s="98" t="inlineStr">
        <is>
          <t xml:space="preserve">Обещал</t>
        </is>
      </c>
      <c r="D29" s="98" t="inlineStr">
        <is>
          <t xml:space="preserve">Кр-99063280-1</t>
        </is>
      </c>
      <c r="E29" s="98" t="inlineStr">
        <is>
          <t xml:space="preserve">QURBONOV XUSHVAQT G’ULOMOVICH</t>
        </is>
      </c>
      <c r="F29" s="98" t="inlineStr">
        <is>
          <t xml:space="preserve">+998914177518 SMS O’ZI, 998990454555 SMS AYOLI, 998993454441 SMS DO’STI,</t>
        </is>
      </c>
      <c r="G29" s="98" t="inlineStr">
        <is>
          <t xml:space="preserve">OLOT TUMANI</t>
        </is>
      </c>
      <c r="H29" s="99">
        <v>8.0</v>
      </c>
      <c r="I29" s="99">
        <v>1535825.03</v>
      </c>
      <c r="K29" s="98" t="inlineStr">
        <is>
          <t xml:space="preserve">Va'da berdi | BUGUN TOLAYDI</t>
        </is>
      </c>
    </row>
    <row r="30">
      <c r="A30" s="98" t="inlineStr">
        <is>
          <t xml:space="preserve">БУХОРО ВИЛОЯТИ</t>
        </is>
      </c>
      <c r="C30" s="98" t="inlineStr">
        <is>
          <t xml:space="preserve">Обещал</t>
        </is>
      </c>
      <c r="D30" s="98" t="inlineStr">
        <is>
          <t xml:space="preserve">Кр-99062864-1</t>
        </is>
      </c>
      <c r="E30" s="98" t="inlineStr">
        <is>
          <t xml:space="preserve">MAXMUDOV ALIAKBAR SAIDJONOVICH</t>
        </is>
      </c>
      <c r="F30" s="98" t="inlineStr">
        <is>
          <t xml:space="preserve">+998900650514 SMS, 998507103377 SMS UY, 998905128669 SMS AYOLI,</t>
        </is>
      </c>
      <c r="G30" s="98" t="inlineStr">
        <is>
          <t xml:space="preserve">BUXORO VILOYATI BUXORO SHAHAR AVSHORMAHALLA MFY 77-UY</t>
        </is>
      </c>
      <c r="H30" s="99">
        <v>8.0</v>
      </c>
      <c r="I30" s="99">
        <v>1516902.03</v>
      </c>
      <c r="K30" s="98" t="inlineStr">
        <is>
          <t xml:space="preserve">Va'da berdi | BUGUN TOLAYDI</t>
        </is>
      </c>
    </row>
    <row r="31">
      <c r="A31" s="98" t="inlineStr">
        <is>
          <t xml:space="preserve">БУХОРО ВИЛОЯТИ</t>
        </is>
      </c>
      <c r="C31" s="98" t="inlineStr">
        <is>
          <t xml:space="preserve">Дозвон</t>
        </is>
      </c>
      <c r="D31" s="98" t="inlineStr">
        <is>
          <t xml:space="preserve">Кр-99040456-1</t>
        </is>
      </c>
      <c r="E31" s="98" t="inlineStr">
        <is>
          <t xml:space="preserve">TEMIROV NODIRBEK G’OLIBJON OG’LI</t>
        </is>
      </c>
      <c r="F31" s="98" t="inlineStr">
        <is>
          <t xml:space="preserve">998902981307 SMS OZI, 998995556077 SMS AMAKISI, 998918381398 SMS OTASI, 998906110811 SMS ONASI,</t>
        </is>
      </c>
      <c r="G31" s="98" t="inlineStr">
        <is>
          <t xml:space="preserve">BUXORO VILOYATI G'IJDUVON TUMANI ZARANGARI MFY, BO'LAKIYON QISHLOG'I 36-UY </t>
        </is>
      </c>
      <c r="H31" s="99">
        <v>8.0</v>
      </c>
      <c r="I31" s="99">
        <v>1432784.75</v>
      </c>
      <c r="J31" s="99">
        <v>1432784.75</v>
      </c>
      <c r="K31" s="98" t="inlineStr">
        <is>
          <t xml:space="preserve">To'ladi | filialga</t>
        </is>
      </c>
    </row>
    <row r="32">
      <c r="A32" s="98" t="inlineStr">
        <is>
          <t xml:space="preserve">БУХОРО ВИЛОЯТИ</t>
        </is>
      </c>
      <c r="C32" s="98" t="inlineStr">
        <is>
          <t xml:space="preserve">Обещал</t>
        </is>
      </c>
      <c r="D32" s="98" t="inlineStr">
        <is>
          <t xml:space="preserve">Кр-99032591-1</t>
        </is>
      </c>
      <c r="E32" s="98" t="inlineStr">
        <is>
          <t xml:space="preserve">BOZOROV DILSHOD OLIM O’G’LI</t>
        </is>
      </c>
      <c r="F32" s="98" t="inlineStr">
        <is>
          <t xml:space="preserve">998995853782 SMS O’G’LI, 998940186667 SMS AYOLI(BEGONA), 998938997077 SMS ONASI, 998930831515 SMS HAMKASBI бегона ,</t>
        </is>
      </c>
      <c r="G32" s="98" t="inlineStr">
        <is>
          <t xml:space="preserve">BUXORO VILOYATI ROMITAN TUMANI O'TABEK MFY, PITMON q-q, 6-uy</t>
        </is>
      </c>
      <c r="I32" s="99">
        <v>1298935.71</v>
      </c>
      <c r="K32" s="98" t="inlineStr">
        <is>
          <t xml:space="preserve">Va'da berdi | erta tolov qladi</t>
        </is>
      </c>
    </row>
    <row r="33">
      <c r="A33" s="98" t="inlineStr">
        <is>
          <t xml:space="preserve">БУХОРО ВИЛОЯТИ</t>
        </is>
      </c>
      <c r="C33" s="98" t="inlineStr">
        <is>
          <t xml:space="preserve">Обещал</t>
        </is>
      </c>
      <c r="D33" s="98" t="inlineStr">
        <is>
          <t xml:space="preserve">Кр-99019690-4</t>
        </is>
      </c>
      <c r="E33" s="98" t="inlineStr">
        <is>
          <t xml:space="preserve">HAYDAROV FURQAT RAXMATILLOYEVICH</t>
        </is>
      </c>
      <c r="F33" s="98" t="inlineStr">
        <is>
          <t xml:space="preserve">97-488-07-66  SMS O'ZI, 88-301-90-93  SMS AKASI, 97-296-06-93  SMS UY, 93-841-53-50  SMS AYOLI, 998505999203 SMS O'ZI2,</t>
        </is>
      </c>
      <c r="G33" s="98" t="inlineStr">
        <is>
          <t xml:space="preserve">BUXORO VILOYAT BUXORO SHAHRI BESHKAPPA KO'CHASI 106 UY</t>
        </is>
      </c>
      <c r="H33" s="99">
        <v>11.0</v>
      </c>
      <c r="I33" s="99">
        <v>1212298.85</v>
      </c>
      <c r="K33" s="98" t="inlineStr">
        <is>
          <t xml:space="preserve">Va'da berdi | OZI KOTARMADI UYDIGILANI TELI UCHGAN TGDAN YOZDM BUGUN TOLOV QLAMAN FILIALDAGI NMIRON BN GAPLAWGANMAN DEDI</t>
        </is>
      </c>
    </row>
    <row r="34">
      <c r="A34" s="98" t="inlineStr">
        <is>
          <t xml:space="preserve">БУХОРО ВИЛОЯТИ</t>
        </is>
      </c>
      <c r="C34" s="98" t="inlineStr">
        <is>
          <t xml:space="preserve">Обещал</t>
        </is>
      </c>
      <c r="D34" s="98" t="inlineStr">
        <is>
          <t xml:space="preserve">Кр-99019690-6</t>
        </is>
      </c>
      <c r="E34" s="98" t="inlineStr">
        <is>
          <t xml:space="preserve">HAYDAROV FURQAT RAXMATILLOYEVICH</t>
        </is>
      </c>
      <c r="F34" s="98" t="inlineStr">
        <is>
          <t xml:space="preserve">97-488-07-66  SMS O'ZI, 88-301-90-93  SMS AKASI, 97-296-06-93  SMS UY, 93-841-53-50  SMS AYOLI, 998505999203 SMS O'ZI2,</t>
        </is>
      </c>
      <c r="G34" s="98" t="inlineStr">
        <is>
          <t xml:space="preserve">BUXORO VILOYAT BUXORO SHAHRI BESHKAPPA KO'CHASI 106 UY</t>
        </is>
      </c>
      <c r="H34" s="99">
        <v>8.0</v>
      </c>
      <c r="I34" s="99">
        <v>1137499.19</v>
      </c>
      <c r="K34" s="98" t="inlineStr">
        <is>
          <t xml:space="preserve">Va'da berdi | OZI KOTARMADI UYDIGILANI TELI UCHGAN TGDAN YOZDM BUGUN TOLOV QLAMAN FILIALDAGI NMIRON BN GAPLAWGANMAN DEDI</t>
        </is>
      </c>
    </row>
    <row r="35">
      <c r="A35" s="98" t="inlineStr">
        <is>
          <t xml:space="preserve">БУХОРО ВИЛОЯТИ</t>
        </is>
      </c>
      <c r="C35" s="98" t="inlineStr">
        <is>
          <t xml:space="preserve">Дозвон</t>
        </is>
      </c>
      <c r="D35" s="98" t="inlineStr">
        <is>
          <t xml:space="preserve">Кр-99049403-1</t>
        </is>
      </c>
      <c r="E35" s="98" t="inlineStr">
        <is>
          <t xml:space="preserve">NAVRO’ZOV AZIZBEK HAYDAROVICH</t>
        </is>
      </c>
      <c r="F35" s="98" t="inlineStr">
        <is>
          <t xml:space="preserve">+998882827877 SMS O’ZI, 998914030464 SMS ONASI, 998936515100 SMS AKASI, 998973056003 SMS AKASI,</t>
        </is>
      </c>
      <c r="G35" s="98" t="inlineStr">
        <is>
          <t xml:space="preserve">BUXORO VILOYATI BUXORO TUMANI RABOTAK MFY YANGIOBOD KO’CHASI 118-UY</t>
        </is>
      </c>
      <c r="H35" s="99">
        <v>8.0</v>
      </c>
      <c r="I35" s="99">
        <v>1118758.28</v>
      </c>
      <c r="J35" s="99">
        <v>1118758.28</v>
      </c>
      <c r="K35" s="98" t="inlineStr">
        <is>
          <t xml:space="preserve">To'ladi</t>
        </is>
      </c>
    </row>
    <row r="36">
      <c r="A36" s="98" t="inlineStr">
        <is>
          <t xml:space="preserve">БУХОРО ВИЛОЯТИ</t>
        </is>
      </c>
      <c r="C36" s="98" t="inlineStr">
        <is>
          <t xml:space="preserve">Обещал</t>
        </is>
      </c>
      <c r="D36" s="98" t="inlineStr">
        <is>
          <t xml:space="preserve">Кр-99036367-2</t>
        </is>
      </c>
      <c r="E36" s="98" t="inlineStr">
        <is>
          <t xml:space="preserve">BEHBUDOV ASLBEK RIZAMATOVICH</t>
        </is>
      </c>
      <c r="F36" s="98" t="inlineStr">
        <is>
          <t xml:space="preserve">+998947812907 SMS O’ZI, 998914462869 SMS OTASI, 998948795777 SMS JIYANI, 998997034797 SMS ONASI,</t>
        </is>
      </c>
      <c r="G36" s="98" t="inlineStr">
        <is>
          <t xml:space="preserve">BUXORO VILOYATI QORAKO’L TUMANI KUYI JANPAR 101-UY</t>
        </is>
      </c>
      <c r="H36" s="99">
        <v>8.0</v>
      </c>
      <c r="I36" s="99">
        <v>1113123.3</v>
      </c>
      <c r="K36" s="98" t="inlineStr">
        <is>
          <t xml:space="preserve">Va'da berdi | 20 09 CIDA TOLIDI</t>
        </is>
      </c>
    </row>
    <row r="37">
      <c r="A37" s="98" t="inlineStr">
        <is>
          <t xml:space="preserve">БУХОРО ВИЛОЯТИ</t>
        </is>
      </c>
      <c r="C37" s="98" t="inlineStr">
        <is>
          <t xml:space="preserve">Дозвон</t>
        </is>
      </c>
      <c r="D37" s="98" t="inlineStr">
        <is>
          <t xml:space="preserve">Кр-99057614-1</t>
        </is>
      </c>
      <c r="E37" s="98" t="inlineStr">
        <is>
          <t xml:space="preserve">RASULOV XAKIM RO’ZIYEVICH</t>
        </is>
      </c>
      <c r="F37" s="98" t="inlineStr">
        <is>
          <t xml:space="preserve">998914413241 SMS UZI, 998943434898 SMS UGLI, 998914158714 SMS TURMUSH O'RTOG'I, 998919256826 ozi2,</t>
        </is>
      </c>
      <c r="G37" s="98" t="inlineStr">
        <is>
          <t xml:space="preserve">NAVOIY VILOYATI,KOMNIMEX TUMANI,YUKSALISH MFY,CHORDARA QISHLOG'I,37 UY</t>
        </is>
      </c>
      <c r="H37" s="99">
        <v>8.0</v>
      </c>
      <c r="I37" s="99">
        <v>1007128.85</v>
      </c>
      <c r="J37" s="99">
        <v>1007128.85</v>
      </c>
      <c r="K37" s="98" t="inlineStr">
        <is>
          <t xml:space="preserve">To'ladi</t>
        </is>
      </c>
    </row>
    <row r="38">
      <c r="A38" s="98" t="inlineStr">
        <is>
          <t xml:space="preserve">БУХОРО ВИЛОЯТИ</t>
        </is>
      </c>
      <c r="C38" s="98" t="inlineStr">
        <is>
          <t xml:space="preserve">Обещал</t>
        </is>
      </c>
      <c r="D38" s="98" t="inlineStr">
        <is>
          <t xml:space="preserve">Кр-99049211-1</t>
        </is>
      </c>
      <c r="E38" s="98" t="inlineStr">
        <is>
          <t xml:space="preserve">ADIZOV AZAMAT SHOYIMOVICH</t>
        </is>
      </c>
      <c r="F38" s="98" t="inlineStr">
        <is>
          <t xml:space="preserve">998940642993 SMS JIYANI, 998942218131 SMS O’ZI, 998978055824 SMS UKASI, 998999767786 SMS AYOLI,</t>
        </is>
      </c>
      <c r="G38" s="98" t="inlineStr">
        <is>
          <t xml:space="preserve">GULISTON, DOM 56</t>
        </is>
      </c>
      <c r="H38" s="99">
        <v>8.0</v>
      </c>
      <c r="I38" s="99">
        <v>721276.55</v>
      </c>
      <c r="K38" s="98" t="inlineStr">
        <is>
          <t xml:space="preserve">Va'da berdi | filial bilan  gaplawdim dedi</t>
        </is>
      </c>
    </row>
    <row r="39">
      <c r="A39" s="98" t="inlineStr">
        <is>
          <t xml:space="preserve">БУХОРО ВИЛОЯТИ</t>
        </is>
      </c>
      <c r="C39" s="98" t="inlineStr">
        <is>
          <t xml:space="preserve">Обещал</t>
        </is>
      </c>
      <c r="D39" s="98" t="inlineStr">
        <is>
          <t xml:space="preserve">Кр-99044175-1</t>
        </is>
      </c>
      <c r="E39" s="98" t="inlineStr">
        <is>
          <t xml:space="preserve">MURODOV MUROD UMAR O’G’LI</t>
        </is>
      </c>
      <c r="F39" s="98" t="inlineStr">
        <is>
          <t xml:space="preserve">+998995624067 SMS O’ZI, 998914450878 SMS DO’STI, 998918384026 SMS ONASI, 998948893111 SMS DO’STI,</t>
        </is>
      </c>
      <c r="G39" s="98" t="inlineStr">
        <is>
          <t xml:space="preserve">Паноб МФЙ, Янги ҳаёт қишлоғи, 138-уй</t>
        </is>
      </c>
      <c r="I39" s="99">
        <v>559713.31</v>
      </c>
      <c r="K39" s="98" t="inlineStr">
        <is>
          <t xml:space="preserve">Va'da berdi | bugun</t>
        </is>
      </c>
    </row>
    <row r="40">
      <c r="A40" s="98" t="inlineStr">
        <is>
          <t xml:space="preserve">БУХОРО ВИЛОЯТИ</t>
        </is>
      </c>
      <c r="C40" s="98" t="inlineStr">
        <is>
          <t xml:space="preserve">Обещал</t>
        </is>
      </c>
      <c r="D40" s="98" t="inlineStr">
        <is>
          <t xml:space="preserve">Кр-99062840-2</t>
        </is>
      </c>
      <c r="E40" s="98" t="inlineStr">
        <is>
          <t xml:space="preserve">DAVRONOV SOBIR KAMOLOVICH</t>
        </is>
      </c>
      <c r="F40" s="98" t="inlineStr">
        <is>
          <t xml:space="preserve">998934608944 UKASI, 998936850790 AYOLI, 998945177590 O’ZI 2 NOMERI, 998935690790 uzi new SMS,</t>
        </is>
      </c>
      <c r="G40" s="98" t="inlineStr">
        <is>
          <t xml:space="preserve">G’IJDUVON TUMANI</t>
        </is>
      </c>
      <c r="H40" s="99">
        <v>8.0</v>
      </c>
      <c r="I40" s="99">
        <v>477080.45</v>
      </c>
      <c r="K40" s="98" t="inlineStr">
        <is>
          <t xml:space="preserve">Va'da berdi | bu navoiy viloyati</t>
        </is>
      </c>
    </row>
    <row r="41">
      <c r="A41" s="98" t="inlineStr">
        <is>
          <t xml:space="preserve">БУХОРО ВИЛОЯТИ</t>
        </is>
      </c>
      <c r="C41" s="98" t="inlineStr">
        <is>
          <t xml:space="preserve">Дозвон</t>
        </is>
      </c>
      <c r="D41" s="98" t="inlineStr">
        <is>
          <t xml:space="preserve">Кр-99035271-1</t>
        </is>
      </c>
      <c r="E41" s="98" t="inlineStr">
        <is>
          <t xml:space="preserve">ERGASHEV MADAT MAXMUDOVICH</t>
        </is>
      </c>
      <c r="F41" s="98" t="inlineStr">
        <is>
          <t xml:space="preserve">998951410082 SMS O’ZI begona, 998883078283 SMS AYOLI, 998939756160 SMS ONASI, 998880830140 SMS UY, 998882854888 узи, 998879650920 кизи,</t>
        </is>
      </c>
      <c r="G41" s="98" t="inlineStr">
        <is>
          <t xml:space="preserve">BUXORO VILOYATI SHOFIRKON TUMANI, XO'JA ORIF MFY, XO'JA ORIF KO'CHASI, 201-UY </t>
        </is>
      </c>
      <c r="H41" s="99">
        <v>1.0</v>
      </c>
      <c r="I41" s="99">
        <v>54.48</v>
      </c>
      <c r="J41" s="99">
        <v>54.48</v>
      </c>
      <c r="K41" s="98" t="inlineStr">
        <is>
          <t xml:space="preserve">To'ladi</t>
        </is>
      </c>
    </row>
    <row r="42">
      <c r="A42" s="100" t="inlineStr">
        <is>
          <t xml:space="preserve">ЖИЗЗАХ ВИЛОЯТИ</t>
        </is>
      </c>
      <c r="C42" s="100" t="inlineStr">
        <is>
          <t xml:space="preserve">Обещал</t>
        </is>
      </c>
      <c r="D42" s="100" t="inlineStr">
        <is>
          <t xml:space="preserve">Кр-99047637-1</t>
        </is>
      </c>
      <c r="E42" s="100" t="inlineStr">
        <is>
          <t xml:space="preserve">AZIMOV ASADBEK OTABEK O’G’LI</t>
        </is>
      </c>
      <c r="F42" s="100" t="inlineStr">
        <is>
          <t xml:space="preserve">+998905382222 SMS NOMER, 998971120007 SMS O’ZI, 998991937773 begonA EKAN,</t>
        </is>
      </c>
      <c r="G42" s="100" t="inlineStr">
        <is>
          <t xml:space="preserve">JIZZAX VILOYATI JIZZAX SHAHRI TURON MFY   SAYILJOYI KUCHASI 21-UY</t>
        </is>
      </c>
      <c r="H42" s="101">
        <v>71.0</v>
      </c>
      <c r="I42" s="101">
        <v>19927076.38</v>
      </c>
      <c r="K42" s="100" t="inlineStr">
        <is>
          <t xml:space="preserve">Va'da berdi | ertaga yopadi</t>
        </is>
      </c>
    </row>
    <row r="43">
      <c r="A43" s="100" t="inlineStr">
        <is>
          <t xml:space="preserve">ЖИЗЗАХ ВИЛОЯТИ</t>
        </is>
      </c>
      <c r="C43" s="100" t="inlineStr">
        <is>
          <t xml:space="preserve">Обещал</t>
        </is>
      </c>
      <c r="D43" s="100" t="inlineStr">
        <is>
          <t xml:space="preserve">Кр-99060448-1</t>
        </is>
      </c>
      <c r="E43" s="100" t="inlineStr">
        <is>
          <t xml:space="preserve">MAMIROVA ZEBO ZOIROVNA</t>
        </is>
      </c>
      <c r="F43" s="100" t="inlineStr">
        <is>
          <t xml:space="preserve">998779762227 SMS OZI, 998938244230 SMS AYOLI, 998906432211 SMS UKASI,</t>
        </is>
      </c>
      <c r="G43" s="100" t="inlineStr">
        <is>
          <t xml:space="preserve">JIZZAX VILOYATI SHAROF RASHIDOV TUMANI YAXTANLIK MFY GUZAL KOCHASI 52-UY</t>
        </is>
      </c>
      <c r="H43" s="101">
        <v>11.0</v>
      </c>
      <c r="I43" s="101">
        <v>11697427.0</v>
      </c>
      <c r="K43" s="100" t="inlineStr">
        <is>
          <t xml:space="preserve">Va'da berdi | wu hafta tolaydi</t>
        </is>
      </c>
    </row>
    <row r="44">
      <c r="A44" s="100" t="inlineStr">
        <is>
          <t xml:space="preserve">ЖИЗЗАХ ВИЛОЯТИ</t>
        </is>
      </c>
      <c r="C44" s="100" t="inlineStr">
        <is>
          <t xml:space="preserve">Обещал</t>
        </is>
      </c>
      <c r="D44" s="100" t="inlineStr">
        <is>
          <t xml:space="preserve">Кр-99027165-3</t>
        </is>
      </c>
      <c r="E44" s="100" t="inlineStr">
        <is>
          <t xml:space="preserve">DJABBAROVA PULATOY SAYFIDDINNOVNA</t>
        </is>
      </c>
      <c r="F44" s="100" t="inlineStr">
        <is>
          <t xml:space="preserve">91-941-83-83  SMS UZI , 93-393-79-09  SMS UZI 2, 94-977-84-58  SMS QAYNONASI , 93-449-77-15  SMS OGLI, 99-079-20-10 SMS UZI new,</t>
        </is>
      </c>
      <c r="G44" s="100" t="inlineStr">
        <is>
          <t xml:space="preserve">JIZZAX VILOYATI  JIZZAX TUMANI QANGLI MFY  CHAVANDOZLAR KUCHASI 13-UY</t>
        </is>
      </c>
      <c r="H44" s="101">
        <v>11.0</v>
      </c>
      <c r="I44" s="101">
        <v>8369851.85</v>
      </c>
      <c r="K44" s="100" t="inlineStr">
        <is>
          <t xml:space="preserve">Va'da berdi | kecgaca tolaydi</t>
        </is>
      </c>
    </row>
    <row r="45">
      <c r="A45" s="100" t="inlineStr">
        <is>
          <t xml:space="preserve">ЖИЗЗАХ ВИЛОЯТИ</t>
        </is>
      </c>
      <c r="C45" s="100" t="inlineStr">
        <is>
          <t xml:space="preserve">Обещал</t>
        </is>
      </c>
      <c r="D45" s="100" t="inlineStr">
        <is>
          <t xml:space="preserve">Кр-99056937-2</t>
        </is>
      </c>
      <c r="E45" s="100" t="inlineStr">
        <is>
          <t xml:space="preserve">RASHIDOVA NASIBA YAKUBOVNA</t>
        </is>
      </c>
      <c r="F45" s="100" t="inlineStr">
        <is>
          <t xml:space="preserve">998889541771 SMS OZI, 998843817712 SMS OZI2, 998974390219 SMS KELINI,</t>
        </is>
      </c>
      <c r="G45" s="100" t="inlineStr">
        <is>
          <t xml:space="preserve">JIZZAX VILOYATI JIZZAX SHAHAR MIRZO ULUG'BEK MAHALLASI 2-UY 10-XONADON</t>
        </is>
      </c>
      <c r="H45" s="101">
        <v>11.0</v>
      </c>
      <c r="I45" s="101">
        <v>8235139.54</v>
      </c>
      <c r="K45" s="100" t="inlineStr">
        <is>
          <t xml:space="preserve">Va'da berdi | bugun tulaydi</t>
        </is>
      </c>
    </row>
    <row r="46">
      <c r="A46" s="100" t="inlineStr">
        <is>
          <t xml:space="preserve">ЖИЗЗАХ ВИЛОЯТИ</t>
        </is>
      </c>
      <c r="C46" s="100" t="inlineStr">
        <is>
          <t xml:space="preserve">Обещал</t>
        </is>
      </c>
      <c r="D46" s="100" t="inlineStr">
        <is>
          <t xml:space="preserve">Кр-99028729-1</t>
        </is>
      </c>
      <c r="E46" s="100" t="inlineStr">
        <is>
          <t xml:space="preserve">AMANOV BUNYOD MUMIN O’G’LI</t>
        </is>
      </c>
      <c r="F46" s="100" t="inlineStr">
        <is>
          <t xml:space="preserve">998991791177 SMS OZI, 998902642879 SMS OPASI, 998509979579 SMS TOLOVCHISI, 998996790117 SMS AYOLI, 998881591177 AYOLI, 998944449556 ONASI,</t>
        </is>
      </c>
      <c r="G46" s="100" t="inlineStr">
        <is>
          <t xml:space="preserve">МУЗБУЛОК МФЙ, МУЗБУЛОК МФЙ, ЛОЙИХАДАГИ,  uy:Р.С</t>
        </is>
      </c>
      <c r="H46" s="101">
        <v>4.0</v>
      </c>
      <c r="I46" s="101">
        <v>6850779.38</v>
      </c>
      <c r="K46" s="100" t="inlineStr">
        <is>
          <t xml:space="preserve">Va'da berdi | kecgaca tolaydi</t>
        </is>
      </c>
    </row>
    <row r="47">
      <c r="A47" s="100" t="inlineStr">
        <is>
          <t xml:space="preserve">ЖИЗЗАХ ВИЛОЯТИ</t>
        </is>
      </c>
      <c r="C47" s="100" t="inlineStr">
        <is>
          <t xml:space="preserve">Обещал</t>
        </is>
      </c>
      <c r="D47" s="100" t="inlineStr">
        <is>
          <t xml:space="preserve">Кр-99062344-1</t>
        </is>
      </c>
      <c r="E47" s="100" t="inlineStr">
        <is>
          <t xml:space="preserve">ALIMOV BAXROM YETMISHOVICH</t>
        </is>
      </c>
      <c r="F47" s="100" t="inlineStr">
        <is>
          <t xml:space="preserve">998959098681 O`ZI, 998959108681 AYOLI, 998956261810 QIZI,</t>
        </is>
      </c>
      <c r="G47" s="100" t="inlineStr">
        <is>
          <t xml:space="preserve">JIZZAX VILOYATI ZARBDOR TUMANI RAVOT MFY PILLAKOR KUCHASI 1-UYI</t>
        </is>
      </c>
      <c r="H47" s="101">
        <v>8.0</v>
      </c>
      <c r="I47" s="101">
        <v>6616631.71</v>
      </c>
      <c r="K47" s="100" t="inlineStr">
        <is>
          <t xml:space="preserve">Va'da berdi | 2kunda tolimn filyaldagilar blan gaplawdm dedi</t>
        </is>
      </c>
    </row>
    <row r="48">
      <c r="A48" s="100" t="inlineStr">
        <is>
          <t xml:space="preserve">ЖИЗЗАХ ВИЛОЯТИ</t>
        </is>
      </c>
      <c r="C48" s="100" t="inlineStr">
        <is>
          <t xml:space="preserve">Дозвон</t>
        </is>
      </c>
      <c r="D48" s="100" t="inlineStr">
        <is>
          <t xml:space="preserve">Кр-99028616-4</t>
        </is>
      </c>
      <c r="E48" s="100" t="inlineStr">
        <is>
          <t xml:space="preserve">MALLAYEV SHUXRAT BOSIMOVICH</t>
        </is>
      </c>
      <c r="F48" s="100" t="inlineStr">
        <is>
          <t xml:space="preserve">93-301-00-66 SMS O'ZI, 93-301-07-54 SMS AYOLI, 93-301-06-96 SMS SIN, 99-245-90-99 SMS SIN 2, 998945450550 Eldor  ogli , 998992169079 tulovchi, 998997563446 tulovchi,</t>
        </is>
      </c>
      <c r="G48" s="100" t="inlineStr">
        <is>
          <t xml:space="preserve">JIZZAX VILOYATI JIZZAX TUMANI QANGLI MFY TARAQLI KUCHASI 13-UY</t>
        </is>
      </c>
      <c r="H48" s="101">
        <v>8.0</v>
      </c>
      <c r="I48" s="101">
        <v>6576640.74</v>
      </c>
      <c r="J48" s="101">
        <v>6576640.74</v>
      </c>
      <c r="K48" s="100" t="inlineStr">
        <is>
          <t xml:space="preserve">To'ladi</t>
        </is>
      </c>
    </row>
    <row r="49">
      <c r="A49" s="100" t="inlineStr">
        <is>
          <t xml:space="preserve">ЖИЗЗАХ ВИЛОЯТИ</t>
        </is>
      </c>
      <c r="C49" s="100" t="inlineStr">
        <is>
          <t xml:space="preserve">Обещал</t>
        </is>
      </c>
      <c r="D49" s="100" t="inlineStr">
        <is>
          <t xml:space="preserve">Кр-99028038-1</t>
        </is>
      </c>
      <c r="E49" s="100" t="inlineStr">
        <is>
          <t xml:space="preserve">XAZRATKULOVA RAYXON TURSUNBAYEVNA</t>
        </is>
      </c>
      <c r="F49" s="100" t="inlineStr">
        <is>
          <t xml:space="preserve">998772725500 SMS OZI, 998951307770 SMS UKASI, 998904928594 SMS ZOLOGATEL,</t>
        </is>
      </c>
      <c r="G49" s="100" t="inlineStr">
        <is>
          <t xml:space="preserve">JIZZAX VILOYATI JIZZAX SHAHRI OBOD MFY XALQLAR DUSTLIGI KUCHASI 101-A UY 23-XONADON</t>
        </is>
      </c>
      <c r="H49" s="101">
        <v>6.0</v>
      </c>
      <c r="I49" s="101">
        <v>5897133.62</v>
      </c>
      <c r="K49" s="100" t="inlineStr">
        <is>
          <t xml:space="preserve">Va'da berdi | ukasi temur bilan gaplawganman dedi</t>
        </is>
      </c>
    </row>
    <row r="50">
      <c r="A50" s="100" t="inlineStr">
        <is>
          <t xml:space="preserve">ЖИЗЗАХ ВИЛОЯТИ</t>
        </is>
      </c>
      <c r="C50" s="100" t="inlineStr">
        <is>
          <t xml:space="preserve">Обещал</t>
        </is>
      </c>
      <c r="D50" s="100" t="inlineStr">
        <is>
          <t xml:space="preserve">Кр-99021925-1</t>
        </is>
      </c>
      <c r="E50" s="100" t="inlineStr">
        <is>
          <t xml:space="preserve">ISMOILOVA NARGIZA ABDUSALIYEVNA</t>
        </is>
      </c>
      <c r="F50" s="100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50" s="100" t="inlineStr">
        <is>
          <t xml:space="preserve">JIZZAX VILOYATI SHAROF RASHIDOV TUMANI QANG'LI QFY ARISHLI MAHALLASI ZIYOKOR KUCHASI 4-UY</t>
        </is>
      </c>
      <c r="H50" s="101">
        <v>1.0</v>
      </c>
      <c r="I50" s="101">
        <v>5112052.46</v>
      </c>
      <c r="K50" s="100" t="inlineStr">
        <is>
          <t xml:space="preserve">Va'da berdi | ertaga tulaydi</t>
        </is>
      </c>
    </row>
    <row r="51">
      <c r="A51" s="100" t="inlineStr">
        <is>
          <t xml:space="preserve">ЖИЗЗАХ ВИЛОЯТИ</t>
        </is>
      </c>
      <c r="C51" s="100" t="inlineStr">
        <is>
          <t xml:space="preserve">Дозвон</t>
        </is>
      </c>
      <c r="D51" s="100" t="inlineStr">
        <is>
          <t xml:space="preserve">Кр-99033288-1</t>
        </is>
      </c>
      <c r="E51" s="100" t="inlineStr">
        <is>
          <t xml:space="preserve">KENJAYEVA MUHABBAT XOLQUZIYEVNA</t>
        </is>
      </c>
      <c r="F51" s="100" t="inlineStr">
        <is>
          <t xml:space="preserve">998995277527 SMS O’ZI, 998932993392 SMS QIZI, 990982993399 SMS KUYOVI,</t>
        </is>
      </c>
      <c r="G51" s="100" t="inlineStr">
        <is>
          <t xml:space="preserve">JIZZAX VILOYATI SH RASHIDOV TUMANI QAHRAMON MFY TURKISTON KUCHASI 42-UY </t>
        </is>
      </c>
      <c r="H51" s="101">
        <v>11.0</v>
      </c>
      <c r="I51" s="101">
        <v>4835015.52</v>
      </c>
      <c r="J51" s="101">
        <v>4835015.52</v>
      </c>
      <c r="K51" s="100" t="inlineStr">
        <is>
          <t xml:space="preserve">To'ladi</t>
        </is>
      </c>
    </row>
    <row r="52">
      <c r="A52" s="100" t="inlineStr">
        <is>
          <t xml:space="preserve">ЖИЗЗАХ ВИЛОЯТИ</t>
        </is>
      </c>
      <c r="C52" s="100" t="inlineStr">
        <is>
          <t xml:space="preserve">Обещал</t>
        </is>
      </c>
      <c r="D52" s="100" t="inlineStr">
        <is>
          <t xml:space="preserve">Кр-99042115-1</t>
        </is>
      </c>
      <c r="E52" s="100" t="inlineStr">
        <is>
          <t xml:space="preserve">MIRZAYEV OYBEK SUNATILLAYEVICH</t>
        </is>
      </c>
      <c r="F52" s="100" t="inlineStr">
        <is>
          <t xml:space="preserve">+998902659695 SMS, 998915909006 SMS, 998974559695 SMS,</t>
        </is>
      </c>
      <c r="G52" s="100" t="inlineStr">
        <is>
          <t xml:space="preserve">JIZZAX VILOYATI SH.RASHIDOV TUMANI TOKCHILIK MFY ZARGARLIK KUCHASI 2-UY</t>
        </is>
      </c>
      <c r="H52" s="101">
        <v>8.0</v>
      </c>
      <c r="I52" s="101">
        <v>4443964.28</v>
      </c>
      <c r="K52" s="100" t="inlineStr">
        <is>
          <t xml:space="preserve">Va'da berdi | bugun kecgaca yopadi</t>
        </is>
      </c>
    </row>
    <row r="53">
      <c r="A53" s="100" t="inlineStr">
        <is>
          <t xml:space="preserve">ЖИЗЗАХ ВИЛОЯТИ</t>
        </is>
      </c>
      <c r="C53" s="100" t="inlineStr">
        <is>
          <t xml:space="preserve">Обещал</t>
        </is>
      </c>
      <c r="D53" s="100" t="inlineStr">
        <is>
          <t xml:space="preserve">Кр-99063504-1</t>
        </is>
      </c>
      <c r="E53" s="100" t="inlineStr">
        <is>
          <t xml:space="preserve">MIRZAYEVA LOBARXON ERGASHEVNA</t>
        </is>
      </c>
      <c r="F53" s="100" t="inlineStr">
        <is>
          <t xml:space="preserve">998933556974 UZI, 998934026974 ERI, 998958832266 TO’LOVCHI,</t>
        </is>
      </c>
      <c r="G53" s="100" t="inlineStr">
        <is>
          <t xml:space="preserve">ТОШКЕСГАН КФЙ, ЛОЙИХАДАГИ КЎЧА,  uy:РАКАМСИЗ</t>
        </is>
      </c>
      <c r="H53" s="101">
        <v>8.0</v>
      </c>
      <c r="I53" s="101">
        <v>4415942.08</v>
      </c>
      <c r="K53" s="100" t="inlineStr">
        <is>
          <t xml:space="preserve">Va'da berdi | ertaga tolaydi</t>
        </is>
      </c>
    </row>
    <row r="54">
      <c r="A54" s="100" t="inlineStr">
        <is>
          <t xml:space="preserve">ЖИЗЗАХ ВИЛОЯТИ</t>
        </is>
      </c>
      <c r="C54" s="100" t="inlineStr">
        <is>
          <t xml:space="preserve">Дозвон</t>
        </is>
      </c>
      <c r="D54" s="100" t="inlineStr">
        <is>
          <t xml:space="preserve">Кр-99040359-1</t>
        </is>
      </c>
      <c r="E54" s="100" t="inlineStr">
        <is>
          <t xml:space="preserve">KOMOLJONOV IXTIYOR BAXTIYOROVICH</t>
        </is>
      </c>
      <c r="F54" s="100" t="inlineStr">
        <is>
          <t xml:space="preserve">998999434941 SMS OZI, 998194149412 SMS OZI2, 998901828688 SMS AYOLI,</t>
        </is>
      </c>
      <c r="G54" s="100" t="inlineStr">
        <is>
          <t xml:space="preserve">JIZZAX VILOYATI JIZZAX TUMANI ZIYOKOR MFY ABDUQAHHOR KUCHASI 42-UY </t>
        </is>
      </c>
      <c r="H54" s="101">
        <v>8.0</v>
      </c>
      <c r="I54" s="101">
        <v>4215460.21</v>
      </c>
      <c r="J54" s="101">
        <v>4215460.21</v>
      </c>
      <c r="K54" s="100" t="inlineStr">
        <is>
          <t xml:space="preserve">To'ladi</t>
        </is>
      </c>
    </row>
    <row r="55">
      <c r="A55" s="100" t="inlineStr">
        <is>
          <t xml:space="preserve">ЖИЗЗАХ ВИЛОЯТИ</t>
        </is>
      </c>
      <c r="C55" s="100" t="inlineStr">
        <is>
          <t xml:space="preserve">Обещал</t>
        </is>
      </c>
      <c r="D55" s="100" t="inlineStr">
        <is>
          <t xml:space="preserve">Кр-99062963-2</t>
        </is>
      </c>
      <c r="E55" s="100" t="inlineStr">
        <is>
          <t xml:space="preserve">RAJABOV BAXODIR BOZARBOYEVICH</t>
        </is>
      </c>
      <c r="F55" s="100" t="inlineStr">
        <is>
          <t xml:space="preserve">998941996644 AYOLI,</t>
        </is>
      </c>
      <c r="G55" s="100" t="inlineStr">
        <is>
          <t xml:space="preserve">Саройлик МФЙ, Эркинлик кучаси, 45-уй</t>
        </is>
      </c>
      <c r="H55" s="101">
        <v>8.0</v>
      </c>
      <c r="I55" s="101">
        <v>4084124.41</v>
      </c>
      <c r="K55" s="100" t="inlineStr">
        <is>
          <t xml:space="preserve">Va'da berdi | erta abetgaca tolaydi</t>
        </is>
      </c>
    </row>
    <row r="56">
      <c r="A56" s="100" t="inlineStr">
        <is>
          <t xml:space="preserve">ЖИЗЗАХ ВИЛОЯТИ</t>
        </is>
      </c>
      <c r="C56" s="100" t="inlineStr">
        <is>
          <t xml:space="preserve">Обещал</t>
        </is>
      </c>
      <c r="D56" s="100" t="inlineStr">
        <is>
          <t xml:space="preserve">Кр-99031840-1</t>
        </is>
      </c>
      <c r="E56" s="100" t="inlineStr">
        <is>
          <t xml:space="preserve">UKTAMOV KOMILJON G’ULOMJON O’G’LI</t>
        </is>
      </c>
      <c r="F56" s="100" t="inlineStr">
        <is>
          <t xml:space="preserve">998947060276 SMS O’ZI, 998996837171 SMS Uzi, 998883472121 SMS AKASI, 998941621146 SMS ONASI,</t>
        </is>
      </c>
      <c r="G56" s="100" t="inlineStr">
        <is>
          <t xml:space="preserve">JIZZAX VILOYATI SH.RASHIDOV TUMANI BUSTON MFY YOSHLIK KUCHASI 3-UY </t>
        </is>
      </c>
      <c r="H56" s="101">
        <v>1.0</v>
      </c>
      <c r="I56" s="101">
        <v>3851979.19</v>
      </c>
      <c r="K56" s="100" t="inlineStr">
        <is>
          <t xml:space="preserve">Va'da berdi | kecgaca tolaydi</t>
        </is>
      </c>
    </row>
    <row r="57">
      <c r="A57" s="100" t="inlineStr">
        <is>
          <t xml:space="preserve">ЖИЗЗАХ ВИЛОЯТИ</t>
        </is>
      </c>
      <c r="C57" s="100" t="inlineStr">
        <is>
          <t xml:space="preserve">Обещал</t>
        </is>
      </c>
      <c r="D57" s="100" t="inlineStr">
        <is>
          <t xml:space="preserve">Кр-99057340-1</t>
        </is>
      </c>
      <c r="E57" s="100" t="inlineStr">
        <is>
          <t xml:space="preserve">SUYUNOVA UMIDA ILHOM QIZI</t>
        </is>
      </c>
      <c r="F57" s="100" t="inlineStr">
        <is>
          <t xml:space="preserve">998995542023 SMS ERI, 998930913798 SMS UZI, 998943461045 SMS UY, 998901020807 SMS Akasi,</t>
        </is>
      </c>
      <c r="G57" s="100" t="inlineStr">
        <is>
          <t xml:space="preserve">JIZZAX VILOYATI MIRZACHO'L TUMANI IPAK YULI QFY YANGI XAYOT KUCHASI 29-UY</t>
        </is>
      </c>
      <c r="H57" s="101">
        <v>8.0</v>
      </c>
      <c r="I57" s="101">
        <v>3789341.31</v>
      </c>
      <c r="K57" s="100" t="inlineStr">
        <is>
          <t xml:space="preserve">Va'da berdi | soat 4da tel qiliw kerak</t>
        </is>
      </c>
    </row>
    <row r="58">
      <c r="A58" s="100" t="inlineStr">
        <is>
          <t xml:space="preserve">ЖИЗЗАХ ВИЛОЯТИ</t>
        </is>
      </c>
      <c r="C58" s="100" t="inlineStr">
        <is>
          <t xml:space="preserve">Обещал</t>
        </is>
      </c>
      <c r="D58" s="100" t="inlineStr">
        <is>
          <t xml:space="preserve">Кр-99003082-6</t>
        </is>
      </c>
      <c r="E58" s="100" t="inlineStr">
        <is>
          <t xml:space="preserve">TO’XTAYEV RASHID RAXMONQULOVICH</t>
        </is>
      </c>
      <c r="F58" s="100" t="inlineStr">
        <is>
          <t xml:space="preserve">998881535010 SMS O’ZI, 998912352020 SMS BEGONA, 998979809700 SMS UKASI, 998915964295 SMS ozi shunga qilinsin ,</t>
        </is>
      </c>
      <c r="G58" s="100" t="inlineStr">
        <is>
          <t xml:space="preserve">JIZZAX VILOYATI SHAROF RASHIDOV TUMANI ZIYOKOR MFY ZIYOKOR KO'CHASI 96-UY</t>
        </is>
      </c>
      <c r="H58" s="101">
        <v>1.0</v>
      </c>
      <c r="I58" s="101">
        <v>3507615.98</v>
      </c>
      <c r="K58" s="100" t="inlineStr">
        <is>
          <t xml:space="preserve">Va'da berdi | ertaga tulaydi</t>
        </is>
      </c>
    </row>
    <row r="59">
      <c r="A59" s="100" t="inlineStr">
        <is>
          <t xml:space="preserve">ЖИЗЗАХ ВИЛОЯТИ</t>
        </is>
      </c>
      <c r="C59" s="100" t="inlineStr">
        <is>
          <t xml:space="preserve">Обещал</t>
        </is>
      </c>
      <c r="D59" s="100" t="inlineStr">
        <is>
          <t xml:space="preserve">Кр-99052135-1</t>
        </is>
      </c>
      <c r="E59" s="100" t="inlineStr">
        <is>
          <t xml:space="preserve">TURAKULOV SIROJIDDIN SUNNAT O’G’LI</t>
        </is>
      </c>
      <c r="F59" s="100" t="inlineStr">
        <is>
          <t xml:space="preserve">998919421111 UY, 998993447700 sms new uz,</t>
        </is>
      </c>
      <c r="G59" s="100" t="inlineStr">
        <is>
          <t xml:space="preserve">ЗИЛОЛ, ЗИЛОЛ, ЯНГИОБОД,  uy:30</t>
        </is>
      </c>
      <c r="H59" s="101">
        <v>12.0</v>
      </c>
      <c r="I59" s="101">
        <v>3447004.57</v>
      </c>
      <c r="K59" s="100" t="inlineStr">
        <is>
          <t xml:space="preserve">Va'da berdi</t>
        </is>
      </c>
    </row>
    <row r="60">
      <c r="A60" s="100" t="inlineStr">
        <is>
          <t xml:space="preserve">ЖИЗЗАХ ВИЛОЯТИ</t>
        </is>
      </c>
      <c r="C60" s="100" t="inlineStr">
        <is>
          <t xml:space="preserve">Обещал</t>
        </is>
      </c>
      <c r="D60" s="100" t="inlineStr">
        <is>
          <t xml:space="preserve">Кр-99034257-1</t>
        </is>
      </c>
      <c r="E60" s="100" t="inlineStr">
        <is>
          <t xml:space="preserve">MURADOV SHOKIRJON ABDULLAYEVICH</t>
        </is>
      </c>
      <c r="F60" s="100" t="inlineStr">
        <is>
          <t xml:space="preserve">998950381202 SMS OZI, 998957986998 SMS SINI, 998933680979 SMS AYOLI, 998991677998 SMS KELINI, 998950240408 SMS O’G’LI TO’LOVCHI,</t>
        </is>
      </c>
      <c r="G60" s="100" t="inlineStr">
        <is>
          <t xml:space="preserve">JIZZAX VILOYATI G’ALLAOROL TUMANI MADANIYAT MFY QANGLIOBOD SHAXARCHASI 265-UY </t>
        </is>
      </c>
      <c r="H60" s="101">
        <v>8.0</v>
      </c>
      <c r="I60" s="101">
        <v>3441012.47</v>
      </c>
      <c r="K60" s="100" t="inlineStr">
        <is>
          <t xml:space="preserve">Va'da berdi | 2kunda toliman dedi</t>
        </is>
      </c>
    </row>
    <row r="61">
      <c r="A61" s="100" t="inlineStr">
        <is>
          <t xml:space="preserve">ЖИЗЗАХ ВИЛОЯТИ</t>
        </is>
      </c>
      <c r="C61" s="100" t="inlineStr">
        <is>
          <t xml:space="preserve">Обещал</t>
        </is>
      </c>
      <c r="D61" s="100" t="inlineStr">
        <is>
          <t xml:space="preserve">Кр-99035229-1</t>
        </is>
      </c>
      <c r="E61" s="100" t="inlineStr">
        <is>
          <t xml:space="preserve">XOJAMBERDIYEVA GULNOZA SHAVKATOVNA</t>
        </is>
      </c>
      <c r="F61" s="100" t="inlineStr">
        <is>
          <t xml:space="preserve">998884843344 SMS ERI , 998992335888 SMS O’ZI, 998883566521 SMS DO’STI, 998932103564 SMS UY, 998933007076 SMS ERI GULNOZANI, 998884814433 tulovchi,</t>
        </is>
      </c>
      <c r="G61" s="100" t="inlineStr">
        <is>
          <t xml:space="preserve">JIZZAX VILOYATI ZARBDOR TUMANI SHODLIK MFY NIHOL KUCHASI 19-UY </t>
        </is>
      </c>
      <c r="H61" s="101">
        <v>4.0</v>
      </c>
      <c r="I61" s="101">
        <v>3418638.32</v>
      </c>
      <c r="K61" s="100" t="inlineStr">
        <is>
          <t xml:space="preserve">Va'da berdi | kecgaca tolaydi</t>
        </is>
      </c>
    </row>
    <row r="62">
      <c r="A62" s="100" t="inlineStr">
        <is>
          <t xml:space="preserve">ЖИЗЗАХ ВИЛОЯТИ</t>
        </is>
      </c>
      <c r="C62" s="100" t="inlineStr">
        <is>
          <t xml:space="preserve">Обещал</t>
        </is>
      </c>
      <c r="D62" s="100" t="inlineStr">
        <is>
          <t xml:space="preserve">Кр-99063773-1</t>
        </is>
      </c>
      <c r="E62" s="100" t="inlineStr">
        <is>
          <t xml:space="preserve">MUHAMADIYEVA GULNORA QIZILOVNA</t>
        </is>
      </c>
      <c r="F62" s="100" t="inlineStr">
        <is>
          <t xml:space="preserve">998911950663 UZI, 998977947748 O’G’LI, 998995406039 O’G’LI,</t>
        </is>
      </c>
      <c r="G62" s="100" t="inlineStr">
        <is>
          <t xml:space="preserve">Жиззахлик МФЙ,  ул.Ш.Рашидов , 24-уй</t>
        </is>
      </c>
      <c r="H62" s="101">
        <v>8.0</v>
      </c>
      <c r="I62" s="101">
        <v>3386877.68</v>
      </c>
      <c r="K62" s="100" t="inlineStr">
        <is>
          <t xml:space="preserve">Va'da berdi | abetgaca tulaydi</t>
        </is>
      </c>
    </row>
    <row r="63">
      <c r="A63" s="100" t="inlineStr">
        <is>
          <t xml:space="preserve">ЖИЗЗАХ ВИЛОЯТИ</t>
        </is>
      </c>
      <c r="C63" s="100" t="inlineStr">
        <is>
          <t xml:space="preserve">Обещал</t>
        </is>
      </c>
      <c r="D63" s="100" t="inlineStr">
        <is>
          <t xml:space="preserve">Кр-99045797-1</t>
        </is>
      </c>
      <c r="E63" s="100" t="inlineStr">
        <is>
          <t xml:space="preserve">QARSHIBAYEV RUSLAN QAXRAMON O’G’LI</t>
        </is>
      </c>
      <c r="F63" s="100" t="inlineStr">
        <is>
          <t xml:space="preserve">+998900251515 SMS, 998902978487 SMS, 998992408778 SMS,</t>
        </is>
      </c>
      <c r="G63" s="100" t="inlineStr">
        <is>
          <t xml:space="preserve">JIZZAX VILOYATI SH.RASHIDOV TUMANI TOSHKENTLIK MFY QATORTOL KUCHASI 7-UY</t>
        </is>
      </c>
      <c r="H63" s="101">
        <v>12.0</v>
      </c>
      <c r="I63" s="101">
        <v>3182278.22</v>
      </c>
      <c r="K63" s="100" t="inlineStr">
        <is>
          <t xml:space="preserve">Va'da berdi | 2kunda tolaydi bowqa viloyatda edi kesin ertaga tolaydi dedi</t>
        </is>
      </c>
    </row>
    <row r="64">
      <c r="A64" s="100" t="inlineStr">
        <is>
          <t xml:space="preserve">ЖИЗЗАХ ВИЛОЯТИ</t>
        </is>
      </c>
      <c r="C64" s="100" t="inlineStr">
        <is>
          <t xml:space="preserve">Обещал</t>
        </is>
      </c>
      <c r="D64" s="100" t="inlineStr">
        <is>
          <t xml:space="preserve">Кр-99039288-1</t>
        </is>
      </c>
      <c r="E64" s="100" t="inlineStr">
        <is>
          <t xml:space="preserve">YAKUBOV BUNYOD NEMATILLAYEVICH</t>
        </is>
      </c>
      <c r="F64" s="100" t="inlineStr">
        <is>
          <t xml:space="preserve">998904878684 SMS OZI, 998886441986 SMS AYOLI, 998932988684 SMS OZI, 998773450986 SMS SINGLISI,</t>
        </is>
      </c>
      <c r="G64" s="100" t="inlineStr">
        <is>
          <t xml:space="preserve">JIZZAX VILOYATI DUSTLIK TUMANI MEVAZOR QFY LOLAZOR KUCHASI 35-UY </t>
        </is>
      </c>
      <c r="H64" s="101">
        <v>13.0</v>
      </c>
      <c r="I64" s="101">
        <v>3181468.04</v>
      </c>
      <c r="K64" s="100" t="inlineStr">
        <is>
          <t xml:space="preserve">Va'da berdi | kecgaca tolaydi</t>
        </is>
      </c>
    </row>
    <row r="65">
      <c r="A65" s="100" t="inlineStr">
        <is>
          <t xml:space="preserve">ЖИЗЗАХ ВИЛОЯТИ</t>
        </is>
      </c>
      <c r="C65" s="100" t="inlineStr">
        <is>
          <t xml:space="preserve">Обещал</t>
        </is>
      </c>
      <c r="D65" s="100" t="inlineStr">
        <is>
          <t xml:space="preserve">Кр-99052894-1</t>
        </is>
      </c>
      <c r="E65" s="100" t="inlineStr">
        <is>
          <t xml:space="preserve">SUVONQULOV SHAXRIYOR MIRZABEK O’G’LI</t>
        </is>
      </c>
      <c r="F65" s="100" t="inlineStr">
        <is>
          <t xml:space="preserve">998943079900 SMS OZI, 998932800094 SMS AKASI, 998938265665 SMS AKASI 2, 999839712506 SMS UKASI,</t>
        </is>
      </c>
      <c r="G65" s="100" t="inlineStr">
        <is>
          <t xml:space="preserve">JIZZAX VILOYATI SHAROF RASHIDOV TUMANI QANG'LI QFY NURAFSHON MFY OBOD KUCHASI 9-UY</t>
        </is>
      </c>
      <c r="H65" s="101">
        <v>8.0</v>
      </c>
      <c r="I65" s="101">
        <v>3034487.46</v>
      </c>
      <c r="K65" s="100" t="inlineStr">
        <is>
          <t xml:space="preserve">Va'da berdi | ertaga abetgaca tolaydi</t>
        </is>
      </c>
    </row>
    <row r="66">
      <c r="A66" s="100" t="inlineStr">
        <is>
          <t xml:space="preserve">ЖИЗЗАХ ВИЛОЯТИ</t>
        </is>
      </c>
      <c r="C66" s="100" t="inlineStr">
        <is>
          <t xml:space="preserve">Обещал</t>
        </is>
      </c>
      <c r="D66" s="100" t="inlineStr">
        <is>
          <t xml:space="preserve">Кр-99055031-1</t>
        </is>
      </c>
      <c r="E66" s="100" t="inlineStr">
        <is>
          <t xml:space="preserve">PARDAYEVA XAFIZA AKRAMOVNA</t>
        </is>
      </c>
      <c r="F66" s="100" t="inlineStr">
        <is>
          <t xml:space="preserve">998995900655 SMS OZI, 998997473110 SMS OZI, 998958160926 SMS O'G'LI,</t>
        </is>
      </c>
      <c r="G66" s="100" t="inlineStr">
        <is>
          <t xml:space="preserve">JIZZAX VILOYATI G'ALLAOROL TUMANI MIRZABULOQ QFY NAYMAN KUCHASI 36-UY</t>
        </is>
      </c>
      <c r="H66" s="101">
        <v>8.0</v>
      </c>
      <c r="I66" s="101">
        <v>3018725.12</v>
      </c>
      <c r="K66" s="100" t="inlineStr">
        <is>
          <t xml:space="preserve">Va'da berdi | kecgaca tolaydi</t>
        </is>
      </c>
    </row>
    <row r="67">
      <c r="A67" s="100" t="inlineStr">
        <is>
          <t xml:space="preserve">ЖИЗЗАХ ВИЛОЯТИ</t>
        </is>
      </c>
      <c r="C67" s="100" t="inlineStr">
        <is>
          <t xml:space="preserve">Обещал</t>
        </is>
      </c>
      <c r="D67" s="100" t="inlineStr">
        <is>
          <t xml:space="preserve">Кр-99036491-1</t>
        </is>
      </c>
      <c r="E67" s="100" t="inlineStr">
        <is>
          <t xml:space="preserve">XAYDAROVA KOMILA ZAYNIDDINOVNA</t>
        </is>
      </c>
      <c r="F67" s="100" t="inlineStr">
        <is>
          <t xml:space="preserve">998973462688 SMS OZI , 998936507904 SMS AYOLI , 998944740513 SMS QIZI, 998338990215 SMS SINGLISI , 998943462688 SMS NEW,</t>
        </is>
      </c>
      <c r="G67" s="100" t="inlineStr">
        <is>
          <t xml:space="preserve">JIZZAX VILOYATI SH.RASHIDOV TUMANI SOVUNGARLIK MFY 11-UY</t>
        </is>
      </c>
      <c r="H67" s="101">
        <v>12.0</v>
      </c>
      <c r="I67" s="101">
        <v>2908627.86</v>
      </c>
      <c r="K67" s="100" t="inlineStr">
        <is>
          <t xml:space="preserve">Va'da berdi | 16gaca tolaydi temur aka bilan gaplawdm dedi</t>
        </is>
      </c>
    </row>
    <row r="68">
      <c r="A68" s="100" t="inlineStr">
        <is>
          <t xml:space="preserve">ЖИЗЗАХ ВИЛОЯТИ</t>
        </is>
      </c>
      <c r="C68" s="100" t="inlineStr">
        <is>
          <t xml:space="preserve">Дозвон</t>
        </is>
      </c>
      <c r="D68" s="100" t="inlineStr">
        <is>
          <t xml:space="preserve">Кр-99039305-1</t>
        </is>
      </c>
      <c r="E68" s="100" t="inlineStr">
        <is>
          <t xml:space="preserve">G’ANIYEV LAZIZ G’ULOM O’G’LI</t>
        </is>
      </c>
      <c r="F68" s="100" t="inlineStr">
        <is>
          <t xml:space="preserve">998952401313 SMS OZI, 998975682026 SMS ONASI, 998915682026 SMS DADASI, 998950895353 SMS UKASI,</t>
        </is>
      </c>
      <c r="G68" s="100" t="inlineStr">
        <is>
          <t xml:space="preserve">JIZZAX VILOYATI SH.RASHIDOV TUMANI SOVUNGARLIK MFY MAROQAND KUCHASI 52-UY </t>
        </is>
      </c>
      <c r="H68" s="101">
        <v>13.0</v>
      </c>
      <c r="I68" s="101">
        <v>2861348.66</v>
      </c>
      <c r="J68" s="101">
        <v>2861348.66</v>
      </c>
      <c r="K68" s="100" t="inlineStr">
        <is>
          <t xml:space="preserve">To'ladi</t>
        </is>
      </c>
    </row>
    <row r="69">
      <c r="A69" s="100" t="inlineStr">
        <is>
          <t xml:space="preserve">ЖИЗЗАХ ВИЛОЯТИ</t>
        </is>
      </c>
      <c r="C69" s="100" t="inlineStr">
        <is>
          <t xml:space="preserve">Обещал</t>
        </is>
      </c>
      <c r="D69" s="100" t="inlineStr">
        <is>
          <t xml:space="preserve">Кр-99039896-1</t>
        </is>
      </c>
      <c r="E69" s="100" t="inlineStr">
        <is>
          <t xml:space="preserve">UMMATOV JAVLON MAVLONOVICH</t>
        </is>
      </c>
      <c r="F69" s="100" t="inlineStr">
        <is>
          <t xml:space="preserve">998959172024 SMS OZI, 998957701676 SMS UKASI, 998957741676 SMS SINGLIASI, 998911956219 SMS DADASI, 998995247977 sms uzi mew, 998995247977 sms uzi new,</t>
        </is>
      </c>
      <c r="G69" s="100" t="inlineStr">
        <is>
          <t xml:space="preserve">JIZZAX VILOYATI SH.RASHIDOV TUMANI UCH TEPA MFY GUNCHA KUCHASI 97-UY </t>
        </is>
      </c>
      <c r="H69" s="101">
        <v>8.0</v>
      </c>
      <c r="I69" s="101">
        <v>2809934.08</v>
      </c>
      <c r="K69" s="100" t="inlineStr">
        <is>
          <t xml:space="preserve">Va'da berdi | tel qiliw kerak</t>
        </is>
      </c>
    </row>
    <row r="70">
      <c r="A70" s="100" t="inlineStr">
        <is>
          <t xml:space="preserve">ЖИЗЗАХ ВИЛОЯТИ</t>
        </is>
      </c>
      <c r="C70" s="100" t="inlineStr">
        <is>
          <t xml:space="preserve">Обещал</t>
        </is>
      </c>
      <c r="D70" s="100" t="inlineStr">
        <is>
          <t xml:space="preserve">Кр-99035971-1</t>
        </is>
      </c>
      <c r="E70" s="100" t="inlineStr">
        <is>
          <t xml:space="preserve">SHAROPOV JASUR SALAXIDDINOVICH</t>
        </is>
      </c>
      <c r="F70" s="100" t="inlineStr">
        <is>
          <t xml:space="preserve">998995618200 SMS O’ZI, 998885248200 SMS AYOLI, 998905380123 SMS ONASI ,</t>
        </is>
      </c>
      <c r="G70" s="100" t="inlineStr">
        <is>
          <t xml:space="preserve">JIZZAX VILOYATI SH.RASHIDOV TUMANI TOSHKENTLIK MAHALLASI BINOKOR KUCHASI 28-UY </t>
        </is>
      </c>
      <c r="H70" s="101">
        <v>1.0</v>
      </c>
      <c r="I70" s="101">
        <v>2493532.34</v>
      </c>
      <c r="K70" s="100" t="inlineStr">
        <is>
          <t xml:space="preserve">Va'da berdi | bugun kecga ulgurmasam ertaga tawiman dei</t>
        </is>
      </c>
    </row>
    <row r="71">
      <c r="A71" s="100" t="inlineStr">
        <is>
          <t xml:space="preserve">ЖИЗЗАХ ВИЛОЯТИ</t>
        </is>
      </c>
      <c r="C71" s="100" t="inlineStr">
        <is>
          <t xml:space="preserve">Обещал</t>
        </is>
      </c>
      <c r="D71" s="100" t="inlineStr">
        <is>
          <t xml:space="preserve">Кр-99046098-1</t>
        </is>
      </c>
      <c r="E71" s="100" t="inlineStr">
        <is>
          <t xml:space="preserve">RAMAZANOV IXTIYOR BAXTIYOR O’G’LI</t>
        </is>
      </c>
      <c r="F71" s="100" t="inlineStr">
        <is>
          <t xml:space="preserve">998915983004 SMS, 998945960080 SMS, 998950800277 SMS,</t>
        </is>
      </c>
      <c r="G71" s="100" t="inlineStr">
        <is>
          <t xml:space="preserve">JIZZAX VILOYATI, JIZZAX SHAHRI, TINCHLIK MFY, S.KARIMOV KO’CHASI, 5/17-UY</t>
        </is>
      </c>
      <c r="H71" s="101">
        <v>11.0</v>
      </c>
      <c r="I71" s="101">
        <v>2244914.59</v>
      </c>
      <c r="K71" s="100" t="inlineStr">
        <is>
          <t xml:space="preserve">Va'da berdi | erta yo indin aniq tolaydi</t>
        </is>
      </c>
    </row>
    <row r="72">
      <c r="A72" s="100" t="inlineStr">
        <is>
          <t xml:space="preserve">ЖИЗЗАХ ВИЛОЯТИ</t>
        </is>
      </c>
      <c r="C72" s="100" t="inlineStr">
        <is>
          <t xml:space="preserve">Дозвон</t>
        </is>
      </c>
      <c r="D72" s="100" t="inlineStr">
        <is>
          <t xml:space="preserve">Кр-99033588-1</t>
        </is>
      </c>
      <c r="E72" s="100" t="inlineStr">
        <is>
          <t xml:space="preserve">ESHQULOV ANVAR AXMATOVICH</t>
        </is>
      </c>
      <c r="F72" s="100" t="inlineStr">
        <is>
          <t xml:space="preserve">998915647757 SMS O’ZI, 999830732622 SMS O’ZI 2, 998933028868 SMS AYOLI, 998991682525 SMS SINGLI,</t>
        </is>
      </c>
      <c r="G72" s="100" t="inlineStr">
        <is>
          <t xml:space="preserve">JIZZAX VILOYATI JIZZAX SHAHRI ZARGARLIK MFY 12-UY 5 XONADON </t>
        </is>
      </c>
      <c r="H72" s="101">
        <v>1.0</v>
      </c>
      <c r="I72" s="101">
        <v>2141957.35</v>
      </c>
      <c r="J72" s="101">
        <v>2141957.35</v>
      </c>
      <c r="K72" s="100" t="inlineStr">
        <is>
          <t xml:space="preserve">To'ladi</t>
        </is>
      </c>
    </row>
    <row r="73">
      <c r="A73" s="100" t="inlineStr">
        <is>
          <t xml:space="preserve">ЖИЗЗАХ ВИЛОЯТИ</t>
        </is>
      </c>
      <c r="C73" s="100" t="inlineStr">
        <is>
          <t xml:space="preserve">Дозвон</t>
        </is>
      </c>
      <c r="D73" s="100" t="inlineStr">
        <is>
          <t xml:space="preserve">Кр-99023067-3</t>
        </is>
      </c>
      <c r="E73" s="100" t="inlineStr">
        <is>
          <t xml:space="preserve">XURSANOV ODIL OLIM O’G’LI</t>
        </is>
      </c>
      <c r="F73" s="100" t="inlineStr">
        <is>
          <t xml:space="preserve">88-025-41-14  SMS O’ZI, 94-567-66-44 SMS UKASI, 97-648-97-07  SMS UY, 99-046-56-79  SMS AKASI, 998934385777 SMS UKASI, 998773344114 New ozi,</t>
        </is>
      </c>
      <c r="G73" s="100" t="inlineStr">
        <is>
          <t xml:space="preserve">JIZZZAX VILOYATI ZAFAROBOD TUMANI LOLAZOR QFY X.OLIMJON KUCHASI 1/2-XONADON</t>
        </is>
      </c>
      <c r="H73" s="101">
        <v>13.0</v>
      </c>
      <c r="I73" s="101">
        <v>1985508.2</v>
      </c>
      <c r="J73" s="101">
        <v>1985508.2</v>
      </c>
      <c r="K73" s="100" t="inlineStr">
        <is>
          <t xml:space="preserve">To'ladi</t>
        </is>
      </c>
    </row>
    <row r="74">
      <c r="A74" s="100" t="inlineStr">
        <is>
          <t xml:space="preserve">ЖИЗЗАХ ВИЛОЯТИ</t>
        </is>
      </c>
      <c r="C74" s="100" t="inlineStr">
        <is>
          <t xml:space="preserve">Обещал</t>
        </is>
      </c>
      <c r="D74" s="100" t="inlineStr">
        <is>
          <t xml:space="preserve">Кр-99057414-1</t>
        </is>
      </c>
      <c r="E74" s="100" t="inlineStr">
        <is>
          <t xml:space="preserve">KARSHIBAYEV SHUXRAT URALOVICH</t>
        </is>
      </c>
      <c r="F74" s="100" t="inlineStr">
        <is>
          <t xml:space="preserve">998991231880 SMS UZI, 998958914146 SMS UZI 2, 998938265151 SMS AKASI,</t>
        </is>
      </c>
      <c r="G74" s="100" t="inlineStr">
        <is>
          <t xml:space="preserve">JIZZAX VILOYATI ARNASOY TUMANI BO'STON MFY A.QARSHIYEV KUCHASI 30/2-UY</t>
        </is>
      </c>
      <c r="H74" s="101">
        <v>8.0</v>
      </c>
      <c r="I74" s="101">
        <v>1778665.0</v>
      </c>
      <c r="K74" s="100" t="inlineStr">
        <is>
          <t xml:space="preserve">Va'da berdi | bugun tulaydi</t>
        </is>
      </c>
    </row>
    <row r="75">
      <c r="A75" s="100" t="inlineStr">
        <is>
          <t xml:space="preserve">ЖИЗЗАХ ВИЛОЯТИ</t>
        </is>
      </c>
      <c r="C75" s="100" t="inlineStr">
        <is>
          <t xml:space="preserve">Обещал</t>
        </is>
      </c>
      <c r="D75" s="100" t="inlineStr">
        <is>
          <t xml:space="preserve">Кр-99039329-1</t>
        </is>
      </c>
      <c r="E75" s="100" t="inlineStr">
        <is>
          <t xml:space="preserve">TURSUNMATOV ABDULAZIZ ALIAKBAR O’G’LI</t>
        </is>
      </c>
      <c r="F75" s="100" t="inlineStr">
        <is>
          <t xml:space="preserve">+998947200340 SMS OZI, 998772942607 SMS DADASI, 998990231125 SMS AKASI, 998999992897 SMS UKASI,</t>
        </is>
      </c>
      <c r="G75" s="100" t="inlineStr">
        <is>
          <t xml:space="preserve">МУГОЛ КФЙ, МУГОЛ КФЙ, ЛОЙИХАДАГИ,  uy:Р.С</t>
        </is>
      </c>
      <c r="H75" s="101">
        <v>8.0</v>
      </c>
      <c r="I75" s="101">
        <v>1765774.14</v>
      </c>
      <c r="K75" s="100" t="inlineStr">
        <is>
          <t xml:space="preserve">Va'da berdi | ertaga tulaydi</t>
        </is>
      </c>
    </row>
    <row r="76">
      <c r="A76" s="100" t="inlineStr">
        <is>
          <t xml:space="preserve">ЖИЗЗАХ ВИЛОЯТИ</t>
        </is>
      </c>
      <c r="C76" s="100" t="inlineStr">
        <is>
          <t xml:space="preserve">Дозвон</t>
        </is>
      </c>
      <c r="D76" s="100" t="inlineStr">
        <is>
          <t xml:space="preserve">Кр-99062952-1</t>
        </is>
      </c>
      <c r="E76" s="100" t="inlineStr">
        <is>
          <t xml:space="preserve">OCHILOVA DILFUZA URALBOYEVNA</t>
        </is>
      </c>
      <c r="F76" s="100" t="inlineStr">
        <is>
          <t xml:space="preserve">998931755565 O’G’LI, 998942217575 ERI,</t>
        </is>
      </c>
      <c r="G76" s="100" t="inlineStr">
        <is>
          <t xml:space="preserve">Дустлик МФЙ, Сарой кучаси, 24-уй</t>
        </is>
      </c>
      <c r="H76" s="101">
        <v>8.0</v>
      </c>
      <c r="I76" s="101">
        <v>1753023.22</v>
      </c>
      <c r="J76" s="101">
        <v>1753023.22</v>
      </c>
      <c r="K76" s="100" t="inlineStr">
        <is>
          <t xml:space="preserve">To'ladi</t>
        </is>
      </c>
    </row>
    <row r="77">
      <c r="A77" s="100" t="inlineStr">
        <is>
          <t xml:space="preserve">ЖИЗЗАХ ВИЛОЯТИ</t>
        </is>
      </c>
      <c r="C77" s="100" t="inlineStr">
        <is>
          <t xml:space="preserve">Дозвон</t>
        </is>
      </c>
      <c r="D77" s="100" t="inlineStr">
        <is>
          <t xml:space="preserve">Кр-99013156-3</t>
        </is>
      </c>
      <c r="E77" s="100" t="inlineStr">
        <is>
          <t xml:space="preserve">XOLDAROV BAXTIYOR ALIM O’G’LI</t>
        </is>
      </c>
      <c r="F77" s="100" t="inlineStr">
        <is>
          <t xml:space="preserve">998933552200 SMS UZI, 998937015455 SMS AYOLI, 998952810022 SMS UZI 2, 998993272200 SMS BEGONA, 998773652200 SMS BAXTIYOR NEW,</t>
        </is>
      </c>
      <c r="G77" s="100" t="inlineStr">
        <is>
          <t xml:space="preserve">JIZZAX VILOYATI PAXTAKOR TUMANI MINGCHINOR QFY PANG’AT QISHLOG’I MANAVIYAT KUCHASI 1-UY</t>
        </is>
      </c>
      <c r="H77" s="101">
        <v>5.0</v>
      </c>
      <c r="I77" s="101">
        <v>1732593.68</v>
      </c>
      <c r="J77" s="101">
        <v>1732593.68</v>
      </c>
      <c r="K77" s="100" t="inlineStr">
        <is>
          <t xml:space="preserve">To'ladi</t>
        </is>
      </c>
    </row>
    <row r="78">
      <c r="A78" s="100" t="inlineStr">
        <is>
          <t xml:space="preserve">ЖИЗЗАХ ВИЛОЯТИ</t>
        </is>
      </c>
      <c r="C78" s="100" t="inlineStr">
        <is>
          <t xml:space="preserve">Обещал</t>
        </is>
      </c>
      <c r="D78" s="100" t="inlineStr">
        <is>
          <t xml:space="preserve">Кр-99041856-2</t>
        </is>
      </c>
      <c r="E78" s="100" t="inlineStr">
        <is>
          <t xml:space="preserve">ERDASHEV RUSTAM JALILOVICH</t>
        </is>
      </c>
      <c r="F78" s="100" t="inlineStr">
        <is>
          <t xml:space="preserve">+998932916225 OZI, 998946894222 SMS OZI, 998952852325 SMS OZI 3,</t>
        </is>
      </c>
      <c r="G78" s="100" t="inlineStr">
        <is>
          <t xml:space="preserve">JIZZAX VILOYATI ARNASOY TUMANI G.GULOM MFY BOGIDILKUSHOD KUCHASI 6-UY</t>
        </is>
      </c>
      <c r="H78" s="101">
        <v>8.0</v>
      </c>
      <c r="I78" s="101">
        <v>1531566.74</v>
      </c>
      <c r="K78" s="100" t="inlineStr">
        <is>
          <t xml:space="preserve">Va'da berdi | ertaga tulaydi</t>
        </is>
      </c>
    </row>
    <row r="79">
      <c r="A79" s="100" t="inlineStr">
        <is>
          <t xml:space="preserve">ЖИЗЗАХ ВИЛОЯТИ</t>
        </is>
      </c>
      <c r="C79" s="100" t="inlineStr">
        <is>
          <t xml:space="preserve">Обещал</t>
        </is>
      </c>
      <c r="D79" s="100" t="inlineStr">
        <is>
          <t xml:space="preserve">Кр-99036491-2</t>
        </is>
      </c>
      <c r="E79" s="100" t="inlineStr">
        <is>
          <t xml:space="preserve">XAYDAROVA KOMILA ZAYNIDDINOVNA</t>
        </is>
      </c>
      <c r="F79" s="100" t="inlineStr">
        <is>
          <t xml:space="preserve">998973462688 SMS OZI , 998936507904 SMS AYOLI , 998944740513 SMS QIZI, 998338990215 SMS SINGLISI , 998943462688 SMS NEW,</t>
        </is>
      </c>
      <c r="G79" s="100" t="inlineStr">
        <is>
          <t xml:space="preserve">JIZZAX VILOYATI SH.RASHIDOV TUMANI SOVUNGARLIK MFY 11-UY</t>
        </is>
      </c>
      <c r="H79" s="101">
        <v>8.0</v>
      </c>
      <c r="I79" s="101">
        <v>1470244.24</v>
      </c>
      <c r="K79" s="100" t="inlineStr">
        <is>
          <t xml:space="preserve">Va'da berdi | 16gaca tolaydi temur aka bilan gaplawdm dedi</t>
        </is>
      </c>
    </row>
    <row r="80">
      <c r="A80" s="100" t="inlineStr">
        <is>
          <t xml:space="preserve">ЖИЗЗАХ ВИЛОЯТИ</t>
        </is>
      </c>
      <c r="C80" s="100" t="inlineStr">
        <is>
          <t xml:space="preserve">Дозвон</t>
        </is>
      </c>
      <c r="D80" s="100" t="inlineStr">
        <is>
          <t xml:space="preserve">Кр-99046629-4</t>
        </is>
      </c>
      <c r="E80" s="100" t="inlineStr">
        <is>
          <t xml:space="preserve">UMAROV VAXOB VALIYEVICH</t>
        </is>
      </c>
      <c r="F80" s="100" t="inlineStr">
        <is>
          <t xml:space="preserve">+998904908890 SMS, 998940358890 SMS, 998999968799 SMS, 998993662364 SMS,</t>
        </is>
      </c>
      <c r="G80" s="100" t="inlineStr">
        <is>
          <t xml:space="preserve">Джизакская область, Джизак г., Хамзаобод, Ойбек, дом 23</t>
        </is>
      </c>
      <c r="H80" s="101">
        <v>8.0</v>
      </c>
      <c r="I80" s="101">
        <v>1437770.97</v>
      </c>
      <c r="J80" s="101">
        <v>1437770.97</v>
      </c>
      <c r="K80" s="100" t="inlineStr">
        <is>
          <t xml:space="preserve">To'ladi</t>
        </is>
      </c>
    </row>
    <row r="81">
      <c r="A81" s="100" t="inlineStr">
        <is>
          <t xml:space="preserve">ЖИЗЗАХ ВИЛОЯТИ</t>
        </is>
      </c>
      <c r="C81" s="100" t="inlineStr">
        <is>
          <t xml:space="preserve">Дозвон</t>
        </is>
      </c>
      <c r="D81" s="100" t="inlineStr">
        <is>
          <t xml:space="preserve">Кр-99013156-2</t>
        </is>
      </c>
      <c r="E81" s="100" t="inlineStr">
        <is>
          <t xml:space="preserve">XOLDAROV BAXTIYOR ALIM O’G’LI</t>
        </is>
      </c>
      <c r="F81" s="100" t="inlineStr">
        <is>
          <t xml:space="preserve">998933552200 SMS UZI, 998937015455 SMS AYOLI, 998952810022 SMS UZI 2, 998993272200 SMS BEGONA, 998773652200 SMS BAXTIYOR NEW,</t>
        </is>
      </c>
      <c r="G81" s="100" t="inlineStr">
        <is>
          <t xml:space="preserve">JIZZAX VILOYATI PAXTAKOR TUMANI MINGCHINOR QFY PANG’AT QISHLOG’I MANAVIYAT KUCHASI 1-UY</t>
        </is>
      </c>
      <c r="H81" s="101">
        <v>6.0</v>
      </c>
      <c r="I81" s="101">
        <v>1330322.85</v>
      </c>
      <c r="J81" s="101">
        <v>1330322.85</v>
      </c>
      <c r="K81" s="100" t="inlineStr">
        <is>
          <t xml:space="preserve">To'ladi</t>
        </is>
      </c>
    </row>
    <row r="82">
      <c r="A82" s="100" t="inlineStr">
        <is>
          <t xml:space="preserve">ЖИЗЗАХ ВИЛОЯТИ</t>
        </is>
      </c>
      <c r="C82" s="100" t="inlineStr">
        <is>
          <t xml:space="preserve">Обещал</t>
        </is>
      </c>
      <c r="D82" s="100" t="inlineStr">
        <is>
          <t xml:space="preserve">Кр-99046548-1</t>
        </is>
      </c>
      <c r="E82" s="100" t="inlineStr">
        <is>
          <t xml:space="preserve">BOYMURZAYEV HASAN NAZAR O’G’LI</t>
        </is>
      </c>
      <c r="F82" s="100" t="inlineStr">
        <is>
          <t xml:space="preserve">998996766010 узи, 998954330009 укаси, 998919446010 уй,</t>
        </is>
      </c>
      <c r="G82" s="100" t="inlineStr">
        <is>
          <t xml:space="preserve">JIZZAX VILOYATI SHAROF RASHIDOV TUMANI PAXTOBOD QFY YAXTANLIK MAHALLASI </t>
        </is>
      </c>
      <c r="H82" s="101">
        <v>8.0</v>
      </c>
      <c r="I82" s="101">
        <v>1248009.32</v>
      </c>
      <c r="K82" s="100" t="inlineStr">
        <is>
          <t xml:space="preserve">Va'da berdi | kecgaca tolaydi</t>
        </is>
      </c>
    </row>
    <row r="83">
      <c r="A83" s="100" t="inlineStr">
        <is>
          <t xml:space="preserve">ЖИЗЗАХ ВИЛОЯТИ</t>
        </is>
      </c>
      <c r="C83" s="100" t="inlineStr">
        <is>
          <t xml:space="preserve">Обещал</t>
        </is>
      </c>
      <c r="D83" s="100" t="inlineStr">
        <is>
          <t xml:space="preserve">Кр-99034257-2</t>
        </is>
      </c>
      <c r="E83" s="100" t="inlineStr">
        <is>
          <t xml:space="preserve">MURADOV SHOKIRJON ABDULLAYEVICH</t>
        </is>
      </c>
      <c r="F83" s="100" t="inlineStr">
        <is>
          <t xml:space="preserve">998950381202 SMS OZI, 998957986998 SMS SINI, 998933680979 SMS AYOLI, 998991677998 SMS KELINI, 998950240408 SMS O’G’LI TO’LOVCHI,</t>
        </is>
      </c>
      <c r="G83" s="100" t="inlineStr">
        <is>
          <t xml:space="preserve">JIZZAX VILOYATI G’ALLAOROL TUMANI MADANIYAT MFY QANGLIOBOD SHAXARCHASI 265-UY </t>
        </is>
      </c>
      <c r="H83" s="101">
        <v>8.0</v>
      </c>
      <c r="I83" s="101">
        <v>1154455.6</v>
      </c>
      <c r="K83" s="100" t="inlineStr">
        <is>
          <t xml:space="preserve">Va'da berdi | kecgaca tolaydi</t>
        </is>
      </c>
    </row>
    <row r="84">
      <c r="A84" s="100" t="inlineStr">
        <is>
          <t xml:space="preserve">ЖИЗЗАХ ВИЛОЯТИ</t>
        </is>
      </c>
      <c r="C84" s="100" t="inlineStr">
        <is>
          <t xml:space="preserve">Обещал</t>
        </is>
      </c>
      <c r="D84" s="100" t="inlineStr">
        <is>
          <t xml:space="preserve">Кр-99045797-2</t>
        </is>
      </c>
      <c r="E84" s="100" t="inlineStr">
        <is>
          <t xml:space="preserve">QARSHIBAYEV RUSLAN QAXRAMON O’G’LI</t>
        </is>
      </c>
      <c r="F84" s="100" t="inlineStr">
        <is>
          <t xml:space="preserve">+998900251515 SMS, 998902978487 SMS, 998992408778 SMS,</t>
        </is>
      </c>
      <c r="G84" s="100" t="inlineStr">
        <is>
          <t xml:space="preserve">JIZZAX VILOYATI SH.RASHIDOV TUMANI TOSHKENTLIK MFY QATORTOL KUCHASI 7-UY</t>
        </is>
      </c>
      <c r="H84" s="101">
        <v>8.0</v>
      </c>
      <c r="I84" s="101">
        <v>1152143.05</v>
      </c>
      <c r="K84" s="100" t="inlineStr">
        <is>
          <t xml:space="preserve">Va'da berdi | 2kunda tolaydi bowqa viloyatda edi kesin ertaga tolaydi dedi</t>
        </is>
      </c>
    </row>
    <row r="85">
      <c r="A85" s="100" t="inlineStr">
        <is>
          <t xml:space="preserve">ЖИЗЗАХ ВИЛОЯТИ</t>
        </is>
      </c>
      <c r="C85" s="100" t="inlineStr">
        <is>
          <t xml:space="preserve">Обещал</t>
        </is>
      </c>
      <c r="D85" s="100" t="inlineStr">
        <is>
          <t xml:space="preserve">Кр-99048922-1</t>
        </is>
      </c>
      <c r="E85" s="100" t="inlineStr">
        <is>
          <t xml:space="preserve">XOLMURODOV SHERBEK MARDON O‘G‘LI</t>
        </is>
      </c>
      <c r="F85" s="100" t="inlineStr">
        <is>
          <t xml:space="preserve">+998770010109 SMS OZI, 998944841200 SMS UYI, 998973311213 SMS OPASI, 998976410109 SMS OZI 2, 998770010109 Primary phone from road24,</t>
        </is>
      </c>
      <c r="G85" s="100" t="inlineStr">
        <is>
          <t xml:space="preserve">БАХМАЛ КФЙ, БАХМАЛ КФЙ, ЛОЙИХАДАГИ,  uy:Р.С</t>
        </is>
      </c>
      <c r="H85" s="101">
        <v>1.0</v>
      </c>
      <c r="I85" s="101">
        <v>1122689.2</v>
      </c>
      <c r="K85" s="100" t="inlineStr">
        <is>
          <t xml:space="preserve">Va'da berdi | ertaga tulaydi</t>
        </is>
      </c>
    </row>
    <row r="86">
      <c r="A86" s="100" t="inlineStr">
        <is>
          <t xml:space="preserve">ЖИЗЗАХ ВИЛОЯТИ</t>
        </is>
      </c>
      <c r="C86" s="100" t="inlineStr">
        <is>
          <t xml:space="preserve">Обещал</t>
        </is>
      </c>
      <c r="D86" s="100" t="inlineStr">
        <is>
          <t xml:space="preserve">Кр-99063395-2</t>
        </is>
      </c>
      <c r="E86" s="100" t="inlineStr">
        <is>
          <t xml:space="preserve">SOXIBOV DILSHOD YUSUPALIYEVICH</t>
        </is>
      </c>
      <c r="F86" s="100" t="inlineStr">
        <is>
          <t xml:space="preserve">998501038581 SMS QIZI, 998882488581 SMS AYOLI, 998990661191 SMS OZI,</t>
        </is>
      </c>
      <c r="G86" s="100" t="inlineStr">
        <is>
          <t xml:space="preserve">DEXQONOBOD 2 UY 7 XONADON</t>
        </is>
      </c>
      <c r="H86" s="101">
        <v>8.0</v>
      </c>
      <c r="I86" s="101">
        <v>1117596.95</v>
      </c>
      <c r="K86" s="100" t="inlineStr">
        <is>
          <t xml:space="preserve">Va'da berdi | uzogi paywanbagaca tolaydi rasiyadan pulni kutyapti</t>
        </is>
      </c>
    </row>
    <row r="87">
      <c r="A87" s="100" t="inlineStr">
        <is>
          <t xml:space="preserve">ЖИЗЗАХ ВИЛОЯТИ</t>
        </is>
      </c>
      <c r="C87" s="100" t="inlineStr">
        <is>
          <t xml:space="preserve">Дозвон</t>
        </is>
      </c>
      <c r="D87" s="100" t="inlineStr">
        <is>
          <t xml:space="preserve">Кр-99040359-2</t>
        </is>
      </c>
      <c r="E87" s="100" t="inlineStr">
        <is>
          <t xml:space="preserve">KOMOLJONOV IXTIYOR BAXTIYOROVICH</t>
        </is>
      </c>
      <c r="F87" s="100" t="inlineStr">
        <is>
          <t xml:space="preserve">998999434941 SMS OZI, 998194149412 SMS OZI2, 998901828688 SMS AYOLI,</t>
        </is>
      </c>
      <c r="G87" s="100" t="inlineStr">
        <is>
          <t xml:space="preserve">JIZZAX VILOYATI JIZZAX TUMANI ZIYOKOR MFY ABDUQAHHOR KUCHASI 42-UY </t>
        </is>
      </c>
      <c r="H87" s="101">
        <v>8.0</v>
      </c>
      <c r="I87" s="101">
        <v>1117075.27</v>
      </c>
      <c r="J87" s="101">
        <v>1117075.27</v>
      </c>
      <c r="K87" s="100" t="inlineStr">
        <is>
          <t xml:space="preserve">To'ladi</t>
        </is>
      </c>
    </row>
    <row r="88">
      <c r="A88" s="100" t="inlineStr">
        <is>
          <t xml:space="preserve">ЖИЗЗАХ ВИЛОЯТИ</t>
        </is>
      </c>
      <c r="C88" s="100" t="inlineStr">
        <is>
          <t xml:space="preserve">Обещал</t>
        </is>
      </c>
      <c r="D88" s="100" t="inlineStr">
        <is>
          <t xml:space="preserve">Кр-99033516-1</t>
        </is>
      </c>
      <c r="E88" s="100" t="inlineStr">
        <is>
          <t xml:space="preserve">MIRZAMAXMUDOV ODILJON ALLAYOR O’G’LI</t>
        </is>
      </c>
      <c r="F88" s="100" t="inlineStr">
        <is>
          <t xml:space="preserve">998997449700 SMS O’ZI, 998912084455 SMS O’ZI, 998338382297 SMS DO’STI, 998991332871 SMS ONASI, 998950702444 SMS AKASI, 998336669700 SMS OZI YANGI, 998932947066 SMS ABDUNABI ORTOGI,</t>
        </is>
      </c>
      <c r="G88" s="100" t="inlineStr">
        <is>
          <t xml:space="preserve">JIZZAX VILOYATI BAXMAL TUMANI UDAMALI QISHLOG’I 63-UY </t>
        </is>
      </c>
      <c r="H88" s="101">
        <v>1.0</v>
      </c>
      <c r="I88" s="101">
        <v>1079691.82</v>
      </c>
      <c r="K88" s="100" t="inlineStr">
        <is>
          <t xml:space="preserve">Va'da berdi | ertaga abetgaca tolaydi</t>
        </is>
      </c>
    </row>
    <row r="89">
      <c r="A89" s="100" t="inlineStr">
        <is>
          <t xml:space="preserve">ЖИЗЗАХ ВИЛОЯТИ</t>
        </is>
      </c>
      <c r="C89" s="100" t="inlineStr">
        <is>
          <t xml:space="preserve">Дозвон</t>
        </is>
      </c>
      <c r="D89" s="100" t="inlineStr">
        <is>
          <t xml:space="preserve">Кр-99046629-1</t>
        </is>
      </c>
      <c r="E89" s="100" t="inlineStr">
        <is>
          <t xml:space="preserve">UMAROV VAXOB VALIYEVICH</t>
        </is>
      </c>
      <c r="F89" s="100" t="inlineStr">
        <is>
          <t xml:space="preserve">+998904908890 SMS, 998940358890 SMS, 998999968799 SMS, 998993662364 SMS,</t>
        </is>
      </c>
      <c r="G89" s="100" t="inlineStr">
        <is>
          <t xml:space="preserve">Джизакская область, Джизак г., Хамзаобод, Ойбек, дом 23</t>
        </is>
      </c>
      <c r="H89" s="101">
        <v>8.0</v>
      </c>
      <c r="I89" s="101">
        <v>1009358.79</v>
      </c>
      <c r="J89" s="101">
        <v>1009358.79</v>
      </c>
      <c r="K89" s="100" t="inlineStr">
        <is>
          <t xml:space="preserve">To'ladi</t>
        </is>
      </c>
    </row>
    <row r="90">
      <c r="A90" s="100" t="inlineStr">
        <is>
          <t xml:space="preserve">ЖИЗЗАХ ВИЛОЯТИ</t>
        </is>
      </c>
      <c r="C90" s="100" t="inlineStr">
        <is>
          <t xml:space="preserve">Дозвон</t>
        </is>
      </c>
      <c r="D90" s="100" t="inlineStr">
        <is>
          <t xml:space="preserve">Кр-99028616-3</t>
        </is>
      </c>
      <c r="E90" s="100" t="inlineStr">
        <is>
          <t xml:space="preserve">MALLAYEV SHUXRAT BOSIMOVICH</t>
        </is>
      </c>
      <c r="F90" s="100" t="inlineStr">
        <is>
          <t xml:space="preserve">93-301-00-66 SMS O'ZI, 93-301-07-54 SMS AYOLI, 93-301-06-96 SMS SIN, 99-245-90-99 SMS SIN 2, 998945450550 Eldor  ogli , 998992169079 tulovchi, 998997563446 tulovchi,</t>
        </is>
      </c>
      <c r="G90" s="100" t="inlineStr">
        <is>
          <t xml:space="preserve">JIZZAX VILOYATI JIZZAX TUMANI QANGLI MFY TARAQLI KUCHASI 13-UY</t>
        </is>
      </c>
      <c r="I90" s="101">
        <v>574655.15</v>
      </c>
      <c r="J90" s="101">
        <v>574655.15</v>
      </c>
      <c r="K90" s="100" t="inlineStr">
        <is>
          <t xml:space="preserve">To'ladi</t>
        </is>
      </c>
    </row>
    <row r="91">
      <c r="A91" s="100" t="inlineStr">
        <is>
          <t xml:space="preserve">ЖИЗЗАХ ВИЛОЯТИ</t>
        </is>
      </c>
      <c r="C91" s="100" t="inlineStr">
        <is>
          <t xml:space="preserve">Обещал</t>
        </is>
      </c>
      <c r="D91" s="100" t="inlineStr">
        <is>
          <t xml:space="preserve">Кр-99045121-1</t>
        </is>
      </c>
      <c r="E91" s="100" t="inlineStr">
        <is>
          <t xml:space="preserve">ISLAMOVA GO’ZAL ZOIR QIZI</t>
        </is>
      </c>
      <c r="F91" s="100" t="inlineStr">
        <is>
          <t xml:space="preserve">998774512156 SMS, 998950414100 SMS, 998958824000 SMS,</t>
        </is>
      </c>
      <c r="G91" s="100" t="inlineStr">
        <is>
          <t xml:space="preserve">ОСМОНСОЙ ҚФЙ, ОСМОНСОЙ ҚФЙ, УРТАКИШЛОК КИШЛОГИ,  uy:РАКАМСИЗ</t>
        </is>
      </c>
      <c r="I91" s="101">
        <v>452412.95</v>
      </c>
      <c r="K91" s="100" t="inlineStr">
        <is>
          <t xml:space="preserve">Va'da berdi | bugun kecgaca yopadi</t>
        </is>
      </c>
    </row>
    <row r="92">
      <c r="A92" s="100" t="inlineStr">
        <is>
          <t xml:space="preserve">ЖИЗЗАХ ВИЛОЯТИ</t>
        </is>
      </c>
      <c r="C92" s="100" t="inlineStr">
        <is>
          <t xml:space="preserve">Обещал</t>
        </is>
      </c>
      <c r="D92" s="100" t="inlineStr">
        <is>
          <t xml:space="preserve">Кр-99034148-3</t>
        </is>
      </c>
      <c r="E92" s="100" t="inlineStr">
        <is>
          <t xml:space="preserve">SAYFUTDINOVA GAVXAR SHUXRATOVNA</t>
        </is>
      </c>
      <c r="F92" s="100" t="inlineStr">
        <is>
          <t xml:space="preserve">998903111016 SMS OZI, 998976480208 SMS ERI TOLOVCHI, 998912093311 SMS HAMKASBI, 998712267815 SMS UY,</t>
        </is>
      </c>
      <c r="G92" s="100" t="inlineStr">
        <is>
          <t xml:space="preserve">JIZZAX VILOYATI SH.RASHIDOV TUMANI ZIYOKOR QFY M.ESHONQULOV KUCHASI 125-UY </t>
        </is>
      </c>
      <c r="H92" s="101">
        <v>8.0</v>
      </c>
      <c r="I92" s="101">
        <v>397223.7</v>
      </c>
      <c r="K92" s="100" t="inlineStr">
        <is>
          <t xml:space="preserve">Va'da berdi | bugun tulaydi</t>
        </is>
      </c>
    </row>
    <row r="93">
      <c r="A93" s="100" t="inlineStr">
        <is>
          <t xml:space="preserve">ЖИЗЗАХ ВИЛОЯТИ</t>
        </is>
      </c>
      <c r="C93" s="100" t="inlineStr">
        <is>
          <t xml:space="preserve">Дозвон</t>
        </is>
      </c>
      <c r="D93" s="100" t="inlineStr">
        <is>
          <t xml:space="preserve">Кр-99045776-1</t>
        </is>
      </c>
      <c r="E93" s="100" t="inlineStr">
        <is>
          <t xml:space="preserve">USMONOV ZUXRIDDIN MUXTOROVICH</t>
        </is>
      </c>
      <c r="F93" s="100" t="inlineStr">
        <is>
          <t xml:space="preserve">998943454563 SMS, 998976411165 SMS, 998979951965 SMS,</t>
        </is>
      </c>
      <c r="G93" s="100" t="inlineStr">
        <is>
          <t xml:space="preserve">JIZZAX VILOYATI DUSTLIK TUMANI QAXRAMON MFY GOLIBLAR KUCHASI 18-UY</t>
        </is>
      </c>
      <c r="I93" s="101">
        <v>302318.5</v>
      </c>
      <c r="J93" s="101">
        <v>302318.5</v>
      </c>
      <c r="K93" s="100" t="inlineStr">
        <is>
          <t xml:space="preserve">To'ladi</t>
        </is>
      </c>
    </row>
    <row r="94">
      <c r="A94" s="100" t="inlineStr">
        <is>
          <t xml:space="preserve">ЖИЗЗАХ ВИЛОЯТИ</t>
        </is>
      </c>
      <c r="C94" s="100" t="inlineStr">
        <is>
          <t xml:space="preserve">Обещал</t>
        </is>
      </c>
      <c r="D94" s="100" t="inlineStr">
        <is>
          <t xml:space="preserve">Кр-99025940-2</t>
        </is>
      </c>
      <c r="E94" s="100" t="inlineStr">
        <is>
          <t xml:space="preserve">XAYRULLAYEV MUXAMMAD FAYZULLAYEVICH</t>
        </is>
      </c>
      <c r="F94" s="100" t="inlineStr">
        <is>
          <t xml:space="preserve">97-129-10-83 SMS UZI, 99-566-22-10 SMS UZI 2, 98-561-10-12 SMS TULOVCHI, 998995610220 SMS O’ZI SHUNGA QILINSIN,</t>
        </is>
      </c>
      <c r="G94" s="100" t="inlineStr">
        <is>
          <t xml:space="preserve">КУЛАМА ҚФЙ, МУЛКАНЛИК МФЙ, ЛОЙИХАДАГИ КЎЧА,  uy:60</t>
        </is>
      </c>
      <c r="I94" s="101">
        <v>285394.68</v>
      </c>
      <c r="K94" s="100" t="inlineStr">
        <is>
          <t xml:space="preserve">Va'da berdi | 7gaca yopadi</t>
        </is>
      </c>
    </row>
    <row r="95">
      <c r="A95" s="100" t="inlineStr">
        <is>
          <t xml:space="preserve">ЖИЗЗАХ ВИЛОЯТИ</t>
        </is>
      </c>
      <c r="C95" s="100" t="inlineStr">
        <is>
          <t xml:space="preserve">Дозвон</t>
        </is>
      </c>
      <c r="D95" s="100" t="inlineStr">
        <is>
          <t xml:space="preserve">Кр-99033705-2</t>
        </is>
      </c>
      <c r="E95" s="100" t="inlineStr">
        <is>
          <t xml:space="preserve">ABDIYEV IBRAIM RAXMONOVICH</t>
        </is>
      </c>
      <c r="F95" s="100" t="inlineStr">
        <is>
          <t xml:space="preserve">998937753867 SMS O’ZI, 998937723867 SMS AYOLI, 998931210076 SMS UKASI, 998948762276 SMS OVSINI,</t>
        </is>
      </c>
      <c r="G95" s="100" t="inlineStr">
        <is>
          <t xml:space="preserve">JIZZAX VILOYATI ZAFAROBOD TUMANI UZUN QFY MUSTAQILLIK KUCHASI 24-UY </t>
        </is>
      </c>
      <c r="H95" s="101">
        <v>8.0</v>
      </c>
      <c r="I95" s="101">
        <v>57382.22</v>
      </c>
      <c r="J95" s="101">
        <v>57382.22</v>
      </c>
      <c r="K95" s="100" t="inlineStr">
        <is>
          <t xml:space="preserve">To'ladi</t>
        </is>
      </c>
    </row>
    <row r="96">
      <c r="A96" s="102" t="inlineStr">
        <is>
          <t xml:space="preserve">КАШКАДАРЁ ВИЛОЯТИ</t>
        </is>
      </c>
      <c r="B96" s="102" t="inlineStr">
        <is>
          <t xml:space="preserve">SUPER BRANCH</t>
        </is>
      </c>
      <c r="C96" s="102" t="inlineStr">
        <is>
          <t xml:space="preserve">Обещал</t>
        </is>
      </c>
      <c r="D96" s="102" t="inlineStr">
        <is>
          <t xml:space="preserve">Кр-99036435-3</t>
        </is>
      </c>
      <c r="E96" s="102" t="inlineStr">
        <is>
          <t xml:space="preserve">JO’RAQULOV MANSUR QULMUROT O’G’LI</t>
        </is>
      </c>
      <c r="F96" s="102" t="inlineStr">
        <is>
          <t xml:space="preserve">998997330311 SMS O’ZI, 998333400311 SMS AYOLI, 998942976783 SMS O’ZI 2, 998881365522 SMS UKASI ,</t>
        </is>
      </c>
      <c r="G96" s="102" t="inlineStr">
        <is>
          <t xml:space="preserve">ЧИРОКЧИ МФЙ, ЧИРОКЧИ,  uy:Р/С</t>
        </is>
      </c>
      <c r="H96" s="103">
        <v>11.0</v>
      </c>
      <c r="I96" s="103">
        <v>17370593.08</v>
      </c>
      <c r="K96" s="102" t="inlineStr">
        <is>
          <t xml:space="preserve">Va'da berdi | 20 da to'lov qiladi</t>
        </is>
      </c>
    </row>
    <row r="97">
      <c r="A97" s="102" t="inlineStr">
        <is>
          <t xml:space="preserve">КАШКАДАРЁ ВИЛОЯТИ</t>
        </is>
      </c>
      <c r="B97" s="102" t="inlineStr">
        <is>
          <t xml:space="preserve">SUPER BRANCH</t>
        </is>
      </c>
      <c r="C97" s="102" t="inlineStr">
        <is>
          <t xml:space="preserve">Обещал</t>
        </is>
      </c>
      <c r="D97" s="102" t="inlineStr">
        <is>
          <t xml:space="preserve">Кр-99060317-1</t>
        </is>
      </c>
      <c r="E97" s="102" t="inlineStr">
        <is>
          <t xml:space="preserve">NAFASOV ASADBEK VALIJON O’G’LI</t>
        </is>
      </c>
      <c r="F97" s="102" t="inlineStr">
        <is>
          <t xml:space="preserve">998973852277 SMS OZI, 998886191100 SMS AYOLI, 998770994440 SMS DADASI, 998886195000 SMS ONASI,</t>
        </is>
      </c>
      <c r="G97" s="102" t="inlineStr">
        <is>
          <t xml:space="preserve">QASHQADARYO VILOYATI YAKKABOG’ TUMANI ISTIQLOL MFY OLAQARG’A QISHLOG’I</t>
        </is>
      </c>
      <c r="H97" s="103">
        <v>11.0</v>
      </c>
      <c r="I97" s="103">
        <v>11559192.93</v>
      </c>
      <c r="K97" s="102" t="inlineStr">
        <is>
          <t xml:space="preserve">Va'da berdi | payshanba kuni</t>
        </is>
      </c>
    </row>
    <row r="98">
      <c r="A98" s="102" t="inlineStr">
        <is>
          <t xml:space="preserve">КАШКАДАРЁ ВИЛОЯТИ</t>
        </is>
      </c>
      <c r="B98" s="102" t="inlineStr">
        <is>
          <t xml:space="preserve">SUPER BRANCH</t>
        </is>
      </c>
      <c r="C98" s="102" t="inlineStr">
        <is>
          <t xml:space="preserve">Обещал</t>
        </is>
      </c>
      <c r="D98" s="102" t="inlineStr">
        <is>
          <t xml:space="preserve">Кр-99059908-1</t>
        </is>
      </c>
      <c r="E98" s="102" t="inlineStr">
        <is>
          <t xml:space="preserve">MURODOV BEGZOD ZOIDOVICH</t>
        </is>
      </c>
      <c r="F98" s="102" t="inlineStr">
        <is>
          <t xml:space="preserve">998500721265 SMS OZI, 998509098588 SMS ONASI (BEGONA), 998976194411 SMS OTASI, 998977088588 SMS ASKASI, 998509098525 SMS UZI NEW,</t>
        </is>
      </c>
      <c r="G98" s="102" t="inlineStr">
        <is>
          <t xml:space="preserve">QASHQADARYO VILOYATI KITOB TUMANI CHARMGAR MFY SAYILGOH KO’CHASI 3-UY</t>
        </is>
      </c>
      <c r="H98" s="103">
        <v>11.0</v>
      </c>
      <c r="I98" s="103">
        <v>7888733.51</v>
      </c>
      <c r="K98" s="102" t="inlineStr">
        <is>
          <t xml:space="preserve">Va'da berdi | bugun</t>
        </is>
      </c>
    </row>
    <row r="99">
      <c r="A99" s="102" t="inlineStr">
        <is>
          <t xml:space="preserve">КАШКАДАРЁ ВИЛОЯТИ</t>
        </is>
      </c>
      <c r="B99" s="102" t="inlineStr">
        <is>
          <t xml:space="preserve">SUPER BRANCH</t>
        </is>
      </c>
      <c r="C99" s="102" t="inlineStr">
        <is>
          <t xml:space="preserve">Дозвон</t>
        </is>
      </c>
      <c r="D99" s="102" t="inlineStr">
        <is>
          <t xml:space="preserve">Кр-99012796-5</t>
        </is>
      </c>
      <c r="E99" s="102" t="inlineStr">
        <is>
          <t xml:space="preserve">SATTOROV JOBIR JAMOL O’G’LI</t>
        </is>
      </c>
      <c r="F99" s="102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99" s="102" t="inlineStr">
        <is>
          <t xml:space="preserve">QASHQADARYO VILOYATI KOSON TUMANI PAXTAZOR MFY X TEMIROV KO’CHASI 22-UY</t>
        </is>
      </c>
      <c r="H99" s="103">
        <v>8.0</v>
      </c>
      <c r="I99" s="103">
        <v>6150050.33</v>
      </c>
      <c r="K99" s="102" t="inlineStr">
        <is>
          <t xml:space="preserve">Telefon ko'tardi | 10 kunda to'liman dedi uyiga xodim jo'natamn</t>
        </is>
      </c>
    </row>
    <row r="100">
      <c r="A100" s="102" t="inlineStr">
        <is>
          <t xml:space="preserve">КАШКАДАРЁ ВИЛОЯТИ</t>
        </is>
      </c>
      <c r="B100" s="102" t="inlineStr">
        <is>
          <t xml:space="preserve">SUPER BRANCH</t>
        </is>
      </c>
      <c r="C100" s="102" t="inlineStr">
        <is>
          <t xml:space="preserve">Обещал</t>
        </is>
      </c>
      <c r="D100" s="102" t="inlineStr">
        <is>
          <t xml:space="preserve">Кр-99034170-3</t>
        </is>
      </c>
      <c r="E100" s="102" t="inlineStr">
        <is>
          <t xml:space="preserve">YUSUPOV OBID XOMETOVICH</t>
        </is>
      </c>
      <c r="F100" s="102" t="inlineStr">
        <is>
          <t xml:space="preserve">998883831111 SMS O’ZI, 998973871111 SMS O’G’LI, 998973801991 SMS UKASI, 998912621111 SMS AKASI,</t>
        </is>
      </c>
      <c r="G100" s="102" t="inlineStr">
        <is>
          <t xml:space="preserve">QASHQADARYO VILOYATI SHAXRISABZ TUMANI XONTEPA MFY SHUKRONA 32 UY</t>
        </is>
      </c>
      <c r="H100" s="103">
        <v>8.0</v>
      </c>
      <c r="I100" s="103">
        <v>5852440.86</v>
      </c>
      <c r="K100" s="102" t="inlineStr">
        <is>
          <t xml:space="preserve">Va'da berdi | oylik tushadi xozir to'liman deb</t>
        </is>
      </c>
    </row>
    <row r="101">
      <c r="A101" s="102" t="inlineStr">
        <is>
          <t xml:space="preserve">КАШКАДАРЁ ВИЛОЯТИ</t>
        </is>
      </c>
      <c r="B101" s="102" t="inlineStr">
        <is>
          <t xml:space="preserve">SUPER BRANCH</t>
        </is>
      </c>
      <c r="C101" s="102" t="inlineStr">
        <is>
          <t xml:space="preserve">Обещал</t>
        </is>
      </c>
      <c r="D101" s="102" t="inlineStr">
        <is>
          <t xml:space="preserve">Кр-99062658-1</t>
        </is>
      </c>
      <c r="E101" s="102" t="inlineStr">
        <is>
          <t xml:space="preserve">AVAZOV SHOXRUX ASADULLOYEVICH</t>
        </is>
      </c>
      <c r="F101" s="102" t="inlineStr">
        <is>
          <t xml:space="preserve">998918871711 OZI QAYNI UKASI, 998945240302 ONASI, 998507181711 UKASI, 998942911001 O'ZI TO'LOVCHI,</t>
        </is>
      </c>
      <c r="G101" s="102" t="inlineStr">
        <is>
          <t xml:space="preserve">QASHQADARYO VILOYATI KASBI TUMANI XO’JAKASBI MFY 3-G’ALLAKORLAR KO’CHASI 2-UY</t>
        </is>
      </c>
      <c r="H101" s="103">
        <v>8.0</v>
      </c>
      <c r="I101" s="103">
        <v>5841569.48</v>
      </c>
      <c r="K101" s="102" t="inlineStr">
        <is>
          <t xml:space="preserve">Va'da berdi | payshanba kuni</t>
        </is>
      </c>
    </row>
    <row r="102">
      <c r="A102" s="102" t="inlineStr">
        <is>
          <t xml:space="preserve">КАШКАДАРЁ ВИЛОЯТИ</t>
        </is>
      </c>
      <c r="B102" s="102" t="inlineStr">
        <is>
          <t xml:space="preserve">SUPER BRANCH</t>
        </is>
      </c>
      <c r="C102" s="102" t="inlineStr">
        <is>
          <t xml:space="preserve">Обещал</t>
        </is>
      </c>
      <c r="D102" s="102" t="inlineStr">
        <is>
          <t xml:space="preserve">Кр-99063528-1</t>
        </is>
      </c>
      <c r="E102" s="102" t="inlineStr">
        <is>
          <t xml:space="preserve">SHODMONOV SHERZOD O’KTAM O’G’LI</t>
        </is>
      </c>
      <c r="F102" s="102" t="inlineStr">
        <is>
          <t xml:space="preserve">998970660077 sms uzi, 998973890077 sms uzi2, 998981001601 sms uzi3,</t>
        </is>
      </c>
      <c r="G102" s="102" t="inlineStr">
        <is>
          <t xml:space="preserve">ЗАРБДОР МФЙ, РОВОТ,  uy:Р/С,</t>
        </is>
      </c>
      <c r="H102" s="103">
        <v>8.0</v>
      </c>
      <c r="I102" s="103">
        <v>4733988.75</v>
      </c>
      <c r="K102" s="102" t="inlineStr">
        <is>
          <t xml:space="preserve">Va'da berdi | 15:00 tolov ammalga oshiriladi</t>
        </is>
      </c>
    </row>
    <row r="103">
      <c r="A103" s="102" t="inlineStr">
        <is>
          <t xml:space="preserve">КАШКАДАРЁ ВИЛОЯТИ</t>
        </is>
      </c>
      <c r="B103" s="102" t="inlineStr">
        <is>
          <t xml:space="preserve">SUPER BRANCH</t>
        </is>
      </c>
      <c r="C103" s="102" t="inlineStr">
        <is>
          <t xml:space="preserve">Обещал</t>
        </is>
      </c>
      <c r="D103" s="102" t="inlineStr">
        <is>
          <t xml:space="preserve">Кр-99062537-1</t>
        </is>
      </c>
      <c r="E103" s="102" t="inlineStr">
        <is>
          <t xml:space="preserve">RAXMONOV AZIZJON AZIMJON O’G’LI</t>
        </is>
      </c>
      <c r="F103" s="102" t="inlineStr">
        <is>
          <t xml:space="preserve">998881270813 ozi, 998773201114 ayoli, 998993820813 dadasi,</t>
        </is>
      </c>
      <c r="G103" s="102" t="inlineStr">
        <is>
          <t xml:space="preserve">QASHQADARYO VILOYATI KASBI TUMANI TALLIYULG’UN MFY TALLIYULG’UN QISHLOG’I</t>
        </is>
      </c>
      <c r="H103" s="103">
        <v>8.0</v>
      </c>
      <c r="I103" s="103">
        <v>3449858.25</v>
      </c>
      <c r="K103" s="102" t="inlineStr">
        <is>
          <t xml:space="preserve">Va'da berdi | ertaga to'lom ammalga oshadi</t>
        </is>
      </c>
    </row>
    <row r="104">
      <c r="A104" s="102" t="inlineStr">
        <is>
          <t xml:space="preserve">КАШКАДАРЁ ВИЛОЯТИ</t>
        </is>
      </c>
      <c r="B104" s="102" t="inlineStr">
        <is>
          <t xml:space="preserve">SUPER BRANCH</t>
        </is>
      </c>
      <c r="C104" s="102" t="inlineStr">
        <is>
          <t xml:space="preserve">Обещал</t>
        </is>
      </c>
      <c r="D104" s="102" t="inlineStr">
        <is>
          <t xml:space="preserve">Кр-99054733-1</t>
        </is>
      </c>
      <c r="E104" s="102" t="inlineStr">
        <is>
          <t xml:space="preserve">OCHILOV DUSTMUROD FAXRIDINOVICH</t>
        </is>
      </c>
      <c r="F104" s="102" t="inlineStr">
        <is>
          <t xml:space="preserve">998913976071 SMSOZ, 998999442521 SMS AYOLI, 998996848798 SMS DADASI, 998916333232 SMS TO'LOVCHI ,</t>
        </is>
      </c>
      <c r="G104" s="102" t="inlineStr">
        <is>
          <t xml:space="preserve">QASHQADARYO VILOYATI KOSON TUMANI MASHAL MFY FUSUNKOR KUCHASI 1-1 UY 5-XONADON</t>
        </is>
      </c>
      <c r="H104" s="103">
        <v>8.0</v>
      </c>
      <c r="I104" s="103">
        <v>3324027.43</v>
      </c>
      <c r="K104" s="102" t="inlineStr">
        <is>
          <t xml:space="preserve">Va'da berdi | ERTAGA FILYALGA KELADI</t>
        </is>
      </c>
    </row>
    <row r="105">
      <c r="A105" s="102" t="inlineStr">
        <is>
          <t xml:space="preserve">КАШКАДАРЁ ВИЛОЯТИ</t>
        </is>
      </c>
      <c r="B105" s="102" t="inlineStr">
        <is>
          <t xml:space="preserve">SUPER BRANCH</t>
        </is>
      </c>
      <c r="C105" s="102" t="inlineStr">
        <is>
          <t xml:space="preserve">Обещал</t>
        </is>
      </c>
      <c r="D105" s="102" t="inlineStr">
        <is>
          <t xml:space="preserve">Кр-99022781-4</t>
        </is>
      </c>
      <c r="E105" s="102" t="inlineStr">
        <is>
          <t xml:space="preserve">SHARAPOV ABDULLO ZIYODULLO O’G’LI</t>
        </is>
      </c>
      <c r="F105" s="102" t="inlineStr">
        <is>
          <t xml:space="preserve">90-505-02-07 SMS UZI, 91-553-02-07  SMS UZI 2, 91-522-09-87  SMS AKASI, 90-877-79-67  SMS AYOLI, 90-114-03-26  SMS ortog'i shunga tel qlila , 998978080207 UZI NEWW,</t>
        </is>
      </c>
      <c r="G105" s="102" t="inlineStr">
        <is>
          <t xml:space="preserve">QASHQADARYO VILOYATI KITOB TUMANI KATLOS MFY TUL QISHLOG’I 36-UY</t>
        </is>
      </c>
      <c r="H105" s="103">
        <v>8.0</v>
      </c>
      <c r="I105" s="103">
        <v>2438718.09</v>
      </c>
      <c r="K105" s="102" t="inlineStr">
        <is>
          <t xml:space="preserve">Va'da berdi | bugun to'liman dedi</t>
        </is>
      </c>
    </row>
    <row r="106">
      <c r="A106" s="102" t="inlineStr">
        <is>
          <t xml:space="preserve">КАШКАДАРЁ ВИЛОЯТИ</t>
        </is>
      </c>
      <c r="B106" s="102" t="inlineStr">
        <is>
          <t xml:space="preserve">SUPER BRANCH</t>
        </is>
      </c>
      <c r="C106" s="102" t="inlineStr">
        <is>
          <t xml:space="preserve">Обещал</t>
        </is>
      </c>
      <c r="D106" s="102" t="inlineStr">
        <is>
          <t xml:space="preserve">Кр-99033686-1</t>
        </is>
      </c>
      <c r="E106" s="102" t="inlineStr">
        <is>
          <t xml:space="preserve">CHORIYEVA SHOHNOZA ABDURASHIDOVNA</t>
        </is>
      </c>
      <c r="F106" s="102" t="inlineStr">
        <is>
          <t xml:space="preserve">998957777748 узи, 998932222234 аели, 998991289300 дадаси, 998990405493 онаси,</t>
        </is>
      </c>
      <c r="G106" s="102" t="inlineStr">
        <is>
          <t xml:space="preserve">QASHQADARYO VILOYATI DEHQONOBOD TUMANI QURG’ONTOSH MFY GALA KUCHASI 100-UY</t>
        </is>
      </c>
      <c r="H106" s="103">
        <v>8.0</v>
      </c>
      <c r="I106" s="103">
        <v>2202881.19</v>
      </c>
      <c r="K106" s="102" t="inlineStr">
        <is>
          <t xml:space="preserve">Va'da berdi | ertaga akasi keladi yopvorad navoiyda kamndrofkada akasi</t>
        </is>
      </c>
    </row>
    <row r="107">
      <c r="A107" s="102" t="inlineStr">
        <is>
          <t xml:space="preserve">КАШКАДАРЁ ВИЛОЯТИ</t>
        </is>
      </c>
      <c r="B107" s="102" t="inlineStr">
        <is>
          <t xml:space="preserve">SUPER BRANCH</t>
        </is>
      </c>
      <c r="C107" s="102" t="inlineStr">
        <is>
          <t xml:space="preserve">Обещал</t>
        </is>
      </c>
      <c r="D107" s="102" t="inlineStr">
        <is>
          <t xml:space="preserve">Кр-99035132-1</t>
        </is>
      </c>
      <c r="E107" s="102" t="inlineStr">
        <is>
          <t xml:space="preserve">OCHILOV OYBEK ISROIL O’G’LI</t>
        </is>
      </c>
      <c r="F107" s="102" t="inlineStr">
        <is>
          <t xml:space="preserve">998995008899  SMS O’ZI , 998507575193 SMS UKASI , 998500011995 SMS OILASI , 998507575293  SMS UKASI 2, 998972230068 SMS DADASI,</t>
        </is>
      </c>
      <c r="G107" s="102" t="inlineStr">
        <is>
          <t xml:space="preserve">QASHQADARYO VILOYATI KOSON TUMANI USHOKTEPA MFY USHOKTEPA KUCHASI 21 UY</t>
        </is>
      </c>
      <c r="H107" s="103">
        <v>6.0</v>
      </c>
      <c r="I107" s="103">
        <v>2196036.81</v>
      </c>
      <c r="K107" s="102" t="inlineStr">
        <is>
          <t xml:space="preserve">Va'da berdi | payshanba kuni to'liman dedi</t>
        </is>
      </c>
    </row>
    <row r="108">
      <c r="A108" s="102" t="inlineStr">
        <is>
          <t xml:space="preserve">КАШКАДАРЁ ВИЛОЯТИ</t>
        </is>
      </c>
      <c r="B108" s="102" t="inlineStr">
        <is>
          <t xml:space="preserve">SUPER BRANCH</t>
        </is>
      </c>
      <c r="C108" s="102" t="inlineStr">
        <is>
          <t xml:space="preserve">Обещал</t>
        </is>
      </c>
      <c r="D108" s="102" t="inlineStr">
        <is>
          <t xml:space="preserve">Кр-99031215-3</t>
        </is>
      </c>
      <c r="E108" s="102" t="inlineStr">
        <is>
          <t xml:space="preserve">SULTONOV XASAN ORIF O’G’LI</t>
        </is>
      </c>
      <c r="F108" s="102" t="inlineStr">
        <is>
          <t xml:space="preserve">88-360-05-05  SMS O’ZI, 99-587-55-51  SMS UY, 91-216-71-34  SMS ONASI, 90-899-71-68  SMS DADASI,</t>
        </is>
      </c>
      <c r="G108" s="102" t="inlineStr">
        <is>
          <t xml:space="preserve">QASHQADARYO VILOYATI QAMASHI TUMANI BERDOLI MFY BERDOLI KO’CHASI 198-UY</t>
        </is>
      </c>
      <c r="H108" s="103">
        <v>8.0</v>
      </c>
      <c r="I108" s="103">
        <v>1801308.83</v>
      </c>
      <c r="K108" s="102" t="inlineStr">
        <is>
          <t xml:space="preserve">Va'da berdi | qisman to'lov qildi</t>
        </is>
      </c>
    </row>
    <row r="109">
      <c r="A109" s="102" t="inlineStr">
        <is>
          <t xml:space="preserve">КАШКАДАРЁ ВИЛОЯТИ</t>
        </is>
      </c>
      <c r="B109" s="102" t="inlineStr">
        <is>
          <t xml:space="preserve">SUPER BRANCH</t>
        </is>
      </c>
      <c r="C109" s="102" t="inlineStr">
        <is>
          <t xml:space="preserve">Обещал</t>
        </is>
      </c>
      <c r="D109" s="102" t="inlineStr">
        <is>
          <t xml:space="preserve">Кр-99033487-3</t>
        </is>
      </c>
      <c r="E109" s="102" t="inlineStr">
        <is>
          <t xml:space="preserve">SHODMONOVA BAXTIGUL ABDIQAYUM QIZI</t>
        </is>
      </c>
      <c r="F109" s="102" t="inlineStr">
        <is>
          <t xml:space="preserve">998908957040 SMS O’ZI, 998908797040 SMS OILASI, 998935250601 SMS, 998995719343 SMS, 998955556474 SMS TO'LOVCHI FAQAT SHUNGA QILINSIN, 998973102809 SMS Eldor tolovchi,</t>
        </is>
      </c>
      <c r="G109" s="102" t="inlineStr">
        <is>
          <t xml:space="preserve">QASHQADARYO VILOYATI QARSHI TUMANI PATRON MFY PATRON QISHLOG’I 112-UY</t>
        </is>
      </c>
      <c r="H109" s="103">
        <v>8.0</v>
      </c>
      <c r="I109" s="103">
        <v>1386613.36</v>
      </c>
      <c r="K109" s="102" t="inlineStr">
        <is>
          <t xml:space="preserve">Va'da berdi | juma kun to'lov qiladi</t>
        </is>
      </c>
    </row>
    <row r="110">
      <c r="A110" s="102" t="inlineStr">
        <is>
          <t xml:space="preserve">КАШКАДАРЁ ВИЛОЯТИ</t>
        </is>
      </c>
      <c r="B110" s="102" t="inlineStr">
        <is>
          <t xml:space="preserve">SUPER BRANCH</t>
        </is>
      </c>
      <c r="C110" s="102" t="inlineStr">
        <is>
          <t xml:space="preserve">Обещал</t>
        </is>
      </c>
      <c r="D110" s="102" t="inlineStr">
        <is>
          <t xml:space="preserve">Кр-99035313-2</t>
        </is>
      </c>
      <c r="E110" s="102" t="inlineStr">
        <is>
          <t xml:space="preserve">OMONOV RO’YIDDIN ADASH O’G’LI</t>
        </is>
      </c>
      <c r="F110" s="102" t="inlineStr">
        <is>
          <t xml:space="preserve">998906167214 SMS OILASI, 998913830559 SMS AKASI  UZIII TO'LOVCHI, 998993830559 SMS OILASI, 998914682525 SMS UKASI (POCHCHASI),</t>
        </is>
      </c>
      <c r="G110" s="102" t="inlineStr">
        <is>
          <t xml:space="preserve">QASHQADARYO VILOYATI QARSHI TUMANI TINCHLIK MFY PARMITON QISHLOG’I 13-UY</t>
        </is>
      </c>
      <c r="H110" s="103">
        <v>1.0</v>
      </c>
      <c r="I110" s="103">
        <v>999946.2</v>
      </c>
      <c r="K110" s="102" t="inlineStr">
        <is>
          <t xml:space="preserve">Va'da berdi | ertaga to'liman dedi</t>
        </is>
      </c>
    </row>
    <row r="111">
      <c r="A111" s="102" t="inlineStr">
        <is>
          <t xml:space="preserve">КАШКАДАРЁ ВИЛОЯТИ</t>
        </is>
      </c>
      <c r="B111" s="102" t="inlineStr">
        <is>
          <t xml:space="preserve">SUPER BRANCH</t>
        </is>
      </c>
      <c r="C111" s="102" t="inlineStr">
        <is>
          <t xml:space="preserve">Дозвон</t>
        </is>
      </c>
      <c r="D111" s="102" t="inlineStr">
        <is>
          <t xml:space="preserve">Кр-99036546-1</t>
        </is>
      </c>
      <c r="E111" s="102" t="inlineStr">
        <is>
          <t xml:space="preserve">YULDASHEV RUSTAM QURBONAZAR O’G’LI</t>
        </is>
      </c>
      <c r="F111" s="102" t="inlineStr">
        <is>
          <t xml:space="preserve">998976711771 SMS OZI, 998987770193 SMS OZI 2, 998904252808 SMS OILASI , 998880062055 SMS AKASI ,</t>
        </is>
      </c>
      <c r="G111" s="102" t="inlineStr">
        <is>
          <t xml:space="preserve">QASHQADARYO VILOYATI G’UZOR TUMANI ERKIN KUCHASI 27-UY</t>
        </is>
      </c>
      <c r="I111" s="103">
        <v>971135.03</v>
      </c>
      <c r="J111" s="103">
        <v>971135.03</v>
      </c>
      <c r="K111" s="102" t="inlineStr">
        <is>
          <t xml:space="preserve">To'ladi</t>
        </is>
      </c>
    </row>
    <row r="112">
      <c r="A112" s="102" t="inlineStr">
        <is>
          <t xml:space="preserve">КАШКАДАРЁ ВИЛОЯТИ</t>
        </is>
      </c>
      <c r="B112" s="102" t="inlineStr">
        <is>
          <t xml:space="preserve">SUPER BRANCH</t>
        </is>
      </c>
      <c r="C112" s="102" t="inlineStr">
        <is>
          <t xml:space="preserve">Обещал</t>
        </is>
      </c>
      <c r="D112" s="102" t="inlineStr">
        <is>
          <t xml:space="preserve">Кр-99031215-2</t>
        </is>
      </c>
      <c r="E112" s="102" t="inlineStr">
        <is>
          <t xml:space="preserve">SULTONOV XASAN ORIF O’G’LI</t>
        </is>
      </c>
      <c r="F112" s="102" t="inlineStr">
        <is>
          <t xml:space="preserve">88-360-05-05  SMS O’ZI, 99-587-55-51  SMS UY, 91-216-71-34  SMS ONASI, 90-899-71-68  SMS DADASI,</t>
        </is>
      </c>
      <c r="G112" s="102" t="inlineStr">
        <is>
          <t xml:space="preserve">QASHQADARYO VILOYATI QAMASHI TUMANI BERDOLI MFY BERDOLI KO’CHASI 198-UY</t>
        </is>
      </c>
      <c r="H112" s="103">
        <v>8.0</v>
      </c>
      <c r="I112" s="103">
        <v>847086.54</v>
      </c>
      <c r="K112" s="102" t="inlineStr">
        <is>
          <t xml:space="preserve">Va'da berdi | qisman to'lov qildi</t>
        </is>
      </c>
    </row>
    <row r="113">
      <c r="A113" s="102" t="inlineStr">
        <is>
          <t xml:space="preserve">КАШКАДАРЁ ВИЛОЯТИ</t>
        </is>
      </c>
      <c r="B113" s="102" t="inlineStr">
        <is>
          <t xml:space="preserve">SUPER BRANCH</t>
        </is>
      </c>
      <c r="C113" s="102" t="inlineStr">
        <is>
          <t xml:space="preserve">Обещал</t>
        </is>
      </c>
      <c r="D113" s="102" t="inlineStr">
        <is>
          <t xml:space="preserve">Кр-99057087-1</t>
        </is>
      </c>
      <c r="E113" s="102" t="inlineStr">
        <is>
          <t xml:space="preserve">XAYITOV ZIKIR SHERKULOVICH</t>
        </is>
      </c>
      <c r="F113" s="102" t="inlineStr">
        <is>
          <t xml:space="preserve">998992669600 SMS OZI, 998934260277 SMS AYOLI, 998932305610 SMS UKASI, 998944826069 OG'LI TULOVCHI SHU,</t>
        </is>
      </c>
      <c r="G113" s="102" t="inlineStr">
        <is>
          <t xml:space="preserve">QASHQADARYO VILOYATI KOSON TUMANI MULALI MFY KORABAYIR KUCHASI 11-UY</t>
        </is>
      </c>
      <c r="H113" s="103">
        <v>8.0</v>
      </c>
      <c r="I113" s="103">
        <v>132078.6</v>
      </c>
      <c r="K113" s="102" t="inlineStr">
        <is>
          <t xml:space="preserve">Va'da berdi</t>
        </is>
      </c>
    </row>
    <row r="114">
      <c r="A114" s="102" t="inlineStr">
        <is>
          <t xml:space="preserve">КАШКАДАРЁ ВИЛОЯТИ</t>
        </is>
      </c>
      <c r="B114" s="102" t="inlineStr">
        <is>
          <t xml:space="preserve">SUPER BRANCH</t>
        </is>
      </c>
      <c r="C114" s="102" t="inlineStr">
        <is>
          <t xml:space="preserve">Дозвон</t>
        </is>
      </c>
      <c r="D114" s="102" t="inlineStr">
        <is>
          <t xml:space="preserve">Кр-99060392-1</t>
        </is>
      </c>
      <c r="E114" s="102" t="inlineStr">
        <is>
          <t xml:space="preserve">RO’ZIYEV JASURBEK ABDURASULOVICH</t>
        </is>
      </c>
      <c r="F114" s="102" t="inlineStr">
        <is>
          <t xml:space="preserve">998881132930 узи, 998990742930 онаси, 998990762930 отаси, 998995652930 акаси,</t>
        </is>
      </c>
      <c r="G114" s="102" t="inlineStr">
        <is>
          <t xml:space="preserve">QASHQADARYO VILOYATI KASBI TUMANI NAZARTEPA MFY NAZARTEPA KUCHASI 12-UY  42-MAKTAB</t>
        </is>
      </c>
      <c r="H114" s="103">
        <v>8.0</v>
      </c>
      <c r="I114" s="103">
        <v>60492.42</v>
      </c>
      <c r="J114" s="103">
        <v>60492.42</v>
      </c>
      <c r="K114" s="102" t="inlineStr">
        <is>
          <t xml:space="preserve">To'ladi</t>
        </is>
      </c>
    </row>
    <row r="115">
      <c r="A115" s="104" t="inlineStr">
        <is>
          <t xml:space="preserve">КАШКАДАРЁ ВИЛОЯТИ</t>
        </is>
      </c>
      <c r="B115" s="104" t="inlineStr">
        <is>
          <t xml:space="preserve">Қарши филиали</t>
        </is>
      </c>
      <c r="C115" s="104" t="inlineStr">
        <is>
          <t xml:space="preserve">Обещал</t>
        </is>
      </c>
      <c r="D115" s="104" t="inlineStr">
        <is>
          <t xml:space="preserve">Кр-99063705-1</t>
        </is>
      </c>
      <c r="E115" s="104" t="inlineStr">
        <is>
          <t xml:space="preserve">ABADOV DOSTON RUSTAM O’G’LI</t>
        </is>
      </c>
      <c r="F115" s="104" t="inlineStr">
        <is>
          <t xml:space="preserve">+998701208881 SMS O'ZI, 998702198484 SMS , 998918127626 SMS,</t>
        </is>
      </c>
      <c r="G115" s="104" t="inlineStr">
        <is>
          <t xml:space="preserve">КАШКАДАРЁ ВИЛОЯТИ КАРШИ ТУМАНИ УЗУМЗОР МФЙ ЛАГАНДИ КИШЛОГИ 2/18 УЙ</t>
        </is>
      </c>
      <c r="H115" s="105">
        <v>8.0</v>
      </c>
      <c r="I115" s="105">
        <v>9347812.8</v>
      </c>
      <c r="K115" s="104" t="inlineStr">
        <is>
          <t xml:space="preserve">Va'da berdi | 15:00 gacha tolaniladi</t>
        </is>
      </c>
    </row>
    <row r="116">
      <c r="A116" s="104" t="inlineStr">
        <is>
          <t xml:space="preserve">КАШКАДАРЁ ВИЛОЯТИ</t>
        </is>
      </c>
      <c r="B116" s="104" t="inlineStr">
        <is>
          <t xml:space="preserve">Қарши филиали</t>
        </is>
      </c>
      <c r="C116" s="104" t="inlineStr">
        <is>
          <t xml:space="preserve">Обещал</t>
        </is>
      </c>
      <c r="D116" s="104" t="inlineStr">
        <is>
          <t xml:space="preserve">Кр-99035313-4</t>
        </is>
      </c>
      <c r="E116" s="104" t="inlineStr">
        <is>
          <t xml:space="preserve">OMONOV RO’YIDDIN ADASH O’G’LI</t>
        </is>
      </c>
      <c r="F116" s="104" t="inlineStr">
        <is>
          <t xml:space="preserve">998906167214 SMS OILASI, 998913830559 SMS AKASI  UZIII TO'LOVCHI, 998993830559 SMS OILASI, 998914682525 SMS UKASI (POCHCHASI),</t>
        </is>
      </c>
      <c r="G116" s="104" t="inlineStr">
        <is>
          <t xml:space="preserve">QASHQADARYO VILOYATI QARSHI TUMANI TINCHLIK MFY PARMITON QISHLOG’I 13-UY</t>
        </is>
      </c>
      <c r="H116" s="105">
        <v>8.0</v>
      </c>
      <c r="I116" s="105">
        <v>3262800.28</v>
      </c>
      <c r="K116" s="104" t="inlineStr">
        <is>
          <t xml:space="preserve">Va'da berdi | ertaga to'liman dedi</t>
        </is>
      </c>
    </row>
    <row r="117">
      <c r="A117" s="104" t="inlineStr">
        <is>
          <t xml:space="preserve">КАШКАДАРЁ ВИЛОЯТИ</t>
        </is>
      </c>
      <c r="B117" s="104" t="inlineStr">
        <is>
          <t xml:space="preserve">Қарши филиали</t>
        </is>
      </c>
      <c r="C117" s="104" t="inlineStr">
        <is>
          <t xml:space="preserve">Обещал</t>
        </is>
      </c>
      <c r="D117" s="104" t="inlineStr">
        <is>
          <t xml:space="preserve">Кр-99032971-3</t>
        </is>
      </c>
      <c r="E117" s="104" t="inlineStr">
        <is>
          <t xml:space="preserve">SHODIYEV NAMOZ ERKIN O’G’LI</t>
        </is>
      </c>
      <c r="F117" s="104" t="inlineStr">
        <is>
          <t xml:space="preserve">998900111050 SMS O’ZI, 998332232320 SMS UY, 998882911130 SMS BEGONA, 998990400306 SMS Ozi, 998973125615 SMS AMAKISINI O'G'LI,</t>
        </is>
      </c>
      <c r="G117" s="104" t="inlineStr">
        <is>
          <t xml:space="preserve">QASHQADARYO VILOYATI MUBORAK TUMANI PAXTAKOR MFY QARLIQ QISHLOG’I 7-UY</t>
        </is>
      </c>
      <c r="H117" s="105">
        <v>8.0</v>
      </c>
      <c r="I117" s="105">
        <v>3227314.5</v>
      </c>
      <c r="K117" s="104" t="inlineStr">
        <is>
          <t xml:space="preserve">Va'da berdi | ertaga abetgacha yopvoradi</t>
        </is>
      </c>
    </row>
    <row r="118">
      <c r="A118" s="104" t="inlineStr">
        <is>
          <t xml:space="preserve">КАШКАДАРЁ ВИЛОЯТИ</t>
        </is>
      </c>
      <c r="B118" s="104" t="inlineStr">
        <is>
          <t xml:space="preserve">Қарши филиали</t>
        </is>
      </c>
      <c r="C118" s="104" t="inlineStr">
        <is>
          <t xml:space="preserve">Дозвон</t>
        </is>
      </c>
      <c r="D118" s="104" t="inlineStr">
        <is>
          <t xml:space="preserve">Кр-99036280-4</t>
        </is>
      </c>
      <c r="E118" s="104" t="inlineStr">
        <is>
          <t xml:space="preserve">DJURAYEV URAL NORTULAYEVICH</t>
        </is>
      </c>
      <c r="F118" s="104" t="inlineStr">
        <is>
          <t xml:space="preserve">998973133705 SMS OZI, 998886389305 SMS AYOLI, 998882214343 SMS AKASI, 998970706311 SMS UKASI,</t>
        </is>
      </c>
      <c r="G118" s="104" t="inlineStr">
        <is>
          <t xml:space="preserve">КАШКАДАРЁ ВИЛОЯТИ КОСОН ТУМАНИ Эсабой МФЙ Эсабой кучаси 11 уй</t>
        </is>
      </c>
      <c r="H118" s="105">
        <v>8.0</v>
      </c>
      <c r="I118" s="105">
        <v>3169494.35</v>
      </c>
      <c r="J118" s="105">
        <v>3169494.35</v>
      </c>
      <c r="K118" s="104" t="inlineStr">
        <is>
          <t xml:space="preserve">To'ladi</t>
        </is>
      </c>
    </row>
    <row r="119">
      <c r="A119" s="104" t="inlineStr">
        <is>
          <t xml:space="preserve">КАШКАДАРЁ ВИЛОЯТИ</t>
        </is>
      </c>
      <c r="B119" s="104" t="inlineStr">
        <is>
          <t xml:space="preserve">Қарши филиали</t>
        </is>
      </c>
      <c r="C119" s="104" t="inlineStr">
        <is>
          <t xml:space="preserve">Обещал</t>
        </is>
      </c>
      <c r="D119" s="104" t="inlineStr">
        <is>
          <t xml:space="preserve">Кр-99063942-1</t>
        </is>
      </c>
      <c r="E119" s="104" t="inlineStr">
        <is>
          <t xml:space="preserve">TO’LAYEV MIRJALOL MUZAFFARJON O’G’LI</t>
        </is>
      </c>
      <c r="F119" s="104" t="inlineStr">
        <is>
          <t xml:space="preserve">+998883110080 SMS, 998771727141 SMS, 998889518080 SMS,</t>
        </is>
      </c>
      <c r="G119" s="104" t="inlineStr">
        <is>
          <t xml:space="preserve">КАШКАДАРЁ ВИЛОЯТИ ГУЗОР ТУМАНИ ШЕРАЛИ МФЙ ХАЛКАБОД КИШЛОГИ</t>
        </is>
      </c>
      <c r="H119" s="105">
        <v>8.0</v>
      </c>
      <c r="I119" s="105">
        <v>2343568.42</v>
      </c>
      <c r="K119" s="104" t="inlineStr">
        <is>
          <t xml:space="preserve">Va'da berdi | 16:00:00</t>
        </is>
      </c>
    </row>
    <row r="120">
      <c r="A120" s="104" t="inlineStr">
        <is>
          <t xml:space="preserve">КАШКАДАРЁ ВИЛОЯТИ</t>
        </is>
      </c>
      <c r="B120" s="104" t="inlineStr">
        <is>
          <t xml:space="preserve">Қарши филиали</t>
        </is>
      </c>
      <c r="C120" s="104" t="inlineStr">
        <is>
          <t xml:space="preserve">Обещал</t>
        </is>
      </c>
      <c r="D120" s="104" t="inlineStr">
        <is>
          <t xml:space="preserve">Кр-99050434-2</t>
        </is>
      </c>
      <c r="E120" s="104" t="inlineStr">
        <is>
          <t xml:space="preserve">SHAMSIYEV MEHRIDIN TUBLI O’G’LI</t>
        </is>
      </c>
      <c r="F120" s="104" t="inlineStr">
        <is>
          <t xml:space="preserve">+998973876569 SMS UZI, 998970057479 SMS UKASI, 998975196569 SMS  BEGONA,</t>
        </is>
      </c>
      <c r="G120" s="104" t="inlineStr">
        <is>
          <t xml:space="preserve">КАШКАДАРЁ ВИЛОЯТИ КОСОН ТУМАНИ ESABOY MFY ESABOY QISHLOG’I 11 UY</t>
        </is>
      </c>
      <c r="H120" s="105">
        <v>8.0</v>
      </c>
      <c r="I120" s="105">
        <v>2249207.72</v>
      </c>
      <c r="K120" s="104" t="inlineStr">
        <is>
          <t xml:space="preserve">Va'da berdi | ERATAGA TOLOV OTADI</t>
        </is>
      </c>
    </row>
    <row r="121">
      <c r="A121" s="104" t="inlineStr">
        <is>
          <t xml:space="preserve">КАШКАДАРЁ ВИЛОЯТИ</t>
        </is>
      </c>
      <c r="B121" s="104" t="inlineStr">
        <is>
          <t xml:space="preserve">Қарши филиали</t>
        </is>
      </c>
      <c r="C121" s="104" t="inlineStr">
        <is>
          <t xml:space="preserve">Обещал</t>
        </is>
      </c>
      <c r="D121" s="104" t="inlineStr">
        <is>
          <t xml:space="preserve">Кр-99063483-1</t>
        </is>
      </c>
      <c r="E121" s="104" t="inlineStr">
        <is>
          <t xml:space="preserve">PIRNAZAROVA MARJONA PANJI QIZI</t>
        </is>
      </c>
      <c r="F121" s="104" t="inlineStr">
        <is>
          <t xml:space="preserve">+998972223235 SMS QAYNI OTASI, 998882294020 SMS O'ZI, 998959200046 SMS,</t>
        </is>
      </c>
      <c r="G121" s="104" t="inlineStr">
        <is>
          <t xml:space="preserve">КАШКАДАРЁ ВИЛОЯТИ КОСОН ТУМАНИ ЭСАБОЙ МФЙ НАСАФ КУЧАСИ 39-УЙ</t>
        </is>
      </c>
      <c r="H121" s="105">
        <v>8.0</v>
      </c>
      <c r="I121" s="105">
        <v>2172639.44</v>
      </c>
      <c r="K121" s="104" t="inlineStr">
        <is>
          <t xml:space="preserve">Va'da berdi | tolov ertaga ammalga oshadi</t>
        </is>
      </c>
    </row>
    <row r="122">
      <c r="A122" s="104" t="inlineStr">
        <is>
          <t xml:space="preserve">КАШКАДАРЁ ВИЛОЯТИ</t>
        </is>
      </c>
      <c r="B122" s="104" t="inlineStr">
        <is>
          <t xml:space="preserve">Қарши филиали</t>
        </is>
      </c>
      <c r="C122" s="104" t="inlineStr">
        <is>
          <t xml:space="preserve">Обещал</t>
        </is>
      </c>
      <c r="D122" s="104" t="inlineStr">
        <is>
          <t xml:space="preserve">Кр-99017085-2</t>
        </is>
      </c>
      <c r="E122" s="104" t="inlineStr">
        <is>
          <t xml:space="preserve">IQBOLOVA DILNAVOZ RAJABOVNA</t>
        </is>
      </c>
      <c r="F122" s="104" t="inlineStr">
        <is>
          <t xml:space="preserve">998942928121 SMS OZI, 998507263234 SMS ERI, 998906075063 SMS OPASI(  UZI SHUNGA QILINSIN), 998908980199 SMS JIYANI, 998941128121 UZI NEW,</t>
        </is>
      </c>
      <c r="G122" s="104" t="inlineStr">
        <is>
          <t xml:space="preserve">Кашкадарьинская область, г. Карши, Чулкувар, 4 митти туман, дом 2, кв. 8</t>
        </is>
      </c>
      <c r="H122" s="105">
        <v>8.0</v>
      </c>
      <c r="I122" s="105">
        <v>2053017.09</v>
      </c>
      <c r="K122" s="104" t="inlineStr">
        <is>
          <t xml:space="preserve">Va'da berdi | bugun kechga to'liman dedi</t>
        </is>
      </c>
    </row>
    <row r="123">
      <c r="A123" s="104" t="inlineStr">
        <is>
          <t xml:space="preserve">КАШКАДАРЁ ВИЛОЯТИ</t>
        </is>
      </c>
      <c r="B123" s="104" t="inlineStr">
        <is>
          <t xml:space="preserve">Қарши филиали</t>
        </is>
      </c>
      <c r="C123" s="104" t="inlineStr">
        <is>
          <t xml:space="preserve">Обещал</t>
        </is>
      </c>
      <c r="D123" s="104" t="inlineStr">
        <is>
          <t xml:space="preserve">Кр-99034394-1</t>
        </is>
      </c>
      <c r="E123" s="104" t="inlineStr">
        <is>
          <t xml:space="preserve">JUMANAZAROV UMIDJON ORIFJON O’G’LI</t>
        </is>
      </c>
      <c r="F123" s="104" t="inlineStr">
        <is>
          <t xml:space="preserve">998997397839 SMS O’ZI, 998774230383 SMS AKASI, 998997267839 SMS OTASI,</t>
        </is>
      </c>
      <c r="G123" s="104" t="inlineStr">
        <is>
          <t xml:space="preserve">QASHQADARYO VILOYATI MIRISHKOR TUMANI NURAFSHON MFY NASAF KUCHASI 7 UY</t>
        </is>
      </c>
      <c r="H123" s="105">
        <v>1.0</v>
      </c>
      <c r="I123" s="105">
        <v>1891983.6</v>
      </c>
      <c r="K123" s="104" t="inlineStr">
        <is>
          <t xml:space="preserve">Va'da berdi | ertalab to'liman dedi</t>
        </is>
      </c>
    </row>
    <row r="124">
      <c r="A124" s="104" t="inlineStr">
        <is>
          <t xml:space="preserve">КАШКАДАРЁ ВИЛОЯТИ</t>
        </is>
      </c>
      <c r="B124" s="104" t="inlineStr">
        <is>
          <t xml:space="preserve">Қарши филиали</t>
        </is>
      </c>
      <c r="C124" s="104" t="inlineStr">
        <is>
          <t xml:space="preserve">Обещал</t>
        </is>
      </c>
      <c r="D124" s="104" t="inlineStr">
        <is>
          <t xml:space="preserve">Кр-99041346-1</t>
        </is>
      </c>
      <c r="E124" s="104" t="inlineStr">
        <is>
          <t xml:space="preserve">RAVSHANOV FARHOD CHORIYOROVICH</t>
        </is>
      </c>
      <c r="F124" s="104" t="inlineStr">
        <is>
          <t xml:space="preserve">998952510007 sms ozi, 998953156767 sms, 998974348787 sms,</t>
        </is>
      </c>
      <c r="G124" s="104" t="inlineStr">
        <is>
          <t xml:space="preserve">Кашкадарьинская область, Камашинский район, Туқбой МСГ, ул. Сарой, дом 54</t>
        </is>
      </c>
      <c r="H124" s="105">
        <v>8.0</v>
      </c>
      <c r="I124" s="105">
        <v>1340493.38</v>
      </c>
      <c r="K124" s="104" t="inlineStr">
        <is>
          <t xml:space="preserve">Va'da berdi | 2 kun ichda tolov qiladi</t>
        </is>
      </c>
    </row>
    <row r="125">
      <c r="A125" s="104" t="inlineStr">
        <is>
          <t xml:space="preserve">КАШКАДАРЁ ВИЛОЯТИ</t>
        </is>
      </c>
      <c r="B125" s="104" t="inlineStr">
        <is>
          <t xml:space="preserve">Қарши филиали</t>
        </is>
      </c>
      <c r="C125" s="104" t="inlineStr">
        <is>
          <t xml:space="preserve">Дозвон</t>
        </is>
      </c>
      <c r="D125" s="104" t="inlineStr">
        <is>
          <t xml:space="preserve">Кр-99063664-1</t>
        </is>
      </c>
      <c r="E125" s="104" t="inlineStr">
        <is>
          <t xml:space="preserve">SULTONOV BAHRIDDIN MURODILLOYEVICH</t>
        </is>
      </c>
      <c r="F125" s="104" t="inlineStr">
        <is>
          <t xml:space="preserve">+998872130901 SMS O'GLI, 998952201072 SMS, 998992596974 SMS,</t>
        </is>
      </c>
      <c r="G125" s="104" t="inlineStr">
        <is>
          <t xml:space="preserve">КАШКАДАРЁ ВИЛОЯТИ МИРИШКОР ТУМАНИ ЯНГИ МИРИШКОР МФЙ УЗБЕКИСТОН КУЧАСИ 149 УЙ</t>
        </is>
      </c>
      <c r="H125" s="105">
        <v>8.0</v>
      </c>
      <c r="I125" s="105">
        <v>397730.59</v>
      </c>
      <c r="J125" s="105">
        <v>397730.59</v>
      </c>
      <c r="K125" s="104" t="inlineStr">
        <is>
          <t xml:space="preserve">To'ladi</t>
        </is>
      </c>
    </row>
    <row r="126">
      <c r="A126" s="106" t="inlineStr">
        <is>
          <t xml:space="preserve">КОРАКАЛПОГИСТОН РЕСПУБЛИКАСИ</t>
        </is>
      </c>
      <c r="C126" s="106" t="inlineStr">
        <is>
          <t xml:space="preserve">Обещал</t>
        </is>
      </c>
      <c r="D126" s="106" t="inlineStr">
        <is>
          <t xml:space="preserve">Кр-99062886-3</t>
        </is>
      </c>
      <c r="E126" s="106" t="inlineStr">
        <is>
          <t xml:space="preserve">AYTMURATOV BAXIT DJANABAYEVICH</t>
        </is>
      </c>
      <c r="F126" s="106" t="inlineStr">
        <is>
          <t xml:space="preserve">+998933067303 OZI, 998932023938 OGLI, 998996823509 OYALI, 998939677376 OZII NEWWW,</t>
        </is>
      </c>
      <c r="G126" s="106" t="inlineStr">
        <is>
          <t xml:space="preserve">QORAQALPOGISTON RES SHUMBOY TUMANI ORJAP MFY AQ ALTIN KUSHASI 8 UY</t>
        </is>
      </c>
      <c r="H126" s="107">
        <v>71.0</v>
      </c>
      <c r="I126" s="107">
        <v>13465118.1</v>
      </c>
      <c r="K126" s="106" t="inlineStr">
        <is>
          <t xml:space="preserve">ALMATIDA AYOLI TO;LAYDI OY OXIRI | 1650 | Va'da berdi</t>
        </is>
      </c>
    </row>
    <row r="127">
      <c r="A127" s="106" t="inlineStr">
        <is>
          <t xml:space="preserve">КОРАКАЛПОГИСТОН РЕСПУБЛИКАСИ</t>
        </is>
      </c>
      <c r="C127" s="106" t="inlineStr">
        <is>
          <t xml:space="preserve">Обещал</t>
        </is>
      </c>
      <c r="D127" s="106" t="inlineStr">
        <is>
          <t xml:space="preserve">Кр-99056260-1</t>
        </is>
      </c>
      <c r="E127" s="106" t="inlineStr">
        <is>
          <t xml:space="preserve">ABDIKALIKOV DASTAN BOSTANOVICH</t>
        </is>
      </c>
      <c r="F127" s="106" t="inlineStr">
        <is>
          <t xml:space="preserve">998887079454 SMS OZI, 998970010096 SMS AKASI, 998888018881 SMS UKASI,</t>
        </is>
      </c>
      <c r="G127" s="106" t="inlineStr">
        <is>
          <t xml:space="preserve">QARAQALPOGISTON RES NUKUS SHAHAR SHIMBAY SHAYXANA MFY KOKLEMZAR KUSHASI 113 UY 38 KVARTIRA </t>
        </is>
      </c>
      <c r="H127" s="107">
        <v>11.0</v>
      </c>
      <c r="I127" s="107">
        <v>9679134.01</v>
      </c>
      <c r="K127" s="106" t="inlineStr">
        <is>
          <t xml:space="preserve">OYLIKDAN  QACHONLIGINI AYTMADI | 1401 | Va'da berdi</t>
        </is>
      </c>
    </row>
    <row r="128">
      <c r="A128" s="106" t="inlineStr">
        <is>
          <t xml:space="preserve">КОРАКАЛПОГИСТОН РЕСПУБЛИКАСИ</t>
        </is>
      </c>
      <c r="C128" s="106" t="inlineStr">
        <is>
          <t xml:space="preserve">Обещал</t>
        </is>
      </c>
      <c r="D128" s="106" t="inlineStr">
        <is>
          <t xml:space="preserve">Кр-99032661-1</t>
        </is>
      </c>
      <c r="E128" s="106" t="inlineStr">
        <is>
          <t xml:space="preserve">TLEUMBETOVA DILARAM DUYSENBAYEVNA</t>
        </is>
      </c>
      <c r="F128" s="106" t="inlineStr">
        <is>
          <t xml:space="preserve">998937093732 SMS TO’LOVCHI, 998905951051 SMS TOLOVCHI 2, 998337402818 SMS AKASI, 998932095775 SMS AKASI 2, 998919282212 SMS Ikrom akasi tolovchi , 998919288148 SMS akasi , 998919382212 SMS ozi new , 998933645639 SMS MAHALLA SHUNGA CHIQILSIN , 998921950595 ERI TULOVCHI,</t>
        </is>
      </c>
      <c r="G128" s="106" t="inlineStr">
        <is>
          <t xml:space="preserve">NUKUS SHAHAR MATEN SIYTNIYZOZ KUSHASI 152A UY  </t>
        </is>
      </c>
      <c r="H128" s="107">
        <v>63.0</v>
      </c>
      <c r="I128" s="107">
        <v>8278329.23</v>
      </c>
      <c r="K128" s="106" t="inlineStr">
        <is>
          <t xml:space="preserve">BUGUNGA TO'LOV QILAMAN DEDILA ERINI AVANSIDAN 7 MILLION | 408 | Uyiga borildi - to'ladi</t>
        </is>
      </c>
    </row>
    <row r="129">
      <c r="A129" s="106" t="inlineStr">
        <is>
          <t xml:space="preserve">КОРАКАЛПОГИСТОН РЕСПУБЛИКАСИ</t>
        </is>
      </c>
      <c r="C129" s="106" t="inlineStr">
        <is>
          <t xml:space="preserve">Дозвон</t>
        </is>
      </c>
      <c r="D129" s="106" t="inlineStr">
        <is>
          <t xml:space="preserve">Кр-99060314-1</t>
        </is>
      </c>
      <c r="E129" s="106" t="inlineStr">
        <is>
          <t xml:space="preserve">JUMABEKOV SALAMAT TURGANBAEVICH</t>
        </is>
      </c>
      <c r="F129" s="106" t="inlineStr">
        <is>
          <t xml:space="preserve">998939404748 узи, 998915647717 аели, 998939619771 кизи, 998933029918 угли,</t>
        </is>
      </c>
      <c r="G129" s="106" t="inlineStr">
        <is>
          <t xml:space="preserve">QORAQALPOGISTON RESPUBLIKASI NUKUS SHAHAR JUOAZSHI MFY TASQIRMAN KUSHASI 4 UY  </t>
        </is>
      </c>
      <c r="H129" s="107">
        <v>11.0</v>
      </c>
      <c r="I129" s="107">
        <v>7578603.47</v>
      </c>
      <c r="K129" s="106" t="inlineStr">
        <is>
          <t xml:space="preserve">xotini bn gaplashdim  to'lov qilamiz ertaga dedi qayerda ishlaydi desam yashirdi xotini bu sir tentega oxwab | 1515 | Va'da berdi</t>
        </is>
      </c>
    </row>
    <row r="130">
      <c r="A130" s="106" t="inlineStr">
        <is>
          <t xml:space="preserve">КОРАКАЛПОГИСТОН РЕСПУБЛИКАСИ</t>
        </is>
      </c>
      <c r="C130" s="106" t="inlineStr">
        <is>
          <t xml:space="preserve">Обещал</t>
        </is>
      </c>
      <c r="D130" s="106" t="inlineStr">
        <is>
          <t xml:space="preserve">Кр-99061501-1</t>
        </is>
      </c>
      <c r="E130" s="106" t="inlineStr">
        <is>
          <t xml:space="preserve">JOLDIBAEV NARTAY TABINBAEVICH</t>
        </is>
      </c>
      <c r="F130" s="106" t="inlineStr">
        <is>
          <t xml:space="preserve">998991188928 узи, 998995849029 аели, 998932002889 кизи, 998997028990 угли,</t>
        </is>
      </c>
      <c r="G130" s="106" t="inlineStr">
        <is>
          <t xml:space="preserve">QORAQALPOGISTON RES KEGIYLI TUMANI JANA BAZAR MFY BAXITLI EL KUSHASI 15 UY </t>
        </is>
      </c>
      <c r="H130" s="107">
        <v>8.0</v>
      </c>
      <c r="I130" s="107">
        <v>7372185.27</v>
      </c>
      <c r="K130" s="106" t="inlineStr">
        <is>
          <t xml:space="preserve">BUGUN ERTAGA VRACH QILISH SHARTMAS | 1546 | Va'da berdi</t>
        </is>
      </c>
    </row>
    <row r="131">
      <c r="A131" s="106" t="inlineStr">
        <is>
          <t xml:space="preserve">КОРАКАЛПОГИСТОН РЕСПУБЛИКАСИ</t>
        </is>
      </c>
      <c r="C131" s="106" t="inlineStr">
        <is>
          <t xml:space="preserve">Обещал</t>
        </is>
      </c>
      <c r="D131" s="106" t="inlineStr">
        <is>
          <t xml:space="preserve">Кр-99046605-1</t>
        </is>
      </c>
      <c r="E131" s="106" t="inlineStr">
        <is>
          <t xml:space="preserve">BALTAYEV SADULLA MAKSUDOVICH</t>
        </is>
      </c>
      <c r="F131" s="106" t="inlineStr">
        <is>
          <t xml:space="preserve">998907147737 SMS UZI, 998947020528 SMS UGLI, 998945640304 SMS QIZI, 998997147737 o'zi newww,</t>
        </is>
      </c>
      <c r="G131" s="106" t="inlineStr">
        <is>
          <t xml:space="preserve">QORAQALPOGISTON RES XOJAYLI TUMANI TUTZAR MFY XALKABAD KUSHASI 8 UY</t>
        </is>
      </c>
      <c r="H131" s="107">
        <v>11.0</v>
      </c>
      <c r="I131" s="107">
        <v>6949519.22</v>
      </c>
      <c r="K131" s="106" t="inlineStr">
        <is>
          <t xml:space="preserve">G'ISHT ZAVODDA ISHLAYDI  OYLIGIMI OLISHIM BN TASHAYMAN DEDILA AJDANIYA | 1244 | Va'da berdi</t>
        </is>
      </c>
    </row>
    <row r="132">
      <c r="A132" s="106" t="inlineStr">
        <is>
          <t xml:space="preserve">КОРАКАЛПОГИСТОН РЕСПУБЛИКАСИ</t>
        </is>
      </c>
      <c r="C132" s="106" t="inlineStr">
        <is>
          <t xml:space="preserve">Дозвон</t>
        </is>
      </c>
      <c r="D132" s="106" t="inlineStr">
        <is>
          <t xml:space="preserve">Кр-99062856-1</t>
        </is>
      </c>
      <c r="E132" s="106" t="inlineStr">
        <is>
          <t xml:space="preserve">EGAMBERDIYEVA UMIDA KASIMOVNA</t>
        </is>
      </c>
      <c r="F132" s="106" t="inlineStr">
        <is>
          <t xml:space="preserve">+998883582424 SMS UZI, 998885005655 SMS QAYNONASI, 998996814160 SMS QAYNOPASI,</t>
        </is>
      </c>
      <c r="G132" s="106" t="inlineStr">
        <is>
          <t xml:space="preserve">КОРАКАЛПОГИСТОН РЕСПУБЛИКАСИ ТУРТКУЛ ТУМАНИ ТИНЧЛИК МФЙ, ЭРКИН КЎЧАСИ,  uy:49</t>
        </is>
      </c>
      <c r="H132" s="107">
        <v>8.0</v>
      </c>
      <c r="I132" s="107">
        <v>5716797.14</v>
      </c>
      <c r="K132" s="106" t="inlineStr">
        <is>
          <t xml:space="preserve">5655 QO'SHNISI BN GAPLASHDIM NOMERINI OLISHGA YANA TEL QILAMAN | 1639 | Telefon ko'tarmadi</t>
        </is>
      </c>
    </row>
    <row r="133">
      <c r="A133" s="106" t="inlineStr">
        <is>
          <t xml:space="preserve">КОРАКАЛПОГИСТОН РЕСПУБЛИКАСИ</t>
        </is>
      </c>
      <c r="C133" s="106" t="inlineStr">
        <is>
          <t xml:space="preserve">Обещал</t>
        </is>
      </c>
      <c r="D133" s="106" t="inlineStr">
        <is>
          <t xml:space="preserve">Кр-99026306-2</t>
        </is>
      </c>
      <c r="E133" s="106" t="inlineStr">
        <is>
          <t xml:space="preserve">ABDURAXMANOV SANJAR SADULLAYEVICH</t>
        </is>
      </c>
      <c r="F133" s="106" t="inlineStr">
        <is>
          <t xml:space="preserve">99-775-55-05 SMS O'ZI, 91-436-90-03  SMS UKASI begona, 99-348-90-03 SMS tulovchi , 998990247010 SMS ukasi tulovchi,</t>
        </is>
      </c>
      <c r="G133" s="106" t="inlineStr">
        <is>
          <t xml:space="preserve">QORAQALPOG’ISTON RESPUBLIKASI BERUNIY TUMANI BUNYODKOR MAXALLASI N.KUBRO KUCHASI 10 UY</t>
        </is>
      </c>
      <c r="H133" s="107">
        <v>6.0</v>
      </c>
      <c r="I133" s="107">
        <v>5707198.04</v>
      </c>
      <c r="K133" s="106" t="inlineStr">
        <is>
          <t xml:space="preserve">BU 3KUNDA TASHAB BERAMAN OYLIKDAN DDILA QAYERDA ISHLASHLARINI AYTMADILA | 178 | Va'da berdi</t>
        </is>
      </c>
    </row>
    <row r="134">
      <c r="A134" s="106" t="inlineStr">
        <is>
          <t xml:space="preserve">КОРАКАЛПОГИСТОН РЕСПУБЛИКАСИ</t>
        </is>
      </c>
      <c r="C134" s="106" t="inlineStr">
        <is>
          <t xml:space="preserve">Дозвон</t>
        </is>
      </c>
      <c r="D134" s="106" t="inlineStr">
        <is>
          <t xml:space="preserve">Кр-99049371-1</t>
        </is>
      </c>
      <c r="E134" s="106" t="inlineStr">
        <is>
          <t xml:space="preserve">TOREMURATOVA GULAYIM AYAPBERGENOVNA</t>
        </is>
      </c>
      <c r="F134" s="106" t="inlineStr">
        <is>
          <t xml:space="preserve">998907369948 OZI, 998913007873 OGLI, 998946853336 QIZI, 998913837073 ogli neww,</t>
        </is>
      </c>
      <c r="G134" s="106" t="inlineStr">
        <is>
          <t xml:space="preserve">Qaraqalpogiston Respublikasi Xojayli tumani Kulap OFY Shiraq kushasi 13 uy</t>
        </is>
      </c>
      <c r="H134" s="107">
        <v>41.0</v>
      </c>
      <c r="I134" s="107">
        <v>5330845.86</v>
      </c>
      <c r="K134" s="106" t="inlineStr">
        <is>
          <t xml:space="preserve">KELINI  BN GAPLASHDIM FILIAL HAM BORDI UYID HECH KIM YUQ EKAN QOZOQDA EKAN TASHLAYMIZ DEYABDI | 1300 | Va'da berdi</t>
        </is>
      </c>
    </row>
    <row r="135">
      <c r="A135" s="106" t="inlineStr">
        <is>
          <t xml:space="preserve">КОРАКАЛПОГИСТОН РЕСПУБЛИКАСИ</t>
        </is>
      </c>
      <c r="C135" s="106" t="inlineStr">
        <is>
          <t xml:space="preserve">Обещал</t>
        </is>
      </c>
      <c r="D135" s="106" t="inlineStr">
        <is>
          <t xml:space="preserve">Кр-99057450-1</t>
        </is>
      </c>
      <c r="E135" s="106" t="inlineStr">
        <is>
          <t xml:space="preserve">BEKIMOV GULIMBAY YERKABAYEVICH</t>
        </is>
      </c>
      <c r="F135" s="106" t="inlineStr">
        <is>
          <t xml:space="preserve">998996622374 SMS O'ZI, 998912711974 SMS O'ZI 2, 998977965585 SMS AYOLI,</t>
        </is>
      </c>
      <c r="G135" s="106" t="inlineStr">
        <is>
          <t xml:space="preserve">BERUNIY TUMANI</t>
        </is>
      </c>
      <c r="H135" s="107">
        <v>8.0</v>
      </c>
      <c r="I135" s="107">
        <v>5236088.15</v>
      </c>
      <c r="K135" s="106" t="inlineStr">
        <is>
          <t xml:space="preserve">20-25 OYLIKDAN  O'G'LI TO'LAYDI | 1451 | Va'da berdi</t>
        </is>
      </c>
    </row>
    <row r="136">
      <c r="A136" s="106" t="inlineStr">
        <is>
          <t xml:space="preserve">КОРАКАЛПОГИСТОН РЕСПУБЛИКАСИ</t>
        </is>
      </c>
      <c r="C136" s="106" t="inlineStr">
        <is>
          <t xml:space="preserve">Обещал</t>
        </is>
      </c>
      <c r="D136" s="106" t="inlineStr">
        <is>
          <t xml:space="preserve">Кр-99044140-3</t>
        </is>
      </c>
      <c r="E136" s="106" t="inlineStr">
        <is>
          <t xml:space="preserve">BAEKEEV BERIK MUXAMBETKARIMOVICH</t>
        </is>
      </c>
      <c r="F136" s="106" t="inlineStr">
        <is>
          <t xml:space="preserve">998884871988 OZI, 998970008892 OYALI, 998978889288 UKASI,</t>
        </is>
      </c>
      <c r="G136" s="106" t="inlineStr">
        <is>
          <t xml:space="preserve">ХАКИМ-АТА МФЙ, МСГ ХАКИМ-АТА, С,АЛЛАНИЯЗОВ,  uy:Р/З</t>
        </is>
      </c>
      <c r="H136" s="107">
        <v>8.0</v>
      </c>
      <c r="I136" s="107">
        <v>5171582.4</v>
      </c>
      <c r="K136" s="106" t="inlineStr">
        <is>
          <t xml:space="preserve">28DA BANESADA ISHLEDI | 1199 | Va'da berdi</t>
        </is>
      </c>
    </row>
    <row r="137">
      <c r="A137" s="106" t="inlineStr">
        <is>
          <t xml:space="preserve">КОРАКАЛПОГИСТОН РЕСПУБЛИКАСИ</t>
        </is>
      </c>
      <c r="C137" s="106" t="inlineStr">
        <is>
          <t xml:space="preserve">Дозвон</t>
        </is>
      </c>
      <c r="D137" s="106" t="inlineStr">
        <is>
          <t xml:space="preserve">Кр-99054583-1</t>
        </is>
      </c>
      <c r="E137" s="106" t="inlineStr">
        <is>
          <t xml:space="preserve">ATABAYEVA JEREN AXMETOVNA</t>
        </is>
      </c>
      <c r="F137" s="106" t="inlineStr">
        <is>
          <t xml:space="preserve">998912601332 SMS OZI, 998953495323 SMS OGLI, 989521723262 SMS OGLI 2, 998941477205 SMS ONASI,</t>
        </is>
      </c>
      <c r="G137" s="106" t="inlineStr">
        <is>
          <t xml:space="preserve">QORAQOLPOG’ISTON RESPUBLIKASI TO’RTKO’L TUMANI BOG’YOP MFY GAGARIN KO’CHASI 101-UY</t>
        </is>
      </c>
      <c r="H137" s="107">
        <v>8.0</v>
      </c>
      <c r="I137" s="107">
        <v>5103263.12</v>
      </c>
      <c r="K137" s="106" t="inlineStr">
        <is>
          <t xml:space="preserve">BU BOZORDA ISHLAYDI BO'LIB BO'LIB TO'LYABDI O'G'LI BN GAPLASHDIM | 1382 | Va'da berdi</t>
        </is>
      </c>
    </row>
    <row r="138">
      <c r="A138" s="106" t="inlineStr">
        <is>
          <t xml:space="preserve">КОРАКАЛПОГИСТОН РЕСПУБЛИКАСИ</t>
        </is>
      </c>
      <c r="C138" s="106" t="inlineStr">
        <is>
          <t xml:space="preserve">Обещал</t>
        </is>
      </c>
      <c r="D138" s="106" t="inlineStr">
        <is>
          <t xml:space="preserve">Кр-99063426-1</t>
        </is>
      </c>
      <c r="E138" s="106" t="inlineStr">
        <is>
          <t xml:space="preserve">YULDASHEVA ZULAYXA TURSUNBOYEVNA</t>
        </is>
      </c>
      <c r="F138" s="106" t="inlineStr">
        <is>
          <t xml:space="preserve">998500178083 OZI, 998995680099 KELINI, 998997450099 OGLI,</t>
        </is>
      </c>
      <c r="G138" s="106" t="inlineStr">
        <is>
          <t xml:space="preserve">QORAQALPOGISTON RES AMUDARYO TUMANI SHAYKOL OFY 7- SHAQSHA 3 UY</t>
        </is>
      </c>
      <c r="H138" s="107">
        <v>8.0</v>
      </c>
      <c r="I138" s="107">
        <v>4755571.62</v>
      </c>
      <c r="K138" s="106" t="inlineStr">
        <is>
          <t xml:space="preserve">20 KUNIGA UKASI  ROSSIYADA ISHLEDI OWA YERDAN TASHAB BERADI | 1769 | Va'da berdi</t>
        </is>
      </c>
    </row>
    <row r="139">
      <c r="A139" s="106" t="inlineStr">
        <is>
          <t xml:space="preserve">КОРАКАЛПОГИСТОН РЕСПУБЛИКАСИ</t>
        </is>
      </c>
      <c r="C139" s="106" t="inlineStr">
        <is>
          <t xml:space="preserve">Дозвон</t>
        </is>
      </c>
      <c r="D139" s="106" t="inlineStr">
        <is>
          <t xml:space="preserve">Кр-99052708-1</t>
        </is>
      </c>
      <c r="E139" s="106" t="inlineStr">
        <is>
          <t xml:space="preserve">ABDIRAMANOV ZAKIR ABDIRIYEMOVICH</t>
        </is>
      </c>
      <c r="F139" s="106" t="inlineStr">
        <is>
          <t xml:space="preserve">998930009217 SMS OZI, 998913897229 SMS AKASI, 998904238131 SMS QIZI, 998904230693 SMS OGLI, 998907357534 ozi newww,</t>
        </is>
      </c>
      <c r="G139" s="106" t="inlineStr">
        <is>
          <t xml:space="preserve">QARAQALPOGISTON RES XOJAYLI TUMANI SABIK MFY SAXRA KUSHASI 7 UY </t>
        </is>
      </c>
      <c r="H139" s="107">
        <v>8.0</v>
      </c>
      <c r="I139" s="107">
        <v>4704038.02</v>
      </c>
      <c r="K139" s="106" t="inlineStr">
        <is>
          <t xml:space="preserve">QIZI BN GAPLASHDIM AYTIB QO'YAMAN AKAM TO'LAYDI DEDI | 1341 | Va'da berdi</t>
        </is>
      </c>
    </row>
    <row r="140">
      <c r="A140" s="106" t="inlineStr">
        <is>
          <t xml:space="preserve">КОРАКАЛПОГИСТОН РЕСПУБЛИКАСИ</t>
        </is>
      </c>
      <c r="C140" s="106" t="inlineStr">
        <is>
          <t xml:space="preserve">Обещал</t>
        </is>
      </c>
      <c r="D140" s="106" t="inlineStr">
        <is>
          <t xml:space="preserve">Кр-99042828-1</t>
        </is>
      </c>
      <c r="E140" s="106" t="inlineStr">
        <is>
          <t xml:space="preserve">KALANDAROV MANSUR MAXMUDOVICH</t>
        </is>
      </c>
      <c r="F140" s="106" t="inlineStr">
        <is>
          <t xml:space="preserve">+998912558828 SMS UZI, 998551028828 SMS UYI, 998992628828 SMS UKASI,</t>
        </is>
      </c>
      <c r="G140" s="106" t="inlineStr">
        <is>
          <t xml:space="preserve">КОРАКАЛПОГИСТОН РЕСПУБЛИКАСИ БЕРУНИЙ ТУМАНИ ШИМАМ ҚФЙ, КУК-КУЗ АХОЛИ ПУНКТИ,  uy:Р/С</t>
        </is>
      </c>
      <c r="H140" s="107">
        <v>8.0</v>
      </c>
      <c r="I140" s="107">
        <v>4690275.94</v>
      </c>
      <c r="K140" s="106" t="inlineStr">
        <is>
          <t xml:space="preserve">18KUNI ONASI TO'LOV QILIB BERADILA | 1179 | Va'da berdi</t>
        </is>
      </c>
    </row>
    <row r="141">
      <c r="A141" s="106" t="inlineStr">
        <is>
          <t xml:space="preserve">КОРАКАЛПОГИСТОН РЕСПУБЛИКАСИ</t>
        </is>
      </c>
      <c r="C141" s="106" t="inlineStr">
        <is>
          <t xml:space="preserve">Обещал</t>
        </is>
      </c>
      <c r="D141" s="106" t="inlineStr">
        <is>
          <t xml:space="preserve">Кр-99019952-6</t>
        </is>
      </c>
      <c r="E141" s="106" t="inlineStr">
        <is>
          <t xml:space="preserve">URAZIMBETOVA SHOHISTA GULIMBAYEVNA</t>
        </is>
      </c>
      <c r="F141" s="106" t="inlineStr">
        <is>
          <t xml:space="preserve">99-186-59-19  SMS UZI, 998995033939 SMS ERI, 998940910907 SMS UZI, 998771152010 OGLI,</t>
        </is>
      </c>
      <c r="G141" s="106" t="inlineStr">
        <is>
          <t xml:space="preserve">QORAQALPOG’ISTON RESPUBLIKASI BERUNIY TUMANI BERUNIY OFY GULZOR KO’CHA </t>
        </is>
      </c>
      <c r="H141" s="107">
        <v>13.0</v>
      </c>
      <c r="I141" s="107">
        <v>4455521.88</v>
      </c>
      <c r="K141" s="106" t="inlineStr">
        <is>
          <t xml:space="preserve">MOSHINASINI SOTIB TO'LOV QILIB BERAMAN DEYABDILA | 97 | Va'da berdi</t>
        </is>
      </c>
    </row>
    <row r="142">
      <c r="A142" s="106" t="inlineStr">
        <is>
          <t xml:space="preserve">КОРАКАЛПОГИСТОН РЕСПУБЛИКАСИ</t>
        </is>
      </c>
      <c r="C142" s="106" t="inlineStr">
        <is>
          <t xml:space="preserve">Дозвон</t>
        </is>
      </c>
      <c r="D142" s="106" t="inlineStr">
        <is>
          <t xml:space="preserve">Кр-99041972-1</t>
        </is>
      </c>
      <c r="E142" s="106" t="inlineStr">
        <is>
          <t xml:space="preserve">TORENIYAZOV IKLASBAY PISHENOVICH</t>
        </is>
      </c>
      <c r="F142" s="106" t="inlineStr">
        <is>
          <t xml:space="preserve">+998907017280 OZI, 998904201880 OYALI, 998992005100 OGLI,</t>
        </is>
      </c>
      <c r="G142" s="106" t="inlineStr">
        <is>
          <t xml:space="preserve">Республика Каракалпакстан, Ходжейлийский район, Бунёдкор МФЙ, ул. Касип-ауыл, дом 34</t>
        </is>
      </c>
      <c r="H142" s="107">
        <v>8.0</v>
      </c>
      <c r="I142" s="107">
        <v>4267388.77</v>
      </c>
      <c r="J142" s="107">
        <v>4267388.77</v>
      </c>
      <c r="K142" s="106" t="inlineStr">
        <is>
          <t xml:space="preserve">20KUNI OYLIGIMDAN TO'LEMAN DEDI QISMAN TO'LADILA  XOTINI BN GAPLASHDIM JUDA QO'POL EKAN MOLDE GAPIRDI O'ZIYAM BEZNESMEN EKAN | 1149 | Uyiga borildi - va'da berdi</t>
        </is>
      </c>
    </row>
    <row r="143">
      <c r="A143" s="106" t="inlineStr">
        <is>
          <t xml:space="preserve">КОРАКАЛПОГИСТОН РЕСПУБЛИКАСИ</t>
        </is>
      </c>
      <c r="C143" s="106" t="inlineStr">
        <is>
          <t xml:space="preserve">Дозвон</t>
        </is>
      </c>
      <c r="D143" s="106" t="inlineStr">
        <is>
          <t xml:space="preserve">Кр-99042377-1</t>
        </is>
      </c>
      <c r="E143" s="106" t="inlineStr">
        <is>
          <t xml:space="preserve">DJEKSENBAEVA IRINA DJANBIRAEVNA</t>
        </is>
      </c>
      <c r="F143" s="106" t="inlineStr">
        <is>
          <t xml:space="preserve">998882145959 OZI, 998904244011 OGLI, 998919332729 QIZI,</t>
        </is>
      </c>
      <c r="G143" s="106" t="inlineStr">
        <is>
          <t xml:space="preserve">QARAQALPOGISTON RESPUBLIKASI NUKUS SHAHAR  Nauriz MFY, Minar ko’chasi, 8-uy</t>
        </is>
      </c>
      <c r="H143" s="107">
        <v>8.0</v>
      </c>
      <c r="I143" s="107">
        <v>4211268.31</v>
      </c>
      <c r="J143" s="107">
        <v>4211268.31</v>
      </c>
      <c r="K143" s="106" t="inlineStr">
        <is>
          <t xml:space="preserve">QISMAN TO'LADI 2-3 KUNDA YANA TASHLAYDI AJDANIYA TUSHDIM | 1163 | Va'da berdi</t>
        </is>
      </c>
    </row>
    <row r="144">
      <c r="A144" s="106" t="inlineStr">
        <is>
          <t xml:space="preserve">КОРАКАЛПОГИСТОН РЕСПУБЛИКАСИ</t>
        </is>
      </c>
      <c r="C144" s="106" t="inlineStr">
        <is>
          <t xml:space="preserve">Дозвон</t>
        </is>
      </c>
      <c r="D144" s="106" t="inlineStr">
        <is>
          <t xml:space="preserve">Кр-99041901-1</t>
        </is>
      </c>
      <c r="E144" s="106" t="inlineStr">
        <is>
          <t xml:space="preserve">SHADIMURATOV BAXTIYAR DAULETKALIYEVICH</t>
        </is>
      </c>
      <c r="F144" s="106" t="inlineStr">
        <is>
          <t xml:space="preserve">+998913050920 OZI, 998906501101 OPASI, 998912551919 AKASI,</t>
        </is>
      </c>
      <c r="G144" s="106" t="inlineStr">
        <is>
          <t xml:space="preserve">КАРАКАЛПОГИСТОН РЕСПУБЛИКАСИ ХОЖАЙЛИ ТУМАНИ НУРЛЫ ЖОЛ МФЙ, САЛАМАТЛЫК КЎЧАСИ,  uy:11</t>
        </is>
      </c>
      <c r="H144" s="107">
        <v>1.0</v>
      </c>
      <c r="I144" s="107">
        <v>4210219.15</v>
      </c>
      <c r="K144" s="106" t="inlineStr">
        <is>
          <t xml:space="preserve">KO'TARDILA RO'LDA EKANLA SMS YOZDIM | 1140 | Va'da berdi</t>
        </is>
      </c>
    </row>
    <row r="145">
      <c r="A145" s="106" t="inlineStr">
        <is>
          <t xml:space="preserve">КОРАКАЛПОГИСТОН РЕСПУБЛИКАСИ</t>
        </is>
      </c>
      <c r="C145" s="106" t="inlineStr">
        <is>
          <t xml:space="preserve">Обещал</t>
        </is>
      </c>
      <c r="D145" s="106" t="inlineStr">
        <is>
          <t xml:space="preserve">Кр-99041208-1</t>
        </is>
      </c>
      <c r="E145" s="106" t="inlineStr">
        <is>
          <t xml:space="preserve">ZARIEVA ZUXIRA NASIROVNA</t>
        </is>
      </c>
      <c r="F145" s="106" t="inlineStr">
        <is>
          <t xml:space="preserve">998905926568 OZI SMS, 998913755131 KELINI, 998991559339 OGLI,</t>
        </is>
      </c>
      <c r="G145" s="106" t="inlineStr">
        <is>
          <t xml:space="preserve">НАВРУЗ МФЙ, НАУРЫЗ МФЙ, МИЗДАКХАН КЎЧАСИ,  uy:56</t>
        </is>
      </c>
      <c r="H145" s="107">
        <v>8.0</v>
      </c>
      <c r="I145" s="107">
        <v>4176956.66</v>
      </c>
      <c r="K145" s="106" t="inlineStr">
        <is>
          <t xml:space="preserve">20KUNI O'G'LI OYLIGIDAN | 1072 | Va'da berdi</t>
        </is>
      </c>
    </row>
    <row r="146">
      <c r="A146" s="106" t="inlineStr">
        <is>
          <t xml:space="preserve">КОРАКАЛПОГИСТОН РЕСПУБЛИКАСИ</t>
        </is>
      </c>
      <c r="C146" s="106" t="inlineStr">
        <is>
          <t xml:space="preserve">Обещал</t>
        </is>
      </c>
      <c r="D146" s="106" t="inlineStr">
        <is>
          <t xml:space="preserve">Кр-99040858-1</t>
        </is>
      </c>
      <c r="E146" s="106" t="inlineStr">
        <is>
          <t xml:space="preserve">ZIYAUOV SALAMAT MINAJATDINOVICH</t>
        </is>
      </c>
      <c r="F146" s="106" t="inlineStr">
        <is>
          <t xml:space="preserve">998900954989 sms ozi, 998907280424 sms onasi, 998951650684 sms ayoli, 998944330084 SMS UZI 2,</t>
        </is>
      </c>
      <c r="G146" s="106" t="inlineStr">
        <is>
          <t xml:space="preserve">НАУРЫЗ МФЙ, ЛОЛА КЎЧАСИ,  uy:46</t>
        </is>
      </c>
      <c r="H146" s="107">
        <v>8.0</v>
      </c>
      <c r="I146" s="107">
        <v>3838657.52</v>
      </c>
      <c r="K146" s="106" t="inlineStr">
        <is>
          <t xml:space="preserve">ROSSIYADA BUGUN BERISHI KERAK | 1026 | Va'da berdi</t>
        </is>
      </c>
    </row>
    <row r="147">
      <c r="A147" s="106" t="inlineStr">
        <is>
          <t xml:space="preserve">КОРАКАЛПОГИСТОН РЕСПУБЛИКАСИ</t>
        </is>
      </c>
      <c r="C147" s="106" t="inlineStr">
        <is>
          <t xml:space="preserve">Обещал</t>
        </is>
      </c>
      <c r="D147" s="106" t="inlineStr">
        <is>
          <t xml:space="preserve">Кр-99041705-1</t>
        </is>
      </c>
      <c r="E147" s="106" t="inlineStr">
        <is>
          <t xml:space="preserve">UTEBAEV KOMEKBAY TOREBAEVICH</t>
        </is>
      </c>
      <c r="F147" s="106" t="inlineStr">
        <is>
          <t xml:space="preserve">+998913790226 смс ozi, 998777063706 sms qizi, 998913704273 sms ayoli, 998930739701 sms kelini,</t>
        </is>
      </c>
      <c r="G147" s="106" t="inlineStr">
        <is>
          <t xml:space="preserve">НАУПИР МФЙ, НУКУС ШАХАР, КУС ЖОЛЫ,  uy:44</t>
        </is>
      </c>
      <c r="H147" s="107">
        <v>8.0</v>
      </c>
      <c r="I147" s="107">
        <v>3490062.61</v>
      </c>
      <c r="K147" s="106" t="inlineStr">
        <is>
          <t xml:space="preserve">FUQARO ROSSIYADA 20KUNIDA YOPADI | 1121 | Uyiga borildi - va'da berdi</t>
        </is>
      </c>
    </row>
    <row r="148">
      <c r="A148" s="106" t="inlineStr">
        <is>
          <t xml:space="preserve">КОРАКАЛПОГИСТОН РЕСПУБЛИКАСИ</t>
        </is>
      </c>
      <c r="C148" s="106" t="inlineStr">
        <is>
          <t xml:space="preserve">Дозвон</t>
        </is>
      </c>
      <c r="D148" s="106" t="inlineStr">
        <is>
          <t xml:space="preserve">Кр-99048733-1</t>
        </is>
      </c>
      <c r="E148" s="106" t="inlineStr">
        <is>
          <t xml:space="preserve">MAMBETNAZAROV ILXAMBEK BEKMURZAEVICH</t>
        </is>
      </c>
      <c r="F148" s="106" t="inlineStr">
        <is>
          <t xml:space="preserve">998907070002 SMS UZI, 998912670007 SMS UZI 2, 998907090003 xotini newww,</t>
        </is>
      </c>
      <c r="G148" s="106" t="inlineStr">
        <is>
          <t xml:space="preserve">NUKUS SHAHAR</t>
        </is>
      </c>
      <c r="H148" s="107">
        <v>8.0</v>
      </c>
      <c r="I148" s="107">
        <v>3137310.75</v>
      </c>
      <c r="K148" s="106" t="inlineStr">
        <is>
          <t xml:space="preserve">XOTINI BN GAPLASHDIM ERI QOZOQDA TO'LOV QILAMIZ AYATAMAN DEDI | 1279 | Va'da berdi</t>
        </is>
      </c>
    </row>
    <row r="149">
      <c r="A149" s="106" t="inlineStr">
        <is>
          <t xml:space="preserve">КОРАКАЛПОГИСТОН РЕСПУБЛИКАСИ</t>
        </is>
      </c>
      <c r="C149" s="106" t="inlineStr">
        <is>
          <t xml:space="preserve">Обещал</t>
        </is>
      </c>
      <c r="D149" s="106" t="inlineStr">
        <is>
          <t xml:space="preserve">Кр-99041840-1</t>
        </is>
      </c>
      <c r="E149" s="106" t="inlineStr">
        <is>
          <t xml:space="preserve">ABDULLAYEV MUSA XUDAYBERGENOVICH</t>
        </is>
      </c>
      <c r="F149" s="106" t="inlineStr">
        <is>
          <t xml:space="preserve">998907096778 AKASI, 998994583521 OYALI, 998994587888 OZI,</t>
        </is>
      </c>
      <c r="G149" s="106" t="inlineStr">
        <is>
          <t xml:space="preserve">Qaraqalpogiston Respublikasi Xojayli tumani Juzimzar MFY Jenis kushasi 36uy</t>
        </is>
      </c>
      <c r="H149" s="107">
        <v>8.0</v>
      </c>
      <c r="I149" s="107">
        <v>3097685.4</v>
      </c>
      <c r="K149" s="106" t="inlineStr">
        <is>
          <t xml:space="preserve">ROSSA JOVRADI PULIM BO'LGANDA TO'LEMAN DEB FOIZELA KO'P DEB BGUNGA TO'LOV QILIB BERADILA | 1133 | Va'da berdi</t>
        </is>
      </c>
    </row>
    <row r="150">
      <c r="A150" s="106" t="inlineStr">
        <is>
          <t xml:space="preserve">КОРАКАЛПОГИСТОН РЕСПУБЛИКАСИ</t>
        </is>
      </c>
      <c r="C150" s="106" t="inlineStr">
        <is>
          <t xml:space="preserve">Обещал</t>
        </is>
      </c>
      <c r="D150" s="106" t="inlineStr">
        <is>
          <t xml:space="preserve">Кр-99057077-1</t>
        </is>
      </c>
      <c r="E150" s="106" t="inlineStr">
        <is>
          <t xml:space="preserve">SERIKBAYEV MARAT ALDANAZAROVICH</t>
        </is>
      </c>
      <c r="F150" s="106" t="inlineStr">
        <is>
          <t xml:space="preserve">998946831315 SMS UZI, 998905906668 SMS QIZI, 998933083023 SMS UKASI, 998938743798 SMS KELINI,</t>
        </is>
      </c>
      <c r="G150" s="106" t="inlineStr">
        <is>
          <t xml:space="preserve">QARAQALPOGISTON RES NUKUS SHAHAR SHIGIS MFY MATEKE JUMANAZAROV KUSHASI 18 UY</t>
        </is>
      </c>
      <c r="H150" s="107">
        <v>8.0</v>
      </c>
      <c r="I150" s="107">
        <v>2547933.06</v>
      </c>
      <c r="K150" s="106" t="inlineStr">
        <is>
          <t xml:space="preserve">20KUNI TO'LOV QILADI | 1411 | Uyiga borildi - va'da berdi</t>
        </is>
      </c>
    </row>
    <row r="151">
      <c r="A151" s="106" t="inlineStr">
        <is>
          <t xml:space="preserve">КОРАКАЛПОГИСТОН РЕСПУБЛИКАСИ</t>
        </is>
      </c>
      <c r="C151" s="106" t="inlineStr">
        <is>
          <t xml:space="preserve">Дозвон</t>
        </is>
      </c>
      <c r="D151" s="106" t="inlineStr">
        <is>
          <t xml:space="preserve">Кр-99039490-1</t>
        </is>
      </c>
      <c r="E151" s="106" t="inlineStr">
        <is>
          <t xml:space="preserve">SAFARBAYEV SUROJ ROZUMBAYEVICH</t>
        </is>
      </c>
      <c r="F151" s="106" t="inlineStr">
        <is>
          <t xml:space="preserve">998970834467 SMS OZI, 998770929111 SMS AYOLI, 998335387575 SMS DOSTI, 998919911936 SMS OZI 2, 998991193691 SMS OZI NEWW,</t>
        </is>
      </c>
      <c r="G151" s="106" t="inlineStr">
        <is>
          <t xml:space="preserve">QORAQALPOG’ISTON RESPUBLIKASI AMUDARYO TUMANI QIZILCHOLI MFY,YOSHLAR HIYOBONI 31-UY,32-XONADON</t>
        </is>
      </c>
      <c r="H151" s="107">
        <v>6.0</v>
      </c>
      <c r="I151" s="107">
        <v>2508202.81</v>
      </c>
      <c r="J151" s="107">
        <v>2508202.81</v>
      </c>
      <c r="K151" s="106" t="inlineStr">
        <is>
          <t xml:space="preserve">BU BUGUN QISMAN TO'LADILA | 877 | To'ladi</t>
        </is>
      </c>
    </row>
    <row r="152">
      <c r="A152" s="106" t="inlineStr">
        <is>
          <t xml:space="preserve">КОРАКАЛПОГИСТОН РЕСПУБЛИКАСИ</t>
        </is>
      </c>
      <c r="C152" s="106" t="inlineStr">
        <is>
          <t xml:space="preserve">Обещал</t>
        </is>
      </c>
      <c r="D152" s="106" t="inlineStr">
        <is>
          <t xml:space="preserve">Кр-99035767-1</t>
        </is>
      </c>
      <c r="E152" s="106" t="inlineStr">
        <is>
          <t xml:space="preserve">DJUMANIYAZOV XUJAAXMAD BERDIBAYEVICH</t>
        </is>
      </c>
      <c r="F152" s="106" t="inlineStr">
        <is>
          <t xml:space="preserve">998974749400 SMS OZI(Begona), 998336771006 SMS UY, 998975056865 SMS DOSTI(begona), 998331240571 SMS DOSTI,</t>
        </is>
      </c>
      <c r="G152" s="106" t="inlineStr">
        <is>
          <t xml:space="preserve">XORAZM VILOYATI ELLIKQALA TUMANI KASHKURA MAXALLASI YOSH KUCH KUCHASI 2 UY</t>
        </is>
      </c>
      <c r="H152" s="107">
        <v>13.0</v>
      </c>
      <c r="I152" s="107">
        <v>2120990.03</v>
      </c>
      <c r="K152" s="106" t="inlineStr">
        <is>
          <t xml:space="preserve">20KUNIGA TASHAB BERAMAN DEYABDILA OYLIGIM DAN DEB OCHIRDILA | 591 | Va'da berdi</t>
        </is>
      </c>
    </row>
    <row r="153">
      <c r="A153" s="106" t="inlineStr">
        <is>
          <t xml:space="preserve">КОРАКАЛПОГИСТОН РЕСПУБЛИКАСИ</t>
        </is>
      </c>
      <c r="C153" s="106" t="inlineStr">
        <is>
          <t xml:space="preserve">Обещал</t>
        </is>
      </c>
      <c r="D153" s="106" t="inlineStr">
        <is>
          <t xml:space="preserve">Кр-99063016-1</t>
        </is>
      </c>
      <c r="E153" s="106" t="inlineStr">
        <is>
          <t xml:space="preserve">ISMOILOV JAMSHID QUVONDIQ O’G’LI</t>
        </is>
      </c>
      <c r="F153" s="106" t="inlineStr">
        <is>
          <t xml:space="preserve">+998336141313 SMS UZI, 998331711333 SMS DO’STI, 998992192429 SMS SINGLISI,</t>
        </is>
      </c>
      <c r="G153" s="106" t="inlineStr">
        <is>
          <t xml:space="preserve">КОРАКАЛПОГИСТОН РЕСПУБЛИКАСИ ТУРТКУЛ ТУМАНИ БОҒЁП МФЙ, ДИЁНАТ КЎЧАСИ,  uy:69</t>
        </is>
      </c>
      <c r="H153" s="107">
        <v>8.0</v>
      </c>
      <c r="I153" s="107">
        <v>2078018.38</v>
      </c>
      <c r="K153" s="106" t="inlineStr">
        <is>
          <t xml:space="preserve">BUGUN IDDAN TO'LOV QILAMAN DEDILA | 1685 | Va'da berdi</t>
        </is>
      </c>
    </row>
    <row r="154">
      <c r="A154" s="106" t="inlineStr">
        <is>
          <t xml:space="preserve">КОРАКАЛПОГИСТОН РЕСПУБЛИКАСИ</t>
        </is>
      </c>
      <c r="C154" s="106" t="inlineStr">
        <is>
          <t xml:space="preserve">Обещал</t>
        </is>
      </c>
      <c r="D154" s="106" t="inlineStr">
        <is>
          <t xml:space="preserve">Кр-99062991-1</t>
        </is>
      </c>
      <c r="E154" s="106" t="inlineStr">
        <is>
          <t xml:space="preserve">BEKESOV AZAMAT KOBEYSINOVICH</t>
        </is>
      </c>
      <c r="F154" s="106" t="inlineStr">
        <is>
          <t xml:space="preserve">998883561818 AKASI, 998889521818 OZI, 998933756210 UKASI,</t>
        </is>
      </c>
      <c r="G154" s="106" t="inlineStr">
        <is>
          <t xml:space="preserve">Каракалпогистон Рес Хожели тумани  Сарышунгул ССГ, Онерли кучаси, 2-уй</t>
        </is>
      </c>
      <c r="H154" s="107">
        <v>8.0</v>
      </c>
      <c r="I154" s="107">
        <v>1902399.91</v>
      </c>
      <c r="K154" s="106" t="inlineStr">
        <is>
          <t xml:space="preserve">TAKSICHILIK QILADI1-2 KUNDA QILAMAN HOZIR PULIM YUQ DEDI  O'TA O'TA QO'POL ODAM | 1678 | Va'da berdi</t>
        </is>
      </c>
    </row>
    <row r="155">
      <c r="A155" s="106" t="inlineStr">
        <is>
          <t xml:space="preserve">КОРАКАЛПОГИСТОН РЕСПУБЛИКАСИ</t>
        </is>
      </c>
      <c r="C155" s="106" t="inlineStr">
        <is>
          <t xml:space="preserve">Обещал</t>
        </is>
      </c>
      <c r="D155" s="106" t="inlineStr">
        <is>
          <t xml:space="preserve">Кр-99033360-1</t>
        </is>
      </c>
      <c r="E155" s="106" t="inlineStr">
        <is>
          <t xml:space="preserve">ABDURAHIMOV ALIJON RUSTAM O’G’LI</t>
        </is>
      </c>
      <c r="F155" s="106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55" s="106" t="inlineStr">
        <is>
          <t xml:space="preserve">QARAQALPOGISTON RES AMUDARYO TUMANI TOLQIN OFY MARIFATSHILAR KUSHASI 27 UY</t>
        </is>
      </c>
      <c r="H155" s="107">
        <v>8.0</v>
      </c>
      <c r="I155" s="107">
        <v>1894150.92</v>
      </c>
      <c r="K155" s="106" t="inlineStr">
        <is>
          <t xml:space="preserve">ERTAGA ROSSA GAPIRDILA | 437 | Va'da berdi</t>
        </is>
      </c>
    </row>
    <row r="156">
      <c r="A156" s="106" t="inlineStr">
        <is>
          <t xml:space="preserve">КОРАКАЛПОГИСТОН РЕСПУБЛИКАСИ</t>
        </is>
      </c>
      <c r="C156" s="106" t="inlineStr">
        <is>
          <t xml:space="preserve">Дозвон</t>
        </is>
      </c>
      <c r="D156" s="106" t="inlineStr">
        <is>
          <t xml:space="preserve">Кр-99063086-1</t>
        </is>
      </c>
      <c r="E156" s="106" t="inlineStr">
        <is>
          <t xml:space="preserve">SHAMURATOV KUTLIMURAT ARZIMURAT ULI</t>
        </is>
      </c>
      <c r="F156" s="106" t="inlineStr">
        <is>
          <t xml:space="preserve">998974749675 OZI, 998885059675 ONASI, 998993425995 SINGLISI, 998973559675 UKASI,</t>
        </is>
      </c>
      <c r="G156" s="106" t="inlineStr">
        <is>
          <t xml:space="preserve">QORAQALPOGISTON RES QARAOZEK TUMANI A.DOSNAZAROV MFY KIZIL KUM KUSHASI 17 UY  </t>
        </is>
      </c>
      <c r="H156" s="107">
        <v>8.0</v>
      </c>
      <c r="I156" s="107">
        <v>1835362.64</v>
      </c>
      <c r="K156" s="106" t="inlineStr">
        <is>
          <t xml:space="preserve">MAGAZINDA SOTUVCHI TOSHKENTDA ONASI BN GAPLASHDIM 20KUNI OYLIGIDAN TO'LAYDI DEDI | 1697 | Va'da berdi</t>
        </is>
      </c>
    </row>
    <row r="157">
      <c r="A157" s="106" t="inlineStr">
        <is>
          <t xml:space="preserve">КОРАКАЛПОГИСТОН РЕСПУБЛИКАСИ</t>
        </is>
      </c>
      <c r="C157" s="106" t="inlineStr">
        <is>
          <t xml:space="preserve">Обещал</t>
        </is>
      </c>
      <c r="D157" s="106" t="inlineStr">
        <is>
          <t xml:space="preserve">Кр-99047374-1</t>
        </is>
      </c>
      <c r="E157" s="106" t="inlineStr">
        <is>
          <t xml:space="preserve">SHARAPOV BAXIT URAZBAYEVICH</t>
        </is>
      </c>
      <c r="F157" s="106" t="inlineStr">
        <is>
          <t xml:space="preserve">998880716102 OGLI, 998907077908 OZI, 998994507986 OYALI,</t>
        </is>
      </c>
      <c r="G157" s="106" t="inlineStr">
        <is>
          <t xml:space="preserve">Qaraqalpogiston Respublikasi nukus shahar Nurli bostan MFY Askerler joli kushasi 215 uy</t>
        </is>
      </c>
      <c r="H157" s="107">
        <v>8.0</v>
      </c>
      <c r="I157" s="107">
        <v>1763358.72</v>
      </c>
      <c r="K157" s="106" t="inlineStr">
        <is>
          <t xml:space="preserve">UYIGA FILIAL BORISHDI  QOZOQDA ISHLAYDI 3KUNDA OYLIGINI OLIB FILIALGA TASHAB BERAMAN DEBDILA | 1256 | Va'da berdi</t>
        </is>
      </c>
    </row>
    <row r="158">
      <c r="A158" s="106" t="inlineStr">
        <is>
          <t xml:space="preserve">КОРАКАЛПОГИСТОН РЕСПУБЛИКАСИ</t>
        </is>
      </c>
      <c r="C158" s="106" t="inlineStr">
        <is>
          <t xml:space="preserve">Обещал</t>
        </is>
      </c>
      <c r="D158" s="106" t="inlineStr">
        <is>
          <t xml:space="preserve">Кр-99052696-1</t>
        </is>
      </c>
      <c r="E158" s="106" t="inlineStr">
        <is>
          <t xml:space="preserve">XALMURATOV AZAT ORINBAYEVICH</t>
        </is>
      </c>
      <c r="F158" s="106" t="inlineStr">
        <is>
          <t xml:space="preserve">998993545834 SMS OZI, 998991213870 SMS OGLI, 998996364570 SMS OGLI, 998973545834 SMS QIZI,</t>
        </is>
      </c>
      <c r="G158" s="106" t="inlineStr">
        <is>
          <t xml:space="preserve">KANLIKOL TUMANI</t>
        </is>
      </c>
      <c r="H158" s="107">
        <v>8.0</v>
      </c>
      <c r="I158" s="107">
        <v>1705802.97</v>
      </c>
      <c r="K158" s="106" t="inlineStr">
        <is>
          <t xml:space="preserve">ERTAGA TO'LOV QILAMAN DEDI LEKIN TO'G'RISI MOL EKAN | 1340 | Va'da berdi</t>
        </is>
      </c>
    </row>
    <row r="159">
      <c r="A159" s="106" t="inlineStr">
        <is>
          <t xml:space="preserve">КОРАКАЛПОГИСТОН РЕСПУБЛИКАСИ</t>
        </is>
      </c>
      <c r="C159" s="106" t="inlineStr">
        <is>
          <t xml:space="preserve">Обещал</t>
        </is>
      </c>
      <c r="D159" s="106" t="inlineStr">
        <is>
          <t xml:space="preserve">Кр-99041583-1</t>
        </is>
      </c>
      <c r="E159" s="106" t="inlineStr">
        <is>
          <t xml:space="preserve">ATAMURATOVA ZAURE KENESBAEVNA</t>
        </is>
      </c>
      <c r="F159" s="106" t="inlineStr">
        <is>
          <t xml:space="preserve">+998913926462 OZI,</t>
        </is>
      </c>
      <c r="G159" s="106" t="inlineStr">
        <is>
          <t xml:space="preserve">Моншаклы МФЙ, Улугбек кучаси, 34-уй</t>
        </is>
      </c>
      <c r="H159" s="107">
        <v>8.0</v>
      </c>
      <c r="I159" s="107">
        <v>1425870.86</v>
      </c>
      <c r="K159" s="106" t="inlineStr">
        <is>
          <t xml:space="preserve">KO'TARMAYABDI  O'RINBOSAR AKA TANISHI GAPLASHIBDI TO'LAYDI EKAN | 1116 | Va'da berdi</t>
        </is>
      </c>
    </row>
    <row r="160">
      <c r="A160" s="106" t="inlineStr">
        <is>
          <t xml:space="preserve">КОРАКАЛПОГИСТОН РЕСПУБЛИКАСИ</t>
        </is>
      </c>
      <c r="C160" s="106" t="inlineStr">
        <is>
          <t xml:space="preserve">Обещал</t>
        </is>
      </c>
      <c r="D160" s="106" t="inlineStr">
        <is>
          <t xml:space="preserve">Кр-99038438-2</t>
        </is>
      </c>
      <c r="E160" s="106" t="inlineStr">
        <is>
          <t xml:space="preserve">MADREYMOV QUANISH SALAMAT ULI</t>
        </is>
      </c>
      <c r="F160" s="106" t="inlineStr">
        <is>
          <t xml:space="preserve">998913927939 SMS OZI, 998912650077 SMS DO’STI , 998912618787 SMS DO’STI 2, 998777277939 SMS OZI 2 shunga tellefon qilinsin !!!,</t>
        </is>
      </c>
      <c r="G160" s="106" t="inlineStr">
        <is>
          <t xml:space="preserve">QORAQALPOGISTON RESP.NUKUS SHAHAR A.SULTANOV 5 UY</t>
        </is>
      </c>
      <c r="H160" s="107">
        <v>8.0</v>
      </c>
      <c r="I160" s="107">
        <v>1371881.08</v>
      </c>
      <c r="K160" s="106" t="inlineStr">
        <is>
          <t xml:space="preserve">ERTAGA  DEDILA O'TA KAPREZNE | 779 | Va'da berdi</t>
        </is>
      </c>
    </row>
    <row r="161">
      <c r="A161" s="106" t="inlineStr">
        <is>
          <t xml:space="preserve">КОРАКАЛПОГИСТОН РЕСПУБЛИКАСИ</t>
        </is>
      </c>
      <c r="C161" s="106" t="inlineStr">
        <is>
          <t xml:space="preserve">Дозвон</t>
        </is>
      </c>
      <c r="D161" s="106" t="inlineStr">
        <is>
          <t xml:space="preserve">Кр-99060322-1</t>
        </is>
      </c>
      <c r="E161" s="106" t="inlineStr">
        <is>
          <t xml:space="preserve">SABUROV SAYLAUBAY KIPSHAKBAEVICH</t>
        </is>
      </c>
      <c r="F161" s="106" t="inlineStr">
        <is>
          <t xml:space="preserve">998912685577 SMS OZI, 998907017858 SMS AYOLI, 998994765545 SMS OGLI, 998935660520 SMS OGLI,</t>
        </is>
      </c>
      <c r="G161" s="106" t="inlineStr">
        <is>
          <t xml:space="preserve">QARAQALPOGISTON RES NUKUS TUMANI KIRANTOV OFY NURANIY KUSHASI 35 UY </t>
        </is>
      </c>
      <c r="H161" s="107">
        <v>8.0</v>
      </c>
      <c r="I161" s="107">
        <v>1239161.85</v>
      </c>
      <c r="J161" s="107">
        <v>1239161.85</v>
      </c>
      <c r="K161" s="106" t="inlineStr">
        <is>
          <t xml:space="preserve">to'ladi | 1517 | To'ladi</t>
        </is>
      </c>
    </row>
    <row r="162">
      <c r="A162" s="106" t="inlineStr">
        <is>
          <t xml:space="preserve">КОРАКАЛПОГИСТОН РЕСПУБЛИКАСИ</t>
        </is>
      </c>
      <c r="C162" s="106" t="inlineStr">
        <is>
          <t xml:space="preserve">Дозвон</t>
        </is>
      </c>
      <c r="D162" s="106" t="inlineStr">
        <is>
          <t xml:space="preserve">Кр-99054971-1</t>
        </is>
      </c>
      <c r="E162" s="106" t="inlineStr">
        <is>
          <t xml:space="preserve">SAPARNIYAZOV ABATBAY AUYEZBAYEVICH</t>
        </is>
      </c>
      <c r="F162" s="106" t="inlineStr">
        <is>
          <t xml:space="preserve">998331346724 SMS  OZI, 998992978025 SMS OYALI, 998936871998 SMS O'G'LI, 998944768865 SMS QIZI,</t>
        </is>
      </c>
      <c r="G162" s="106" t="inlineStr">
        <is>
          <t xml:space="preserve">QARAQALPOGISTON RES NUKUS SHADLI AWIL MFY ALTIN TAJ KUSHASI 17 UY </t>
        </is>
      </c>
      <c r="H162" s="107">
        <v>8.0</v>
      </c>
      <c r="I162" s="107">
        <v>1001282.76</v>
      </c>
      <c r="K162" s="106" t="inlineStr">
        <is>
          <t xml:space="preserve">1998 BEGONA 8865 XOTINI BN GAPLASHDIM HOZIR ISHDAMAN DEDI BORIB AYTAMAN TO'LAYMIZ DEDI | 1387 | To'ladi</t>
        </is>
      </c>
    </row>
    <row r="163">
      <c r="A163" s="106" t="inlineStr">
        <is>
          <t xml:space="preserve">КОРАКАЛПОГИСТОН РЕСПУБЛИКАСИ</t>
        </is>
      </c>
      <c r="C163" s="106" t="inlineStr">
        <is>
          <t xml:space="preserve">Обещал</t>
        </is>
      </c>
      <c r="D163" s="106" t="inlineStr">
        <is>
          <t xml:space="preserve">Кр-99040114-1</t>
        </is>
      </c>
      <c r="E163" s="106" t="inlineStr">
        <is>
          <t xml:space="preserve">TURGANBAYEVA MADINA JUMASHOVNA</t>
        </is>
      </c>
      <c r="F163" s="106" t="inlineStr">
        <is>
          <t xml:space="preserve">998937777906 SMS OZI, 998938421353 SMS QIZI, 998500557906 SMS QIZI, 998770919616 SMS KELINI, 998943947779 SMS ERI, 998881915355 sms eri newww,</t>
        </is>
      </c>
      <c r="G163" s="106" t="inlineStr">
        <is>
          <t xml:space="preserve">QORAQALPOGISTON RESPUBLIKASI KUNGIROT TUMANI USTYURT APJ CENTR 1</t>
        </is>
      </c>
      <c r="H163" s="107">
        <v>11.0</v>
      </c>
      <c r="I163" s="107">
        <v>780908.75</v>
      </c>
      <c r="K163" s="106" t="inlineStr">
        <is>
          <t xml:space="preserve">BUGUN TO'LOV QILAMAN FILIALGA BERAMAN DEDILA | 939 | Va'da berdi</t>
        </is>
      </c>
    </row>
    <row r="164">
      <c r="A164" s="106" t="inlineStr">
        <is>
          <t xml:space="preserve">КОРАКАЛПОГИСТОН РЕСПУБЛИКАСИ</t>
        </is>
      </c>
      <c r="C164" s="106" t="inlineStr">
        <is>
          <t xml:space="preserve">Обещал</t>
        </is>
      </c>
      <c r="D164" s="106" t="inlineStr">
        <is>
          <t xml:space="preserve">Кр-99019952-8</t>
        </is>
      </c>
      <c r="E164" s="106" t="inlineStr">
        <is>
          <t xml:space="preserve">URAZIMBETOVA SHOHISTA GULIMBAYEVNA</t>
        </is>
      </c>
      <c r="F164" s="106" t="inlineStr">
        <is>
          <t xml:space="preserve">99-186-59-19  SMS UZI, 998995033939 SMS ERI, 998940910907 SMS UZI, 998771152010 OGLI,</t>
        </is>
      </c>
      <c r="G164" s="106" t="inlineStr">
        <is>
          <t xml:space="preserve">QORAQALPOG’ISTON RESPUBLIKASI BERUNIY TUMANI BERUNIY OFY GULZOR KO’CHA </t>
        </is>
      </c>
      <c r="H164" s="107">
        <v>12.0</v>
      </c>
      <c r="I164" s="107">
        <v>733092.63</v>
      </c>
      <c r="K164" s="106" t="inlineStr">
        <is>
          <t xml:space="preserve">MOSHINASINI SOTIB TO'LOV QILIB BERAMAN DEYABDILA | 98 | Va'da berdi</t>
        </is>
      </c>
    </row>
    <row r="165">
      <c r="A165" s="106" t="inlineStr">
        <is>
          <t xml:space="preserve">КОРАКАЛПОГИСТОН РЕСПУБЛИКАСИ</t>
        </is>
      </c>
      <c r="C165" s="106" t="inlineStr">
        <is>
          <t xml:space="preserve">Дозвон</t>
        </is>
      </c>
      <c r="D165" s="106" t="inlineStr">
        <is>
          <t xml:space="preserve">Кр-99030419-1</t>
        </is>
      </c>
      <c r="E165" s="106" t="inlineStr">
        <is>
          <t xml:space="preserve">SHERIPBAYEV RO’ZIMBOY JUMANIYOZ O’G’LI</t>
        </is>
      </c>
      <c r="F165" s="106" t="inlineStr">
        <is>
          <t xml:space="preserve">88-306-18-12  SMS O’ZI, 88-507-44-54  SMS ONASI, 91-265-54-59  SMS DUSTI, 99-952-06-66  SMS DUSTI 2 GAPLASHMAYABDI EKAN, 998913051812 SMS O'ZI, 998885001812 SMS UZi new,</t>
        </is>
      </c>
      <c r="G165" s="106" t="inlineStr">
        <is>
          <t xml:space="preserve">QORAQALPOG’ISTON RESPUBLIKASI TO’RTKO’L TUMANI TOZOBOG’YOP MAXALLASI YANGIBOG’ KUCHASI 259 UY</t>
        </is>
      </c>
      <c r="I165" s="107">
        <v>705565.89</v>
      </c>
      <c r="K165" s="106" t="inlineStr">
        <is>
          <t xml:space="preserve">TELEGRAMDAN GAPLASHDIM HAFTA OXIRIGA DEDILA BUGUNGA TAWAB BERING DEB YOZDIM | 308 | Va'da berdi</t>
        </is>
      </c>
    </row>
    <row r="166">
      <c r="A166" s="106" t="inlineStr">
        <is>
          <t xml:space="preserve">КОРАКАЛПОГИСТОН РЕСПУБЛИКАСИ</t>
        </is>
      </c>
      <c r="C166" s="106" t="inlineStr">
        <is>
          <t xml:space="preserve">Обещал</t>
        </is>
      </c>
      <c r="D166" s="106" t="inlineStr">
        <is>
          <t xml:space="preserve">Кр-99052913-1</t>
        </is>
      </c>
      <c r="E166" s="106" t="inlineStr">
        <is>
          <t xml:space="preserve">SAPARIMBETOVA DILARA ARTIKBAEVNA</t>
        </is>
      </c>
      <c r="F166" s="106" t="inlineStr">
        <is>
          <t xml:space="preserve">998918730764 SMS OZI, 998913750057 SMS OGLI, 998137175772 SMS OGLI 2, 998919289383 SMS QIZI, 998885022001 O'G'LI,</t>
        </is>
      </c>
      <c r="G166" s="106" t="inlineStr">
        <is>
          <t xml:space="preserve">QARAQALPOGISTON RES NUKUS SHAHAR JAYXUN MFY QIZIL UY KUSHASI 50 A UY </t>
        </is>
      </c>
      <c r="H166" s="107">
        <v>8.0</v>
      </c>
      <c r="I166" s="107">
        <v>568323.62</v>
      </c>
      <c r="K166" s="106" t="inlineStr">
        <is>
          <t xml:space="preserve">O'G'LIM TO'LEDI HOZIR PULI YUQ EDI BOLISHI BN TO'LAYMIZ DEYABDI | 1351 | Va'da berdi</t>
        </is>
      </c>
    </row>
    <row r="167">
      <c r="A167" s="108" t="inlineStr">
        <is>
          <t xml:space="preserve">НАВОИЙ ВИЛОЯТИ</t>
        </is>
      </c>
      <c r="C167" s="108" t="inlineStr">
        <is>
          <t xml:space="preserve">Дозвон</t>
        </is>
      </c>
      <c r="D167" s="108" t="inlineStr">
        <is>
          <t xml:space="preserve">Кр-99063882-2</t>
        </is>
      </c>
      <c r="E167" s="108" t="inlineStr">
        <is>
          <t xml:space="preserve">TESHAYEV HOJIKURBON TO’XTAMURODOVICH</t>
        </is>
      </c>
      <c r="F167" s="108" t="inlineStr">
        <is>
          <t xml:space="preserve">998912525911 O’G’LI, 998914314545 O’ZI, 998991304500 UKASI,913314545</t>
        </is>
      </c>
      <c r="G167" s="108" t="inlineStr">
        <is>
          <t xml:space="preserve">RABOT QISHLOG’I 203 UY</t>
        </is>
      </c>
      <c r="H167" s="109">
        <v>8.0</v>
      </c>
      <c r="I167" s="109">
        <v>9516018.99</v>
      </c>
      <c r="J167" s="109">
        <v>9516018.99</v>
      </c>
      <c r="K167" s="108" t="inlineStr">
        <is>
          <t xml:space="preserve">To'ladi</t>
        </is>
      </c>
    </row>
    <row r="168">
      <c r="A168" s="108" t="inlineStr">
        <is>
          <t xml:space="preserve">НАВОИЙ ВИЛОЯТИ</t>
        </is>
      </c>
      <c r="C168" s="108" t="inlineStr">
        <is>
          <t xml:space="preserve">Обещал</t>
        </is>
      </c>
      <c r="D168" s="108" t="inlineStr">
        <is>
          <t xml:space="preserve">Кр-99063368-1</t>
        </is>
      </c>
      <c r="E168" s="108" t="inlineStr">
        <is>
          <t xml:space="preserve">SHODIYEV G’ULOM BOBOYOROVICH</t>
        </is>
      </c>
      <c r="F168" s="108" t="inlineStr">
        <is>
          <t xml:space="preserve">998501569527 O’G’LI, 998880859593 O’ZI, 998932797793 KICHIK O’G’LI,</t>
        </is>
      </c>
      <c r="G168" s="108" t="inlineStr">
        <is>
          <t xml:space="preserve">NAVOIY VILOYATI,NAVBAHOR TUMANI,XASHMAN MFY,QO’RG’ONTEPA  KOCHASI,70 UY</t>
        </is>
      </c>
      <c r="H168" s="109">
        <v>8.0</v>
      </c>
      <c r="I168" s="109">
        <v>8392133.01</v>
      </c>
      <c r="K168" s="108" t="inlineStr">
        <is>
          <t xml:space="preserve">Va'da berdi | bugun kechqurun</t>
        </is>
      </c>
    </row>
    <row r="169">
      <c r="A169" s="108" t="inlineStr">
        <is>
          <t xml:space="preserve">НАВОИЙ ВИЛОЯТИ</t>
        </is>
      </c>
      <c r="C169" s="108" t="inlineStr">
        <is>
          <t xml:space="preserve">Дозвон</t>
        </is>
      </c>
      <c r="D169" s="108" t="inlineStr">
        <is>
          <t xml:space="preserve">Кр-99057375-1</t>
        </is>
      </c>
      <c r="E169" s="108" t="inlineStr">
        <is>
          <t xml:space="preserve">PULOTOV JOHONGIR QOBILOVICH</t>
        </is>
      </c>
      <c r="F169" s="108" t="inlineStr">
        <is>
          <t xml:space="preserve">998882972552 sms uzi, 998880062272 SMS UGLI, 998942238717 sms onasi, 998930490052 SMS AKASI,</t>
        </is>
      </c>
      <c r="G169" s="108" t="inlineStr">
        <is>
          <t xml:space="preserve">NAVOIY VILOYATI,KARMANA TUMANI, VARQ MFY,OBRONON KUCHASI,14 UY</t>
        </is>
      </c>
      <c r="H169" s="109">
        <v>11.0</v>
      </c>
      <c r="I169" s="109">
        <v>5922500.26</v>
      </c>
      <c r="K169" s="108" t="inlineStr">
        <is>
          <t xml:space="preserve">Telefon ko'tardi | ertaga vada berdi soat 5 ga</t>
        </is>
      </c>
    </row>
    <row r="170">
      <c r="A170" s="108" t="inlineStr">
        <is>
          <t xml:space="preserve">НАВОИЙ ВИЛОЯТИ</t>
        </is>
      </c>
      <c r="C170" s="108" t="inlineStr">
        <is>
          <t xml:space="preserve">Обещал</t>
        </is>
      </c>
      <c r="D170" s="108" t="inlineStr">
        <is>
          <t xml:space="preserve">Кр-99063423-2</t>
        </is>
      </c>
      <c r="E170" s="108" t="inlineStr">
        <is>
          <t xml:space="preserve">XAMDAMOV ANVAR MARDONOVICH</t>
        </is>
      </c>
      <c r="F170" s="108" t="inlineStr">
        <is>
          <t xml:space="preserve">998933150284 OG’LI, 998933683804 TURMUSH O’RTOG’I, 998939120284 2 NOMERI,</t>
        </is>
      </c>
      <c r="G170" s="108" t="inlineStr">
        <is>
          <t xml:space="preserve">NAVOIY VILOYATI,KONIMEX TUMANI,YUKSALISH MFY,GULISTON KO’CHASI,3 BERK KO’CHAS,44 UY</t>
        </is>
      </c>
      <c r="H170" s="109">
        <v>8.0</v>
      </c>
      <c r="I170" s="109">
        <v>5700597.7</v>
      </c>
      <c r="K170" s="108" t="inlineStr">
        <is>
          <t xml:space="preserve">Va'da berdi | 3 kunda</t>
        </is>
      </c>
    </row>
    <row r="171">
      <c r="A171" s="108" t="inlineStr">
        <is>
          <t xml:space="preserve">НАВОИЙ ВИЛОЯТИ</t>
        </is>
      </c>
      <c r="C171" s="108" t="inlineStr">
        <is>
          <t xml:space="preserve">Дозвон</t>
        </is>
      </c>
      <c r="D171" s="108" t="inlineStr">
        <is>
          <t xml:space="preserve">Кр-99063878-2</t>
        </is>
      </c>
      <c r="E171" s="108" t="inlineStr">
        <is>
          <t xml:space="preserve">SANOQULOV JASUR SUVON O’G’LI</t>
        </is>
      </c>
      <c r="F171" s="108" t="inlineStr">
        <is>
          <t xml:space="preserve">998777612272 O’ZI, 998991642772 AYOLI, 998993753426 O’G’LI,</t>
        </is>
      </c>
      <c r="G171" s="108" t="inlineStr">
        <is>
          <t xml:space="preserve">NAVOIY VILOYATI NAVBAHOR TUMANI ARABXONA MFY ARABXONA SHOX KO’CHASI 200 UY</t>
        </is>
      </c>
      <c r="H171" s="109">
        <v>8.0</v>
      </c>
      <c r="I171" s="109">
        <v>5452116.25</v>
      </c>
      <c r="J171" s="109">
        <v>5452116.25</v>
      </c>
      <c r="K171" s="108" t="inlineStr">
        <is>
          <t xml:space="preserve">To'ladi | bugun tolidi</t>
        </is>
      </c>
    </row>
    <row r="172">
      <c r="A172" s="108" t="inlineStr">
        <is>
          <t xml:space="preserve">НАВОИЙ ВИЛОЯТИ</t>
        </is>
      </c>
      <c r="C172" s="108" t="inlineStr">
        <is>
          <t xml:space="preserve">Дозвон</t>
        </is>
      </c>
      <c r="D172" s="108" t="inlineStr">
        <is>
          <t xml:space="preserve">Кр-99040301-1</t>
        </is>
      </c>
      <c r="E172" s="108" t="inlineStr">
        <is>
          <t xml:space="preserve">SHARIPOV SHERZOD NABIYEVICH</t>
        </is>
      </c>
      <c r="F172" s="108" t="inlineStr">
        <is>
          <t xml:space="preserve">998913302929 SMS OZI, 998912510707 SMS AKASI, 998901253625 SMS OTASI, 998121007702 SMS OZI 2,</t>
        </is>
      </c>
      <c r="G172" s="108" t="inlineStr">
        <is>
          <t xml:space="preserve">NAVOIY VILOYATI,QIZILTEPA TUMANI,RABOT MFY, MANZILOBOD KO’CHASI, 127 UY</t>
        </is>
      </c>
      <c r="H172" s="109">
        <v>8.0</v>
      </c>
      <c r="I172" s="109">
        <v>5026680.12</v>
      </c>
      <c r="J172" s="109">
        <v>5026680.12</v>
      </c>
      <c r="K172" s="108" t="inlineStr">
        <is>
          <t xml:space="preserve">To'ladi | tolandi</t>
        </is>
      </c>
    </row>
    <row r="173">
      <c r="A173" s="108" t="inlineStr">
        <is>
          <t xml:space="preserve">НАВОИЙ ВИЛОЯТИ</t>
        </is>
      </c>
      <c r="C173" s="108" t="inlineStr">
        <is>
          <t xml:space="preserve">Дозвон</t>
        </is>
      </c>
      <c r="D173" s="108" t="inlineStr">
        <is>
          <t xml:space="preserve">Кр-99060353-1</t>
        </is>
      </c>
      <c r="E173" s="108" t="inlineStr">
        <is>
          <t xml:space="preserve">ASLONOVA EZOZA FAZLIDDIN QIZI</t>
        </is>
      </c>
      <c r="F173" s="108" t="inlineStr">
        <is>
          <t xml:space="preserve">998919869774 SMS OZI, 998913380098 SMS AKASI, 998910897330 SMS OTASI, 998913354941 SMS AKASI,</t>
        </is>
      </c>
      <c r="G173" s="108" t="inlineStr">
        <is>
          <t xml:space="preserve">NAVOIY VILOYATI, KARMANA TUMANI,ZARAFSHON MFY,QAVALA KO'CHASI,160 UY</t>
        </is>
      </c>
      <c r="H173" s="109">
        <v>8.0</v>
      </c>
      <c r="I173" s="109">
        <v>4346447.25</v>
      </c>
      <c r="K173" s="108" t="inlineStr">
        <is>
          <t xml:space="preserve">Telefon ko'tardi | tolovchiga xabar berib qoyaman ddi</t>
        </is>
      </c>
    </row>
    <row r="174">
      <c r="A174" s="108" t="inlineStr">
        <is>
          <t xml:space="preserve">НАВОИЙ ВИЛОЯТИ</t>
        </is>
      </c>
      <c r="C174" s="108" t="inlineStr">
        <is>
          <t xml:space="preserve">Дозвон</t>
        </is>
      </c>
      <c r="D174" s="108" t="inlineStr">
        <is>
          <t xml:space="preserve">Кр-99058561-1</t>
        </is>
      </c>
      <c r="E174" s="108" t="inlineStr">
        <is>
          <t xml:space="preserve">RAJABOV ALLAYOR NASRIDDINOVICH</t>
        </is>
      </c>
      <c r="F174" s="108" t="inlineStr">
        <is>
          <t xml:space="preserve">998942222269 SMS OZI, 998930868422 SMS ERI, 998948512205 SMS OGLI, 998930799963 SMS QIZI,</t>
        </is>
      </c>
      <c r="G174" s="108" t="inlineStr">
        <is>
          <t xml:space="preserve">NAVOIY VILOYATI,KONIMEX TUMANI, GULISTON MFY,GULISTON KO'CHASI,85 UY</t>
        </is>
      </c>
      <c r="H174" s="109">
        <v>8.0</v>
      </c>
      <c r="I174" s="109">
        <v>3272067.67</v>
      </c>
      <c r="K174" s="108" t="inlineStr">
        <is>
          <t xml:space="preserve">Telefon ko'tardi | 25 kuni tolov qiladi</t>
        </is>
      </c>
    </row>
    <row r="175">
      <c r="A175" s="108" t="inlineStr">
        <is>
          <t xml:space="preserve">НАВОИЙ ВИЛОЯТИ</t>
        </is>
      </c>
      <c r="C175" s="108" t="inlineStr">
        <is>
          <t xml:space="preserve">Дозвон</t>
        </is>
      </c>
      <c r="D175" s="108" t="inlineStr">
        <is>
          <t xml:space="preserve">Кр-99062472-1</t>
        </is>
      </c>
      <c r="E175" s="108" t="inlineStr">
        <is>
          <t xml:space="preserve">YO’LDOSHEV FARHODJON SHUHRAT O’G’LI</t>
        </is>
      </c>
      <c r="F175" s="108" t="inlineStr">
        <is>
          <t xml:space="preserve">998936630513 SMS OZI, 998930656179 SMS ONASI, 998946830030 SMS AKASI, 998366461792 SMS OZI,</t>
        </is>
      </c>
      <c r="G175" s="108" t="inlineStr">
        <is>
          <t xml:space="preserve">NAVOIY VILOYATI,ZARAFSHON SHAXRI,YANGI ZARAFSHON MFY,XALQLAR  DO'STLIG KO'CHASI,112-UY </t>
        </is>
      </c>
      <c r="H175" s="109">
        <v>8.0</v>
      </c>
      <c r="I175" s="109">
        <v>3125648.6</v>
      </c>
      <c r="K175" s="108" t="inlineStr">
        <is>
          <t xml:space="preserve">Telefon ko'tardi | ertadan keyin tolidi</t>
        </is>
      </c>
    </row>
    <row r="176">
      <c r="A176" s="108" t="inlineStr">
        <is>
          <t xml:space="preserve">НАВОИЙ ВИЛОЯТИ</t>
        </is>
      </c>
      <c r="C176" s="108" t="inlineStr">
        <is>
          <t xml:space="preserve">Обещал</t>
        </is>
      </c>
      <c r="D176" s="108" t="inlineStr">
        <is>
          <t xml:space="preserve">Кр-99058089-1</t>
        </is>
      </c>
      <c r="E176" s="108" t="inlineStr">
        <is>
          <t xml:space="preserve">KARIMOV ABDURASUL ASHURALIYEVICH</t>
        </is>
      </c>
      <c r="F176" s="108" t="inlineStr">
        <is>
          <t xml:space="preserve">998976858991 узи, 998976848991 узи 2 номер, 998999970603 кайнонаси, 998918472023 кайнсинглиси,</t>
        </is>
      </c>
      <c r="G176" s="108" t="inlineStr">
        <is>
          <t xml:space="preserve">NAVOIY VILOYATI, NAVOIY SHAXAR,BUNYODKOR MFY,SADRIDDIN AYNIY KO'CHASI,99-UY,29 XONADON</t>
        </is>
      </c>
      <c r="H176" s="109">
        <v>8.0</v>
      </c>
      <c r="I176" s="109">
        <v>2613399.8</v>
      </c>
      <c r="K176" s="108" t="inlineStr">
        <is>
          <t xml:space="preserve">Va'da berdi | ertaga vada berdi soat 5 ga</t>
        </is>
      </c>
    </row>
    <row r="177">
      <c r="A177" s="108" t="inlineStr">
        <is>
          <t xml:space="preserve">НАВОИЙ ВИЛОЯТИ</t>
        </is>
      </c>
      <c r="C177" s="108" t="inlineStr">
        <is>
          <t xml:space="preserve">Обещал</t>
        </is>
      </c>
      <c r="D177" s="108" t="inlineStr">
        <is>
          <t xml:space="preserve">Кр-99037388-2</t>
        </is>
      </c>
      <c r="E177" s="108" t="inlineStr">
        <is>
          <t xml:space="preserve">RASULOVA MADINA ABDURASHIT QIZI</t>
        </is>
      </c>
      <c r="F177" s="108" t="inlineStr">
        <is>
          <t xml:space="preserve">998937549991 SMS OZI, 998943478788 SMS ERI, 998906558555 SMS OPASI, 998943124440 SMS ONASI, 998937502343 ERI NEW,</t>
        </is>
      </c>
      <c r="G177" s="108" t="inlineStr">
        <is>
          <t xml:space="preserve">NAVOIY VILOYATI NUROTA TUMANI, G’AFUR G’ULOM MFY, XOLMUROD RAXIMOV KO’CHASI 12-UY</t>
        </is>
      </c>
      <c r="H177" s="109">
        <v>8.0</v>
      </c>
      <c r="I177" s="109">
        <v>1888246.4</v>
      </c>
      <c r="K177" s="108" t="inlineStr">
        <is>
          <t xml:space="preserve">Va'da berdi | bugun tolidi</t>
        </is>
      </c>
    </row>
    <row r="178">
      <c r="A178" s="108" t="inlineStr">
        <is>
          <t xml:space="preserve">НАВОИЙ ВИЛОЯТИ</t>
        </is>
      </c>
      <c r="C178" s="108" t="inlineStr">
        <is>
          <t xml:space="preserve">Дозвон</t>
        </is>
      </c>
      <c r="D178" s="108" t="inlineStr">
        <is>
          <t xml:space="preserve">Кр-99064038-1</t>
        </is>
      </c>
      <c r="E178" s="108" t="inlineStr">
        <is>
          <t xml:space="preserve">SANAKULOVA MALOXAT ISOMITDINOVNA</t>
        </is>
      </c>
      <c r="F178" s="108" t="inlineStr">
        <is>
          <t xml:space="preserve">998937590414 O’ZI, 998937771430 O’G’LI,</t>
        </is>
      </c>
      <c r="G178" s="108" t="inlineStr">
        <is>
          <t xml:space="preserve">ZARGAR KO’CHASI 32 UY</t>
        </is>
      </c>
      <c r="H178" s="109">
        <v>8.0</v>
      </c>
      <c r="I178" s="109">
        <v>1089191.68</v>
      </c>
      <c r="J178" s="109">
        <v>1089191.68</v>
      </c>
      <c r="K178" s="108" t="inlineStr">
        <is>
          <t xml:space="preserve">To'ladi | qisman ertaga qoganini tolidi</t>
        </is>
      </c>
    </row>
    <row r="179">
      <c r="A179" s="108" t="inlineStr">
        <is>
          <t xml:space="preserve">НАВОИЙ ВИЛОЯТИ</t>
        </is>
      </c>
      <c r="C179" s="108" t="inlineStr">
        <is>
          <t xml:space="preserve">Дозвон</t>
        </is>
      </c>
      <c r="D179" s="108" t="inlineStr">
        <is>
          <t xml:space="preserve">Кр-99063138-1</t>
        </is>
      </c>
      <c r="E179" s="108" t="inlineStr">
        <is>
          <t xml:space="preserve">KARIMOV ILHOMJON IKRAMOVICH</t>
        </is>
      </c>
      <c r="F179" s="108" t="inlineStr">
        <is>
          <t xml:space="preserve">998931482717 AYOLI, 998934389278 OG’LI,</t>
        </is>
      </c>
      <c r="G179" s="108" t="inlineStr">
        <is>
          <t xml:space="preserve">Кармана кучаси 117 уй</t>
        </is>
      </c>
      <c r="H179" s="109">
        <v>8.0</v>
      </c>
      <c r="I179" s="109">
        <v>117592.87</v>
      </c>
      <c r="J179" s="109">
        <v>117592.87</v>
      </c>
      <c r="K179" s="108" t="inlineStr">
        <is>
          <t xml:space="preserve">To'ladi</t>
        </is>
      </c>
    </row>
    <row r="180">
      <c r="A180" s="108" t="inlineStr">
        <is>
          <t xml:space="preserve">НАВОИЙ ВИЛОЯТИ</t>
        </is>
      </c>
      <c r="C180" s="108" t="inlineStr">
        <is>
          <t xml:space="preserve">Дозвон</t>
        </is>
      </c>
      <c r="D180" s="108" t="inlineStr">
        <is>
          <t xml:space="preserve">Кр-99036692-1</t>
        </is>
      </c>
      <c r="E180" s="108" t="inlineStr">
        <is>
          <t xml:space="preserve">SHODIYEVA FERUZA G’AFFOROVNA</t>
        </is>
      </c>
      <c r="F180" s="108" t="inlineStr">
        <is>
          <t xml:space="preserve">998919901871 SMS OZI, 998931793787 SMS JIYANI faqat shunga qilinsin shu xal qiladi,</t>
        </is>
      </c>
      <c r="G180" s="108" t="inlineStr">
        <is>
          <t xml:space="preserve">NAVOIY VILOYATI QIZILTEPA TUMANI A.NAVOIY MFY O'ZBEKISTON SHOX KO'CHASI 13-UY 14-XONADON</t>
        </is>
      </c>
      <c r="H180" s="109">
        <v>1.0</v>
      </c>
      <c r="I180" s="109">
        <v>28423.81</v>
      </c>
      <c r="J180" s="109">
        <v>28423.81</v>
      </c>
      <c r="K180" s="108" t="inlineStr">
        <is>
          <t xml:space="preserve">To'ladi | ozim yoptirdim\</t>
        </is>
      </c>
    </row>
    <row r="181">
      <c r="A181" s="110" t="inlineStr">
        <is>
          <t xml:space="preserve">НАМАНГАН ВИЛОЯТИ</t>
        </is>
      </c>
      <c r="C181" s="110" t="inlineStr">
        <is>
          <t xml:space="preserve">Дозвон</t>
        </is>
      </c>
      <c r="D181" s="110" t="inlineStr">
        <is>
          <t xml:space="preserve">Кр-99036518-2</t>
        </is>
      </c>
      <c r="E181" s="110" t="inlineStr">
        <is>
          <t xml:space="preserve">XADJIMIRZAYEVA NAZOKAT MAXMUDOVNA</t>
        </is>
      </c>
      <c r="F181" s="110" t="inlineStr">
        <is>
          <t xml:space="preserve">998902793272 SMS OZI TO’LQIN AKANI SINGLI BU, 998905545758 SMS AKASI, 998880501317 SMS QIZI, 998972503003 SMS AKASI, 998907415736 SMS ERI NAZOKATNI ,</t>
        </is>
      </c>
      <c r="G181" s="110" t="inlineStr">
        <is>
          <t xml:space="preserve">NAMANGAN VILOYATI NAMANGAN SHAHAR TUKUVCHI  MFY AEROPORT KO’CHASI 3 A UY</t>
        </is>
      </c>
      <c r="H181" s="111">
        <v>102.0</v>
      </c>
      <c r="I181" s="111">
        <v>86114076.45</v>
      </c>
      <c r="K181" s="110" t="inlineStr">
        <is>
          <t xml:space="preserve">Telefon ko'tardi | shu oy oxirigacha yopib berarkan eri</t>
        </is>
      </c>
    </row>
    <row r="182">
      <c r="A182" s="110" t="inlineStr">
        <is>
          <t xml:space="preserve">НАМАНГАН ВИЛОЯТИ</t>
        </is>
      </c>
      <c r="C182" s="110" t="inlineStr">
        <is>
          <t xml:space="preserve">Дозвон</t>
        </is>
      </c>
      <c r="D182" s="110" t="inlineStr">
        <is>
          <t xml:space="preserve">Кр-99026756-1</t>
        </is>
      </c>
      <c r="E182" s="110" t="inlineStr">
        <is>
          <t xml:space="preserve">ABDULLAYEVA MATLUBA MAXAMADJONOVNA</t>
        </is>
      </c>
      <c r="F182" s="110" t="inlineStr">
        <is>
          <t xml:space="preserve">93-499-87-11 SMS OZI, 50-100-80-35 SMS UY BEGONA, 77-777-80-35 SMS OGLI, 99-911-80-35 SMS OZI 2,</t>
        </is>
      </c>
      <c r="G182" s="110" t="inlineStr">
        <is>
          <t xml:space="preserve">NAMANGAN VILOYATI KOSONSOY TUMANI OZOD MFY KOMOLOT KO’CHASI 189 UY</t>
        </is>
      </c>
      <c r="H182" s="111">
        <v>106.0</v>
      </c>
      <c r="I182" s="111">
        <v>50391914.78</v>
      </c>
      <c r="K182" s="110" t="inlineStr">
        <is>
          <t xml:space="preserve">Telefon ko'tardi | kreditini yangilash kerak ekan  kreditini tolovlarini qanchadur miqdorini yeb ketgan filial sarvar ham bor buni ichida</t>
        </is>
      </c>
    </row>
    <row r="183">
      <c r="A183" s="110" t="inlineStr">
        <is>
          <t xml:space="preserve">НАМАНГАН ВИЛОЯТИ</t>
        </is>
      </c>
      <c r="C183" s="110" t="inlineStr">
        <is>
          <t xml:space="preserve">Дозвон</t>
        </is>
      </c>
      <c r="D183" s="110" t="inlineStr">
        <is>
          <t xml:space="preserve">Кр-99026039-1</t>
        </is>
      </c>
      <c r="E183" s="110" t="inlineStr">
        <is>
          <t xml:space="preserve">BAXRAMOV JAVLONBEK AKRAMJONOVICH</t>
        </is>
      </c>
      <c r="F183" s="110" t="inlineStr">
        <is>
          <t xml:space="preserve">95-840-75-74 SMS BEGONA, 95-039-20-27 SMS AYOLI, 93-163-32-53 SMS OGLI, 94-683-32-53 SMS UY, 97-573-22-29 SMS TULOVCHI SHU HAL QILADI,</t>
        </is>
      </c>
      <c r="G183" s="110" t="inlineStr">
        <is>
          <t xml:space="preserve">NAMANGAN VILOYATI NAMANGAN  TUMANI KATTA TOSHBULOQ MFY ISTIQLOL KO’CHASI 49 UY</t>
        </is>
      </c>
      <c r="H183" s="111">
        <v>195.0</v>
      </c>
      <c r="I183" s="111">
        <v>28196250.53</v>
      </c>
      <c r="K183" s="110" t="inlineStr">
        <is>
          <t xml:space="preserve">Telefon ko'tardi | moshina plashatkada auksionga chiqish kerak ediii !!!</t>
        </is>
      </c>
    </row>
    <row r="184">
      <c r="A184" s="110" t="inlineStr">
        <is>
          <t xml:space="preserve">НАМАНГАН ВИЛОЯТИ</t>
        </is>
      </c>
      <c r="C184" s="110" t="inlineStr">
        <is>
          <t xml:space="preserve">Дозвон</t>
        </is>
      </c>
      <c r="D184" s="110" t="inlineStr">
        <is>
          <t xml:space="preserve">Кр-99038184-1</t>
        </is>
      </c>
      <c r="E184" s="110" t="inlineStr">
        <is>
          <t xml:space="preserve">SHODMONOVA XABIBA ADXAMOVNA</t>
        </is>
      </c>
      <c r="F184" s="110" t="inlineStr">
        <is>
          <t xml:space="preserve">998943095119 SMS OZI, 998503006036 SMS ERI BEGONA, 998974005119 SMS OGLI, 998943980030 SMS OGLI, 998770505119 eri tolovchi,</t>
        </is>
      </c>
      <c r="G184" s="110" t="inlineStr">
        <is>
          <t xml:space="preserve">NAMANGAN  VILOYATI YANGIQO’RG’N TUMANI XUJASHURKENT MFY YANGI SHAHARCHA KO’CHA 85 UY</t>
        </is>
      </c>
      <c r="H184" s="111">
        <v>92.0</v>
      </c>
      <c r="I184" s="111">
        <v>13452274.6</v>
      </c>
      <c r="K184" s="110" t="inlineStr">
        <is>
          <t xml:space="preserve">Telefon ko'tardi | pulini filial olgan 18 million</t>
        </is>
      </c>
    </row>
    <row r="185">
      <c r="A185" s="110" t="inlineStr">
        <is>
          <t xml:space="preserve">НАМАНГАН ВИЛОЯТИ</t>
        </is>
      </c>
      <c r="C185" s="110" t="inlineStr">
        <is>
          <t xml:space="preserve">Дозвон</t>
        </is>
      </c>
      <c r="D185" s="110" t="inlineStr">
        <is>
          <t xml:space="preserve">Кр-99020777-2</t>
        </is>
      </c>
      <c r="E185" s="110" t="inlineStr">
        <is>
          <t xml:space="preserve">ULUG’BEKOVA MADINA-BONU ULUG’BEK QIZI</t>
        </is>
      </c>
      <c r="F185" s="110" t="inlineStr">
        <is>
          <t xml:space="preserve">77-255-00-20 SMS TULOVCHI, 93-947-50-65 SMS Onasi, 93-780-20-20 Sms BEGONA, 94-271-07-70 Sms BEGONA, 97-105-70-20 SMS  tolovchi , 77-271-70-20 SMS tolovchi, 998772024010 SMS eri neww,</t>
        </is>
      </c>
      <c r="G185" s="110" t="inlineStr">
        <is>
          <t xml:space="preserve">NAMANGAN VILOYATI POP TUMANI ALISHER NAVOIY MFY NAVRO’Z KO’CHASI 12 UY</t>
        </is>
      </c>
      <c r="H185" s="111">
        <v>7.0</v>
      </c>
      <c r="I185" s="111">
        <v>11841516.02</v>
      </c>
      <c r="K185" s="110" t="inlineStr">
        <is>
          <t xml:space="preserve">Telefon ko'tardi | ukasi kotardi telefonini aytib qoyarkan opasiga tolab qoyamiz deyabdi ertaga tolab qoyamiz deyabdi</t>
        </is>
      </c>
    </row>
    <row r="186">
      <c r="A186" s="110" t="inlineStr">
        <is>
          <t xml:space="preserve">НАМАНГАН ВИЛОЯТИ</t>
        </is>
      </c>
      <c r="C186" s="110" t="inlineStr">
        <is>
          <t xml:space="preserve">Дозвон</t>
        </is>
      </c>
      <c r="D186" s="110" t="inlineStr">
        <is>
          <t xml:space="preserve">Кр-99033562-1</t>
        </is>
      </c>
      <c r="E186" s="110" t="inlineStr">
        <is>
          <t xml:space="preserve">JAKBAROVA G’AZINAXON ABDUMUXTOROVNA</t>
        </is>
      </c>
      <c r="F186" s="110" t="inlineStr">
        <is>
          <t xml:space="preserve">998973764800 SMS O’ZI, 998937022566 SMS ERI, 998994911975 SMS ZALOGODATEL, 998972120518 SMS KELINI,</t>
        </is>
      </c>
      <c r="G186" s="110" t="inlineStr">
        <is>
          <t xml:space="preserve">NAMANGAN VILOYATI NORIN TUMANI NORINKAPA MFY YOSHLAR KO’CHA 76 UY</t>
        </is>
      </c>
      <c r="H186" s="111">
        <v>1.0</v>
      </c>
      <c r="I186" s="111">
        <v>10848414.1</v>
      </c>
      <c r="K186" s="110" t="inlineStr">
        <is>
          <t xml:space="preserve">Telefon ko'tardi | yopib berarkan kareadan pul jonatarkan  ukasi</t>
        </is>
      </c>
    </row>
    <row r="187">
      <c r="A187" s="110" t="inlineStr">
        <is>
          <t xml:space="preserve">НАМАНГАН ВИЛОЯТИ</t>
        </is>
      </c>
      <c r="C187" s="110" t="inlineStr">
        <is>
          <t xml:space="preserve">Обещал</t>
        </is>
      </c>
      <c r="D187" s="110" t="inlineStr">
        <is>
          <t xml:space="preserve">Кр-99027270-2</t>
        </is>
      </c>
      <c r="E187" s="110" t="inlineStr">
        <is>
          <t xml:space="preserve">ISLOMOV MAMADALIXON TOLIBXON O’G’LI</t>
        </is>
      </c>
      <c r="F187" s="110" t="inlineStr">
        <is>
          <t xml:space="preserve">95-000-22-92 SMS O'ZI, 99-398-23-92 SMS OZ'I 2, 91-365-08-04 SMS AYOLI, 91-355-24-41 SMS UKASI, 93-490-51-33 ozi ,</t>
        </is>
      </c>
      <c r="G187" s="110" t="inlineStr">
        <is>
          <t xml:space="preserve">NAMANGAN VILOYATI KOSONSOY TUMANI CHINDOVUL QFY ZAMONDOSH MFY 110-UY</t>
        </is>
      </c>
      <c r="H187" s="111">
        <v>36.0</v>
      </c>
      <c r="I187" s="111">
        <v>7644771.11</v>
      </c>
      <c r="K187" s="110" t="inlineStr">
        <is>
          <t xml:space="preserve">Va'da berdi | bir ikki kunda yopib berarkan polni yopvoraman deb va'da berayabdi</t>
        </is>
      </c>
    </row>
    <row r="188">
      <c r="A188" s="110" t="inlineStr">
        <is>
          <t xml:space="preserve">НАМАНГАН ВИЛОЯТИ</t>
        </is>
      </c>
      <c r="C188" s="110" t="inlineStr">
        <is>
          <t xml:space="preserve">Дозвон</t>
        </is>
      </c>
      <c r="D188" s="110" t="inlineStr">
        <is>
          <t xml:space="preserve">Кр-99036902-2</t>
        </is>
      </c>
      <c r="E188" s="110" t="inlineStr">
        <is>
          <t xml:space="preserve">YUNUSOV RAVSHANJON ABDURAXMONOVICH</t>
        </is>
      </c>
      <c r="F188" s="110" t="inlineStr">
        <is>
          <t xml:space="preserve">998500540304 SMS OZI, 998939132200 SMS OZI, 998949077385 SMS AYOLI begona, 998500540320 SMS QIZI,</t>
        </is>
      </c>
      <c r="G188" s="110" t="inlineStr">
        <is>
          <t xml:space="preserve">NAMANGAN VILOYATI CHUST TUMANI YANGIYER MFY YOSHLIK KO’CHASI 12 UY</t>
        </is>
      </c>
      <c r="H188" s="111">
        <v>8.0</v>
      </c>
      <c r="I188" s="111">
        <v>7033736.1</v>
      </c>
      <c r="K188" s="110" t="inlineStr">
        <is>
          <t xml:space="preserve">Telefon ko'tardi | ertaga tolab berarkan</t>
        </is>
      </c>
    </row>
    <row r="189">
      <c r="A189" s="110" t="inlineStr">
        <is>
          <t xml:space="preserve">НАМАНГАН ВИЛОЯТИ</t>
        </is>
      </c>
      <c r="C189" s="110" t="inlineStr">
        <is>
          <t xml:space="preserve">Дозвон</t>
        </is>
      </c>
      <c r="D189" s="110" t="inlineStr">
        <is>
          <t xml:space="preserve">Кр-99031356-1</t>
        </is>
      </c>
      <c r="E189" s="110" t="inlineStr">
        <is>
          <t xml:space="preserve">NAJMUTDINOV ILXOM ODILXANOVICH</t>
        </is>
      </c>
      <c r="F189" s="110" t="inlineStr">
        <is>
          <t xml:space="preserve">91-052-70-73  SMS OZI, 90-551-31-48  SMS OZI 2, 69-221-50-02  SMS UY, 90-599-89-89  SMS OZI 3, +998776680451 SMS O’ZI, 998957196160 ozi new new,</t>
        </is>
      </c>
      <c r="G189" s="110" t="inlineStr">
        <is>
          <t xml:space="preserve">NAMANGAN VILOYATI NAMANGAN SHAHAR  GULBOG’ MFY GULBOG’ KO’CHA 15 UY</t>
        </is>
      </c>
      <c r="H189" s="111">
        <v>13.0</v>
      </c>
      <c r="I189" s="111">
        <v>6661253.76</v>
      </c>
      <c r="K189" s="110" t="inlineStr">
        <is>
          <t xml:space="preserve">Telefon ko'tardi | onasi aytib qoyarkan dmshni kotardi</t>
        </is>
      </c>
    </row>
    <row r="190">
      <c r="A190" s="110" t="inlineStr">
        <is>
          <t xml:space="preserve">НАМАНГАН ВИЛОЯТИ</t>
        </is>
      </c>
      <c r="C190" s="110" t="inlineStr">
        <is>
          <t xml:space="preserve">Дозвон</t>
        </is>
      </c>
      <c r="D190" s="110" t="inlineStr">
        <is>
          <t xml:space="preserve">Кр-99025491-1</t>
        </is>
      </c>
      <c r="E190" s="110" t="inlineStr">
        <is>
          <t xml:space="preserve">TURDALIYEV KOMRONBEK JAVLONBEK O’G’LI</t>
        </is>
      </c>
      <c r="F190" s="110" t="inlineStr">
        <is>
          <t xml:space="preserve">998974655825 SMS OZI, 998972618846 SMS DADASI O’ZIMIZDA ISHLARKAN, 998907409893 SMS ONASI , 998887005805 SMS OZI 2,</t>
        </is>
      </c>
      <c r="G190" s="110" t="inlineStr">
        <is>
          <t xml:space="preserve">NAMANGAN VILOYATI YANGI NAMANGAN TUMANI  ISHONCH MFY YONG’OQZOR KO’CHA 21 UY </t>
        </is>
      </c>
      <c r="H190" s="111">
        <v>12.0</v>
      </c>
      <c r="I190" s="111">
        <v>5089148.2</v>
      </c>
      <c r="K190" s="110" t="inlineStr">
        <is>
          <t xml:space="preserve">Telefon ko'tardi | oy oxirida tolab qoyarkan cleaverda ishlidi oyligidan tolarkan</t>
        </is>
      </c>
    </row>
    <row r="191">
      <c r="A191" s="110" t="inlineStr">
        <is>
          <t xml:space="preserve">НАМАНГАН ВИЛОЯТИ</t>
        </is>
      </c>
      <c r="C191" s="110" t="inlineStr">
        <is>
          <t xml:space="preserve">Дозвон</t>
        </is>
      </c>
      <c r="D191" s="110" t="inlineStr">
        <is>
          <t xml:space="preserve">Кр-99028498-2</t>
        </is>
      </c>
      <c r="E191" s="110" t="inlineStr">
        <is>
          <t xml:space="preserve">MAVLONOV SARDORBEK ABDURAXMON O’G’LI</t>
        </is>
      </c>
      <c r="F191" s="110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191" s="110" t="inlineStr">
        <is>
          <t xml:space="preserve">NAMANGAN VILOYATI NAMANGAN SHAHAR XAQIQAT MFY TEMUR KO’CHASI 4-TUPIK 2 UY2</t>
        </is>
      </c>
      <c r="H191" s="111">
        <v>8.0</v>
      </c>
      <c r="I191" s="111">
        <v>5039197.92</v>
      </c>
      <c r="K191" s="110" t="inlineStr">
        <is>
          <t xml:space="preserve">Telefon ko'tardi | oy oxirigacha tolab qoyarkan hoz iloji yogakan puli bomayotganakan</t>
        </is>
      </c>
    </row>
    <row r="192">
      <c r="A192" s="110" t="inlineStr">
        <is>
          <t xml:space="preserve">НАМАНГАН ВИЛОЯТИ</t>
        </is>
      </c>
      <c r="C192" s="110" t="inlineStr">
        <is>
          <t xml:space="preserve">Дозвон</t>
        </is>
      </c>
      <c r="D192" s="110" t="inlineStr">
        <is>
          <t xml:space="preserve">Кр-99028498-3</t>
        </is>
      </c>
      <c r="E192" s="110" t="inlineStr">
        <is>
          <t xml:space="preserve">MAVLONOV SARDORBEK ABDURAXMON O’G’LI</t>
        </is>
      </c>
      <c r="F192" s="110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192" s="110" t="inlineStr">
        <is>
          <t xml:space="preserve">NAMANGAN VILOYATI NAMANGAN SHAHAR XAQIQAT MFY TEMUR KO’CHASI 4-TUPIK 2 UY2</t>
        </is>
      </c>
      <c r="H192" s="111">
        <v>8.0</v>
      </c>
      <c r="I192" s="111">
        <v>5018367.7</v>
      </c>
      <c r="K192" s="110" t="inlineStr">
        <is>
          <t xml:space="preserve">Telefon ko'tardi | oy oxirigacha tolab qoyarkan hoz iloji yogakan puli bomayotganakan</t>
        </is>
      </c>
    </row>
    <row r="193">
      <c r="A193" s="110" t="inlineStr">
        <is>
          <t xml:space="preserve">НАМАНГАН ВИЛОЯТИ</t>
        </is>
      </c>
      <c r="C193" s="110" t="inlineStr">
        <is>
          <t xml:space="preserve">Дозвон</t>
        </is>
      </c>
      <c r="D193" s="110" t="inlineStr">
        <is>
          <t xml:space="preserve">Кр-99035267-1</t>
        </is>
      </c>
      <c r="E193" s="110" t="inlineStr">
        <is>
          <t xml:space="preserve">YULDASHEVA FERUZA SODIK QIZI</t>
        </is>
      </c>
      <c r="F193" s="110" t="inlineStr">
        <is>
          <t xml:space="preserve">998938937775 SMS O’ZI, 998938932888 SMS AYOLI, 998991551552 SMS O’ZI,</t>
        </is>
      </c>
      <c r="G193" s="110" t="inlineStr">
        <is>
          <t xml:space="preserve">NAMANGAN VILOYATI YANGI NAMANGAN TUMANI SHERBULOQ MFY BINAFSHA KO’CHASI 5 UY</t>
        </is>
      </c>
      <c r="H193" s="111">
        <v>1.0</v>
      </c>
      <c r="I193" s="111">
        <v>4762039.66</v>
      </c>
      <c r="K193" s="110" t="inlineStr">
        <is>
          <t xml:space="preserve">Telefon ko'tardi | tolov qilganman deyabdi filialga</t>
        </is>
      </c>
    </row>
    <row r="194">
      <c r="A194" s="110" t="inlineStr">
        <is>
          <t xml:space="preserve">НАМАНГАН ВИЛОЯТИ</t>
        </is>
      </c>
      <c r="C194" s="110" t="inlineStr">
        <is>
          <t xml:space="preserve">Дозвон</t>
        </is>
      </c>
      <c r="D194" s="110" t="inlineStr">
        <is>
          <t xml:space="preserve">Кр-99035834-1</t>
        </is>
      </c>
      <c r="E194" s="110" t="inlineStr">
        <is>
          <t xml:space="preserve">TURG’UNOV BEHRUZ AZIZBEK O’G’LI</t>
        </is>
      </c>
      <c r="F194" s="110" t="inlineStr">
        <is>
          <t xml:space="preserve">998952600654 SMS TO’LOVCHI , 998931409104 SMS O’ZI BEGONA, 998932841024  SMS begona, 998880800654 SMS ZALOGADATEL,</t>
        </is>
      </c>
      <c r="G194" s="110" t="inlineStr">
        <is>
          <t xml:space="preserve">NAMANGAN VILOYATI NORIN TUMANI SIRMOQ MFY SIRMOQ KO’CHA 34 UY</t>
        </is>
      </c>
      <c r="H194" s="111">
        <v>8.0</v>
      </c>
      <c r="I194" s="111">
        <v>4668434.41</v>
      </c>
      <c r="K194" s="110" t="inlineStr">
        <is>
          <t xml:space="preserve">Telefon ko'tardi | tulqin aka 4mln olgan  qolganini ham yopib berarkan</t>
        </is>
      </c>
    </row>
    <row r="195">
      <c r="A195" s="110" t="inlineStr">
        <is>
          <t xml:space="preserve">НАМАНГАН ВИЛОЯТИ</t>
        </is>
      </c>
      <c r="C195" s="110" t="inlineStr">
        <is>
          <t xml:space="preserve">Дозвон</t>
        </is>
      </c>
      <c r="D195" s="110" t="inlineStr">
        <is>
          <t xml:space="preserve">Кр-99038768-1</t>
        </is>
      </c>
      <c r="E195" s="110" t="inlineStr">
        <is>
          <t xml:space="preserve">NIZAMOV KOBIL KOSIMOVICH</t>
        </is>
      </c>
      <c r="F195" s="110" t="inlineStr">
        <is>
          <t xml:space="preserve">998507006187 SMS OZI, 998957077157 SMS UYI, 998905980606 SMS ONASI, 998900500507 SMS UKASI,</t>
        </is>
      </c>
      <c r="G195" s="110" t="inlineStr">
        <is>
          <t xml:space="preserve">NAMANGAN SHAXAR YANGI HAYOT MFY O’RIKZOR KO’CHASI TUPIK-5 13-UY</t>
        </is>
      </c>
      <c r="H195" s="111">
        <v>6.0</v>
      </c>
      <c r="I195" s="111">
        <v>4353596.76</v>
      </c>
      <c r="K195" s="110" t="inlineStr">
        <is>
          <t xml:space="preserve">Telefon ko'tardi | ertaga tolab qoyarkan</t>
        </is>
      </c>
    </row>
    <row r="196">
      <c r="A196" s="110" t="inlineStr">
        <is>
          <t xml:space="preserve">НАМАНГАН ВИЛОЯТИ</t>
        </is>
      </c>
      <c r="C196" s="110" t="inlineStr">
        <is>
          <t xml:space="preserve">Дозвон</t>
        </is>
      </c>
      <c r="D196" s="110" t="inlineStr">
        <is>
          <t xml:space="preserve">Кр-99035749-1</t>
        </is>
      </c>
      <c r="E196" s="110" t="inlineStr">
        <is>
          <t xml:space="preserve">KOMILJONOV JAVOXIR RO’ZIMJON O’G’LI</t>
        </is>
      </c>
      <c r="F196" s="110" t="inlineStr">
        <is>
          <t xml:space="preserve">998773849818 SMS OZI, 998930860098 SMS XOLASI, 998974660807 SMS UKASI, 998998104279 SMS KELINOYISI, 998950752556 SMS JAVOHIR, 998998104279 SMS MOMASI,</t>
        </is>
      </c>
      <c r="G196" s="110" t="inlineStr">
        <is>
          <t xml:space="preserve">NAMANGAN VILOYATI NORIN TUMANI TEGIRMONBOSHI MFY GULISTON 1 KO’CHA 18 UY</t>
        </is>
      </c>
      <c r="H196" s="111">
        <v>13.0</v>
      </c>
      <c r="I196" s="111">
        <v>4054006.43</v>
      </c>
      <c r="K196" s="110" t="inlineStr">
        <is>
          <t xml:space="preserve">Telefon ko'tardi | oy oxirigacha tolab berarkan oyligini olib</t>
        </is>
      </c>
    </row>
    <row r="197">
      <c r="A197" s="110" t="inlineStr">
        <is>
          <t xml:space="preserve">НАМАНГАН ВИЛОЯТИ</t>
        </is>
      </c>
      <c r="C197" s="110" t="inlineStr">
        <is>
          <t xml:space="preserve">Дозвон</t>
        </is>
      </c>
      <c r="D197" s="110" t="inlineStr">
        <is>
          <t xml:space="preserve">Кр-99030722-2</t>
        </is>
      </c>
      <c r="E197" s="110" t="inlineStr">
        <is>
          <t xml:space="preserve">SHARIPOVA KAMOLA XAMIDULLAYEVNA</t>
        </is>
      </c>
      <c r="F197" s="110" t="inlineStr">
        <is>
          <t xml:space="preserve">77-071-41-66  SMS O’ZI, 94-507-62-87 SMS  O’ZI 2, 99-171-41-66  SMS ERI, 99-397-86-66  SMS ERI 2, 998941714166 SMS ERI 3,</t>
        </is>
      </c>
      <c r="G197" s="110" t="inlineStr">
        <is>
          <t xml:space="preserve">NAMANGAN VILOYATI KOSONSOY TUMANI BULOQBOSHI MFY KO’KTOSH KO’CHASI 94- UY</t>
        </is>
      </c>
      <c r="H197" s="111">
        <v>1.0</v>
      </c>
      <c r="I197" s="111">
        <v>3870058.38</v>
      </c>
      <c r="K197" s="110" t="inlineStr">
        <is>
          <t xml:space="preserve">Telefon ko'tardi | eriga aytib qoyarkan tolab berarkan</t>
        </is>
      </c>
    </row>
    <row r="198">
      <c r="A198" s="110" t="inlineStr">
        <is>
          <t xml:space="preserve">НАМАНГАН ВИЛОЯТИ</t>
        </is>
      </c>
      <c r="C198" s="110" t="inlineStr">
        <is>
          <t xml:space="preserve">Дозвон</t>
        </is>
      </c>
      <c r="D198" s="110" t="inlineStr">
        <is>
          <t xml:space="preserve">Кр-99038651-1</t>
        </is>
      </c>
      <c r="E198" s="110" t="inlineStr">
        <is>
          <t xml:space="preserve">UMARALIYEVA DILSHODA INOMJON QIZI</t>
        </is>
      </c>
      <c r="F198" s="110" t="inlineStr">
        <is>
          <t xml:space="preserve">905540172 SMS OZI, 998905540172 SMS ONASI, 998200030432 SMS UYI, 998507553071 SMS UYI 2 BEGONA, 998931986077 SMS O'ZI NEW,</t>
        </is>
      </c>
      <c r="G198" s="110" t="inlineStr">
        <is>
          <t xml:space="preserve">NAMANGAN VILOYATI KOSONSOY TUMANI SOYCHA MFY MANTIPAZ KO’CHA 48 UY</t>
        </is>
      </c>
      <c r="H198" s="111">
        <v>11.0</v>
      </c>
      <c r="I198" s="111">
        <v>3546271.63</v>
      </c>
      <c r="K198" s="110" t="inlineStr">
        <is>
          <t xml:space="preserve">Telefon ko'tardi | bir ikki kunda tolab qoyarkan   oyligini kutib turganakan</t>
        </is>
      </c>
    </row>
    <row r="199">
      <c r="A199" s="110" t="inlineStr">
        <is>
          <t xml:space="preserve">НАМАНГАН ВИЛОЯТИ</t>
        </is>
      </c>
      <c r="C199" s="110" t="inlineStr">
        <is>
          <t xml:space="preserve">Дозвон</t>
        </is>
      </c>
      <c r="D199" s="110" t="inlineStr">
        <is>
          <t xml:space="preserve">Кр-99062343-2</t>
        </is>
      </c>
      <c r="E199" s="110" t="inlineStr">
        <is>
          <t xml:space="preserve">SATTAROV TOLIBJON BOYODULLAYEVICH</t>
        </is>
      </c>
      <c r="F199" s="110" t="inlineStr">
        <is>
          <t xml:space="preserve">998973163090 uzi, 998505532058 ogli, 998999020848 ayoli,</t>
        </is>
      </c>
      <c r="G199" s="110" t="inlineStr">
        <is>
          <t xml:space="preserve">"NAMANGAN VILOYATI YANGIQO’RG’ON TUMANI HURRIYAT VFY SANGISTON KO
KO’CHASI 2-UY "  </t>
        </is>
      </c>
      <c r="H199" s="111">
        <v>11.0</v>
      </c>
      <c r="I199" s="111">
        <v>3499674.72</v>
      </c>
      <c r="K199" s="110" t="inlineStr">
        <is>
          <t xml:space="preserve">Telefon ko'tardi | yopildi</t>
        </is>
      </c>
    </row>
    <row r="200">
      <c r="A200" s="110" t="inlineStr">
        <is>
          <t xml:space="preserve">НАМАНГАН ВИЛОЯТИ</t>
        </is>
      </c>
      <c r="C200" s="110" t="inlineStr">
        <is>
          <t xml:space="preserve">Дозвон</t>
        </is>
      </c>
      <c r="D200" s="110" t="inlineStr">
        <is>
          <t xml:space="preserve">Кр-99021267-4</t>
        </is>
      </c>
      <c r="E200" s="110" t="inlineStr">
        <is>
          <t xml:space="preserve">TOXIROV AZIZBEK AVAZBEK O’G’LI</t>
        </is>
      </c>
      <c r="F200" s="110" t="inlineStr">
        <is>
          <t xml:space="preserve">97-758-02-02 SMS BEGONA EKAN, 94-611-46-45 SMS OZI, 99-879-56-56 SMS ADASI, 88-700-75-74 SMS UKASI, 998772100909 SMS TOLOV QILISH BO,</t>
        </is>
      </c>
      <c r="G200" s="110" t="inlineStr">
        <is>
          <t xml:space="preserve">NAMANGAN VILOYATI NORIN TUMANI YANGI FARG’NA KO’CHASI 3 UY</t>
        </is>
      </c>
      <c r="H200" s="111">
        <v>8.0</v>
      </c>
      <c r="I200" s="111">
        <v>3426968.48</v>
      </c>
      <c r="K200" s="110" t="inlineStr">
        <is>
          <t xml:space="preserve">Telefon ko'tardi | dadasi aytib qoyaman deyabdi ukasi ham shunday deyabdi ozi kotarmayabdi</t>
        </is>
      </c>
    </row>
    <row r="201">
      <c r="A201" s="110" t="inlineStr">
        <is>
          <t xml:space="preserve">НАМАНГАН ВИЛОЯТИ</t>
        </is>
      </c>
      <c r="C201" s="110" t="inlineStr">
        <is>
          <t xml:space="preserve">Обещал</t>
        </is>
      </c>
      <c r="D201" s="110" t="inlineStr">
        <is>
          <t xml:space="preserve">Кр-99027834-2</t>
        </is>
      </c>
      <c r="E201" s="110" t="inlineStr">
        <is>
          <t xml:space="preserve">HAYDARALIYEV IKROMJON MAHMUDJON O’G’LI</t>
        </is>
      </c>
      <c r="F201" s="110" t="inlineStr">
        <is>
          <t xml:space="preserve">998943003001 SMS SARVAR AKA NAMANGAN, +998944960505 SMS JIYANI,</t>
        </is>
      </c>
      <c r="G201" s="110" t="inlineStr">
        <is>
          <t xml:space="preserve">Сузаковул МФЙ, Юкори Сузок кучаси, 24-уй</t>
        </is>
      </c>
      <c r="H201" s="111">
        <v>8.0</v>
      </c>
      <c r="I201" s="111">
        <v>3198920.47</v>
      </c>
      <c r="K201" s="110" t="inlineStr">
        <is>
          <t xml:space="preserve">Va'da berdi | bugun kechgacha anniq toliman deyabdi</t>
        </is>
      </c>
    </row>
    <row r="202">
      <c r="A202" s="110" t="inlineStr">
        <is>
          <t xml:space="preserve">НАМАНГАН ВИЛОЯТИ</t>
        </is>
      </c>
      <c r="C202" s="110" t="inlineStr">
        <is>
          <t xml:space="preserve">Дозвон</t>
        </is>
      </c>
      <c r="D202" s="110" t="inlineStr">
        <is>
          <t xml:space="preserve">Кр-99035052-1</t>
        </is>
      </c>
      <c r="E202" s="110" t="inlineStr">
        <is>
          <t xml:space="preserve">ARTIKOV ISLOM SOBIROVICH</t>
        </is>
      </c>
      <c r="F202" s="110" t="inlineStr">
        <is>
          <t xml:space="preserve">998917555566 SMS OZI, 998996482727 SMS UY, 998913443005 SMS UKASI, 998907523005 SMS OSHNASI,</t>
        </is>
      </c>
      <c r="G202" s="110" t="inlineStr">
        <is>
          <t xml:space="preserve">NAMANGAN VILOYATI NAMANGAN SHAHAR OYDINKO’L MFY OYDINKO’L KO’CGA 12 UY</t>
        </is>
      </c>
      <c r="H202" s="111">
        <v>8.0</v>
      </c>
      <c r="I202" s="111">
        <v>2990896.66</v>
      </c>
      <c r="K202" s="110" t="inlineStr">
        <is>
          <t xml:space="preserve">Telefon ko'tardi | aytib qoyarkan ukasi tolayman degan ekan bir ikki kunda</t>
        </is>
      </c>
    </row>
    <row r="203">
      <c r="A203" s="110" t="inlineStr">
        <is>
          <t xml:space="preserve">НАМАНГАН ВИЛОЯТИ</t>
        </is>
      </c>
      <c r="C203" s="110" t="inlineStr">
        <is>
          <t xml:space="preserve">Дозвон</t>
        </is>
      </c>
      <c r="D203" s="110" t="inlineStr">
        <is>
          <t xml:space="preserve">Кр-99039559-1</t>
        </is>
      </c>
      <c r="E203" s="110" t="inlineStr">
        <is>
          <t xml:space="preserve">SAIDJALALOV MIRZOXID MUXAMADJON O’G’LI</t>
        </is>
      </c>
      <c r="F203" s="110" t="inlineStr">
        <is>
          <t xml:space="preserve">998957179696 SMS OZI TAMEMEMAN DEB ALDAYDI, 998942529605 SMS AYOLI, 998941798586 SMS DADASI,</t>
        </is>
      </c>
      <c r="G203" s="110" t="inlineStr">
        <is>
          <t xml:space="preserve">Наманганская область, Уйчинский район, Ровот ГСГ, Хизиробод МСГ, ул. Мустакиллик, дом 90</t>
        </is>
      </c>
      <c r="H203" s="111">
        <v>1.0</v>
      </c>
      <c r="I203" s="111">
        <v>2917097.13</v>
      </c>
      <c r="K203" s="110" t="inlineStr">
        <is>
          <t xml:space="preserve">Telefon ko'tardi | yopildi</t>
        </is>
      </c>
    </row>
    <row r="204">
      <c r="A204" s="110" t="inlineStr">
        <is>
          <t xml:space="preserve">НАМАНГАН ВИЛОЯТИ</t>
        </is>
      </c>
      <c r="C204" s="110" t="inlineStr">
        <is>
          <t xml:space="preserve">Дозвон</t>
        </is>
      </c>
      <c r="D204" s="110" t="inlineStr">
        <is>
          <t xml:space="preserve">Кр-99031554-3</t>
        </is>
      </c>
      <c r="E204" s="110" t="inlineStr">
        <is>
          <t xml:space="preserve">MAMATXANOV ABDUSAMAD ABDUMALIK O’G’LI</t>
        </is>
      </c>
      <c r="F204" s="110" t="inlineStr">
        <is>
          <t xml:space="preserve">998994405010 SMS OZI , 91-181-07-08  SMS O’ZI, 97-372-13-31  SMS TOLOVCHI 2 akasi , 95-065-50-10  SMS O’ZI 2 ,</t>
        </is>
      </c>
      <c r="G204" s="110" t="inlineStr">
        <is>
          <t xml:space="preserve">NAMANGAN SHAHAR OZOD MFY ZIRABULOQ KO’CHA 1 UY 19 XONADON</t>
        </is>
      </c>
      <c r="H204" s="111">
        <v>8.0</v>
      </c>
      <c r="I204" s="111">
        <v>2911725.17</v>
      </c>
      <c r="K204" s="110" t="inlineStr">
        <is>
          <t xml:space="preserve">Telefon ko'tardi | telefon qvoraman deyabdi kechroq</t>
        </is>
      </c>
    </row>
    <row r="205">
      <c r="A205" s="110" t="inlineStr">
        <is>
          <t xml:space="preserve">НАМАНГАН ВИЛОЯТИ</t>
        </is>
      </c>
      <c r="C205" s="110" t="inlineStr">
        <is>
          <t xml:space="preserve">Дозвон</t>
        </is>
      </c>
      <c r="D205" s="110" t="inlineStr">
        <is>
          <t xml:space="preserve">Кр-99029487-1</t>
        </is>
      </c>
      <c r="E205" s="110" t="inlineStr">
        <is>
          <t xml:space="preserve">ABDULLAYEV NOZIMJON FOZILJONOVICH</t>
        </is>
      </c>
      <c r="F205" s="110" t="inlineStr">
        <is>
          <t xml:space="preserve">88-373-22-83  SMS OZI, 97-594-83-85  SMS AYOLI, 97-755-16-44  BEGONA, 50-054-83-86  SMS OSHNASI, +998883732283 SMS O’ZI,</t>
        </is>
      </c>
      <c r="G205" s="110" t="inlineStr">
        <is>
          <t xml:space="preserve">NAMANGAN VILOYATI UCHQO’RG’ON TUMANI FAYZIOBOD MFY YANGI AVLOD KO’CHASI 61 UY</t>
        </is>
      </c>
      <c r="H205" s="111">
        <v>1.0</v>
      </c>
      <c r="I205" s="111">
        <v>2882505.26</v>
      </c>
      <c r="K205" s="110" t="inlineStr">
        <is>
          <t xml:space="preserve">Telefon ko'tardi | bugun yoparkan filialga sardor blan gaplashganakan</t>
        </is>
      </c>
    </row>
    <row r="206">
      <c r="A206" s="110" t="inlineStr">
        <is>
          <t xml:space="preserve">НАМАНГАН ВИЛОЯТИ</t>
        </is>
      </c>
      <c r="C206" s="110" t="inlineStr">
        <is>
          <t xml:space="preserve">Дозвон</t>
        </is>
      </c>
      <c r="D206" s="110" t="inlineStr">
        <is>
          <t xml:space="preserve">Кр-99034285-1</t>
        </is>
      </c>
      <c r="E206" s="110" t="inlineStr">
        <is>
          <t xml:space="preserve">NURIDDINOV MURODJON ABDULVOXIT O’G’LI</t>
        </is>
      </c>
      <c r="F206" s="110" t="inlineStr">
        <is>
          <t xml:space="preserve">998990903636 SMS O’ZI, 998945087459 SMS DADASI, 998956751004 SMS AYOLI, 998933554343 SMS UKASI,</t>
        </is>
      </c>
      <c r="G206" s="110" t="inlineStr">
        <is>
          <t xml:space="preserve">NAMANGAN VILOYATI UYCHI TUMANI YORQO’RG’ON QFY OQTOSH MFY TARAQQIYOT KO’CHA 22 UY</t>
        </is>
      </c>
      <c r="H206" s="111">
        <v>8.0</v>
      </c>
      <c r="I206" s="111">
        <v>2820987.51</v>
      </c>
      <c r="K206" s="110" t="inlineStr">
        <is>
          <t xml:space="preserve">Telefon ko'tardi | ayoli aytib qoyarkan ozi ishda ekan</t>
        </is>
      </c>
    </row>
    <row r="207">
      <c r="A207" s="110" t="inlineStr">
        <is>
          <t xml:space="preserve">НАМАНГАН ВИЛОЯТИ</t>
        </is>
      </c>
      <c r="C207" s="110" t="inlineStr">
        <is>
          <t xml:space="preserve">Дозвон</t>
        </is>
      </c>
      <c r="D207" s="110" t="inlineStr">
        <is>
          <t xml:space="preserve">Кр-99032457-1</t>
        </is>
      </c>
      <c r="E207" s="110" t="inlineStr">
        <is>
          <t xml:space="preserve">ATAJANOVA MA’MURA DAVLATALIYEVNA</t>
        </is>
      </c>
      <c r="F207" s="110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07" s="110" t="inlineStr">
        <is>
          <t xml:space="preserve">NAMANGAN VILOYATI POP TUMANI ISTIQBOL MFY ISTIQLOL KO’CHA 12 A UY 1 KORPUS 8-XONADON</t>
        </is>
      </c>
      <c r="H207" s="111">
        <v>6.0</v>
      </c>
      <c r="I207" s="111">
        <v>2613863.03</v>
      </c>
      <c r="K207" s="110" t="inlineStr">
        <is>
          <t xml:space="preserve">Telefon ko'tardi | 25da yopib berarkan oyligini oladi ekan tashab berarkan</t>
        </is>
      </c>
    </row>
    <row r="208">
      <c r="A208" s="110" t="inlineStr">
        <is>
          <t xml:space="preserve">НАМАНГАН ВИЛОЯТИ</t>
        </is>
      </c>
      <c r="C208" s="110" t="inlineStr">
        <is>
          <t xml:space="preserve">Дозвон</t>
        </is>
      </c>
      <c r="D208" s="110" t="inlineStr">
        <is>
          <t xml:space="preserve">Кр-99033091-1</t>
        </is>
      </c>
      <c r="E208" s="110" t="inlineStr">
        <is>
          <t xml:space="preserve">YULDASHEVA NAIMA RAXMONXUJAYEVNA</t>
        </is>
      </c>
      <c r="F208" s="110" t="inlineStr">
        <is>
          <t xml:space="preserve">998902311111 SMS ERI, 998027934022 SMS ERI 2, 998917575145 SMS TO’LOVCHI, 998026039072 SMS TO’LOVCHI 2, 998911860606 sms ozi shunga qilinsin,</t>
        </is>
      </c>
      <c r="G208" s="110" t="inlineStr">
        <is>
          <t xml:space="preserve">NAMANGAN VILOYATI NAMANGAN SHAHRI XALQLAR DO’STLIGI MFY 4-KICHIK MAVZE 46-XONADON 42-UY</t>
        </is>
      </c>
      <c r="H208" s="111">
        <v>21.0</v>
      </c>
      <c r="I208" s="111">
        <v>2399166.02</v>
      </c>
      <c r="K208" s="110" t="inlineStr">
        <is>
          <t xml:space="preserve">Telefon ko'tardi | puli filialda tulqin akalar olgan</t>
        </is>
      </c>
    </row>
    <row r="209">
      <c r="A209" s="110" t="inlineStr">
        <is>
          <t xml:space="preserve">НАМАНГАН ВИЛОЯТИ</t>
        </is>
      </c>
      <c r="C209" s="110" t="inlineStr">
        <is>
          <t xml:space="preserve">Дозвон</t>
        </is>
      </c>
      <c r="D209" s="110" t="inlineStr">
        <is>
          <t xml:space="preserve">Кр-99033482-1</t>
        </is>
      </c>
      <c r="E209" s="110" t="inlineStr">
        <is>
          <t xml:space="preserve">QAMBAROV ISMOILJON MIRZAKARIMOVICH</t>
        </is>
      </c>
      <c r="F209" s="110" t="inlineStr">
        <is>
          <t xml:space="preserve">998934922462 SMS O’ZI, 998945510440 SMS AYOLI, 998507508886 SMS O’G’LI, 998507795775 SMS O’G’LI,</t>
        </is>
      </c>
      <c r="G209" s="110" t="inlineStr">
        <is>
          <t xml:space="preserve">NAMANGAN VILOYATI YANGIQO’RG’ON TUMANI BIRLASHGAN MFY CHAMANZOR KO’CHA 44 UY</t>
        </is>
      </c>
      <c r="H209" s="111">
        <v>4.0</v>
      </c>
      <c r="I209" s="111">
        <v>2327288.68</v>
      </c>
      <c r="K209" s="110" t="inlineStr">
        <is>
          <t xml:space="preserve">Telefon ko'tardi | bugun tolab qoyarkan filialga</t>
        </is>
      </c>
    </row>
    <row r="210">
      <c r="A210" s="110" t="inlineStr">
        <is>
          <t xml:space="preserve">НАМАНГАН ВИЛОЯТИ</t>
        </is>
      </c>
      <c r="C210" s="110" t="inlineStr">
        <is>
          <t xml:space="preserve">Обещал</t>
        </is>
      </c>
      <c r="D210" s="110" t="inlineStr">
        <is>
          <t xml:space="preserve">Кр-99030695-1</t>
        </is>
      </c>
      <c r="E210" s="110" t="inlineStr">
        <is>
          <t xml:space="preserve">USMONXANOV IBROXIMJON ISROIL O’G’LI</t>
        </is>
      </c>
      <c r="F210" s="110" t="inlineStr">
        <is>
          <t xml:space="preserve">91-280-30-80  SMS O'ZI, 90-791-83-86  SMS AYOLI, 93-492-63-63  SMS ONASI, 90-794-25-65 SMS  UYI, +998934926363 Primary phone from road24, 998934926363 Primary phone from road24, 907918386 SMS AYOLI, 907942565 SMS  UYI, 912803080 SMS O’ZI, 934926363 SMS ONASI,</t>
        </is>
      </c>
      <c r="G210" s="110" t="inlineStr">
        <is>
          <t xml:space="preserve">NAMANGAN VILOYATI NAMANGAN SHAHAR YANGI NAMANGAN TUMANI BUNYODKOR MFY SANOAT KO’CHASI 52A UY</t>
        </is>
      </c>
      <c r="H210" s="111">
        <v>1.0</v>
      </c>
      <c r="I210" s="111">
        <v>2325973.04</v>
      </c>
      <c r="K210" s="110" t="inlineStr">
        <is>
          <t xml:space="preserve">Va'da berdi | bugun tolab qoyarkan filialga</t>
        </is>
      </c>
    </row>
    <row r="211">
      <c r="A211" s="110" t="inlineStr">
        <is>
          <t xml:space="preserve">НАМАНГАН ВИЛОЯТИ</t>
        </is>
      </c>
      <c r="C211" s="110" t="inlineStr">
        <is>
          <t xml:space="preserve">Дозвон</t>
        </is>
      </c>
      <c r="D211" s="110" t="inlineStr">
        <is>
          <t xml:space="preserve">Кр-99031554-1</t>
        </is>
      </c>
      <c r="E211" s="110" t="inlineStr">
        <is>
          <t xml:space="preserve">MAMATXANOV ABDUSAMAD ABDUMALIK O’G’LI</t>
        </is>
      </c>
      <c r="F211" s="110" t="inlineStr">
        <is>
          <t xml:space="preserve">998994405010 SMS OZI , 91-181-07-08  SMS O’ZI, 97-372-13-31  SMS TOLOVCHI 2 akasi , 95-065-50-10  SMS O’ZI 2 ,</t>
        </is>
      </c>
      <c r="G211" s="110" t="inlineStr">
        <is>
          <t xml:space="preserve">NAMANGAN SHAHAR OZOD MFY ZIRABULOQ KO’CHA 1 UY 19 XONADON</t>
        </is>
      </c>
      <c r="H211" s="111">
        <v>8.0</v>
      </c>
      <c r="I211" s="111">
        <v>2311833.95</v>
      </c>
      <c r="K211" s="110" t="inlineStr">
        <is>
          <t xml:space="preserve">Telefon ko'tardi | telefon qvoraman deyabdi kechroq</t>
        </is>
      </c>
    </row>
    <row r="212">
      <c r="A212" s="110" t="inlineStr">
        <is>
          <t xml:space="preserve">НАМАНГАН ВИЛОЯТИ</t>
        </is>
      </c>
      <c r="C212" s="110" t="inlineStr">
        <is>
          <t xml:space="preserve">Дозвон</t>
        </is>
      </c>
      <c r="D212" s="110" t="inlineStr">
        <is>
          <t xml:space="preserve">Кр-99036301-2</t>
        </is>
      </c>
      <c r="E212" s="110" t="inlineStr">
        <is>
          <t xml:space="preserve">DJURAYEVA GULSANAM NURMAMATOVNA</t>
        </is>
      </c>
      <c r="F212" s="110" t="inlineStr">
        <is>
          <t xml:space="preserve">998938848404 SMS O’ZI, 998978285828 SMS O’G’LI, 998996441734 SMS SINGLISI , 998994977704 SMS OPASI,</t>
        </is>
      </c>
      <c r="G212" s="110" t="inlineStr">
        <is>
          <t xml:space="preserve">NAMANGAN VILOYATI TO’RAQO’RG’ON TUMANI TOSHKENT MFY KOSONSOY  KO’CHA 258 UY</t>
        </is>
      </c>
      <c r="H212" s="111">
        <v>8.0</v>
      </c>
      <c r="I212" s="111">
        <v>1872793.55</v>
      </c>
      <c r="K212" s="110" t="inlineStr">
        <is>
          <t xml:space="preserve">Telefon ko'tardi | ertaga yopib berarkan</t>
        </is>
      </c>
    </row>
    <row r="213">
      <c r="A213" s="110" t="inlineStr">
        <is>
          <t xml:space="preserve">НАМАНГАН ВИЛОЯТИ</t>
        </is>
      </c>
      <c r="C213" s="110" t="inlineStr">
        <is>
          <t xml:space="preserve">Дозвон</t>
        </is>
      </c>
      <c r="D213" s="110" t="inlineStr">
        <is>
          <t xml:space="preserve">Кр-99033811-1</t>
        </is>
      </c>
      <c r="E213" s="110" t="inlineStr">
        <is>
          <t xml:space="preserve">MAXMUDOV ZUXRIDDIN OBIDXUJA O’G’LI</t>
        </is>
      </c>
      <c r="F213" s="110" t="inlineStr">
        <is>
          <t xml:space="preserve">998972126665 SMS O’ZI, 998976206665 SMS TO’LOVCHI, 998934426665 SMS TO’LOVCHI begona,</t>
        </is>
      </c>
      <c r="G213" s="110" t="inlineStr">
        <is>
          <t xml:space="preserve">NAMANGAN VILOYATI UCHQO’RG’ON TUMANI BOG’ KO’CHA MFY  BOG’ KO’CHA 44 UY</t>
        </is>
      </c>
      <c r="H213" s="111">
        <v>26.0</v>
      </c>
      <c r="I213" s="111">
        <v>1869965.65</v>
      </c>
      <c r="K213" s="110" t="inlineStr">
        <is>
          <t xml:space="preserve">Telefon ko'tardi | pulini filial olgan</t>
        </is>
      </c>
    </row>
    <row r="214">
      <c r="A214" s="110" t="inlineStr">
        <is>
          <t xml:space="preserve">НАМАНГАН ВИЛОЯТИ</t>
        </is>
      </c>
      <c r="C214" s="110" t="inlineStr">
        <is>
          <t xml:space="preserve">Дозвон</t>
        </is>
      </c>
      <c r="D214" s="110" t="inlineStr">
        <is>
          <t xml:space="preserve">Кр-99029087-1</t>
        </is>
      </c>
      <c r="E214" s="110" t="inlineStr">
        <is>
          <t xml:space="preserve">O’LMASOV ZULFIQOR BAXODIR O’G’LI</t>
        </is>
      </c>
      <c r="F214" s="110" t="inlineStr">
        <is>
          <t xml:space="preserve">91-366-68-93  SMS OZI, 33-930-05-55  SMS UY, 91-760-87-82  SMS AYOLI, +998913666893 SMS O’ZI,</t>
        </is>
      </c>
      <c r="G214" s="110" t="inlineStr">
        <is>
          <t xml:space="preserve">NAMANGAN VILOYATI NAMANGAN TUMANI OLAXAMAK MFY ZIYOKOR KO’CHASI 14 UY</t>
        </is>
      </c>
      <c r="H214" s="111">
        <v>12.0</v>
      </c>
      <c r="I214" s="111">
        <v>1867897.01</v>
      </c>
      <c r="K214" s="110" t="inlineStr">
        <is>
          <t xml:space="preserve">Telefon ko'tardi | bugun bittasini yopib berarkan yana bittasini bir ikki kunda</t>
        </is>
      </c>
    </row>
    <row r="215">
      <c r="A215" s="110" t="inlineStr">
        <is>
          <t xml:space="preserve">НАМАНГАН ВИЛОЯТИ</t>
        </is>
      </c>
      <c r="C215" s="110" t="inlineStr">
        <is>
          <t xml:space="preserve">Дозвон</t>
        </is>
      </c>
      <c r="D215" s="110" t="inlineStr">
        <is>
          <t xml:space="preserve">Кр-99063910-1</t>
        </is>
      </c>
      <c r="E215" s="110" t="inlineStr">
        <is>
          <t xml:space="preserve">QOZAQOVA AZIZAXON SOBITXANOVNA</t>
        </is>
      </c>
      <c r="F215" s="110" t="inlineStr">
        <is>
          <t xml:space="preserve">+998990775453 SMS O’ZI, 998934053116 SMS O’G’LI, 998934075455 SMS O’G’LI,</t>
        </is>
      </c>
      <c r="G215" s="110" t="inlineStr">
        <is>
          <t xml:space="preserve">НАМАНГАН ВИЛОЯТИ УЧҚЎРҒОН ТУМАНИ ТУРКИСТОН МФЙ ПАРВОЗ КЎЧАСИ 104 УЙ 1 КОРПУС 43 ХОНАДОН</t>
        </is>
      </c>
      <c r="H215" s="111">
        <v>8.0</v>
      </c>
      <c r="I215" s="111">
        <v>1832838.74</v>
      </c>
      <c r="J215" s="111">
        <v>1832838.74</v>
      </c>
      <c r="K215" s="110" t="inlineStr">
        <is>
          <t xml:space="preserve">To'ladi | yopildi</t>
        </is>
      </c>
    </row>
    <row r="216">
      <c r="A216" s="110" t="inlineStr">
        <is>
          <t xml:space="preserve">НАМАНГАН ВИЛОЯТИ</t>
        </is>
      </c>
      <c r="C216" s="110" t="inlineStr">
        <is>
          <t xml:space="preserve">Обещал</t>
        </is>
      </c>
      <c r="D216" s="110" t="inlineStr">
        <is>
          <t xml:space="preserve">Кр-99027564-1</t>
        </is>
      </c>
      <c r="E216" s="110" t="inlineStr">
        <is>
          <t xml:space="preserve">SOLIYEV NODIRBEK JUMANBOYEVICH</t>
        </is>
      </c>
      <c r="F216" s="110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216" s="110" t="inlineStr">
        <is>
          <t xml:space="preserve">NAMANGAN VILOYATI NORIN TUMANI BOYOVUL MFY BESHQO’RG’ON KO’CHASI 108 UY</t>
        </is>
      </c>
      <c r="H216" s="111">
        <v>13.0</v>
      </c>
      <c r="I216" s="111">
        <v>1772755.57</v>
      </c>
      <c r="K216" s="110" t="inlineStr">
        <is>
          <t xml:space="preserve">Va'da berdi | bugun qisman tolarkan qolgani ertaga tolab yoparkan oylik tolovini</t>
        </is>
      </c>
    </row>
    <row r="217">
      <c r="A217" s="110" t="inlineStr">
        <is>
          <t xml:space="preserve">НАМАНГАН ВИЛОЯТИ</t>
        </is>
      </c>
      <c r="C217" s="110" t="inlineStr">
        <is>
          <t xml:space="preserve">Дозвон</t>
        </is>
      </c>
      <c r="D217" s="110" t="inlineStr">
        <is>
          <t xml:space="preserve">Кр-99029087-2</t>
        </is>
      </c>
      <c r="E217" s="110" t="inlineStr">
        <is>
          <t xml:space="preserve">O’LMASOV ZULFIQOR BAXODIR O’G’LI</t>
        </is>
      </c>
      <c r="F217" s="110" t="inlineStr">
        <is>
          <t xml:space="preserve">91-366-68-93  SMS OZI, 33-930-05-55  SMS UY, 91-760-87-82  SMS AYOLI, +998913666893 SMS O’ZI,</t>
        </is>
      </c>
      <c r="G217" s="110" t="inlineStr">
        <is>
          <t xml:space="preserve">NAMANGAN VILOYATI NAMANGAN TUMANI OLAXAMAK MFY ZIYOKOR KO’CHASI 14 UY</t>
        </is>
      </c>
      <c r="H217" s="111">
        <v>8.0</v>
      </c>
      <c r="I217" s="111">
        <v>1677386.35</v>
      </c>
      <c r="K217" s="110" t="inlineStr">
        <is>
          <t xml:space="preserve">Telefon ko'tardi | bugun bittasini yopib berarkan yana bittasini bir ikki kunda</t>
        </is>
      </c>
    </row>
    <row r="218">
      <c r="A218" s="110" t="inlineStr">
        <is>
          <t xml:space="preserve">НАМАНГАН ВИЛОЯТИ</t>
        </is>
      </c>
      <c r="C218" s="110" t="inlineStr">
        <is>
          <t xml:space="preserve">Дозвон</t>
        </is>
      </c>
      <c r="D218" s="110" t="inlineStr">
        <is>
          <t xml:space="preserve">Кр-99036051-1</t>
        </is>
      </c>
      <c r="E218" s="110" t="inlineStr">
        <is>
          <t xml:space="preserve">SHARIPOVA MUNOJATXON ABDUXAMID QIZI</t>
        </is>
      </c>
      <c r="F218" s="110" t="inlineStr">
        <is>
          <t xml:space="preserve">998932726710 SMS OZI, 998994796363 SMS ERI, 998975552551 SMS SHERIGI, 998937788883 SMS SHERIGI,</t>
        </is>
      </c>
      <c r="G218" s="110" t="inlineStr">
        <is>
          <t xml:space="preserve">NAMANGAN VILOYATI NAMANGAN SHAHAR TADBIRKOR MFY YOSHLIK KO’CHA 45 UY 39 XONADON</t>
        </is>
      </c>
      <c r="H218" s="111">
        <v>1.0</v>
      </c>
      <c r="I218" s="111">
        <v>1655372.67</v>
      </c>
      <c r="K218" s="110" t="inlineStr">
        <is>
          <t xml:space="preserve">Telefon ko'tardi | ertaga yopib berarkan</t>
        </is>
      </c>
    </row>
    <row r="219">
      <c r="A219" s="110" t="inlineStr">
        <is>
          <t xml:space="preserve">НАМАНГАН ВИЛОЯТИ</t>
        </is>
      </c>
      <c r="C219" s="110" t="inlineStr">
        <is>
          <t xml:space="preserve">Дозвон</t>
        </is>
      </c>
      <c r="D219" s="110" t="inlineStr">
        <is>
          <t xml:space="preserve">Кр-99032457-4</t>
        </is>
      </c>
      <c r="E219" s="110" t="inlineStr">
        <is>
          <t xml:space="preserve">ATAJANOVA MA’MURA DAVLATALIYEVNA</t>
        </is>
      </c>
      <c r="F219" s="110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19" s="110" t="inlineStr">
        <is>
          <t xml:space="preserve">NAMANGAN VILOYATI POP TUMANI ISTIQBOL MFY ISTIQLOL KO’CHA 12 A UY 1 KORPUS 8-XONADON</t>
        </is>
      </c>
      <c r="H219" s="111">
        <v>8.0</v>
      </c>
      <c r="I219" s="111">
        <v>1605390.16</v>
      </c>
      <c r="K219" s="110" t="inlineStr">
        <is>
          <t xml:space="preserve">Telefon ko'tardi | 25da yopib berarkan oyligini oladi ekan tashab berarkan</t>
        </is>
      </c>
    </row>
    <row r="220">
      <c r="A220" s="110" t="inlineStr">
        <is>
          <t xml:space="preserve">НАМАНГАН ВИЛОЯТИ</t>
        </is>
      </c>
      <c r="C220" s="110" t="inlineStr">
        <is>
          <t xml:space="preserve">Дозвон</t>
        </is>
      </c>
      <c r="D220" s="110" t="inlineStr">
        <is>
          <t xml:space="preserve">Кр-99019501-3</t>
        </is>
      </c>
      <c r="E220" s="110" t="inlineStr">
        <is>
          <t xml:space="preserve">TULANBOYEV BOTIRJON ABDUMUTALOVICH</t>
        </is>
      </c>
      <c r="F220" s="110" t="inlineStr">
        <is>
          <t xml:space="preserve">93-948-79-07  SMS OZI DEHQON MEVACHI, 93-467-89-85  SMS ZALOGADATEL,  93-943-69-88   SMS OSHNASI,    ,</t>
        </is>
      </c>
      <c r="G220" s="110" t="inlineStr">
        <is>
          <t xml:space="preserve">NAMANGAN VILOYATI YANGIQO‘RG‘ON TUMANI NANAY QFY QIZILYOZI MFY MINGTERAK KO‘CHASI 15-UY </t>
        </is>
      </c>
      <c r="H220" s="111">
        <v>8.0</v>
      </c>
      <c r="I220" s="111">
        <v>1584020.04</v>
      </c>
      <c r="K220" s="110" t="inlineStr">
        <is>
          <t xml:space="preserve">Telefon ko'tardi | undruvchi blan gaplashganakan bugun tolab qoyarkan</t>
        </is>
      </c>
    </row>
    <row r="221">
      <c r="A221" s="110" t="inlineStr">
        <is>
          <t xml:space="preserve">НАМАНГАН ВИЛОЯТИ</t>
        </is>
      </c>
      <c r="C221" s="110" t="inlineStr">
        <is>
          <t xml:space="preserve">Дозвон</t>
        </is>
      </c>
      <c r="D221" s="110" t="inlineStr">
        <is>
          <t xml:space="preserve">Кр-99037582-3</t>
        </is>
      </c>
      <c r="E221" s="110" t="inlineStr">
        <is>
          <t xml:space="preserve">MUXIDDINOV JOBIRXON AXMAD-O’G’LI</t>
        </is>
      </c>
      <c r="F221" s="110" t="inlineStr">
        <is>
          <t xml:space="preserve">998930689738 SMS O’ZI, 998914462929 SMS O’ZI, 998940909507 SMS  UKASI, 998507246667 SMS OSHNASI,</t>
        </is>
      </c>
      <c r="G221" s="110" t="inlineStr">
        <is>
          <t xml:space="preserve">NAMANGAN VILOYATI  NAMANGAN SHAHAR TINCHLIK MFY OROMGOX 1 PROEZD 10 UY</t>
        </is>
      </c>
      <c r="H221" s="111">
        <v>8.0</v>
      </c>
      <c r="I221" s="111">
        <v>1487633.34</v>
      </c>
      <c r="K221" s="110" t="inlineStr">
        <is>
          <t xml:space="preserve">Telefon ko'tardi | bir ikki kunda yopib berarkan</t>
        </is>
      </c>
    </row>
    <row r="222">
      <c r="A222" s="110" t="inlineStr">
        <is>
          <t xml:space="preserve">НАМАНГАН ВИЛОЯТИ</t>
        </is>
      </c>
      <c r="C222" s="110" t="inlineStr">
        <is>
          <t xml:space="preserve">Дозвон</t>
        </is>
      </c>
      <c r="D222" s="110" t="inlineStr">
        <is>
          <t xml:space="preserve">Кр-99063421-3</t>
        </is>
      </c>
      <c r="E222" s="110" t="inlineStr">
        <is>
          <t xml:space="preserve">XABIBULLAYEV RAXMATULLO ABDULLO  O’G’LI</t>
        </is>
      </c>
      <c r="F222" s="110" t="inlineStr">
        <is>
          <t xml:space="preserve">+998774134043 SMS O’ZI, 998777074039 SMS AYOLI, 998994444039 SMS AKASI,</t>
        </is>
      </c>
      <c r="G222" s="110" t="inlineStr">
        <is>
          <t xml:space="preserve">НАМАНГАН ВИЛОЯТИ УЧҚЎРҒОН ТУМАНИ ШОЛДИРАМА МФЙ НАМУНА КЎЧАСИ 50 УЙ</t>
        </is>
      </c>
      <c r="H222" s="111">
        <v>8.0</v>
      </c>
      <c r="I222" s="111">
        <v>1431047.53</v>
      </c>
      <c r="K222" s="110" t="inlineStr">
        <is>
          <t xml:space="preserve">Telefon ko'tardi | bizda ishlidgan bola yopib beraman deyabdi oy oxirigacha</t>
        </is>
      </c>
    </row>
    <row r="223">
      <c r="A223" s="110" t="inlineStr">
        <is>
          <t xml:space="preserve">НАМАНГАН ВИЛОЯТИ</t>
        </is>
      </c>
      <c r="C223" s="110" t="inlineStr">
        <is>
          <t xml:space="preserve">Дозвон</t>
        </is>
      </c>
      <c r="D223" s="110" t="inlineStr">
        <is>
          <t xml:space="preserve">Кр-99028776-1</t>
        </is>
      </c>
      <c r="E223" s="110" t="inlineStr">
        <is>
          <t xml:space="preserve">KODIROVA MU’TABAR TOXIROVNA</t>
        </is>
      </c>
      <c r="F223" s="110" t="inlineStr">
        <is>
          <t xml:space="preserve">97-680-52-52  SMS ERI begona, 998939427737 sms ozi shunga tel qilinsin, 90-889-33-77  SMS OGLI, 94-258-33-05  SMS QIZI, 50-072-67-75 SMS tulovchi, 998949737707 SMS O'G'LI,</t>
        </is>
      </c>
      <c r="G223" s="110" t="inlineStr">
        <is>
          <t xml:space="preserve">NAMANGAN VILOYATI NAMANGAN SHAHAR G’IRVON MFY TO’RAQO’RG’ON KO’CHASI 61 UY</t>
        </is>
      </c>
      <c r="H223" s="111">
        <v>26.0</v>
      </c>
      <c r="I223" s="111">
        <v>1402369.51</v>
      </c>
      <c r="K223" s="110" t="inlineStr">
        <is>
          <t xml:space="preserve">Telefon ko'tardi | qisman tolagan kecha bu oyginiyam qolganiniyam aa20sida yoparkan</t>
        </is>
      </c>
    </row>
    <row r="224">
      <c r="A224" s="110" t="inlineStr">
        <is>
          <t xml:space="preserve">НАМАНГАН ВИЛОЯТИ</t>
        </is>
      </c>
      <c r="C224" s="110" t="inlineStr">
        <is>
          <t xml:space="preserve">Обещал</t>
        </is>
      </c>
      <c r="D224" s="110" t="inlineStr">
        <is>
          <t xml:space="preserve">Кр-99035142-1</t>
        </is>
      </c>
      <c r="E224" s="110" t="inlineStr">
        <is>
          <t xml:space="preserve">USMONALIYEV ABRORJON BAHROMJON O’G’LI</t>
        </is>
      </c>
      <c r="F224" s="110" t="inlineStr">
        <is>
          <t xml:space="preserve">998950871314 SMS O’ZI , 998990811515 SMS AKASI , 998770037797 SMS AKASI  begona, 998999040673 SMS ONASI ,</t>
        </is>
      </c>
      <c r="G224" s="110" t="inlineStr">
        <is>
          <t xml:space="preserve">NAMANGAN VILOYATI YANGIQO’RG’ON TUMANI QANDIYON MFY YANGI QANDIYON KO’CHA 87 UY</t>
        </is>
      </c>
      <c r="H224" s="111">
        <v>6.0</v>
      </c>
      <c r="I224" s="111">
        <v>1396253.5</v>
      </c>
      <c r="K224" s="110" t="inlineStr">
        <is>
          <t xml:space="preserve">Va'da berdi | yopildi</t>
        </is>
      </c>
    </row>
    <row r="225">
      <c r="A225" s="110" t="inlineStr">
        <is>
          <t xml:space="preserve">НАМАНГАН ВИЛОЯТИ</t>
        </is>
      </c>
      <c r="C225" s="110" t="inlineStr">
        <is>
          <t xml:space="preserve">Обещал</t>
        </is>
      </c>
      <c r="D225" s="110" t="inlineStr">
        <is>
          <t xml:space="preserve">Кр-99062024-1</t>
        </is>
      </c>
      <c r="E225" s="110" t="inlineStr">
        <is>
          <t xml:space="preserve">DADABAYEVA RA’NO INAMJONOVNA</t>
        </is>
      </c>
      <c r="F225" s="110" t="inlineStr">
        <is>
          <t xml:space="preserve">998935721472 SMS OZI, 998944938585 SMS ERI, 998934721472 SMS DADSI, 998974938585 SMS ERI,</t>
        </is>
      </c>
      <c r="G225" s="110" t="inlineStr">
        <is>
          <t xml:space="preserve">NAMANGAN VILOYATI CHUST TUMANI OLMOS MFY MUSTAQILLIK KO’CHASI 9-UY</t>
        </is>
      </c>
      <c r="I225" s="111">
        <v>1284540.17</v>
      </c>
      <c r="K225" s="110" t="inlineStr">
        <is>
          <t xml:space="preserve">Va'da berdi | yopildi</t>
        </is>
      </c>
    </row>
    <row r="226">
      <c r="A226" s="110" t="inlineStr">
        <is>
          <t xml:space="preserve">НАМАНГАН ВИЛОЯТИ</t>
        </is>
      </c>
      <c r="C226" s="110" t="inlineStr">
        <is>
          <t xml:space="preserve">Дозвон</t>
        </is>
      </c>
      <c r="D226" s="110" t="inlineStr">
        <is>
          <t xml:space="preserve">Кр-99033357-2</t>
        </is>
      </c>
      <c r="E226" s="110" t="inlineStr">
        <is>
          <t xml:space="preserve">NE’MATULLAYEV ISLOMBEK LUTFILLO O’G’LI</t>
        </is>
      </c>
      <c r="F226" s="110" t="inlineStr">
        <is>
          <t xml:space="preserve">998930585058 SMS O’ZI, 998934055580 SMS DADASI, 998939555058 UKASI, 998975206006 OSHNASI,</t>
        </is>
      </c>
      <c r="G226" s="110" t="inlineStr">
        <is>
          <t xml:space="preserve">NAMANGAN VILOYATI DAVLATOBOD TUMANI PORLOQ MFY 3-KICHIK NOXIYA 54 UY 10 XONADON</t>
        </is>
      </c>
      <c r="H226" s="111">
        <v>8.0</v>
      </c>
      <c r="I226" s="111">
        <v>1249399.57</v>
      </c>
      <c r="K226" s="110" t="inlineStr">
        <is>
          <t xml:space="preserve">Telefon ko'tardi | yopildi</t>
        </is>
      </c>
    </row>
    <row r="227">
      <c r="A227" s="110" t="inlineStr">
        <is>
          <t xml:space="preserve">НАМАНГАН ВИЛОЯТИ</t>
        </is>
      </c>
      <c r="C227" s="110" t="inlineStr">
        <is>
          <t xml:space="preserve">Дозвон</t>
        </is>
      </c>
      <c r="D227" s="110" t="inlineStr">
        <is>
          <t xml:space="preserve">Кр-99029378-3</t>
        </is>
      </c>
      <c r="E227" s="110" t="inlineStr">
        <is>
          <t xml:space="preserve">ASRALXANOV OTABEK KAXRAMONOVICH</t>
        </is>
      </c>
      <c r="F227" s="110" t="inlineStr">
        <is>
          <t xml:space="preserve">998911820002 SMS O’ZI, 998934010666 SMS O’ZI, 998932710666 SMS OGLI,</t>
        </is>
      </c>
      <c r="G227" s="110" t="inlineStr">
        <is>
          <t xml:space="preserve">NAMANGAN VILOYATI YANGI NAMANGAN TUMANI ISTIQBOL MFY CHORTOQ YO’LI KO’CHASI 2 UY</t>
        </is>
      </c>
      <c r="H227" s="111">
        <v>8.0</v>
      </c>
      <c r="I227" s="111">
        <v>1190929.35</v>
      </c>
      <c r="K227" s="110" t="inlineStr">
        <is>
          <t xml:space="preserve">Telefon ko'tardi | yopib berarkan puli bolishi blan</t>
        </is>
      </c>
    </row>
    <row r="228">
      <c r="A228" s="110" t="inlineStr">
        <is>
          <t xml:space="preserve">НАМАНГАН ВИЛОЯТИ</t>
        </is>
      </c>
      <c r="C228" s="110" t="inlineStr">
        <is>
          <t xml:space="preserve">Дозвон</t>
        </is>
      </c>
      <c r="D228" s="110" t="inlineStr">
        <is>
          <t xml:space="preserve">Кр-99035749-2</t>
        </is>
      </c>
      <c r="E228" s="110" t="inlineStr">
        <is>
          <t xml:space="preserve">KOMILJONOV JAVOXIR RO’ZIMJON O’G’LI</t>
        </is>
      </c>
      <c r="F228" s="110" t="inlineStr">
        <is>
          <t xml:space="preserve">998773849818 SMS OZI, 998930860098 SMS XOLASI, 998974660807 SMS UKASI, 998998104279 SMS KELINOYISI, 998950752556 SMS JAVOHIR, 998998104279 SMS MOMASI,</t>
        </is>
      </c>
      <c r="G228" s="110" t="inlineStr">
        <is>
          <t xml:space="preserve">NAMANGAN VILOYATI NORIN TUMANI TEGIRMONBOSHI MFY GULISTON 1 KO’CHA 18 UY</t>
        </is>
      </c>
      <c r="H228" s="111">
        <v>8.0</v>
      </c>
      <c r="I228" s="111">
        <v>1103112.91</v>
      </c>
      <c r="K228" s="110" t="inlineStr">
        <is>
          <t xml:space="preserve">Telefon ko'tardi | oy oxirigacha tolab berarkan oyligini olib</t>
        </is>
      </c>
    </row>
    <row r="229">
      <c r="A229" s="110" t="inlineStr">
        <is>
          <t xml:space="preserve">НАМАНГАН ВИЛОЯТИ</t>
        </is>
      </c>
      <c r="C229" s="110" t="inlineStr">
        <is>
          <t xml:space="preserve">Дозвон</t>
        </is>
      </c>
      <c r="D229" s="110" t="inlineStr">
        <is>
          <t xml:space="preserve">Кр-99038184-2</t>
        </is>
      </c>
      <c r="E229" s="110" t="inlineStr">
        <is>
          <t xml:space="preserve">SHODMONOVA XABIBA ADXAMOVNA</t>
        </is>
      </c>
      <c r="F229" s="110" t="inlineStr">
        <is>
          <t xml:space="preserve">998943095119 SMS OZI, 998503006036 SMS ERI BEGONA, 998974005119 SMS OGLI, 998943980030 SMS OGLI, 998770505119 eri tolovchi,</t>
        </is>
      </c>
      <c r="G229" s="110" t="inlineStr">
        <is>
          <t xml:space="preserve">NAMANGAN  VILOYATI YANGIQO’RG’N TUMANI XUJASHURKENT MFY YANGI SHAHARCHA KO’CHA 85 UY</t>
        </is>
      </c>
      <c r="H229" s="111">
        <v>8.0</v>
      </c>
      <c r="I229" s="111">
        <v>1067646.2</v>
      </c>
      <c r="K229" s="110" t="inlineStr">
        <is>
          <t xml:space="preserve">Telefon ko'tardi | yopib berarkan bir ikki kunda</t>
        </is>
      </c>
    </row>
    <row r="230">
      <c r="A230" s="110" t="inlineStr">
        <is>
          <t xml:space="preserve">НАМАНГАН ВИЛОЯТИ</t>
        </is>
      </c>
      <c r="C230" s="110" t="inlineStr">
        <is>
          <t xml:space="preserve">Дозвон</t>
        </is>
      </c>
      <c r="D230" s="110" t="inlineStr">
        <is>
          <t xml:space="preserve">Кр-99031356-2</t>
        </is>
      </c>
      <c r="E230" s="110" t="inlineStr">
        <is>
          <t xml:space="preserve">NAJMUTDINOV ILXOM ODILXANOVICH</t>
        </is>
      </c>
      <c r="F230" s="110" t="inlineStr">
        <is>
          <t xml:space="preserve">91-052-70-73  SMS OZI, 90-551-31-48  SMS OZI 2, 69-221-50-02  SMS UY, 90-599-89-89  SMS OZI 3, +998776680451 SMS O’ZI, 998957196160 ozi new new,</t>
        </is>
      </c>
      <c r="G230" s="110" t="inlineStr">
        <is>
          <t xml:space="preserve">NAMANGAN VILOYATI NAMANGAN SHAHAR  GULBOG’ MFY GULBOG’ KO’CHA 15 UY</t>
        </is>
      </c>
      <c r="H230" s="111">
        <v>8.0</v>
      </c>
      <c r="I230" s="111">
        <v>1044825.57</v>
      </c>
      <c r="K230" s="110" t="inlineStr">
        <is>
          <t xml:space="preserve">Telefon ko'tardi | onasi aytib qoyarkan dmshni kotardi</t>
        </is>
      </c>
    </row>
    <row r="231">
      <c r="A231" s="110" t="inlineStr">
        <is>
          <t xml:space="preserve">НАМАНГАН ВИЛОЯТИ</t>
        </is>
      </c>
      <c r="C231" s="110" t="inlineStr">
        <is>
          <t xml:space="preserve">Обещал</t>
        </is>
      </c>
      <c r="D231" s="110" t="inlineStr">
        <is>
          <t xml:space="preserve">Кр-99032402-1</t>
        </is>
      </c>
      <c r="E231" s="110" t="inlineStr">
        <is>
          <t xml:space="preserve">XUJAYEV GULOMJON ATAVALIYEVICH</t>
        </is>
      </c>
      <c r="F231" s="110" t="inlineStr">
        <is>
          <t xml:space="preserve">998936750549 SMS O’ZI, 998935683707 SMS O’G’LI, 998935930302 SMS O’G’LI 2 begona, 998938813707 SMS KELINI,</t>
        </is>
      </c>
      <c r="G231" s="110" t="inlineStr">
        <is>
          <t xml:space="preserve">NAMANGAN VILOYATI UCHQO’RG’ON TUMANI YANGIYER MFY YANGIYER KO’CHASI 68 UY</t>
        </is>
      </c>
      <c r="H231" s="111">
        <v>8.0</v>
      </c>
      <c r="I231" s="111">
        <v>1040796.55</v>
      </c>
      <c r="K231" s="110" t="inlineStr">
        <is>
          <t xml:space="preserve">Va'da berdi | yopildi</t>
        </is>
      </c>
    </row>
    <row r="232">
      <c r="A232" s="110" t="inlineStr">
        <is>
          <t xml:space="preserve">НАМАНГАН ВИЛОЯТИ</t>
        </is>
      </c>
      <c r="C232" s="110" t="inlineStr">
        <is>
          <t xml:space="preserve">Дозвон</t>
        </is>
      </c>
      <c r="D232" s="110" t="inlineStr">
        <is>
          <t xml:space="preserve">Кр-99034285-2</t>
        </is>
      </c>
      <c r="E232" s="110" t="inlineStr">
        <is>
          <t xml:space="preserve">NURIDDINOV MURODJON ABDULVOXIT O’G’LI</t>
        </is>
      </c>
      <c r="F232" s="110" t="inlineStr">
        <is>
          <t xml:space="preserve">998990903636 SMS O’ZI, 998945087459 SMS DADASI, 998956751004 SMS AYOLI, 998933554343 SMS UKASI,</t>
        </is>
      </c>
      <c r="G232" s="110" t="inlineStr">
        <is>
          <t xml:space="preserve">NAMANGAN VILOYATI UYCHI TUMANI YORQO’RG’ON QFY OQTOSH MFY TARAQQIYOT KO’CHA 22 UY</t>
        </is>
      </c>
      <c r="H232" s="111">
        <v>8.0</v>
      </c>
      <c r="I232" s="111">
        <v>898506.25</v>
      </c>
      <c r="K232" s="110" t="inlineStr">
        <is>
          <t xml:space="preserve">Telefon ko'tardi | ayoli aytib qoyarkan ozi ishda ekan</t>
        </is>
      </c>
    </row>
    <row r="233">
      <c r="A233" s="110" t="inlineStr">
        <is>
          <t xml:space="preserve">НАМАНГАН ВИЛОЯТИ</t>
        </is>
      </c>
      <c r="C233" s="110" t="inlineStr">
        <is>
          <t xml:space="preserve">Дозвон</t>
        </is>
      </c>
      <c r="D233" s="110" t="inlineStr">
        <is>
          <t xml:space="preserve">Кр-99030239-1</t>
        </is>
      </c>
      <c r="E233" s="110" t="inlineStr">
        <is>
          <t xml:space="preserve">URALOV ABDUNABI ABDUMUMINOVICH</t>
        </is>
      </c>
      <c r="F233" s="110" t="inlineStr">
        <is>
          <t xml:space="preserve">94-543-89-00  SMS O’ZI  KLENT QOZOGISTONDA ISHLIDI, 998500744992 SMS AYOLI, 93-583-68-00  SMS ONASI, 93-211-89-00  SMS O’ZI 2,</t>
        </is>
      </c>
      <c r="G233" s="110" t="inlineStr">
        <is>
          <t xml:space="preserve">NAMANGAN VILOYATI CHORTOQ TUMANI OQTERAK MFY OBI XAYOT KO’CHASI 74 UY</t>
        </is>
      </c>
      <c r="H233" s="111">
        <v>13.0</v>
      </c>
      <c r="I233" s="111">
        <v>513344.24</v>
      </c>
      <c r="K233" s="110" t="inlineStr">
        <is>
          <t xml:space="preserve">Telefon ko'tardi | 18da tolab berarkan oyligini olarkan</t>
        </is>
      </c>
    </row>
    <row r="234">
      <c r="A234" s="110" t="inlineStr">
        <is>
          <t xml:space="preserve">НАМАНГАН ВИЛОЯТИ</t>
        </is>
      </c>
      <c r="C234" s="110" t="inlineStr">
        <is>
          <t xml:space="preserve">Обещал</t>
        </is>
      </c>
      <c r="D234" s="110" t="inlineStr">
        <is>
          <t xml:space="preserve">Кр-99010690-2</t>
        </is>
      </c>
      <c r="E234" s="110" t="inlineStr">
        <is>
          <t xml:space="preserve">ANVAROV XUSANBOY MALIKJON O’G’LI</t>
        </is>
      </c>
      <c r="F234" s="110" t="inlineStr">
        <is>
          <t xml:space="preserve">93-423-99-69  SMS OZI, 998993940008 SMS DADASI, 94-905-55-69  SMS OPASI, 93-408-15-04  SMS ONASI, 998937196777 UZI NEWW,</t>
        </is>
      </c>
      <c r="G234" s="110" t="inlineStr">
        <is>
          <t xml:space="preserve">NAMANGAN VILOYATI UYCHI TUMANI YORQO’RGON MFY NURLIK KOCHASI 100-UY</t>
        </is>
      </c>
      <c r="H234" s="111">
        <v>8.0</v>
      </c>
      <c r="I234" s="111">
        <v>314876.99</v>
      </c>
      <c r="K234" s="110" t="inlineStr">
        <is>
          <t xml:space="preserve">Va'da berdi | yopildi</t>
        </is>
      </c>
    </row>
    <row r="235">
      <c r="A235" s="110" t="inlineStr">
        <is>
          <t xml:space="preserve">НАМАНГАН ВИЛОЯТИ</t>
        </is>
      </c>
      <c r="C235" s="110" t="inlineStr">
        <is>
          <t xml:space="preserve">Обещал</t>
        </is>
      </c>
      <c r="D235" s="110" t="inlineStr">
        <is>
          <t xml:space="preserve">Кр-99031370-1</t>
        </is>
      </c>
      <c r="E235" s="110" t="inlineStr">
        <is>
          <t xml:space="preserve">TOJIBOYEV XURSHIDBEK XURSANOVICH</t>
        </is>
      </c>
      <c r="F235" s="110" t="inlineStr">
        <is>
          <t xml:space="preserve">94-509-59-83  SMS O’ZI watsab ishlidi, 998943460500 SMS BEGONA, 50-551-59-83  SMS O’ZI 2, 99-514-22-29  SMS AKASI, 998945954433 sms ozin new nomeri, 998943021414 tolovchi ukasi ,</t>
        </is>
      </c>
      <c r="G235" s="110" t="inlineStr">
        <is>
          <t xml:space="preserve">NAMANGAN VILOYATI UCHQO’RG’ON TUMANI BAXT MFY HUVAYDO KO’CHASI 14 UY</t>
        </is>
      </c>
      <c r="H235" s="111">
        <v>13.0</v>
      </c>
      <c r="I235" s="111">
        <v>250875.97</v>
      </c>
      <c r="K235" s="110" t="inlineStr">
        <is>
          <t xml:space="preserve">Va'da berdi | yopildi cartaga tashadi</t>
        </is>
      </c>
    </row>
    <row r="236">
      <c r="A236" s="110" t="inlineStr">
        <is>
          <t xml:space="preserve">НАМАНГАН ВИЛОЯТИ</t>
        </is>
      </c>
      <c r="C236" s="110" t="inlineStr">
        <is>
          <t xml:space="preserve">Дозвон</t>
        </is>
      </c>
      <c r="D236" s="110" t="inlineStr">
        <is>
          <t xml:space="preserve">Кр-99033610-2</t>
        </is>
      </c>
      <c r="E236" s="110" t="inlineStr">
        <is>
          <t xml:space="preserve">XOLBOYEVA ZUXRAXON BOYMIRZAYEVNA</t>
        </is>
      </c>
      <c r="F236" s="110" t="inlineStr">
        <is>
          <t xml:space="preserve">998887983839 SMS O’ZI, 998334160866 SMS QIZI, 998934009401 SMS AKASI, 998334220902 SMS AKASI 2,</t>
        </is>
      </c>
      <c r="G236" s="110" t="inlineStr">
        <is>
          <t xml:space="preserve">NAMANGAN VILOYATI NAMANGAN SHAHAR ELOBOD MFY TO’RAQO’G’ON KO’CHA 4 1 UY 94 XONADON</t>
        </is>
      </c>
      <c r="H236" s="111">
        <v>1.0</v>
      </c>
      <c r="I236" s="111">
        <v>146408.36</v>
      </c>
      <c r="K236" s="110" t="inlineStr">
        <is>
          <t xml:space="preserve">Telefon ko'tardi | bugun tolab qoyarkan filialga</t>
        </is>
      </c>
    </row>
    <row r="237">
      <c r="A237" s="110" t="inlineStr">
        <is>
          <t xml:space="preserve">НАМАНГАН ВИЛОЯТИ</t>
        </is>
      </c>
      <c r="C237" s="110" t="inlineStr">
        <is>
          <t xml:space="preserve">Дозвон</t>
        </is>
      </c>
      <c r="D237" s="110" t="inlineStr">
        <is>
          <t xml:space="preserve">Кр-99041684-5</t>
        </is>
      </c>
      <c r="E237" s="110" t="inlineStr">
        <is>
          <t xml:space="preserve">ASHUROVA RUQIYABI ISROIL QIZI</t>
        </is>
      </c>
      <c r="F237" s="110" t="inlineStr">
        <is>
          <t xml:space="preserve">+998500578661 SMS O’ZI, 998932677171 SMS ERI, 998991028328 SMS UY,</t>
        </is>
      </c>
      <c r="G237" s="110" t="inlineStr">
        <is>
          <t xml:space="preserve">Наманганская вилояти, янги Наманган тумани Бунёдкор МФЙ Сардор кўчаси 35-уй</t>
        </is>
      </c>
      <c r="H237" s="111">
        <v>8.0</v>
      </c>
      <c r="I237" s="111">
        <v>143547.85</v>
      </c>
      <c r="K237" s="110" t="inlineStr">
        <is>
          <t xml:space="preserve">Telefon ko'tardi | bugun tolab qoyarkan filialga</t>
        </is>
      </c>
    </row>
    <row r="238">
      <c r="A238" s="112" t="inlineStr">
        <is>
          <t xml:space="preserve">САМАРКАНД ВИЛОЯТИ</t>
        </is>
      </c>
      <c r="C238" s="112" t="inlineStr">
        <is>
          <t xml:space="preserve">Обещал</t>
        </is>
      </c>
      <c r="D238" s="112" t="inlineStr">
        <is>
          <t xml:space="preserve">Кр-99024819-8</t>
        </is>
      </c>
      <c r="E238" s="112" t="inlineStr">
        <is>
          <t xml:space="preserve">GULYAMOV IMRON BAXODIROVICH</t>
        </is>
      </c>
      <c r="F238" s="112" t="inlineStr">
        <is>
          <t xml:space="preserve">90-503-44-22 SMS AKASI SHU HAL QILADI, 91-520-43-44 SMS UZI, 66-234-44-63 SMS UYI, 97-927-25-11 SMS UKASI,</t>
        </is>
      </c>
      <c r="G238" s="112" t="inlineStr">
        <is>
          <t xml:space="preserve">SAMARQAND VILOYATI SAMARQAND SHAHRI BOG’I SHIFO MFY  MASKOVSKIY KUCHASI 12-UY</t>
        </is>
      </c>
      <c r="H238" s="113">
        <v>8.0</v>
      </c>
      <c r="I238" s="113">
        <v>10679970.37</v>
      </c>
      <c r="K238" s="112" t="inlineStr">
        <is>
          <t xml:space="preserve">Va'da berdi</t>
        </is>
      </c>
    </row>
    <row r="239">
      <c r="A239" s="112" t="inlineStr">
        <is>
          <t xml:space="preserve">САМАРКАНД ВИЛОЯТИ</t>
        </is>
      </c>
      <c r="C239" s="112" t="inlineStr">
        <is>
          <t xml:space="preserve">Обещал</t>
        </is>
      </c>
      <c r="D239" s="112" t="inlineStr">
        <is>
          <t xml:space="preserve">Кр-99064082-1</t>
        </is>
      </c>
      <c r="E239" s="112" t="inlineStr">
        <is>
          <t xml:space="preserve">XODJIQULOVA MAVLYUDA XXX</t>
        </is>
      </c>
      <c r="F239" s="112" t="inlineStr">
        <is>
          <t xml:space="preserve">998871355366 SMS UYI, 998882338080 SMS OZI, 998933535366 SMS ERI, 998940039953 SMS O’G’LI,</t>
        </is>
      </c>
      <c r="G239" s="112" t="inlineStr">
        <is>
          <t xml:space="preserve">SAMARQAND VILOYATI SAMARQAND SHAHAR BOG’BONLAR MFY SIPITAMINSHOX KUCHASI 266-UY 29-XONODON</t>
        </is>
      </c>
      <c r="H239" s="113">
        <v>8.0</v>
      </c>
      <c r="I239" s="113">
        <v>8354433.05</v>
      </c>
      <c r="K239" s="112" t="inlineStr">
        <is>
          <t xml:space="preserve">Va'da berdi | ertaga tolid</t>
        </is>
      </c>
    </row>
    <row r="240">
      <c r="A240" s="112" t="inlineStr">
        <is>
          <t xml:space="preserve">САМАРКАНД ВИЛОЯТИ</t>
        </is>
      </c>
      <c r="C240" s="112" t="inlineStr">
        <is>
          <t xml:space="preserve">Обещал</t>
        </is>
      </c>
      <c r="D240" s="112" t="inlineStr">
        <is>
          <t xml:space="preserve">Кр-99057416-1</t>
        </is>
      </c>
      <c r="E240" s="112" t="inlineStr">
        <is>
          <t xml:space="preserve">BASHMONOVA DILFUZA ALIMOVNA</t>
        </is>
      </c>
      <c r="F240" s="112" t="inlineStr">
        <is>
          <t xml:space="preserve">998937298058 SMS ERI, 998933480095 SMS OZI, 998330870702 SMS UYI, 998930508058 SMS UZI 2,</t>
        </is>
      </c>
      <c r="G240" s="112" t="inlineStr">
        <is>
          <t xml:space="preserve">SAMARQAND VILOYATI PAYARIQ TUMANI TOMOYROT MFY SHON-SHUHRAT KO'CHASI 113-UY</t>
        </is>
      </c>
      <c r="H240" s="113">
        <v>11.0</v>
      </c>
      <c r="I240" s="113">
        <v>7678655.1</v>
      </c>
      <c r="K240" s="112" t="inlineStr">
        <is>
          <t xml:space="preserve">Va'da berdi</t>
        </is>
      </c>
    </row>
    <row r="241">
      <c r="A241" s="112" t="inlineStr">
        <is>
          <t xml:space="preserve">САМАРКАНД ВИЛОЯТИ</t>
        </is>
      </c>
      <c r="C241" s="112" t="inlineStr">
        <is>
          <t xml:space="preserve">Дозвон</t>
        </is>
      </c>
      <c r="D241" s="112" t="inlineStr">
        <is>
          <t xml:space="preserve">Кр-99062707-1</t>
        </is>
      </c>
      <c r="E241" s="112" t="inlineStr">
        <is>
          <t xml:space="preserve">HIMMATOV BAHODIRJON KOMILJON O’G’LI</t>
        </is>
      </c>
      <c r="F241" s="112" t="inlineStr">
        <is>
          <t xml:space="preserve">998933004133 SMS OZI, 998947512220 SMS AYOLI, 998503004173 SMS UKASI, 998944707407 SMS DADASI,</t>
        </is>
      </c>
      <c r="G241" s="112" t="inlineStr">
        <is>
          <t xml:space="preserve">SAMARQAND VILOYATI TAYLOQ TUMANI BOG'IZOG'ON MFY BOG'IZOG'ON QISHLOG'I </t>
        </is>
      </c>
      <c r="H241" s="113">
        <v>13.0</v>
      </c>
      <c r="I241" s="113">
        <v>4801208.75</v>
      </c>
      <c r="J241" s="113">
        <v>4801208.75</v>
      </c>
      <c r="K241" s="112" t="inlineStr">
        <is>
          <t xml:space="preserve">To'ladi | yopildi</t>
        </is>
      </c>
    </row>
    <row r="242">
      <c r="A242" s="112" t="inlineStr">
        <is>
          <t xml:space="preserve">САМАРКАНД ВИЛОЯТИ</t>
        </is>
      </c>
      <c r="C242" s="112" t="inlineStr">
        <is>
          <t xml:space="preserve">Обещал</t>
        </is>
      </c>
      <c r="D242" s="112" t="inlineStr">
        <is>
          <t xml:space="preserve">Кр-99063322-2</t>
        </is>
      </c>
      <c r="E242" s="112" t="inlineStr">
        <is>
          <t xml:space="preserve">UTABAYEV JONIBEK ILXOMOVICH</t>
        </is>
      </c>
      <c r="F242" s="112" t="inlineStr">
        <is>
          <t xml:space="preserve">998901922133 SMS OPASI, 998910394407 SMS, 998915214468 SMM UYI, 998995267774 SMS OZI,</t>
        </is>
      </c>
      <c r="G242" s="112" t="inlineStr">
        <is>
          <t xml:space="preserve">SAMARQAND VILOYATI KATTAQO’RG’ON SHAHAR YERMSCHIT MFY BUNYODKOR KUCHASI 6 A DOM 1 KORPUS 1 KVARTERA</t>
        </is>
      </c>
      <c r="H242" s="113">
        <v>8.0</v>
      </c>
      <c r="I242" s="113">
        <v>4214417.98</v>
      </c>
      <c r="K242" s="112" t="inlineStr">
        <is>
          <t xml:space="preserve">Va'da berdi | ertaga tolid</t>
        </is>
      </c>
    </row>
    <row r="243">
      <c r="A243" s="112" t="inlineStr">
        <is>
          <t xml:space="preserve">САМАРКАНД ВИЛОЯТИ</t>
        </is>
      </c>
      <c r="C243" s="112" t="inlineStr">
        <is>
          <t xml:space="preserve">Обещал</t>
        </is>
      </c>
      <c r="D243" s="112" t="inlineStr">
        <is>
          <t xml:space="preserve">Кр-99019784-3</t>
        </is>
      </c>
      <c r="E243" s="112" t="inlineStr">
        <is>
          <t xml:space="preserve">AXATOVA NARGIZA ILXOMOVNA</t>
        </is>
      </c>
      <c r="F243" s="112" t="inlineStr">
        <is>
          <t xml:space="preserve">99-771-09-30 SMS UZI , 99-599-69-66 SMS ERI, 93-353-56-07 SMS QIZI, 99-350-56-07 SMS UYI, +998997710930 SMS OZI,</t>
        </is>
      </c>
      <c r="G243" s="112" t="inlineStr">
        <is>
          <t xml:space="preserve">SAMARQAND VILOYATI SAMARQAND SHAHRI XO’JA QISHLOQ MFY LOCHIN KO’CHASI 2 YULAK 22-UY</t>
        </is>
      </c>
      <c r="H243" s="113">
        <v>8.0</v>
      </c>
      <c r="I243" s="113">
        <v>4097262.49</v>
      </c>
      <c r="K243" s="112" t="inlineStr">
        <is>
          <t xml:space="preserve">Va'da berdi</t>
        </is>
      </c>
    </row>
    <row r="244">
      <c r="A244" s="112" t="inlineStr">
        <is>
          <t xml:space="preserve">САМАРКАНД ВИЛОЯТИ</t>
        </is>
      </c>
      <c r="C244" s="112" t="inlineStr">
        <is>
          <t xml:space="preserve">Обещал</t>
        </is>
      </c>
      <c r="D244" s="112" t="inlineStr">
        <is>
          <t xml:space="preserve">Кр-99063884-1</t>
        </is>
      </c>
      <c r="E244" s="112" t="inlineStr">
        <is>
          <t xml:space="preserve">ABDURASHIDOV AKOBIR VASLIDDIN O’G’LI</t>
        </is>
      </c>
      <c r="F244" s="112" t="inlineStr">
        <is>
          <t xml:space="preserve">998777162444 SMS DOSTI, 998943414303 SMS UZI, 998993961270 SMS TOLOVCHI,</t>
        </is>
      </c>
      <c r="G244" s="112" t="inlineStr">
        <is>
          <t xml:space="preserve">ДУРБЕШ ҚФЙ, ЯНГИРАВОТ МФЙ, ДУРБЕШ ҚИШЛОҒИ,  uy:Р/С</t>
        </is>
      </c>
      <c r="H244" s="113">
        <v>8.0</v>
      </c>
      <c r="I244" s="113">
        <v>4062717.29</v>
      </c>
      <c r="K244" s="112" t="inlineStr">
        <is>
          <t xml:space="preserve">Va'da berdi | 28-29 tolov qiladi</t>
        </is>
      </c>
    </row>
    <row r="245">
      <c r="A245" s="112" t="inlineStr">
        <is>
          <t xml:space="preserve">САМАРКАНД ВИЛОЯТИ</t>
        </is>
      </c>
      <c r="C245" s="112" t="inlineStr">
        <is>
          <t xml:space="preserve">Обещал</t>
        </is>
      </c>
      <c r="D245" s="112" t="inlineStr">
        <is>
          <t xml:space="preserve">Кр-99062920-1</t>
        </is>
      </c>
      <c r="E245" s="112" t="inlineStr">
        <is>
          <t xml:space="preserve">BOBOYEV SHERXON RUZIMURODOVICH</t>
        </is>
      </c>
      <c r="F245" s="112" t="inlineStr">
        <is>
          <t xml:space="preserve">+998992957374 SMS OZI, 998904757374 SMS OZI 2, 998956738444 SMS UKASI,</t>
        </is>
      </c>
      <c r="G245" s="112" t="inlineStr">
        <is>
          <t xml:space="preserve">SAMARQAND VILOYATI NUROBOD TUMANI OQSOY MFY</t>
        </is>
      </c>
      <c r="H245" s="113">
        <v>8.0</v>
      </c>
      <c r="I245" s="113">
        <v>3435601.02</v>
      </c>
      <c r="K245" s="112" t="inlineStr">
        <is>
          <t xml:space="preserve">Va'da berdi | 5 laga tolid</t>
        </is>
      </c>
    </row>
    <row r="246">
      <c r="A246" s="112" t="inlineStr">
        <is>
          <t xml:space="preserve">САМАРКАНД ВИЛОЯТИ</t>
        </is>
      </c>
      <c r="C246" s="112" t="inlineStr">
        <is>
          <t xml:space="preserve">Дозвон</t>
        </is>
      </c>
      <c r="D246" s="112" t="inlineStr">
        <is>
          <t xml:space="preserve">Кр-99049122-1</t>
        </is>
      </c>
      <c r="E246" s="112" t="inlineStr">
        <is>
          <t xml:space="preserve">ABDUXAKIMOVA MADINA XUSNIDDIN QIZI</t>
        </is>
      </c>
      <c r="F246" s="112" t="inlineStr">
        <is>
          <t xml:space="preserve">+998500555549 SMS ERI, 998701050088 SMS ZALOGADATEL, 998886144048 SMS UYI, 998940800521 SMS OZI,</t>
        </is>
      </c>
      <c r="G246" s="112" t="inlineStr">
        <is>
          <t xml:space="preserve">SAMARQAND VILOYATI SAMARQAND SHAHAR SHODIYONA MFY 185 DOM 56 XONODON</t>
        </is>
      </c>
      <c r="H246" s="113">
        <v>8.0</v>
      </c>
      <c r="I246" s="113">
        <v>3179330.79</v>
      </c>
      <c r="K246" s="112" t="inlineStr">
        <is>
          <t xml:space="preserve">Telefon ko'tardi | 6 gacha tolov qilaman</t>
        </is>
      </c>
    </row>
    <row r="247">
      <c r="A247" s="112" t="inlineStr">
        <is>
          <t xml:space="preserve">САМАРКАНД ВИЛОЯТИ</t>
        </is>
      </c>
      <c r="C247" s="112" t="inlineStr">
        <is>
          <t xml:space="preserve">Обещал</t>
        </is>
      </c>
      <c r="D247" s="112" t="inlineStr">
        <is>
          <t xml:space="preserve">Кр-99016634-3</t>
        </is>
      </c>
      <c r="E247" s="112" t="inlineStr">
        <is>
          <t xml:space="preserve">YAZDONOV QAHRAMON BOTIR O’G’LI</t>
        </is>
      </c>
      <c r="F247" s="112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247" s="112" t="inlineStr">
        <is>
          <t xml:space="preserve">SAMARQAND VILOYATI URGUT TUMANI QAYROQLI MFY QAYROQLI QISHLOG’I 444-UY</t>
        </is>
      </c>
      <c r="H247" s="113">
        <v>8.0</v>
      </c>
      <c r="I247" s="113">
        <v>3156177.3</v>
      </c>
      <c r="K247" s="112" t="inlineStr">
        <is>
          <t xml:space="preserve">Va'da berdi | ertaga 3 gacha tolov qiladi</t>
        </is>
      </c>
    </row>
    <row r="248">
      <c r="A248" s="112" t="inlineStr">
        <is>
          <t xml:space="preserve">САМАРКАНД ВИЛОЯТИ</t>
        </is>
      </c>
      <c r="C248" s="112" t="inlineStr">
        <is>
          <t xml:space="preserve">Обещал</t>
        </is>
      </c>
      <c r="D248" s="112" t="inlineStr">
        <is>
          <t xml:space="preserve">Кр-99027786-1</t>
        </is>
      </c>
      <c r="E248" s="112" t="inlineStr">
        <is>
          <t xml:space="preserve">TEMIROV OLIMSHER JAXONGIR O’G’LI</t>
        </is>
      </c>
      <c r="F248" s="112" t="inlineStr">
        <is>
          <t xml:space="preserve">998947420451 SMS OZI кариндоши, 998905021015 SMS AYOLI, 998901951510 SMS O'ZI 2, 998907420451 SMS ISHXONASI, 998949977497 узи ,</t>
        </is>
      </c>
      <c r="G248" s="112" t="inlineStr">
        <is>
          <t xml:space="preserve">SAMARQAND VILOYATI PASTDARG’OM TUMANI PULATCHI QFY OLMAZOR MFY XALOVAT KO’CHASI 80-UY</t>
        </is>
      </c>
      <c r="H248" s="113">
        <v>6.0</v>
      </c>
      <c r="I248" s="113">
        <v>3047606.77</v>
      </c>
      <c r="K248" s="112" t="inlineStr">
        <is>
          <t xml:space="preserve">Va'da berdi | ertadan kin tyolov qiladi</t>
        </is>
      </c>
    </row>
    <row r="249">
      <c r="A249" s="112" t="inlineStr">
        <is>
          <t xml:space="preserve">САМАРКАНД ВИЛОЯТИ</t>
        </is>
      </c>
      <c r="C249" s="112" t="inlineStr">
        <is>
          <t xml:space="preserve">Обещал</t>
        </is>
      </c>
      <c r="D249" s="112" t="inlineStr">
        <is>
          <t xml:space="preserve">Кр-99017675-2</t>
        </is>
      </c>
      <c r="E249" s="112" t="inlineStr">
        <is>
          <t xml:space="preserve">DAVRONOV SHEXROZ AZAMAT O’G’LI</t>
        </is>
      </c>
      <c r="F249" s="112" t="inlineStr">
        <is>
          <t xml:space="preserve">91-314-41-42  SMS UZI, 97-929-03-70  SMS tolovchi, 97-643-03-30  SMS UKASI, 97-919-52-22  SMS UYI, 998949230370 SMS TULOVCHI,</t>
        </is>
      </c>
      <c r="G249" s="112" t="inlineStr">
        <is>
          <t xml:space="preserve">SAMARQAND VILOYATI PASTDARGOM TUMANI TURKMAN MFY ISLOMOBOD KUCHASI 5-UY</t>
        </is>
      </c>
      <c r="H249" s="113">
        <v>8.0</v>
      </c>
      <c r="I249" s="113">
        <v>3034821.32</v>
      </c>
      <c r="K249" s="112" t="inlineStr">
        <is>
          <t xml:space="preserve">Va'da berdi | bugun yopad</t>
        </is>
      </c>
    </row>
    <row r="250">
      <c r="A250" s="112" t="inlineStr">
        <is>
          <t xml:space="preserve">САМАРКАНД ВИЛОЯТИ</t>
        </is>
      </c>
      <c r="C250" s="112" t="inlineStr">
        <is>
          <t xml:space="preserve">Обещал</t>
        </is>
      </c>
      <c r="D250" s="112" t="inlineStr">
        <is>
          <t xml:space="preserve">Кр-99063189-1</t>
        </is>
      </c>
      <c r="E250" s="112" t="inlineStr">
        <is>
          <t xml:space="preserve">BURONOV BUNYOD KAMOLIDDIN O’G’LI</t>
        </is>
      </c>
      <c r="F250" s="112" t="inlineStr">
        <is>
          <t xml:space="preserve">998941864114 OZI, 998944894114 AYOLI, 998937236606 UKASI, 998946815515 UYI,</t>
        </is>
      </c>
      <c r="G250" s="112" t="inlineStr">
        <is>
          <t xml:space="preserve">SAMARQAND VILOYATI NARPAY TUMANI TINCHLIK MFY PULKAN SHOIR KUCHASI 26-UY</t>
        </is>
      </c>
      <c r="H250" s="113">
        <v>8.0</v>
      </c>
      <c r="I250" s="113">
        <v>2797136.83</v>
      </c>
      <c r="K250" s="112" t="inlineStr">
        <is>
          <t xml:space="preserve">Va'da berdi | ERTALAB 9 GACHA TOLID</t>
        </is>
      </c>
    </row>
    <row r="251">
      <c r="A251" s="112" t="inlineStr">
        <is>
          <t xml:space="preserve">САМАРКАНД ВИЛОЯТИ</t>
        </is>
      </c>
      <c r="C251" s="112" t="inlineStr">
        <is>
          <t xml:space="preserve">Обещал</t>
        </is>
      </c>
      <c r="D251" s="112" t="inlineStr">
        <is>
          <t xml:space="preserve">Кр-99048134-1</t>
        </is>
      </c>
      <c r="E251" s="112" t="inlineStr">
        <is>
          <t xml:space="preserve">UMAROVA NIGINA SAIDKULOVNA</t>
        </is>
      </c>
      <c r="F251" s="112" t="inlineStr">
        <is>
          <t xml:space="preserve">+998910383833 SMS OZI, 998910330807 SMS UYI, 998910336888 SMS ZALOGADATEL, 998972880575 SMS OZI 2,</t>
        </is>
      </c>
      <c r="G251" s="112" t="inlineStr">
        <is>
          <t xml:space="preserve">SAMARQAND VILOYATI SAMARQAND TUMANI KULBA MFY KULBA KUCHASI 8-UY</t>
        </is>
      </c>
      <c r="H251" s="113">
        <v>8.0</v>
      </c>
      <c r="I251" s="113">
        <v>2148032.97</v>
      </c>
      <c r="K251" s="112" t="inlineStr">
        <is>
          <t xml:space="preserve">Va'da berdi | 20 kuni xudud inspektoridan ruxsat olgan</t>
        </is>
      </c>
    </row>
    <row r="252">
      <c r="A252" s="112" t="inlineStr">
        <is>
          <t xml:space="preserve">САМАРКАНД ВИЛОЯТИ</t>
        </is>
      </c>
      <c r="C252" s="112" t="inlineStr">
        <is>
          <t xml:space="preserve">Обещал</t>
        </is>
      </c>
      <c r="D252" s="112" t="inlineStr">
        <is>
          <t xml:space="preserve">Кр-99034407-1</t>
        </is>
      </c>
      <c r="E252" s="112" t="inlineStr">
        <is>
          <t xml:space="preserve">SHODIYEV YUNUS ZIYOYEVICH</t>
        </is>
      </c>
      <c r="F252" s="112" t="inlineStr">
        <is>
          <t xml:space="preserve">998937673633 SMS O’ZI, 998939967812 SMS AYOLI, 998904649211 SMS O’G’LI,</t>
        </is>
      </c>
      <c r="G252" s="112" t="inlineStr">
        <is>
          <t xml:space="preserve">SAMARQAND VILOYATI TAYLOQ TUMANI XITOYUZ MFY XITOYUZ QISHLOG’I GULOBOD KO’CHASI 41-UY</t>
        </is>
      </c>
      <c r="H252" s="113">
        <v>1.0</v>
      </c>
      <c r="I252" s="113">
        <v>1995834.65</v>
      </c>
      <c r="K252" s="112" t="inlineStr">
        <is>
          <t xml:space="preserve">Va'da berdi | ertaga  filialga tolov</t>
        </is>
      </c>
    </row>
    <row r="253">
      <c r="A253" s="112" t="inlineStr">
        <is>
          <t xml:space="preserve">САМАРКАНД ВИЛОЯТИ</t>
        </is>
      </c>
      <c r="C253" s="112" t="inlineStr">
        <is>
          <t xml:space="preserve">Обещал</t>
        </is>
      </c>
      <c r="D253" s="112" t="inlineStr">
        <is>
          <t xml:space="preserve">Кр-99034186-2</t>
        </is>
      </c>
      <c r="E253" s="112" t="inlineStr">
        <is>
          <t xml:space="preserve">SARIMSAKOV ALIJON SHUKUROVICH</t>
        </is>
      </c>
      <c r="F253" s="112" t="inlineStr">
        <is>
          <t xml:space="preserve">998933496749 SMS O’ZI, 998794322772 SMS O’ZI, 998941879595 SMS UKASI, 998932739603 SMS AYOLI, +998933496749 SMS OZI,</t>
        </is>
      </c>
      <c r="G253" s="112" t="inlineStr">
        <is>
          <t xml:space="preserve">SAMARQAND VILOYATI SAMARQAND SHAHRI BAHODIR YALANGTUSH MFY 127/9</t>
        </is>
      </c>
      <c r="H253" s="113">
        <v>8.0</v>
      </c>
      <c r="I253" s="113">
        <v>1758912.63</v>
      </c>
      <c r="K253" s="112" t="inlineStr">
        <is>
          <t xml:space="preserve">Va'da berdi | avans tushsa yopaman kutub otribman dedi</t>
        </is>
      </c>
    </row>
    <row r="254">
      <c r="A254" s="112" t="inlineStr">
        <is>
          <t xml:space="preserve">САМАРКАНД ВИЛОЯТИ</t>
        </is>
      </c>
      <c r="C254" s="112" t="inlineStr">
        <is>
          <t xml:space="preserve">Обещал</t>
        </is>
      </c>
      <c r="D254" s="112" t="inlineStr">
        <is>
          <t xml:space="preserve">Кр-99006537-5</t>
        </is>
      </c>
      <c r="E254" s="112" t="inlineStr">
        <is>
          <t xml:space="preserve">SHUKUROVA DILDORA MURODULLAYEVNA</t>
        </is>
      </c>
      <c r="F254" s="112" t="inlineStr">
        <is>
          <t xml:space="preserve">93-861-07-84 SMS OZI, 91-557-43-87 SMS ERI, 94-686-65-05 SMS O’G’LI tanimasakan, 94-028-85-80 SMS JIYANI, +998938610784 SMS OZI,</t>
        </is>
      </c>
      <c r="G254" s="112" t="inlineStr">
        <is>
          <t xml:space="preserve">SAMARQAND VILOYATI JOMBOY TUMANI QUSHTEPA QISHLOG’I 16-UY</t>
        </is>
      </c>
      <c r="H254" s="113">
        <v>12.0</v>
      </c>
      <c r="I254" s="113">
        <v>1631394.69</v>
      </c>
      <c r="K254" s="112" t="inlineStr">
        <is>
          <t xml:space="preserve">Va'da berdi | ertaga abedgacha yopadi</t>
        </is>
      </c>
    </row>
    <row r="255">
      <c r="A255" s="112" t="inlineStr">
        <is>
          <t xml:space="preserve">САМАРКАНД ВИЛОЯТИ</t>
        </is>
      </c>
      <c r="C255" s="112" t="inlineStr">
        <is>
          <t xml:space="preserve">Обещал</t>
        </is>
      </c>
      <c r="D255" s="112" t="inlineStr">
        <is>
          <t xml:space="preserve">Кр-99027716-2</t>
        </is>
      </c>
      <c r="E255" s="112" t="inlineStr">
        <is>
          <t xml:space="preserve">SHAVAYEV XAFIZ ILIMDAR O’G’LI</t>
        </is>
      </c>
      <c r="F255" s="112" t="inlineStr">
        <is>
          <t xml:space="preserve">97-926-88-84 SMS AMAKISI FILIAR, 90-224-13-24 SMS OZI, 91-529-11-88 SMS DADASI, 99-949-11-88 SMS AYASI, 998915492288 мирза туловчи , 998771861177 mirza bc,</t>
        </is>
      </c>
      <c r="G255" s="112" t="inlineStr">
        <is>
          <t xml:space="preserve">SAMARQAND VILOYATI SAMARQAND SHAHRI XUNARMANDLAR MFY SPITAMENSHOX KUCHASI 14-UY</t>
        </is>
      </c>
      <c r="H255" s="113">
        <v>12.0</v>
      </c>
      <c r="I255" s="113">
        <v>1568090.55</v>
      </c>
      <c r="K255" s="112" t="inlineStr">
        <is>
          <t xml:space="preserve">Va'da berdi | juma kuni tolid</t>
        </is>
      </c>
    </row>
    <row r="256">
      <c r="A256" s="112" t="inlineStr">
        <is>
          <t xml:space="preserve">САМАРКАНД ВИЛОЯТИ</t>
        </is>
      </c>
      <c r="C256" s="112" t="inlineStr">
        <is>
          <t xml:space="preserve">Обещал</t>
        </is>
      </c>
      <c r="D256" s="112" t="inlineStr">
        <is>
          <t xml:space="preserve">Кр-99063856-2</t>
        </is>
      </c>
      <c r="E256" s="112" t="inlineStr">
        <is>
          <t xml:space="preserve">XUSHANOVA MAXBUBA JAZILOVNA</t>
        </is>
      </c>
      <c r="F256" s="112" t="inlineStr">
        <is>
          <t xml:space="preserve">+998941879595 SMS OZI, 998889931922 SMS QIZI, 998938339898 SMS O’G’LI, 998949595951 SMS OZI 2,</t>
        </is>
      </c>
      <c r="G256" s="112" t="inlineStr">
        <is>
          <t xml:space="preserve">SAMARQAND VILOYATI QUSHRABOT  TUMANI BULOKBOSHI MFY BULOKBOSHI QISHLOG’I 1439-UY</t>
        </is>
      </c>
      <c r="H256" s="113">
        <v>8.0</v>
      </c>
      <c r="I256" s="113">
        <v>1298417.8</v>
      </c>
      <c r="K256" s="112" t="inlineStr">
        <is>
          <t xml:space="preserve">Va'da berdi | 6 lada tolov qlad</t>
        </is>
      </c>
    </row>
    <row r="257">
      <c r="A257" s="112" t="inlineStr">
        <is>
          <t xml:space="preserve">САМАРКАНД ВИЛОЯТИ</t>
        </is>
      </c>
      <c r="C257" s="112" t="inlineStr">
        <is>
          <t xml:space="preserve">Обещал</t>
        </is>
      </c>
      <c r="D257" s="112" t="inlineStr">
        <is>
          <t xml:space="preserve">Кр-99034186-3</t>
        </is>
      </c>
      <c r="E257" s="112" t="inlineStr">
        <is>
          <t xml:space="preserve">SARIMSAKOV ALIJON SHUKUROVICH</t>
        </is>
      </c>
      <c r="F257" s="112" t="inlineStr">
        <is>
          <t xml:space="preserve">998933496749 SMS O’ZI, 998794322772 SMS O’ZI, 998941879595 SMS UKASI, 998932739603 SMS AYOLI, +998933496749 SMS OZI,</t>
        </is>
      </c>
      <c r="G257" s="112" t="inlineStr">
        <is>
          <t xml:space="preserve">SAMARQAND VILOYATI SAMARQAND SHAHRI BAHODIR YALANGTUSH MFY 127/9</t>
        </is>
      </c>
      <c r="H257" s="113">
        <v>13.0</v>
      </c>
      <c r="I257" s="113">
        <v>1189882.02</v>
      </c>
      <c r="K257" s="112" t="inlineStr">
        <is>
          <t xml:space="preserve">Va'da berdi | avans tushsa yopaman kutub otribman dedi</t>
        </is>
      </c>
    </row>
    <row r="258">
      <c r="A258" s="112" t="inlineStr">
        <is>
          <t xml:space="preserve">САМАРКАНД ВИЛОЯТИ</t>
        </is>
      </c>
      <c r="C258" s="112" t="inlineStr">
        <is>
          <t xml:space="preserve">Обещал</t>
        </is>
      </c>
      <c r="D258" s="112" t="inlineStr">
        <is>
          <t xml:space="preserve">Кр-99063830-1</t>
        </is>
      </c>
      <c r="E258" s="112" t="inlineStr">
        <is>
          <t xml:space="preserve">XAMIDOVA MARHABO RAHMANOVNA</t>
        </is>
      </c>
      <c r="F258" s="112" t="inlineStr">
        <is>
          <t xml:space="preserve">+998915268657 SMS OZI, 998955268657 SMS UYI, 998975268657 SMS DADASI,</t>
        </is>
      </c>
      <c r="G258" s="112" t="inlineStr">
        <is>
          <t xml:space="preserve">SAMARQAND VILOYATI OQDARYO TUMANI PAXTAOBOD MFY PAXTAOBOD KUCHASI 44-UY</t>
        </is>
      </c>
      <c r="H258" s="113">
        <v>8.0</v>
      </c>
      <c r="I258" s="113">
        <v>560997.66</v>
      </c>
      <c r="K258" s="112" t="inlineStr">
        <is>
          <t xml:space="preserve">Va'da berdi | 5 lada tolov qiladi</t>
        </is>
      </c>
    </row>
    <row r="259">
      <c r="A259" s="112" t="inlineStr">
        <is>
          <t xml:space="preserve">САМАРКАНД ВИЛОЯТИ</t>
        </is>
      </c>
      <c r="C259" s="112" t="inlineStr">
        <is>
          <t xml:space="preserve">Дозвон</t>
        </is>
      </c>
      <c r="D259" s="112" t="inlineStr">
        <is>
          <t xml:space="preserve">Кр-99007936-13</t>
        </is>
      </c>
      <c r="E259" s="112" t="inlineStr">
        <is>
          <t xml:space="preserve">MAMASHARIPOV UTKIR MAMARZAYEVICH</t>
        </is>
      </c>
      <c r="F259" s="112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59" s="112" t="inlineStr">
        <is>
          <t xml:space="preserve">SAMARQAND VILOYATI OQDARYO TUMANI A.TEMUR MFY KALLAR QISHLOG’I</t>
        </is>
      </c>
      <c r="I259" s="113">
        <v>549955.94</v>
      </c>
      <c r="J259" s="113">
        <v>549955.94</v>
      </c>
      <c r="K259" s="112" t="inlineStr">
        <is>
          <t xml:space="preserve">To'ladi | yopildi</t>
        </is>
      </c>
    </row>
    <row r="260">
      <c r="A260" s="112" t="inlineStr">
        <is>
          <t xml:space="preserve">САМАРКАНД ВИЛОЯТИ</t>
        </is>
      </c>
      <c r="C260" s="112" t="inlineStr">
        <is>
          <t xml:space="preserve">Дозвон</t>
        </is>
      </c>
      <c r="D260" s="112" t="inlineStr">
        <is>
          <t xml:space="preserve">Кр-99062999-2</t>
        </is>
      </c>
      <c r="E260" s="112" t="inlineStr">
        <is>
          <t xml:space="preserve">KUDRATOV SODIKJON RIZAKULOVICH</t>
        </is>
      </c>
      <c r="F260" s="112" t="inlineStr">
        <is>
          <t xml:space="preserve">+998919757615 SMS OZI, 998774818491 SMS OZI 2, 998881117615 SMS AYOLI,</t>
        </is>
      </c>
      <c r="G260" s="112" t="inlineStr">
        <is>
          <t xml:space="preserve">SAMARQAND VILOYATI KATTAQO’RG’ON SHAHRI YAKKABOG’ MFY BOG’I DILKUSHOR KUCHASI 25-UY</t>
        </is>
      </c>
      <c r="H260" s="113">
        <v>8.0</v>
      </c>
      <c r="I260" s="113">
        <v>253449.63</v>
      </c>
      <c r="J260" s="113">
        <v>253449.63</v>
      </c>
      <c r="K260" s="112" t="inlineStr">
        <is>
          <t xml:space="preserve">To'ladi | yopildi</t>
        </is>
      </c>
    </row>
    <row r="261">
      <c r="A261" s="112" t="inlineStr">
        <is>
          <t xml:space="preserve">САМАРКАНД ВИЛОЯТИ</t>
        </is>
      </c>
      <c r="C261" s="112" t="inlineStr">
        <is>
          <t xml:space="preserve">Обещал</t>
        </is>
      </c>
      <c r="D261" s="112" t="inlineStr">
        <is>
          <t xml:space="preserve">Кр-99062859-1</t>
        </is>
      </c>
      <c r="E261" s="112" t="inlineStr">
        <is>
          <t xml:space="preserve">DAVLATOV SHERALI BARATOVICH</t>
        </is>
      </c>
      <c r="F261" s="112" t="inlineStr">
        <is>
          <t xml:space="preserve">+998938353878 SMS OZI, 998952319497 SMS QIZI, 998958970676 SMS AYOLI, 998990641497 SMS UYI,</t>
        </is>
      </c>
      <c r="G261" s="112" t="inlineStr">
        <is>
          <t xml:space="preserve">SAMARQAND VILOYATI SAMARQAND SHAHAR MUSTAQILLIK MFY SHOXRUX KUCHASI 8 UY</t>
        </is>
      </c>
      <c r="H261" s="113">
        <v>8.0</v>
      </c>
      <c r="I261" s="113">
        <v>140357.6</v>
      </c>
      <c r="K261" s="112" t="inlineStr">
        <is>
          <t xml:space="preserve">Va'da berdi | hozi yolda ekan toxtab yopar ekan</t>
        </is>
      </c>
    </row>
    <row r="262">
      <c r="A262" s="112" t="inlineStr">
        <is>
          <t xml:space="preserve">САМАРКАНД ВИЛОЯТИ</t>
        </is>
      </c>
      <c r="C262" s="112" t="inlineStr">
        <is>
          <t xml:space="preserve">Дозвон</t>
        </is>
      </c>
      <c r="D262" s="112" t="inlineStr">
        <is>
          <t xml:space="preserve">Кр-99062738-1</t>
        </is>
      </c>
      <c r="E262" s="112" t="inlineStr">
        <is>
          <t xml:space="preserve">RUZIYEV SUNATULLA SAFARALIYEVICH</t>
        </is>
      </c>
      <c r="F262" s="112" t="inlineStr">
        <is>
          <t xml:space="preserve">+998991126907 SMS OZI, 998993756907 SMS UYI, 998994228307 SMS SINGLISI,</t>
        </is>
      </c>
      <c r="G262" s="112" t="inlineStr">
        <is>
          <t xml:space="preserve">SAMARQAND VILOYATI NUROBOD TUMANI URTABUZ MFY TINCHLIK QISHLOG’I</t>
        </is>
      </c>
      <c r="H262" s="113">
        <v>13.0</v>
      </c>
      <c r="I262" s="113">
        <v>136542.15</v>
      </c>
      <c r="J262" s="113">
        <v>136542.15</v>
      </c>
      <c r="K262" s="112" t="inlineStr">
        <is>
          <t xml:space="preserve">To'ladi | yopildi</t>
        </is>
      </c>
    </row>
    <row r="263">
      <c r="A263" s="112" t="inlineStr">
        <is>
          <t xml:space="preserve">САМАРКАНД ВИЛОЯТИ</t>
        </is>
      </c>
      <c r="C263" s="112" t="inlineStr">
        <is>
          <t xml:space="preserve">Дозвон</t>
        </is>
      </c>
      <c r="D263" s="112" t="inlineStr">
        <is>
          <t xml:space="preserve">Кр-99063278-2</t>
        </is>
      </c>
      <c r="E263" s="112" t="inlineStr">
        <is>
          <t xml:space="preserve">ABDIQAYUMOV IBROHIM ZAYNIDDIN O’G’LI</t>
        </is>
      </c>
      <c r="F263" s="112" t="inlineStr">
        <is>
          <t xml:space="preserve">+998937202873 SMS OZI, 998500202086 SMS DADASI, 998915379123 SMS AYASI, 998915393006 SMS OZI 2,</t>
        </is>
      </c>
      <c r="G263" s="112" t="inlineStr">
        <is>
          <t xml:space="preserve">SAMARQAND VILOYATI PASTDARG’OM TUMANI KAMOLOT MAHALLASI</t>
        </is>
      </c>
      <c r="H263" s="113">
        <v>8.0</v>
      </c>
      <c r="I263" s="113">
        <v>76359.2</v>
      </c>
      <c r="J263" s="113">
        <v>76359.2</v>
      </c>
      <c r="K263" s="112" t="inlineStr">
        <is>
          <t xml:space="preserve">To'ladi | yopildi</t>
        </is>
      </c>
    </row>
    <row r="264">
      <c r="A264" s="114" t="inlineStr">
        <is>
          <t xml:space="preserve">СУРХОНДАРЁ ВИЛОЯТИ</t>
        </is>
      </c>
      <c r="C264" s="114" t="inlineStr">
        <is>
          <t xml:space="preserve">Обещал</t>
        </is>
      </c>
      <c r="D264" s="114" t="inlineStr">
        <is>
          <t xml:space="preserve">Кр-99041030-1</t>
        </is>
      </c>
      <c r="E264" s="114" t="inlineStr">
        <is>
          <t xml:space="preserve">KARABOYEV ILHOM CHORIYEVICH</t>
        </is>
      </c>
      <c r="F264" s="114" t="inlineStr">
        <is>
          <t xml:space="preserve">+998508828224 SMS O’ZI, 998882426242 SMS QIZI, 998952128999 SMS QIZI, 998500126575 SMS OZI ,</t>
        </is>
      </c>
      <c r="G264" s="114" t="inlineStr">
        <is>
          <t xml:space="preserve">ДЕНОВ ШАХАР, САНОАТЧИЛИК МФЙ, М.БЕДИЛ,  uy:1А</t>
        </is>
      </c>
      <c r="H264" s="115">
        <v>43.0</v>
      </c>
      <c r="I264" s="115">
        <v>13574210.28</v>
      </c>
      <c r="K264" s="114" t="inlineStr">
        <is>
          <t xml:space="preserve">Va'da berdi | bugun yo erte keb tolov qlad | 1047</t>
        </is>
      </c>
    </row>
    <row r="265">
      <c r="A265" s="114" t="inlineStr">
        <is>
          <t xml:space="preserve">СУРХОНДАРЁ ВИЛОЯТИ</t>
        </is>
      </c>
      <c r="C265" s="114" t="inlineStr">
        <is>
          <t xml:space="preserve">Обещал</t>
        </is>
      </c>
      <c r="D265" s="114" t="inlineStr">
        <is>
          <t xml:space="preserve">Кр-99035010-1</t>
        </is>
      </c>
      <c r="E265" s="114" t="inlineStr">
        <is>
          <t xml:space="preserve">MALLAYEV MUZAFFAR TOSHNIYAZOVICH</t>
        </is>
      </c>
      <c r="F265" s="114" t="inlineStr">
        <is>
          <t xml:space="preserve">998930038079 SMS OZI, 998941793332 SMS OSHNASI, 998936763332 SMS OSHNASI, 998937972425 SMS NEVARASI,</t>
        </is>
      </c>
      <c r="G265" s="114" t="inlineStr">
        <is>
          <t xml:space="preserve">SURXONDARYO VILOYATI MUZRABOT TUMANI OLMOZOR MFY O’ZBEKISTON KO’CHASI 117-UY</t>
        </is>
      </c>
      <c r="H265" s="115">
        <v>42.0</v>
      </c>
      <c r="I265" s="115">
        <v>8805269.27</v>
      </c>
      <c r="K265" s="114" t="inlineStr">
        <is>
          <t xml:space="preserve">Va'da berdi | bugun erte tolidi | 541</t>
        </is>
      </c>
    </row>
    <row r="266">
      <c r="A266" s="114" t="inlineStr">
        <is>
          <t xml:space="preserve">СУРХОНДАРЁ ВИЛОЯТИ</t>
        </is>
      </c>
      <c r="C266" s="114" t="inlineStr">
        <is>
          <t xml:space="preserve">Обещал</t>
        </is>
      </c>
      <c r="D266" s="114" t="inlineStr">
        <is>
          <t xml:space="preserve">Кр-99040880-1</t>
        </is>
      </c>
      <c r="E266" s="114" t="inlineStr">
        <is>
          <t xml:space="preserve">USANOV ANARBOY XXX</t>
        </is>
      </c>
      <c r="F266" s="114" t="inlineStr">
        <is>
          <t xml:space="preserve">998919824959 SMS OZI, 998930952477 SMS UYI, 998915816615 SMS OILASI,</t>
        </is>
      </c>
      <c r="G266" s="114" t="inlineStr">
        <is>
          <t xml:space="preserve">SURXONDARYO VILOYATI OLTINSOY TUMANI SHODLIK MAXALLASI YANGI HAYOT KO'CHASI 142-UY</t>
        </is>
      </c>
      <c r="H266" s="115">
        <v>41.0</v>
      </c>
      <c r="I266" s="115">
        <v>7048053.68</v>
      </c>
      <c r="K266" s="114" t="inlineStr">
        <is>
          <t xml:space="preserve">Va'da berdi | 25 dan kyn grafikka tuwib olad | 1029</t>
        </is>
      </c>
    </row>
    <row r="267">
      <c r="A267" s="114" t="inlineStr">
        <is>
          <t xml:space="preserve">СУРХОНДАРЁ ВИЛОЯТИ</t>
        </is>
      </c>
      <c r="C267" s="114" t="inlineStr">
        <is>
          <t xml:space="preserve">Обещал</t>
        </is>
      </c>
      <c r="D267" s="114" t="inlineStr">
        <is>
          <t xml:space="preserve">Кр-99061891-2</t>
        </is>
      </c>
      <c r="E267" s="114" t="inlineStr">
        <is>
          <t xml:space="preserve">NAVRUZOVA ADOLAT MELIKULOVNA</t>
        </is>
      </c>
      <c r="F267" s="114" t="inlineStr">
        <is>
          <t xml:space="preserve">998880439898 SMS QIZI, 998915153070 SMS O’ZI, 998919820709 SMS O’G’LI,</t>
        </is>
      </c>
      <c r="G267" s="114" t="inlineStr">
        <is>
          <t xml:space="preserve">EZGULIK KO’CHASI 38-UY</t>
        </is>
      </c>
      <c r="H267" s="115">
        <v>8.0</v>
      </c>
      <c r="I267" s="115">
        <v>5810235.76</v>
      </c>
      <c r="K267" s="114" t="inlineStr">
        <is>
          <t xml:space="preserve">Va'da berdi | 20 cisiga tolo qberad | 1560</t>
        </is>
      </c>
    </row>
    <row r="268">
      <c r="A268" s="114" t="inlineStr">
        <is>
          <t xml:space="preserve">СУРХОНДАРЁ ВИЛОЯТИ</t>
        </is>
      </c>
      <c r="C268" s="114" t="inlineStr">
        <is>
          <t xml:space="preserve">Обещал</t>
        </is>
      </c>
      <c r="D268" s="114" t="inlineStr">
        <is>
          <t xml:space="preserve">Кр-99037123-1</t>
        </is>
      </c>
      <c r="E268" s="114" t="inlineStr">
        <is>
          <t xml:space="preserve">UMAROV ISROYILJON MAMAJONOVICH</t>
        </is>
      </c>
      <c r="F268" s="114" t="inlineStr">
        <is>
          <t xml:space="preserve">998993451982 SMS OZI, 998885311221 SMS UY, 998900400044 SMS OGLI BEGONA, 998882479680 SMS AKASI, 998975351151 SMS O'ZI , 998772751151 ozi new,</t>
        </is>
      </c>
      <c r="G268" s="114" t="inlineStr">
        <is>
          <t xml:space="preserve">SURXONDARYO VILOYATI DENOV TUMANI TOTUVLI MFY GULBAHOR K’OCHASI 78-UY</t>
        </is>
      </c>
      <c r="H268" s="115">
        <v>43.0</v>
      </c>
      <c r="I268" s="115">
        <v>5752498.04</v>
      </c>
      <c r="K268" s="114" t="inlineStr">
        <is>
          <t xml:space="preserve">Va'da berdi | erte tolo qlad | 681</t>
        </is>
      </c>
    </row>
    <row r="269">
      <c r="A269" s="114" t="inlineStr">
        <is>
          <t xml:space="preserve">СУРХОНДАРЁ ВИЛОЯТИ</t>
        </is>
      </c>
      <c r="C269" s="114" t="inlineStr">
        <is>
          <t xml:space="preserve">Обещал</t>
        </is>
      </c>
      <c r="D269" s="114" t="inlineStr">
        <is>
          <t xml:space="preserve">Кр-99034990-1</t>
        </is>
      </c>
      <c r="E269" s="114" t="inlineStr">
        <is>
          <t xml:space="preserve">PAYG’AMOV SAMANDAR BAXROM O’G’LI</t>
        </is>
      </c>
      <c r="F269" s="114" t="inlineStr">
        <is>
          <t xml:space="preserve">998930038079 SMS OZI, 998941793332 SMS OTASI, 998936763332 SMS OTASI, 998937972425 SMS UKASI,</t>
        </is>
      </c>
      <c r="G269" s="114" t="inlineStr">
        <is>
          <t xml:space="preserve">SURXONDARYO VILOYATI MUZRABOT TUMANI OLMOZOR MFY O’ZBEKISTON KO’CHASI 44-UY</t>
        </is>
      </c>
      <c r="H269" s="115">
        <v>42.0</v>
      </c>
      <c r="I269" s="115">
        <v>5419738.6</v>
      </c>
      <c r="K269" s="114" t="inlineStr">
        <is>
          <t xml:space="preserve">Va'da berdi | bugun erte tolidi | 539</t>
        </is>
      </c>
    </row>
    <row r="270">
      <c r="A270" s="114" t="inlineStr">
        <is>
          <t xml:space="preserve">СУРХОНДАРЁ ВИЛОЯТИ</t>
        </is>
      </c>
      <c r="C270" s="114" t="inlineStr">
        <is>
          <t xml:space="preserve">Обещал</t>
        </is>
      </c>
      <c r="D270" s="114" t="inlineStr">
        <is>
          <t xml:space="preserve">Кр-99058385-1</t>
        </is>
      </c>
      <c r="E270" s="114" t="inlineStr">
        <is>
          <t xml:space="preserve">RAXMATOVA MAFTUNA AXMADOVNA</t>
        </is>
      </c>
      <c r="F270" s="114" t="inlineStr">
        <is>
          <t xml:space="preserve">998942349989 SMS ukasi, 998932508896 SMS uzi , 998932735262 SMS dadasi,</t>
        </is>
      </c>
      <c r="G270" s="114" t="inlineStr">
        <is>
          <t xml:space="preserve">DENOV TUMANI</t>
        </is>
      </c>
      <c r="H270" s="115">
        <v>8.0</v>
      </c>
      <c r="I270" s="115">
        <v>5164765.74</v>
      </c>
      <c r="K270" s="114" t="inlineStr">
        <is>
          <t xml:space="preserve">Va'da berdi | 20 sidan kyn tolo qladi | 1480</t>
        </is>
      </c>
    </row>
    <row r="271">
      <c r="A271" s="114" t="inlineStr">
        <is>
          <t xml:space="preserve">СУРХОНДАРЁ ВИЛОЯТИ</t>
        </is>
      </c>
      <c r="C271" s="114" t="inlineStr">
        <is>
          <t xml:space="preserve">Обещал</t>
        </is>
      </c>
      <c r="D271" s="114" t="inlineStr">
        <is>
          <t xml:space="preserve">Кр-99034309-1</t>
        </is>
      </c>
      <c r="E271" s="114" t="inlineStr">
        <is>
          <t xml:space="preserve">KAMBAROV NIZOMIDDIN IKROMIDDINOVICH</t>
        </is>
      </c>
      <c r="F271" s="114" t="inlineStr">
        <is>
          <t xml:space="preserve">998883310406 SMS OZI, 998885350803 SMS UY, 998882661198 SMS AKASI, 998990157293 SMS UKASI,</t>
        </is>
      </c>
      <c r="G271" s="114" t="inlineStr">
        <is>
          <t xml:space="preserve">Сурхандарьинская область, Денауский район, Фарғона ҚФЙ,  Водий МФЙ, дом 6, кв. 15</t>
        </is>
      </c>
      <c r="H271" s="115">
        <v>8.0</v>
      </c>
      <c r="I271" s="115">
        <v>5048023.32</v>
      </c>
      <c r="K271" s="114" t="inlineStr">
        <is>
          <t xml:space="preserve">Va'da berdi | erte tolidi | 507</t>
        </is>
      </c>
    </row>
    <row r="272">
      <c r="A272" s="114" t="inlineStr">
        <is>
          <t xml:space="preserve">СУРХОНДАРЁ ВИЛОЯТИ</t>
        </is>
      </c>
      <c r="C272" s="114" t="inlineStr">
        <is>
          <t xml:space="preserve">Обещал</t>
        </is>
      </c>
      <c r="D272" s="114" t="inlineStr">
        <is>
          <t xml:space="preserve">Кр-99040217-1</t>
        </is>
      </c>
      <c r="E272" s="114" t="inlineStr">
        <is>
          <t xml:space="preserve">YUSUPOVA ULJON MAMATOVNA</t>
        </is>
      </c>
      <c r="F272" s="114" t="inlineStr">
        <is>
          <t xml:space="preserve">998902252061 SMS OZI, 998995222242 SMS OGLI SHU TULOVCHI FAQAT SHUNGA TEL QILINSIN, 998911913914 SMS JIYANI,</t>
        </is>
      </c>
      <c r="G272" s="114" t="inlineStr">
        <is>
          <t xml:space="preserve">SURXONDARYO VILOYATI OLTINSOY TUMANI XIDIRSHO MFY SOKIN HAYOT KO'CHASI 6-UY</t>
        </is>
      </c>
      <c r="H272" s="115">
        <v>8.0</v>
      </c>
      <c r="I272" s="115">
        <v>4911991.47</v>
      </c>
      <c r="K272" s="114" t="inlineStr">
        <is>
          <t xml:space="preserve">Va'da berdi | oy oxrgaca | 953</t>
        </is>
      </c>
    </row>
    <row r="273">
      <c r="A273" s="114" t="inlineStr">
        <is>
          <t xml:space="preserve">СУРХОНДАРЁ ВИЛОЯТИ</t>
        </is>
      </c>
      <c r="C273" s="114" t="inlineStr">
        <is>
          <t xml:space="preserve">Обещал</t>
        </is>
      </c>
      <c r="D273" s="114" t="inlineStr">
        <is>
          <t xml:space="preserve">Кр-99037958-1</t>
        </is>
      </c>
      <c r="E273" s="114" t="inlineStr">
        <is>
          <t xml:space="preserve">ESANOVA KAMOLA YULDASHEVNA</t>
        </is>
      </c>
      <c r="F273" s="114" t="inlineStr">
        <is>
          <t xml:space="preserve">998939679008 SMS OZI, 998935858080 SMS ERI, 998917141955 SMS ONASI, 998905239973 SMS OPASI,</t>
        </is>
      </c>
      <c r="G273" s="114" t="inlineStr">
        <is>
          <t xml:space="preserve">SURXONDARYO VILOYATI BOYSUN TUMANI POYGABOSHI MFY SEVINCH  K’OCHASI 35-UY </t>
        </is>
      </c>
      <c r="H273" s="115">
        <v>8.0</v>
      </c>
      <c r="I273" s="115">
        <v>4660958.7</v>
      </c>
      <c r="K273" s="114" t="inlineStr">
        <is>
          <t xml:space="preserve">Va'da berdi | bugun kecgaca xal qlad | 735</t>
        </is>
      </c>
    </row>
    <row r="274">
      <c r="A274" s="114" t="inlineStr">
        <is>
          <t xml:space="preserve">СУРХОНДАРЁ ВИЛОЯТИ</t>
        </is>
      </c>
      <c r="C274" s="114" t="inlineStr">
        <is>
          <t xml:space="preserve">Обещал</t>
        </is>
      </c>
      <c r="D274" s="114" t="inlineStr">
        <is>
          <t xml:space="preserve">Кр-99033434-2</t>
        </is>
      </c>
      <c r="E274" s="114" t="inlineStr">
        <is>
          <t xml:space="preserve">KARAYEVA UMIDA SHAMSIDDINOVNA</t>
        </is>
      </c>
      <c r="F274" s="114" t="inlineStr">
        <is>
          <t xml:space="preserve">998953102200 SMS O’ZI, 998996144777 SMS ERI, 998952260624 SMS UKASI, 998995522016 SMS TELEGRAM NOMER,</t>
        </is>
      </c>
      <c r="G274" s="114" t="inlineStr">
        <is>
          <t xml:space="preserve">SURXONDARYO VILOYATI DENOV TUMANI PISTAMOZOR  MFY LOCHIN DEKONCHLIK  51-UY</t>
        </is>
      </c>
      <c r="H274" s="115">
        <v>8.0</v>
      </c>
      <c r="I274" s="115">
        <v>4526968.72</v>
      </c>
      <c r="K274" s="114" t="inlineStr">
        <is>
          <t xml:space="preserve">Va'da berdi | oyni oxrgaca yopad | 443</t>
        </is>
      </c>
    </row>
    <row r="275">
      <c r="A275" s="114" t="inlineStr">
        <is>
          <t xml:space="preserve">СУРХОНДАРЁ ВИЛОЯТИ</t>
        </is>
      </c>
      <c r="C275" s="114" t="inlineStr">
        <is>
          <t xml:space="preserve">Обещал</t>
        </is>
      </c>
      <c r="D275" s="114" t="inlineStr">
        <is>
          <t xml:space="preserve">Кр-99042205-2</t>
        </is>
      </c>
      <c r="E275" s="114" t="inlineStr">
        <is>
          <t xml:space="preserve">ERGASHOVA GULCHEHRA HASANOVNA</t>
        </is>
      </c>
      <c r="F275" s="114" t="inlineStr">
        <is>
          <t xml:space="preserve">998915100210 SMS UY, 998915742909 SMS AYOLI, 998919080869 SMS O’ZI,</t>
        </is>
      </c>
      <c r="G275" s="114" t="inlineStr">
        <is>
          <t xml:space="preserve">СУРХОНДАРЁ ВИЛОЯТИ ШУРЧИ ТУМАНИ ҚЎЛДОШ ҚФЙ, ГУЛИСТОН МФЙ,  uy:68</t>
        </is>
      </c>
      <c r="H275" s="115">
        <v>8.0</v>
      </c>
      <c r="I275" s="115">
        <v>4441108.48</v>
      </c>
      <c r="K275" s="114" t="inlineStr">
        <is>
          <t xml:space="preserve">Va'da berdi | ucaskasn sotuvga qoygan | 1156</t>
        </is>
      </c>
    </row>
    <row r="276">
      <c r="A276" s="114" t="inlineStr">
        <is>
          <t xml:space="preserve">СУРХОНДАРЁ ВИЛОЯТИ</t>
        </is>
      </c>
      <c r="C276" s="114" t="inlineStr">
        <is>
          <t xml:space="preserve">Обещал</t>
        </is>
      </c>
      <c r="D276" s="114" t="inlineStr">
        <is>
          <t xml:space="preserve">Кр-99042816-2</t>
        </is>
      </c>
      <c r="E276" s="114" t="inlineStr">
        <is>
          <t xml:space="preserve">RAHIMOV HUMOYUN BEKMUROD O’G’LI</t>
        </is>
      </c>
      <c r="F276" s="114" t="inlineStr">
        <is>
          <t xml:space="preserve">998942097777 SMS AKASI, 998975341111 SMS O’ZI, 998994161900 SMS SHERIGI,</t>
        </is>
      </c>
      <c r="G276" s="114" t="inlineStr">
        <is>
          <t xml:space="preserve">Тошкент шаҳри, Чилонзор, 17 мавзе, 33 Уй, 69 Квартира</t>
        </is>
      </c>
      <c r="H276" s="115">
        <v>8.0</v>
      </c>
      <c r="I276" s="115">
        <v>4060784.21</v>
      </c>
      <c r="K276" s="114" t="inlineStr">
        <is>
          <t xml:space="preserve">Va'da berdi | wu hafta yop beraman dd | 1177</t>
        </is>
      </c>
    </row>
    <row r="277">
      <c r="A277" s="114" t="inlineStr">
        <is>
          <t xml:space="preserve">СУРХОНДАРЁ ВИЛОЯТИ</t>
        </is>
      </c>
      <c r="C277" s="114" t="inlineStr">
        <is>
          <t xml:space="preserve">Обещал</t>
        </is>
      </c>
      <c r="D277" s="114" t="inlineStr">
        <is>
          <t xml:space="preserve">Кр-99040377-1</t>
        </is>
      </c>
      <c r="E277" s="114" t="inlineStr">
        <is>
          <t xml:space="preserve">RADJABOV JO’RABEK MAXMUTOVICH</t>
        </is>
      </c>
      <c r="F277" s="114" t="inlineStr">
        <is>
          <t xml:space="preserve">998507795666 SMS OZI, 998992118496 SMS UKASI, 998507218995 SMS AYOLI, 998999484972 SMS QAYTNONASI,</t>
        </is>
      </c>
      <c r="G277" s="114" t="inlineStr">
        <is>
          <t xml:space="preserve">SURXONDARYO VILOYATI DENOV TUMANI ISLOM TO'RAYEV MFY ASRLAR SADOSI  KO'CHASI</t>
        </is>
      </c>
      <c r="H277" s="115">
        <v>8.0</v>
      </c>
      <c r="I277" s="115">
        <v>3567229.1</v>
      </c>
      <c r="K277" s="114" t="inlineStr">
        <is>
          <t xml:space="preserve">Va'da berdi | erte uzogi indn tolo qlad | 974</t>
        </is>
      </c>
    </row>
    <row r="278">
      <c r="A278" s="114" t="inlineStr">
        <is>
          <t xml:space="preserve">СУРХОНДАРЁ ВИЛОЯТИ</t>
        </is>
      </c>
      <c r="C278" s="114" t="inlineStr">
        <is>
          <t xml:space="preserve">Обещал</t>
        </is>
      </c>
      <c r="D278" s="114" t="inlineStr">
        <is>
          <t xml:space="preserve">Кр-99053658-1</t>
        </is>
      </c>
      <c r="E278" s="114" t="inlineStr">
        <is>
          <t xml:space="preserve">MUROTALIV BEKMUROD XAITMUROT O’G’LI</t>
        </is>
      </c>
      <c r="F278" s="114" t="inlineStr">
        <is>
          <t xml:space="preserve">998773737223 SMS OZI, 998200295964 SMS OZI, 998954405859 SMS OANSI, 998915833844 SMS AKASI, 998950199165 SMS ozi yangisi,</t>
        </is>
      </c>
      <c r="G278" s="114" t="inlineStr">
        <is>
          <t xml:space="preserve">SURXONDARYO VILOYAT QUMQURG’ON TUMAN GULTEPA MFY BOYQISHLOQ KO’CHASI 252-UY</t>
        </is>
      </c>
      <c r="H278" s="115">
        <v>8.0</v>
      </c>
      <c r="I278" s="115">
        <v>3452921.7</v>
      </c>
      <c r="K278" s="114" t="inlineStr">
        <is>
          <t xml:space="preserve">Va'da berdi | har oy oxirida tolo qlad | 1376</t>
        </is>
      </c>
    </row>
    <row r="279">
      <c r="A279" s="114" t="inlineStr">
        <is>
          <t xml:space="preserve">СУРХОНДАРЁ ВИЛОЯТИ</t>
        </is>
      </c>
      <c r="C279" s="114" t="inlineStr">
        <is>
          <t xml:space="preserve">Обещал</t>
        </is>
      </c>
      <c r="D279" s="114" t="inlineStr">
        <is>
          <t xml:space="preserve">Кр-99049246-1</t>
        </is>
      </c>
      <c r="E279" s="114" t="inlineStr">
        <is>
          <t xml:space="preserve">DJUMAYEV SHAROFIDDIN SHODIKULOVICH</t>
        </is>
      </c>
      <c r="F279" s="114" t="inlineStr">
        <is>
          <t xml:space="preserve">998888752525 SMS O’ZI, 998915111161 SMS OILASI, 998952223089 SMS TO'LOVCHI,</t>
        </is>
      </c>
      <c r="G279" s="114" t="inlineStr">
        <is>
          <t xml:space="preserve">SURXONDARYO VILOYATI DENOVI TUMANI BOG’INAV MFY AL-BUXORIY 47 UY</t>
        </is>
      </c>
      <c r="H279" s="115">
        <v>8.0</v>
      </c>
      <c r="I279" s="115">
        <v>2936269.52</v>
      </c>
      <c r="K279" s="114" t="inlineStr">
        <is>
          <t xml:space="preserve">Va'da berdi | oy oxrgaca | 1299</t>
        </is>
      </c>
    </row>
    <row r="280">
      <c r="A280" s="114" t="inlineStr">
        <is>
          <t xml:space="preserve">СУРХОНДАРЁ ВИЛОЯТИ</t>
        </is>
      </c>
      <c r="C280" s="114" t="inlineStr">
        <is>
          <t xml:space="preserve">Обещал</t>
        </is>
      </c>
      <c r="D280" s="114" t="inlineStr">
        <is>
          <t xml:space="preserve">Кр-99035581-2</t>
        </is>
      </c>
      <c r="E280" s="114" t="inlineStr">
        <is>
          <t xml:space="preserve">SAYDALIYEV BAXTINUR BAXRIDDIN O’G’LI</t>
        </is>
      </c>
      <c r="F280" s="11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80" s="114" t="inlineStr">
        <is>
          <t xml:space="preserve">Сурхондарё вилояти Кизирик Тумани Работак МФЙ, Абдулла Қаххор 1 кучаси, 21...-уй</t>
        </is>
      </c>
      <c r="H280" s="115">
        <v>8.0</v>
      </c>
      <c r="I280" s="115">
        <v>2925210.73</v>
      </c>
      <c r="K280" s="114" t="inlineStr">
        <is>
          <t xml:space="preserve">Va'da berdi | bugun tolo qlad | 577</t>
        </is>
      </c>
    </row>
    <row r="281">
      <c r="A281" s="114" t="inlineStr">
        <is>
          <t xml:space="preserve">СУРХОНДАРЁ ВИЛОЯТИ</t>
        </is>
      </c>
      <c r="C281" s="114" t="inlineStr">
        <is>
          <t xml:space="preserve">Обещал</t>
        </is>
      </c>
      <c r="D281" s="114" t="inlineStr">
        <is>
          <t xml:space="preserve">Кр-99036107-1</t>
        </is>
      </c>
      <c r="E281" s="114" t="inlineStr">
        <is>
          <t xml:space="preserve">ZIKIROV ALISHER KUDRATOVICH</t>
        </is>
      </c>
      <c r="F281" s="114" t="inlineStr">
        <is>
          <t xml:space="preserve">998957668603 SMS O’ZI, 998991970555 SMS JIYANI , 998882444737 AKASI, 998990380351 SMS AYOLI ,</t>
        </is>
      </c>
      <c r="G281" s="114" t="inlineStr">
        <is>
          <t xml:space="preserve">SURXONDARYO VILOYATI DENOV TUMANI ISTIQBOL MFY SATTOR YODGOROV 35-UY </t>
        </is>
      </c>
      <c r="H281" s="115">
        <v>29.0</v>
      </c>
      <c r="I281" s="115">
        <v>2880478.98</v>
      </c>
      <c r="K281" s="114" t="inlineStr">
        <is>
          <t xml:space="preserve">Va'da berdi | 20 cisidan kyn tolo qlad | 623</t>
        </is>
      </c>
    </row>
    <row r="282">
      <c r="A282" s="114" t="inlineStr">
        <is>
          <t xml:space="preserve">СУРХОНДАРЁ ВИЛОЯТИ</t>
        </is>
      </c>
      <c r="C282" s="114" t="inlineStr">
        <is>
          <t xml:space="preserve">Обещал</t>
        </is>
      </c>
      <c r="D282" s="114" t="inlineStr">
        <is>
          <t xml:space="preserve">Кр-99057441-1</t>
        </is>
      </c>
      <c r="E282" s="114" t="inlineStr">
        <is>
          <t xml:space="preserve">ISMATULLAYEV SALOXIDDIN SHERALI O’G’LI</t>
        </is>
      </c>
      <c r="F282" s="114" t="inlineStr">
        <is>
          <t xml:space="preserve">998971544440 SMS UZI, 998700137737 SMS UKASI, 998917333337 SMS UY, 998903799208 SMS UY 2,</t>
        </is>
      </c>
      <c r="G282" s="114" t="inlineStr">
        <is>
          <t xml:space="preserve">SURXONDARYO VILOYATI UZUN TUMANI QARASHIQ MFY SHODLIK KO’CHASI  153-UY </t>
        </is>
      </c>
      <c r="H282" s="115">
        <v>8.0</v>
      </c>
      <c r="I282" s="115">
        <v>2841617.98</v>
      </c>
      <c r="K282" s="114" t="inlineStr">
        <is>
          <t xml:space="preserve">Va'da berdi | bugun yo erte tolov qlad | 1449</t>
        </is>
      </c>
    </row>
    <row r="283">
      <c r="A283" s="114" t="inlineStr">
        <is>
          <t xml:space="preserve">СУРХОНДАРЁ ВИЛОЯТИ</t>
        </is>
      </c>
      <c r="C283" s="114" t="inlineStr">
        <is>
          <t xml:space="preserve">Обещал</t>
        </is>
      </c>
      <c r="D283" s="114" t="inlineStr">
        <is>
          <t xml:space="preserve">Кр-99037348-1</t>
        </is>
      </c>
      <c r="E283" s="114" t="inlineStr">
        <is>
          <t xml:space="preserve">OLIMOV UMIDJON XUMOYIDDIN O’G’LI</t>
        </is>
      </c>
      <c r="F283" s="114" t="inlineStr">
        <is>
          <t xml:space="preserve">998942029997 SMS OZI, 998943059997 SMS UY, 998774143444 SMS AKASI, 998932072484 SMS AKASI,</t>
        </is>
      </c>
      <c r="G283" s="114" t="inlineStr">
        <is>
          <t xml:space="preserve">SURXONDARYO VILOYATI QUMQO’RG’ON TUMANI YANGIQISHLOQ  MFY NAFASAD   37-UY</t>
        </is>
      </c>
      <c r="H283" s="115">
        <v>1.0</v>
      </c>
      <c r="I283" s="115">
        <v>2823681.2</v>
      </c>
      <c r="K283" s="114" t="inlineStr">
        <is>
          <t xml:space="preserve">Va'da berdi | bugun hal qlama dd | 704</t>
        </is>
      </c>
    </row>
    <row r="284">
      <c r="A284" s="114" t="inlineStr">
        <is>
          <t xml:space="preserve">СУРХОНДАРЁ ВИЛОЯТИ</t>
        </is>
      </c>
      <c r="C284" s="114" t="inlineStr">
        <is>
          <t xml:space="preserve">Обещал</t>
        </is>
      </c>
      <c r="D284" s="114" t="inlineStr">
        <is>
          <t xml:space="preserve">Кр-99037985-1</t>
        </is>
      </c>
      <c r="E284" s="114" t="inlineStr">
        <is>
          <t xml:space="preserve">RAXMATOV SANJAR SIROJIDDIN O’G’LI</t>
        </is>
      </c>
      <c r="F284" s="114" t="inlineStr">
        <is>
          <t xml:space="preserve">998200079666 SMS OZI, 998770979222 SMS UYI, 998934087282 SMS UKASI, 998990379858 SMS UYI, 998770979222 SMS TOLOVCHI MOSHINANI SHU SOTIB OLGAN ,</t>
        </is>
      </c>
      <c r="G284" s="114" t="inlineStr">
        <is>
          <t xml:space="preserve">SURXONDARYO VILOYATI BOYSUN TUMANI GAZA MFY BIDORKOM 79-UY</t>
        </is>
      </c>
      <c r="H284" s="115">
        <v>8.0</v>
      </c>
      <c r="I284" s="115">
        <v>2728535.7</v>
      </c>
      <c r="K284" s="114" t="inlineStr">
        <is>
          <t xml:space="preserve">Va'da berdi | togga ciqib ketibdi kyng xaftala tuwad toolov qlama dd | 736</t>
        </is>
      </c>
    </row>
    <row r="285">
      <c r="A285" s="114" t="inlineStr">
        <is>
          <t xml:space="preserve">СУРХОНДАРЁ ВИЛОЯТИ</t>
        </is>
      </c>
      <c r="C285" s="114" t="inlineStr">
        <is>
          <t xml:space="preserve">Обещал</t>
        </is>
      </c>
      <c r="D285" s="114" t="inlineStr">
        <is>
          <t xml:space="preserve">Кр-99034309-2</t>
        </is>
      </c>
      <c r="E285" s="114" t="inlineStr">
        <is>
          <t xml:space="preserve">KAMBAROV NIZOMIDDIN IKROMIDDINOVICH</t>
        </is>
      </c>
      <c r="F285" s="114" t="inlineStr">
        <is>
          <t xml:space="preserve">998883310406 SMS OZI, 998885350803 SMS UY, 998882661198 SMS AKASI, 998990157293 SMS UKASI,</t>
        </is>
      </c>
      <c r="G285" s="114" t="inlineStr">
        <is>
          <t xml:space="preserve">Сурхандарьинская область, Денауский район, Фарғона ҚФЙ,  Водий МФЙ, дом 6, кв. 15</t>
        </is>
      </c>
      <c r="H285" s="115">
        <v>8.0</v>
      </c>
      <c r="I285" s="115">
        <v>2705342.8</v>
      </c>
      <c r="K285" s="114" t="inlineStr">
        <is>
          <t xml:space="preserve">Va'da berdi | 2-3 kunda tolo qlad | 508</t>
        </is>
      </c>
    </row>
    <row r="286">
      <c r="A286" s="114" t="inlineStr">
        <is>
          <t xml:space="preserve">СУРХОНДАРЁ ВИЛОЯТИ</t>
        </is>
      </c>
      <c r="C286" s="114" t="inlineStr">
        <is>
          <t xml:space="preserve">Обещал</t>
        </is>
      </c>
      <c r="D286" s="114" t="inlineStr">
        <is>
          <t xml:space="preserve">Кр-99035839-1</t>
        </is>
      </c>
      <c r="E286" s="114" t="inlineStr">
        <is>
          <t xml:space="preserve">NAZAROV SOATMUROT BOBONAZAROVICH</t>
        </is>
      </c>
      <c r="F286" s="114" t="inlineStr">
        <is>
          <t xml:space="preserve">998904112878 SMS tulovchi quruvchi, 998915861956 SMS OZI, 998915103380 SMS UY, 998952790593 SMS OGLI,</t>
        </is>
      </c>
      <c r="G286" s="114" t="inlineStr">
        <is>
          <t xml:space="preserve">SURXONDARYO VILOYATI DENOV TUMANI XAYRABOD QFY PAXTAKURASH MFY SURXONDARYO KO'CHASI 22-UY</t>
        </is>
      </c>
      <c r="H286" s="115">
        <v>8.0</v>
      </c>
      <c r="I286" s="115">
        <v>2549051.45</v>
      </c>
      <c r="K286" s="114" t="inlineStr">
        <is>
          <t xml:space="preserve">Va'da berdi | soatmurot aka bn gaplawdm oglm tolid wu xaftalarda dd | 600</t>
        </is>
      </c>
    </row>
    <row r="287">
      <c r="A287" s="114" t="inlineStr">
        <is>
          <t xml:space="preserve">СУРХОНДАРЁ ВИЛОЯТИ</t>
        </is>
      </c>
      <c r="C287" s="114" t="inlineStr">
        <is>
          <t xml:space="preserve">Обещал</t>
        </is>
      </c>
      <c r="D287" s="114" t="inlineStr">
        <is>
          <t xml:space="preserve">Кр-99062848-2</t>
        </is>
      </c>
      <c r="E287" s="114" t="inlineStr">
        <is>
          <t xml:space="preserve">BOZOROV RO’ZIMUROD IBROXIM O’G’LI</t>
        </is>
      </c>
      <c r="F287" s="114" t="inlineStr">
        <is>
          <t xml:space="preserve">+998915169710 SMS OZI, 998884151097 SMS AYOLI, 998902472797 SMS AKASI,</t>
        </is>
      </c>
      <c r="G287" s="114" t="inlineStr">
        <is>
          <t xml:space="preserve">ТЕРМИЗ Ш., БАЙНАЛМИНАЛ МФЙ, ШИМОЛИЙ ДАРВОЗА 1-БУРИЛИШ 4-БОШИ БЕРК,  uy:7</t>
        </is>
      </c>
      <c r="H287" s="115">
        <v>5.0</v>
      </c>
      <c r="I287" s="115">
        <v>2499240.92</v>
      </c>
      <c r="K287" s="114" t="inlineStr">
        <is>
          <t xml:space="preserve">Va'da berdi | bugundan qoldirmasdan tolov qlad | 1636</t>
        </is>
      </c>
    </row>
    <row r="288">
      <c r="A288" s="114" t="inlineStr">
        <is>
          <t xml:space="preserve">СУРХОНДАРЁ ВИЛОЯТИ</t>
        </is>
      </c>
      <c r="C288" s="114" t="inlineStr">
        <is>
          <t xml:space="preserve">Обещал</t>
        </is>
      </c>
      <c r="D288" s="114" t="inlineStr">
        <is>
          <t xml:space="preserve">Кр-99035581-5</t>
        </is>
      </c>
      <c r="E288" s="114" t="inlineStr">
        <is>
          <t xml:space="preserve">SAYDALIYEV BAXTINUR BAXRIDDIN O’G’LI</t>
        </is>
      </c>
      <c r="F288" s="11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88" s="114" t="inlineStr">
        <is>
          <t xml:space="preserve">Сурхондарё вилояти Кизирик Тумани Работак МФЙ, Абдулла Қаххор 1 кучаси, 21...-уй</t>
        </is>
      </c>
      <c r="H288" s="115">
        <v>8.0</v>
      </c>
      <c r="I288" s="115">
        <v>2448284.87</v>
      </c>
      <c r="K288" s="114" t="inlineStr">
        <is>
          <t xml:space="preserve">Va'da berdi | bugun tolo qlad | 579</t>
        </is>
      </c>
    </row>
    <row r="289">
      <c r="A289" s="114" t="inlineStr">
        <is>
          <t xml:space="preserve">СУРХОНДАРЁ ВИЛОЯТИ</t>
        </is>
      </c>
      <c r="C289" s="114" t="inlineStr">
        <is>
          <t xml:space="preserve">Обещал</t>
        </is>
      </c>
      <c r="D289" s="114" t="inlineStr">
        <is>
          <t xml:space="preserve">Кр-99036477-1</t>
        </is>
      </c>
      <c r="E289" s="114" t="inlineStr">
        <is>
          <t xml:space="preserve">MALIKOVA DILFUZA FARXODOVNA</t>
        </is>
      </c>
      <c r="F289" s="114" t="inlineStr">
        <is>
          <t xml:space="preserve">998942626009 SMS OZI, 998888100600 SMS DOSTI, 998919000061 SMS ERI, 998947086666 SMS ERI,</t>
        </is>
      </c>
      <c r="G289" s="114" t="inlineStr">
        <is>
          <t xml:space="preserve">SURXANDARYO VILOYATI SHEROBOD TUMANI HO’JGI MAXALLASI SH.SHOBERDIYEV KUCHASI 59 UY</t>
        </is>
      </c>
      <c r="H289" s="115">
        <v>11.0</v>
      </c>
      <c r="I289" s="115">
        <v>2438878.1</v>
      </c>
      <c r="K289" s="114" t="inlineStr">
        <is>
          <t xml:space="preserve">Va'da berdi | dilfuzani eri kotardi tolov qladigan odamga etama 3-4 kunda tolo qberad dd | 642</t>
        </is>
      </c>
    </row>
    <row r="290">
      <c r="A290" s="114" t="inlineStr">
        <is>
          <t xml:space="preserve">СУРХОНДАРЁ ВИЛОЯТИ</t>
        </is>
      </c>
      <c r="C290" s="114" t="inlineStr">
        <is>
          <t xml:space="preserve">Обещал</t>
        </is>
      </c>
      <c r="D290" s="114" t="inlineStr">
        <is>
          <t xml:space="preserve">Кр-99033591-1</t>
        </is>
      </c>
      <c r="E290" s="114" t="inlineStr">
        <is>
          <t xml:space="preserve">XOLLIYEV ABDUMAJID ESHBO’RIYEVICH</t>
        </is>
      </c>
      <c r="F290" s="114" t="inlineStr">
        <is>
          <t xml:space="preserve">998997561174 SMS O’ZI, 998937683686 SMS UKASI, 998884290204 SMS O’G’LI, 998990768400 SMS UKASI, 998770505870 SMS ,</t>
        </is>
      </c>
      <c r="G290" s="114" t="inlineStr">
        <is>
          <t xml:space="preserve">SURXONDARYO VILOYATI ANGOR TUMAN MARKAZ MFY FIDOKOR KO’CHASI </t>
        </is>
      </c>
      <c r="H290" s="115">
        <v>1.0</v>
      </c>
      <c r="I290" s="115">
        <v>2424000.0</v>
      </c>
      <c r="K290" s="114" t="inlineStr">
        <is>
          <t xml:space="preserve">Va'da berdi | 2-3 kunda tolo qlad | 467</t>
        </is>
      </c>
    </row>
    <row r="291">
      <c r="A291" s="114" t="inlineStr">
        <is>
          <t xml:space="preserve">СУРХОНДАРЁ ВИЛОЯТИ</t>
        </is>
      </c>
      <c r="C291" s="114" t="inlineStr">
        <is>
          <t xml:space="preserve">Обещал</t>
        </is>
      </c>
      <c r="D291" s="114" t="inlineStr">
        <is>
          <t xml:space="preserve">Кр-99034163-2</t>
        </is>
      </c>
      <c r="E291" s="114" t="inlineStr">
        <is>
          <t xml:space="preserve">XOLMATOV BEKZOD NORTOJIYEVICH</t>
        </is>
      </c>
      <c r="F291" s="114" t="inlineStr">
        <is>
          <t xml:space="preserve">998910790909 SMS O’ZI, 998951755754 SMS UY, 998919012266 SMS DADASI, 998952757552 SMS UKASI,</t>
        </is>
      </c>
      <c r="G291" s="114" t="inlineStr">
        <is>
          <t xml:space="preserve">SURXONDARYO VILOYATI DENOV TUMANI ZARAFSHON  MFY FIDOKAR K’OCHASI 6- UY</t>
        </is>
      </c>
      <c r="H291" s="115">
        <v>13.0</v>
      </c>
      <c r="I291" s="115">
        <v>2331209.46</v>
      </c>
      <c r="K291" s="114" t="inlineStr">
        <is>
          <t xml:space="preserve">Va'da berdi | erte tolidi | 491</t>
        </is>
      </c>
    </row>
    <row r="292">
      <c r="A292" s="114" t="inlineStr">
        <is>
          <t xml:space="preserve">СУРХОНДАРЁ ВИЛОЯТИ</t>
        </is>
      </c>
      <c r="C292" s="114" t="inlineStr">
        <is>
          <t xml:space="preserve">Обещал</t>
        </is>
      </c>
      <c r="D292" s="114" t="inlineStr">
        <is>
          <t xml:space="preserve">Кр-99057464-1</t>
        </is>
      </c>
      <c r="E292" s="114" t="inlineStr">
        <is>
          <t xml:space="preserve">MUMINOV G’ULOM NORMURODOVICH</t>
        </is>
      </c>
      <c r="F292" s="114" t="inlineStr">
        <is>
          <t xml:space="preserve">998942650302 SMS UZI, 998937084577 SMS UY, 998940000686 SMS AKASI, 998771100683 SMS OILASI,</t>
        </is>
      </c>
      <c r="G292" s="114" t="inlineStr">
        <is>
          <t xml:space="preserve">SURXONDARYO VILOYATI DENOV TUMANI SOXIBKOR MFY USHOR 30-UY</t>
        </is>
      </c>
      <c r="H292" s="115">
        <v>8.0</v>
      </c>
      <c r="I292" s="115">
        <v>2219940.39</v>
      </c>
      <c r="K292" s="114" t="inlineStr">
        <is>
          <t xml:space="preserve">Va'da berdi | wu hafta juma kuni tolov qlad | 1455</t>
        </is>
      </c>
    </row>
    <row r="293">
      <c r="A293" s="114" t="inlineStr">
        <is>
          <t xml:space="preserve">СУРХОНДАРЁ ВИЛОЯТИ</t>
        </is>
      </c>
      <c r="C293" s="114" t="inlineStr">
        <is>
          <t xml:space="preserve">Обещал</t>
        </is>
      </c>
      <c r="D293" s="114" t="inlineStr">
        <is>
          <t xml:space="preserve">Кр-99043043-1</t>
        </is>
      </c>
      <c r="E293" s="114" t="inlineStr">
        <is>
          <t xml:space="preserve">BOYQULOV FIRDAVS ABDUVOXID O’G’LI</t>
        </is>
      </c>
      <c r="F293" s="114" t="inlineStr">
        <is>
          <t xml:space="preserve">998944361003 SMS O’ZI, 998991351177 SMS UY, 998996660094 SMS AKASI,</t>
        </is>
      </c>
      <c r="G293" s="114" t="inlineStr">
        <is>
          <t xml:space="preserve">Сурхандарьинская область, Денауский район, Хазарбоғ СИУ, Чим МСГ, ул. Гулистон, дом 6</t>
        </is>
      </c>
      <c r="H293" s="115">
        <v>8.0</v>
      </c>
      <c r="I293" s="115">
        <v>2017063.72</v>
      </c>
      <c r="K293" s="114" t="inlineStr">
        <is>
          <t xml:space="preserve">Va'da berdi | kyng xaftalar tolo qllad | 1186</t>
        </is>
      </c>
    </row>
    <row r="294">
      <c r="A294" s="114" t="inlineStr">
        <is>
          <t xml:space="preserve">СУРХОНДАРЁ ВИЛОЯТИ</t>
        </is>
      </c>
      <c r="C294" s="114" t="inlineStr">
        <is>
          <t xml:space="preserve">Обещал</t>
        </is>
      </c>
      <c r="D294" s="114" t="inlineStr">
        <is>
          <t xml:space="preserve">Кр-99040374-1</t>
        </is>
      </c>
      <c r="E294" s="114" t="inlineStr">
        <is>
          <t xml:space="preserve">KARSHIYEV TAJIMURAT PRIMOVICH</t>
        </is>
      </c>
      <c r="F294" s="114" t="inlineStr">
        <is>
          <t xml:space="preserve">998993876160 SMS OZI, 998997284700 SMS OGLI, 998991496886 SMS OGLI,</t>
        </is>
      </c>
      <c r="G294" s="114" t="inlineStr">
        <is>
          <t xml:space="preserve">SURXONDARYO VILOYATI QUMQO'RG'ON TUMANI DAVLATSOY MAXALLASI USTALAR KO'CHASI 26-UY</t>
        </is>
      </c>
      <c r="I294" s="115">
        <v>1996808.61</v>
      </c>
      <c r="K294" s="114" t="inlineStr">
        <is>
          <t xml:space="preserve">Va'da berdi | 1-2 kunda borb tolo qb kelad | 973</t>
        </is>
      </c>
    </row>
    <row r="295">
      <c r="A295" s="114" t="inlineStr">
        <is>
          <t xml:space="preserve">СУРХОНДАРЁ ВИЛОЯТИ</t>
        </is>
      </c>
      <c r="C295" s="114" t="inlineStr">
        <is>
          <t xml:space="preserve">Обещал</t>
        </is>
      </c>
      <c r="D295" s="114" t="inlineStr">
        <is>
          <t xml:space="preserve">Кр-99034974-1</t>
        </is>
      </c>
      <c r="E295" s="114" t="inlineStr">
        <is>
          <t xml:space="preserve">XUSHBAQOV MANSURBEK XUDAYBERDI O’G’LI</t>
        </is>
      </c>
      <c r="F295" s="114" t="inlineStr">
        <is>
          <t xml:space="preserve">998972427172 SMS OZI, 998500532519 SMS UY, 998884231373 SMS OILASI, 998903750890 SMS OZI,</t>
        </is>
      </c>
      <c r="G295" s="114" t="inlineStr">
        <is>
          <t xml:space="preserve">SURXONDARYO VILOYATI OLTINSOY TUMANI DUG’OBA QFY OLMAZOR MFY MARJON BULOQ KO’CHASI 59-UY</t>
        </is>
      </c>
      <c r="H295" s="115">
        <v>12.0</v>
      </c>
      <c r="I295" s="115">
        <v>1703401.11</v>
      </c>
      <c r="K295" s="114" t="inlineStr">
        <is>
          <t xml:space="preserve">Va'da berdi | 20 cilariga tolov qlaman dd | 537</t>
        </is>
      </c>
    </row>
    <row r="296">
      <c r="A296" s="114" t="inlineStr">
        <is>
          <t xml:space="preserve">СУРХОНДАРЁ ВИЛОЯТИ</t>
        </is>
      </c>
      <c r="C296" s="114" t="inlineStr">
        <is>
          <t xml:space="preserve">Обещал</t>
        </is>
      </c>
      <c r="D296" s="114" t="inlineStr">
        <is>
          <t xml:space="preserve">Кр-99037942-1</t>
        </is>
      </c>
      <c r="E296" s="114" t="inlineStr">
        <is>
          <t xml:space="preserve">YODGOROV XAMRO ESHONQULOVICH</t>
        </is>
      </c>
      <c r="F296" s="114" t="inlineStr">
        <is>
          <t xml:space="preserve">998919696012 SMS OZI, 998901201798 SMS UYI, 998991828111 SMS TULOVCHI UG`LI MUHRIDDIN, 998952435111 SMS ONASI,</t>
        </is>
      </c>
      <c r="G296" s="114" t="inlineStr">
        <is>
          <t xml:space="preserve">SURXONDARYO VILOYATI SARIOSIYO TUMANI SHAXRIOBOD MFY SOADATMAN 2-UY</t>
        </is>
      </c>
      <c r="I296" s="115">
        <v>1674909.81</v>
      </c>
      <c r="K296" s="114" t="inlineStr">
        <is>
          <t xml:space="preserve">Va'da berdi | 2-3 kunda tolo qlad | 734</t>
        </is>
      </c>
    </row>
    <row r="297">
      <c r="A297" s="114" t="inlineStr">
        <is>
          <t xml:space="preserve">СУРХОНДАРЁ ВИЛОЯТИ</t>
        </is>
      </c>
      <c r="C297" s="114" t="inlineStr">
        <is>
          <t xml:space="preserve">Обещал</t>
        </is>
      </c>
      <c r="D297" s="114" t="inlineStr">
        <is>
          <t xml:space="preserve">Кр-99040161-1</t>
        </is>
      </c>
      <c r="E297" s="114" t="inlineStr">
        <is>
          <t xml:space="preserve">JOVLIYEV ZOXID XURSANQUL O’G’LI</t>
        </is>
      </c>
      <c r="F297" s="114" t="inlineStr">
        <is>
          <t xml:space="preserve">998951578486 SMS OZI, 998942078486 SMS AYOLI, 998942000757 SMS ONASI,</t>
        </is>
      </c>
      <c r="G297" s="114" t="inlineStr">
        <is>
          <t xml:space="preserve">StJttХoNDARYO vlLoYAT IvlUZRABoT TUMAN oRlYAT MF'Y</t>
        </is>
      </c>
      <c r="H297" s="115">
        <v>8.0</v>
      </c>
      <c r="I297" s="115">
        <v>1599135.07</v>
      </c>
      <c r="K297" s="114" t="inlineStr">
        <is>
          <t xml:space="preserve">Va'da berdi | bugundan qomedi kecasi bosayam tawed | 947</t>
        </is>
      </c>
    </row>
    <row r="298">
      <c r="A298" s="114" t="inlineStr">
        <is>
          <t xml:space="preserve">СУРХОНДАРЁ ВИЛОЯТИ</t>
        </is>
      </c>
      <c r="C298" s="114" t="inlineStr">
        <is>
          <t xml:space="preserve">Обещал</t>
        </is>
      </c>
      <c r="D298" s="114" t="inlineStr">
        <is>
          <t xml:space="preserve">Кр-99035581-3</t>
        </is>
      </c>
      <c r="E298" s="114" t="inlineStr">
        <is>
          <t xml:space="preserve">SAYDALIYEV BAXTINUR BAXRIDDIN O’G’LI</t>
        </is>
      </c>
      <c r="F298" s="11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98" s="114" t="inlineStr">
        <is>
          <t xml:space="preserve">Сурхондарё вилояти Кизирик Тумани Работак МФЙ, Абдулла Қаххор 1 кучаси, 21...-уй</t>
        </is>
      </c>
      <c r="H298" s="115">
        <v>8.0</v>
      </c>
      <c r="I298" s="115">
        <v>1419181.65</v>
      </c>
      <c r="K298" s="114" t="inlineStr">
        <is>
          <t xml:space="preserve">Va'da berdi | bugun tolo qlad | 578</t>
        </is>
      </c>
    </row>
    <row r="299">
      <c r="A299" s="114" t="inlineStr">
        <is>
          <t xml:space="preserve">СУРХОНДАРЁ ВИЛОЯТИ</t>
        </is>
      </c>
      <c r="C299" s="114" t="inlineStr">
        <is>
          <t xml:space="preserve">Обещал</t>
        </is>
      </c>
      <c r="D299" s="114" t="inlineStr">
        <is>
          <t xml:space="preserve">Кр-99041909-2</t>
        </is>
      </c>
      <c r="E299" s="114" t="inlineStr">
        <is>
          <t xml:space="preserve">XURSANDOV IKROM NEMATULLO O’G’LI</t>
        </is>
      </c>
      <c r="F299" s="114" t="inlineStr">
        <is>
          <t xml:space="preserve">998885991414 SMS O’ZI, 998887642002 SMS SHERIGI, 998972424999 SMS UY,</t>
        </is>
      </c>
      <c r="G299" s="114" t="inlineStr">
        <is>
          <t xml:space="preserve">Сурхандарьинская область, Денауский район, Тасмасой МСГ, ул. Лимонзор-2 берк, дом 6</t>
        </is>
      </c>
      <c r="H299" s="115">
        <v>8.0</v>
      </c>
      <c r="I299" s="115">
        <v>1188955.34</v>
      </c>
      <c r="K299" s="114" t="inlineStr">
        <is>
          <t xml:space="preserve">Va'da berdi | bugun qisman tolo qlad erte oy indin qoganin qlad | 1142</t>
        </is>
      </c>
    </row>
    <row r="300">
      <c r="A300" s="114" t="inlineStr">
        <is>
          <t xml:space="preserve">СУРХОНДАРЁ ВИЛОЯТИ</t>
        </is>
      </c>
      <c r="C300" s="114" t="inlineStr">
        <is>
          <t xml:space="preserve">Обещал</t>
        </is>
      </c>
      <c r="D300" s="114" t="inlineStr">
        <is>
          <t xml:space="preserve">Кр-99035156-1</t>
        </is>
      </c>
      <c r="E300" s="114" t="inlineStr">
        <is>
          <t xml:space="preserve">ABDUYEV XODJAAKBAR KARIMOVICH</t>
        </is>
      </c>
      <c r="F300" s="114" t="inlineStr">
        <is>
          <t xml:space="preserve">998952371191 SMS O’ZI nonvoylik qiladi, 998976237477 SMS UY, 998337202515 SMS SHERIGI, 998991085695 SMS ISHXONA,</t>
        </is>
      </c>
      <c r="G300" s="114" t="inlineStr">
        <is>
          <t xml:space="preserve">SURXONDARYO VILOYATI DENOV TUMANI SINA QFY FAYZAOBOD MFY NAFIS 52-UY</t>
        </is>
      </c>
      <c r="H300" s="115">
        <v>5.0</v>
      </c>
      <c r="I300" s="115">
        <v>1078690.76</v>
      </c>
      <c r="K300" s="114" t="inlineStr">
        <is>
          <t xml:space="preserve">Va'da berdi | bugun qisman tolo qlad qoganin 3-4 kunda mayda mayda qb yopb qoyad | 553</t>
        </is>
      </c>
    </row>
    <row r="301">
      <c r="A301" s="114" t="inlineStr">
        <is>
          <t xml:space="preserve">СУРХОНДАРЁ ВИЛОЯТИ</t>
        </is>
      </c>
      <c r="C301" s="114" t="inlineStr">
        <is>
          <t xml:space="preserve">Обещал</t>
        </is>
      </c>
      <c r="D301" s="114" t="inlineStr">
        <is>
          <t xml:space="preserve">Кр-99041744-1</t>
        </is>
      </c>
      <c r="E301" s="114" t="inlineStr">
        <is>
          <t xml:space="preserve">KARIMOVA MADINA SOTTOR QIZI</t>
        </is>
      </c>
      <c r="F301" s="114" t="inlineStr">
        <is>
          <t xml:space="preserve">998975527101 SMS OZI, 998881927101 SMS UY, 999872010159 SMS OILASI, 998785510044 SMS UKASI, 998957737555 SMS ERI,</t>
        </is>
      </c>
      <c r="G301" s="114" t="inlineStr">
        <is>
          <t xml:space="preserve">SURXONDARYO VILOYATI DENOV TUMANI BUYUKIPAK YULI MFY I.KARIMOV 70-UY</t>
        </is>
      </c>
      <c r="H301" s="115">
        <v>8.0</v>
      </c>
      <c r="I301" s="115">
        <v>1018191.84</v>
      </c>
      <c r="K301" s="114" t="inlineStr">
        <is>
          <t xml:space="preserve">Va'da berdi | 2-3 kunda yopad | 1125</t>
        </is>
      </c>
    </row>
    <row r="302">
      <c r="A302" s="114" t="inlineStr">
        <is>
          <t xml:space="preserve">СУРХОНДАРЁ ВИЛОЯТИ</t>
        </is>
      </c>
      <c r="C302" s="114" t="inlineStr">
        <is>
          <t xml:space="preserve">Обещал</t>
        </is>
      </c>
      <c r="D302" s="114" t="inlineStr">
        <is>
          <t xml:space="preserve">Кр-99035839-2</t>
        </is>
      </c>
      <c r="E302" s="114" t="inlineStr">
        <is>
          <t xml:space="preserve">NAZAROV SOATMUROT BOBONAZAROVICH</t>
        </is>
      </c>
      <c r="F302" s="114" t="inlineStr">
        <is>
          <t xml:space="preserve">998904112878 SMS tulovchi quruvchi, 998915861956 SMS OZI, 998915103380 SMS UY, 998952790593 SMS OGLI,</t>
        </is>
      </c>
      <c r="G302" s="114" t="inlineStr">
        <is>
          <t xml:space="preserve">SURXONDARYO VILOYATI DENOV TUMANI XAYRABOD QFY PAXTAKURASH MFY SURXONDARYO KO'CHASI 22-UY</t>
        </is>
      </c>
      <c r="H302" s="115">
        <v>8.0</v>
      </c>
      <c r="I302" s="115">
        <v>679595.62</v>
      </c>
      <c r="K302" s="114" t="inlineStr">
        <is>
          <t xml:space="preserve">Va'da berdi | soatmurot aka bn gaplawdm oglm tolid wu xaftalarda dd | 601</t>
        </is>
      </c>
    </row>
    <row r="303">
      <c r="A303" s="114" t="inlineStr">
        <is>
          <t xml:space="preserve">СУРХОНДАРЁ ВИЛОЯТИ</t>
        </is>
      </c>
      <c r="C303" s="114" t="inlineStr">
        <is>
          <t xml:space="preserve">Обещал</t>
        </is>
      </c>
      <c r="D303" s="114" t="inlineStr">
        <is>
          <t xml:space="preserve">Кр-99041293-2</t>
        </is>
      </c>
      <c r="E303" s="114" t="inlineStr">
        <is>
          <t xml:space="preserve">MUZRAPOV OTABEK SAYDAXMAT O’G’LI</t>
        </is>
      </c>
      <c r="F303" s="114" t="inlineStr">
        <is>
          <t xml:space="preserve">998904944044 SMS O’ZI, 998915174919 SMS UKASI, 998958852122 SMS UY,</t>
        </is>
      </c>
      <c r="G303" s="114" t="inlineStr">
        <is>
          <t xml:space="preserve">ҚОРЛИҚ ҚФЙ, ҚОРЛИҚ ҚФЙ, ҚОРЛИҚ-1,  uy:34</t>
        </is>
      </c>
      <c r="H303" s="115">
        <v>8.0</v>
      </c>
      <c r="I303" s="115">
        <v>543388.92</v>
      </c>
      <c r="K303" s="114" t="inlineStr">
        <is>
          <t xml:space="preserve">Va'da berdi | erte uzogi indn tolo qlad | 1082</t>
        </is>
      </c>
    </row>
    <row r="304">
      <c r="A304" s="114" t="inlineStr">
        <is>
          <t xml:space="preserve">СУРХОНДАРЁ ВИЛОЯТИ</t>
        </is>
      </c>
      <c r="C304" s="114" t="inlineStr">
        <is>
          <t xml:space="preserve">Обещал</t>
        </is>
      </c>
      <c r="D304" s="114" t="inlineStr">
        <is>
          <t xml:space="preserve">Кр-99041744-2</t>
        </is>
      </c>
      <c r="E304" s="114" t="inlineStr">
        <is>
          <t xml:space="preserve">KARIMOVA MADINA SOTTOR QIZI</t>
        </is>
      </c>
      <c r="F304" s="114" t="inlineStr">
        <is>
          <t xml:space="preserve">998975527101 SMS OZI, 998881927101 SMS UY, 999872010159 SMS OILASI, 998785510044 SMS UKASI, 998957737555 SMS ERI,</t>
        </is>
      </c>
      <c r="G304" s="114" t="inlineStr">
        <is>
          <t xml:space="preserve">SURXONDARYO VILOYATI DENOV TUMANI BUYUKIPAK YULI MFY I.KARIMOV 70-UY</t>
        </is>
      </c>
      <c r="H304" s="115">
        <v>8.0</v>
      </c>
      <c r="I304" s="115">
        <v>528418.84</v>
      </c>
      <c r="K304" s="114" t="inlineStr">
        <is>
          <t xml:space="preserve">Va'da berdi | bugun yopilad | 1126</t>
        </is>
      </c>
    </row>
    <row r="305">
      <c r="A305" s="114" t="inlineStr">
        <is>
          <t xml:space="preserve">СУРХОНДАРЁ ВИЛОЯТИ</t>
        </is>
      </c>
      <c r="C305" s="114" t="inlineStr">
        <is>
          <t xml:space="preserve">Обещал</t>
        </is>
      </c>
      <c r="D305" s="114" t="inlineStr">
        <is>
          <t xml:space="preserve">Кр-99064054-1</t>
        </is>
      </c>
      <c r="E305" s="114" t="inlineStr">
        <is>
          <t xml:space="preserve">TILAKOV YASHNARBEK BEGALIYEVICH</t>
        </is>
      </c>
      <c r="F305" s="114" t="inlineStr">
        <is>
          <t xml:space="preserve">998770425002 TOG’ASI, 998954949000 O’ZI, 998957669000 AYOLI,</t>
        </is>
      </c>
      <c r="G305" s="114" t="inlineStr">
        <is>
          <t xml:space="preserve">RAYHON KO’CHASI 36-UY</t>
        </is>
      </c>
      <c r="H305" s="115">
        <v>8.0</v>
      </c>
      <c r="I305" s="115">
        <v>412804.58</v>
      </c>
      <c r="K305" s="114" t="inlineStr">
        <is>
          <t xml:space="preserve">Va'da berdi | 2 kunda | 1869</t>
        </is>
      </c>
    </row>
    <row r="306">
      <c r="A306" s="114" t="inlineStr">
        <is>
          <t xml:space="preserve">СУРХОНДАРЁ ВИЛОЯТИ</t>
        </is>
      </c>
      <c r="C306" s="114" t="inlineStr">
        <is>
          <t xml:space="preserve">Обещал</t>
        </is>
      </c>
      <c r="D306" s="114" t="inlineStr">
        <is>
          <t xml:space="preserve">Кр-99035122-4</t>
        </is>
      </c>
      <c r="E306" s="114" t="inlineStr">
        <is>
          <t xml:space="preserve">METTIYEVA MAYRAMXON QURBONOVNA</t>
        </is>
      </c>
      <c r="F306" s="114" t="inlineStr">
        <is>
          <t xml:space="preserve">998507288828 SMS O’ZI, 998881929086 SMS UY, 998919101784 SMS ERI, 998887289693 SMS QIZI,</t>
        </is>
      </c>
      <c r="G306" s="114" t="inlineStr">
        <is>
          <t xml:space="preserve">SURXONDARYO VILOYATI SHORCHI TUMANI GO’ZALLIK MFY BOSTON KO’CHASI 17-UY</t>
        </is>
      </c>
      <c r="H306" s="115">
        <v>8.0</v>
      </c>
      <c r="I306" s="115">
        <v>214812.8</v>
      </c>
      <c r="K306" s="114" t="inlineStr">
        <is>
          <t xml:space="preserve">Va'da berdi | yopildi | 548</t>
        </is>
      </c>
    </row>
    <row r="307">
      <c r="A307" s="114" t="inlineStr">
        <is>
          <t xml:space="preserve">СУРХОНДАРЁ ВИЛОЯТИ</t>
        </is>
      </c>
      <c r="C307" s="114" t="inlineStr">
        <is>
          <t xml:space="preserve">Дозвон</t>
        </is>
      </c>
      <c r="D307" s="114" t="inlineStr">
        <is>
          <t xml:space="preserve">Кр-99035855-1</t>
        </is>
      </c>
      <c r="E307" s="114" t="inlineStr">
        <is>
          <t xml:space="preserve">NAZAROVA SHOIRA BOZOR QIZI</t>
        </is>
      </c>
      <c r="F307" s="114" t="inlineStr">
        <is>
          <t xml:space="preserve">998936365511 SMS OZI, 998944168997 SMS UY, 998888505511 SMS OILASI, 998930454064 SMS OTASI,</t>
        </is>
      </c>
      <c r="G307" s="114" t="inlineStr">
        <is>
          <t xml:space="preserve">SURXONDARYO VILOYATI BOYSUN TUMANI  DASHTIG’OZ MFY SURXONDARYO KO’CHASI 22-UY</t>
        </is>
      </c>
      <c r="H307" s="115">
        <v>8.0</v>
      </c>
      <c r="I307" s="115">
        <v>21786.19</v>
      </c>
      <c r="J307" s="115">
        <v>21786.19</v>
      </c>
      <c r="K307" s="114" t="inlineStr">
        <is>
          <t xml:space="preserve">To'ladi | yopildi | 603</t>
        </is>
      </c>
    </row>
    <row r="308">
      <c r="A308" s="116" t="inlineStr">
        <is>
          <t xml:space="preserve">ТОШКЕНТ ШАХРИ</t>
        </is>
      </c>
      <c r="C308" s="116" t="inlineStr">
        <is>
          <t xml:space="preserve">Обещал</t>
        </is>
      </c>
      <c r="D308" s="116" t="inlineStr">
        <is>
          <t xml:space="preserve">Кр-99063240-1</t>
        </is>
      </c>
      <c r="E308" s="116" t="inlineStr">
        <is>
          <t xml:space="preserve">BOZOROV FAZLIDDIN JUMAYEVICH</t>
        </is>
      </c>
      <c r="F308" s="116" t="inlineStr">
        <is>
          <t xml:space="preserve">998777923003 SMS DADASI (ISHXONASI), 998908073003 SMS ISHXONMASI, 998936998569 SMS ONASI, 998999162111 SMS OZI,</t>
        </is>
      </c>
      <c r="G308" s="116" t="inlineStr">
        <is>
          <t xml:space="preserve">TOSHKENT SHAHAR YANGIHAYOT TUMANI BINOKOR MFY SANGZOR KOCHASI 24-UY 19-XONADON</t>
        </is>
      </c>
      <c r="H308" s="117">
        <v>13.0</v>
      </c>
      <c r="I308" s="117">
        <v>11051842.25</v>
      </c>
      <c r="K308" s="116" t="inlineStr">
        <is>
          <t xml:space="preserve">Va'da berdi | 25chigacha</t>
        </is>
      </c>
    </row>
    <row r="309">
      <c r="A309" s="116" t="inlineStr">
        <is>
          <t xml:space="preserve">ТОШКЕНТ ШАХРИ</t>
        </is>
      </c>
      <c r="C309" s="116" t="inlineStr">
        <is>
          <t xml:space="preserve">Обещал</t>
        </is>
      </c>
      <c r="D309" s="116" t="inlineStr">
        <is>
          <t xml:space="preserve">Кр-99062773-2</t>
        </is>
      </c>
      <c r="E309" s="116" t="inlineStr">
        <is>
          <t xml:space="preserve">SADIKOV BAXROM FAXRIDDINOVICH</t>
        </is>
      </c>
      <c r="F309" s="116" t="inlineStr">
        <is>
          <t xml:space="preserve">998909379991 OZI, 998774447753 AYOLI, 998956856668 ONASI,</t>
        </is>
      </c>
      <c r="G309" s="116" t="inlineStr">
        <is>
          <t xml:space="preserve">TOSHKENT SHAHAR SIRG’ALI TUMANI ESKI JALOYIR MFY ILG’OR KO’CHASI 5-TOR,22-UY</t>
        </is>
      </c>
      <c r="H309" s="117">
        <v>11.0</v>
      </c>
      <c r="I309" s="117">
        <v>9274968.3</v>
      </c>
      <c r="K309" s="116" t="inlineStr">
        <is>
          <t xml:space="preserve">Va'da berdi | 1-2kunda to'lidi</t>
        </is>
      </c>
    </row>
    <row r="310">
      <c r="A310" s="116" t="inlineStr">
        <is>
          <t xml:space="preserve">ТОШКЕНТ ШАХРИ</t>
        </is>
      </c>
      <c r="C310" s="116" t="inlineStr">
        <is>
          <t xml:space="preserve">Обещал</t>
        </is>
      </c>
      <c r="D310" s="116" t="inlineStr">
        <is>
          <t xml:space="preserve">Кр-99063389-1</t>
        </is>
      </c>
      <c r="E310" s="116" t="inlineStr">
        <is>
          <t xml:space="preserve">RUSTAMOVA CHAROS ULUG’BEK QIZI</t>
        </is>
      </c>
      <c r="F310" s="116" t="inlineStr">
        <is>
          <t xml:space="preserve">998910059161 SMS OZI 2, 998977701773 SMS OZI, 998998334455 SMS AKASI,</t>
        </is>
      </c>
      <c r="G310" s="116" t="inlineStr">
        <is>
          <t xml:space="preserve">TOSHKENT SHAHRI XALQABOD MFY QO’YLIK 5 MAVZESI 51-UY 47-XONADON</t>
        </is>
      </c>
      <c r="H310" s="117">
        <v>8.0</v>
      </c>
      <c r="I310" s="117">
        <v>5782723.79</v>
      </c>
      <c r="K310" s="116" t="inlineStr">
        <is>
          <t xml:space="preserve">Va'da berdi | 5-10 kunda to'lidi</t>
        </is>
      </c>
    </row>
    <row r="311">
      <c r="A311" s="116" t="inlineStr">
        <is>
          <t xml:space="preserve">ТОШКЕНТ ШАХРИ</t>
        </is>
      </c>
      <c r="C311" s="116" t="inlineStr">
        <is>
          <t xml:space="preserve">Обещал</t>
        </is>
      </c>
      <c r="D311" s="116" t="inlineStr">
        <is>
          <t xml:space="preserve">Кр-99062609-1</t>
        </is>
      </c>
      <c r="E311" s="116" t="inlineStr">
        <is>
          <t xml:space="preserve">ABDURASHIDOV SHAHZOD ABDURASHID O’G’LI</t>
        </is>
      </c>
      <c r="F311" s="116" t="inlineStr">
        <is>
          <t xml:space="preserve">998774024744 SMS AYOLI, 998983097733 SMS OZI 2, 998994445444 SMS OZI,</t>
        </is>
      </c>
      <c r="G311" s="116" t="inlineStr">
        <is>
          <t xml:space="preserve">TOSHKENT SHAHAR YUNUSOBOD TUMANI XAKIKAT MFY YANGIQURGON PR 2 KUCHASI 41-UY</t>
        </is>
      </c>
      <c r="H311" s="117">
        <v>8.0</v>
      </c>
      <c r="I311" s="117">
        <v>5172516.46</v>
      </c>
      <c r="K311" s="116" t="inlineStr">
        <is>
          <t xml:space="preserve">Va'da berdi | bugun polni pagashenya</t>
        </is>
      </c>
    </row>
    <row r="312">
      <c r="A312" s="116" t="inlineStr">
        <is>
          <t xml:space="preserve">ТОШКЕНТ ШАХРИ</t>
        </is>
      </c>
      <c r="C312" s="116" t="inlineStr">
        <is>
          <t xml:space="preserve">Обещал</t>
        </is>
      </c>
      <c r="D312" s="116" t="inlineStr">
        <is>
          <t xml:space="preserve">Кр-99037759-1</t>
        </is>
      </c>
      <c r="E312" s="116" t="inlineStr">
        <is>
          <t xml:space="preserve">XOJIYEV MUZAFFAR SAYFIDDIN O’G’LI</t>
        </is>
      </c>
      <c r="F312" s="116" t="inlineStr">
        <is>
          <t xml:space="preserve">998970714411 SMS OZI ABU SAXIYDA SAVDO QILADI , 998977722257 SMS OZI 2., 998971590501 SMS AYOLI,</t>
        </is>
      </c>
      <c r="G312" s="116" t="inlineStr">
        <is>
          <t xml:space="preserve">TOSHKENT SHAHAR YANGIHAYOT TUMANI SERGELI 5-A MAVZESI 20-UY 57-XONADON</t>
        </is>
      </c>
      <c r="H312" s="117">
        <v>13.0</v>
      </c>
      <c r="I312" s="117">
        <v>4673849.7</v>
      </c>
      <c r="K312" s="116" t="inlineStr">
        <is>
          <t xml:space="preserve">Va'da berdi | 5-6kunda to'lidi</t>
        </is>
      </c>
    </row>
    <row r="313">
      <c r="A313" s="116" t="inlineStr">
        <is>
          <t xml:space="preserve">ТОШКЕНТ ШАХРИ</t>
        </is>
      </c>
      <c r="C313" s="116" t="inlineStr">
        <is>
          <t xml:space="preserve">Обещал</t>
        </is>
      </c>
      <c r="D313" s="116" t="inlineStr">
        <is>
          <t xml:space="preserve">Кр-99002859-4</t>
        </is>
      </c>
      <c r="E313" s="116" t="inlineStr">
        <is>
          <t xml:space="preserve">ERGASHOV MUZAFFAR MURATDJANOVICH</t>
        </is>
      </c>
      <c r="F313" s="116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313" s="116" t="inlineStr">
        <is>
          <t xml:space="preserve">TOSHKENT SHAHAR YUNUSOBOD TUMANI GOLLOLA 34-UY</t>
        </is>
      </c>
      <c r="H313" s="117">
        <v>1.0</v>
      </c>
      <c r="I313" s="117">
        <v>4585010.91</v>
      </c>
      <c r="K313" s="116" t="inlineStr">
        <is>
          <t xml:space="preserve">Va'da berdi | 25chigacha</t>
        </is>
      </c>
    </row>
    <row r="314">
      <c r="A314" s="116" t="inlineStr">
        <is>
          <t xml:space="preserve">ТОШКЕНТ ШАХРИ</t>
        </is>
      </c>
      <c r="C314" s="116" t="inlineStr">
        <is>
          <t xml:space="preserve">Обещал</t>
        </is>
      </c>
      <c r="D314" s="116" t="inlineStr">
        <is>
          <t xml:space="preserve">Кр-99038747-2</t>
        </is>
      </c>
      <c r="E314" s="116" t="inlineStr">
        <is>
          <t xml:space="preserve">AKBARALIYEV ABDUROZIQ RASHIDJON O’G’LI</t>
        </is>
      </c>
      <c r="F314" s="116" t="inlineStr">
        <is>
          <t xml:space="preserve">998901357889 SMS OZI, 998998006254 SMS DOSTI, 998950619903 SMS AKASI, +998901357889 Primary phone from road24,</t>
        </is>
      </c>
      <c r="G314" s="116" t="inlineStr">
        <is>
          <t xml:space="preserve">г. Ташкент, Сергелийский район, ул. Зиекор, 2 проезд, Бирдамлик МСГ, 44- Дом, -</t>
        </is>
      </c>
      <c r="H314" s="117">
        <v>12.0</v>
      </c>
      <c r="I314" s="117">
        <v>4109350.61</v>
      </c>
      <c r="K314" s="116" t="inlineStr">
        <is>
          <t xml:space="preserve">Va'da berdi | oy oxirigacha</t>
        </is>
      </c>
    </row>
    <row r="315">
      <c r="A315" s="116" t="inlineStr">
        <is>
          <t xml:space="preserve">ТОШКЕНТ ШАХРИ</t>
        </is>
      </c>
      <c r="C315" s="116" t="inlineStr">
        <is>
          <t xml:space="preserve">Обещал</t>
        </is>
      </c>
      <c r="D315" s="116" t="inlineStr">
        <is>
          <t xml:space="preserve">Кр-99039085-1</t>
        </is>
      </c>
      <c r="E315" s="116" t="inlineStr">
        <is>
          <t xml:space="preserve">ESHMAMATOV FAZLIDDIN BAXRIDDINOVICH</t>
        </is>
      </c>
      <c r="F315" s="116" t="inlineStr">
        <is>
          <t xml:space="preserve">998935543879 SMS O’ZI, 998907086163 SMS AYOLI, 998975001716 SMS O’RTOG’I, 998931936616 SMS AYOLI, 998932389151 dadasi shunga qilish kerak,</t>
        </is>
      </c>
      <c r="G315" s="116" t="inlineStr">
        <is>
          <t xml:space="preserve">TOSHKENT SHAHAR YUNUSOBOD TUMANI TURKISTON MFY 6 MAVZE 20-UY 11-XONADON </t>
        </is>
      </c>
      <c r="H315" s="117">
        <v>26.0</v>
      </c>
      <c r="I315" s="117">
        <v>3903408.74</v>
      </c>
      <c r="K315" s="116" t="inlineStr">
        <is>
          <t xml:space="preserve">Va'da berdi | dadasi bn gaplashtm</t>
        </is>
      </c>
    </row>
    <row r="316">
      <c r="A316" s="116" t="inlineStr">
        <is>
          <t xml:space="preserve">ТОШКЕНТ ШАХРИ</t>
        </is>
      </c>
      <c r="C316" s="116" t="inlineStr">
        <is>
          <t xml:space="preserve">Обещал</t>
        </is>
      </c>
      <c r="D316" s="116" t="inlineStr">
        <is>
          <t xml:space="preserve">Кр-99038673-2</t>
        </is>
      </c>
      <c r="E316" s="116" t="inlineStr">
        <is>
          <t xml:space="preserve">SHAMSIYEV DONIYOR BAXTIYAROVICH</t>
        </is>
      </c>
      <c r="F316" s="116" t="inlineStr">
        <is>
          <t xml:space="preserve">998981772720 SMS OZI, 998935362720 SMS OZI 2, 998901868135 SMS OTASI,</t>
        </is>
      </c>
      <c r="G316" s="116" t="inlineStr">
        <is>
          <t xml:space="preserve">TOSHKENT SHAHAR SIRG’ALI TUMANI MASSIV O’ZGARISH MOHIDIL 65-UY</t>
        </is>
      </c>
      <c r="H316" s="117">
        <v>8.0</v>
      </c>
      <c r="I316" s="117">
        <v>3506338.99</v>
      </c>
      <c r="K316" s="116" t="inlineStr">
        <is>
          <t xml:space="preserve">Va'da berdi | ertaga abet 2gacha to'lidi</t>
        </is>
      </c>
    </row>
    <row r="317">
      <c r="A317" s="116" t="inlineStr">
        <is>
          <t xml:space="preserve">ТОШКЕНТ ШАХРИ</t>
        </is>
      </c>
      <c r="C317" s="116" t="inlineStr">
        <is>
          <t xml:space="preserve">Дозвон</t>
        </is>
      </c>
      <c r="D317" s="116" t="inlineStr">
        <is>
          <t xml:space="preserve">Кр-99004100-6</t>
        </is>
      </c>
      <c r="E317" s="116" t="inlineStr">
        <is>
          <t xml:space="preserve">G’ULOMOV NOZIMBEK SAIDMAXMUD O’G’LI</t>
        </is>
      </c>
      <c r="F317" s="116" t="inlineStr">
        <is>
          <t xml:space="preserve">77-010-68-63 SMS, 91-777-00-07 sms jiyani, 77-080-07-21 sms ortogi birga ishlidi, 98-707-02-71 sms akasi,</t>
        </is>
      </c>
      <c r="G317" s="116" t="inlineStr">
        <is>
          <t xml:space="preserve">TOSHKENT SHAHAR YASHNABOD TUMANI XOSIYATLI MFY 5 PROEZD XUSNOBOD KUCHASI 2/3 UY 29 XONADON</t>
        </is>
      </c>
      <c r="H317" s="117">
        <v>8.0</v>
      </c>
      <c r="I317" s="117">
        <v>2505136.45</v>
      </c>
      <c r="J317" s="117">
        <v>2505136.45</v>
      </c>
      <c r="K317" s="116" t="inlineStr">
        <is>
          <t xml:space="preserve">To'ladi</t>
        </is>
      </c>
    </row>
    <row r="318">
      <c r="A318" s="116" t="inlineStr">
        <is>
          <t xml:space="preserve">ТОШКЕНТ ШАХРИ</t>
        </is>
      </c>
      <c r="C318" s="116" t="inlineStr">
        <is>
          <t xml:space="preserve">Обещал</t>
        </is>
      </c>
      <c r="D318" s="116" t="inlineStr">
        <is>
          <t xml:space="preserve">Кр-99063142-1</t>
        </is>
      </c>
      <c r="E318" s="116" t="inlineStr">
        <is>
          <t xml:space="preserve">YULDOSHEV ISLOMJON ISMATULLO O’G’LI</t>
        </is>
      </c>
      <c r="F318" s="116" t="inlineStr">
        <is>
          <t xml:space="preserve">998775505704 SMS OZI 2, 998912107885 SMS OZI, 998956361136 SMS ONASI,</t>
        </is>
      </c>
      <c r="G318" s="116" t="inlineStr">
        <is>
          <t xml:space="preserve">TOSHKENT SHAHAR SERGILI TUMANI SOFDIL MFY BIRLIK KOCHASI 1-UY 12-XONADON</t>
        </is>
      </c>
      <c r="H318" s="117">
        <v>8.0</v>
      </c>
      <c r="I318" s="117">
        <v>1851236.72</v>
      </c>
      <c r="K318" s="116" t="inlineStr">
        <is>
          <t xml:space="preserve">Va'da berdi | bugun kechgacha</t>
        </is>
      </c>
    </row>
    <row r="319">
      <c r="A319" s="116" t="inlineStr">
        <is>
          <t xml:space="preserve">ТОШКЕНТ ШАХРИ</t>
        </is>
      </c>
      <c r="C319" s="116" t="inlineStr">
        <is>
          <t xml:space="preserve">Обещал</t>
        </is>
      </c>
      <c r="D319" s="116" t="inlineStr">
        <is>
          <t xml:space="preserve">Кр-99037018-2</t>
        </is>
      </c>
      <c r="E319" s="116" t="inlineStr">
        <is>
          <t xml:space="preserve">MAKIBAYEV NURGALI GALIYEVICH</t>
        </is>
      </c>
      <c r="F319" s="116" t="inlineStr">
        <is>
          <t xml:space="preserve">998994416166 SMS O’ZI, 998909581919 SMS UKASI, 998990528753 SMS OSHNASI, 998900675004 SMS AYOLI,</t>
        </is>
      </c>
      <c r="G319" s="116" t="inlineStr">
        <is>
          <t xml:space="preserve">TOSHKENT SHAHAR YANGIHAYOT TUMANI CHORTOK MFY, CHORTOK KO’CHASI 34-UY</t>
        </is>
      </c>
      <c r="H319" s="117">
        <v>8.0</v>
      </c>
      <c r="I319" s="117">
        <v>935576.66</v>
      </c>
      <c r="K319" s="116" t="inlineStr">
        <is>
          <t xml:space="preserve">Va'da berdi | qisman to'ladi</t>
        </is>
      </c>
    </row>
    <row r="320">
      <c r="A320" s="116" t="inlineStr">
        <is>
          <t xml:space="preserve">ТОШКЕНТ ШАХРИ</t>
        </is>
      </c>
      <c r="C320" s="116" t="inlineStr">
        <is>
          <t xml:space="preserve">Обещал</t>
        </is>
      </c>
      <c r="D320" s="116" t="inlineStr">
        <is>
          <t xml:space="preserve">Кр-99063752-1</t>
        </is>
      </c>
      <c r="E320" s="116" t="inlineStr">
        <is>
          <t xml:space="preserve">AXUNJANOV DAVRON RUSTAMXONOVICH</t>
        </is>
      </c>
      <c r="F320" s="116" t="inlineStr">
        <is>
          <t xml:space="preserve">998950091651 SMS JIYANI, 998991536205 SMS UGLI, 998996150783 SMS UZI,</t>
        </is>
      </c>
      <c r="G320" s="116" t="inlineStr">
        <is>
          <t xml:space="preserve">UYSOLAR 2 UY</t>
        </is>
      </c>
      <c r="H320" s="117">
        <v>11.0</v>
      </c>
      <c r="I320" s="117">
        <v>794757.7</v>
      </c>
      <c r="K320" s="116" t="inlineStr">
        <is>
          <t xml:space="preserve">Va'da berdi | bugun kechgacha</t>
        </is>
      </c>
    </row>
    <row r="321">
      <c r="A321" s="116" t="inlineStr">
        <is>
          <t xml:space="preserve">ТОШКЕНТ ШАХРИ</t>
        </is>
      </c>
      <c r="C321" s="116" t="inlineStr">
        <is>
          <t xml:space="preserve">Обещал</t>
        </is>
      </c>
      <c r="D321" s="116" t="inlineStr">
        <is>
          <t xml:space="preserve">Кр-99063071-2</t>
        </is>
      </c>
      <c r="E321" s="116" t="inlineStr">
        <is>
          <t xml:space="preserve">ABDULLAYEVA SITORA BATIYOR QIZI</t>
        </is>
      </c>
      <c r="F321" s="116" t="inlineStr">
        <is>
          <t xml:space="preserve">998704875259 SMS OZI, 998776505259 SMS OANSI, 998900053763 SMS TOLOVCHI,</t>
        </is>
      </c>
      <c r="G321" s="116" t="inlineStr">
        <is>
          <t xml:space="preserve">TOSHKENT SHAHAR YASHNABOD TUMANI 4-AVIZASOZLAR KV NAVRUZOBOD MSG 11-DOM 17-KVARTIRA</t>
        </is>
      </c>
      <c r="H321" s="117">
        <v>8.0</v>
      </c>
      <c r="I321" s="117">
        <v>495970.74</v>
      </c>
      <c r="K321" s="116" t="inlineStr">
        <is>
          <t xml:space="preserve">Va'da berdi | oy oxirigacha</t>
        </is>
      </c>
    </row>
    <row r="322">
      <c r="A322" s="98" t="inlineStr">
        <is>
          <t xml:space="preserve">ФАРГОНА ВИЛОЯТИ</t>
        </is>
      </c>
      <c r="C322" s="98" t="inlineStr">
        <is>
          <t xml:space="preserve">Обещал</t>
        </is>
      </c>
      <c r="D322" s="98" t="inlineStr">
        <is>
          <t xml:space="preserve">Кр-99036941-2</t>
        </is>
      </c>
      <c r="E322" s="98" t="inlineStr">
        <is>
          <t xml:space="preserve">XAYITOV BAXODIR USMONOVICH</t>
        </is>
      </c>
      <c r="F322" s="98" t="inlineStr">
        <is>
          <t xml:space="preserve">998770063810 SMS OZI, 998905643888 SMS AYOLI, 998935141246 SMS OGLI, 998931513810 SMS OZI NEW , 998900633070 SMS AYOLI TOLOVCHI SHUNGA QILINSIN ,</t>
        </is>
      </c>
      <c r="G322" s="98" t="inlineStr">
        <is>
          <t xml:space="preserve">FARG’ONA VILOYATI UCHKO’PRIK TUMANI ZIG’IR MFY KATTA-TOL KO’CHASI 34-XONADON</t>
        </is>
      </c>
      <c r="H322" s="99">
        <v>21.0</v>
      </c>
      <c r="I322" s="99">
        <v>11070658.31</v>
      </c>
      <c r="K322" s="98" t="inlineStr">
        <is>
          <t xml:space="preserve">Va'da berdi | BUGUN AVANSI TUSHADI AYOLINI QOSHIB KECHROQA YOPADI EKAN | 4402509.64</t>
        </is>
      </c>
    </row>
    <row r="323">
      <c r="A323" s="98" t="inlineStr">
        <is>
          <t xml:space="preserve">ФАРГОНА ВИЛОЯТИ</t>
        </is>
      </c>
      <c r="C323" s="98" t="inlineStr">
        <is>
          <t xml:space="preserve">Обещал</t>
        </is>
      </c>
      <c r="D323" s="98" t="inlineStr">
        <is>
          <t xml:space="preserve">Кр-99034161-1</t>
        </is>
      </c>
      <c r="E323" s="98" t="inlineStr">
        <is>
          <t xml:space="preserve">G’OFUROV KOMILJON TOLIBJONOVICH</t>
        </is>
      </c>
      <c r="F323" s="98" t="inlineStr">
        <is>
          <t xml:space="preserve">998902912907 SMS Ozi, 998937248207 SMS Ayoli , 998937278207 SMS Ayoli , 998507770652  qizi tolovchi , 998947963335 UZI NEWWW,</t>
        </is>
      </c>
      <c r="G323" s="98" t="inlineStr">
        <is>
          <t xml:space="preserve">FARG’ONA VILOYATI BOG’DOD TUMANI BEKOBOD MFY XUMO KO’CHASI 118-XONADON</t>
        </is>
      </c>
      <c r="H323" s="99">
        <v>42.0</v>
      </c>
      <c r="I323" s="99">
        <v>10454336.1</v>
      </c>
      <c r="K323" s="98" t="inlineStr">
        <is>
          <t xml:space="preserve">Va'da berdi | 7 LARGA QAYTA ALOQA TOLOV QILADI EKAN | 5454000</t>
        </is>
      </c>
    </row>
    <row r="324">
      <c r="A324" s="98" t="inlineStr">
        <is>
          <t xml:space="preserve">ФАРГОНА ВИЛОЯТИ</t>
        </is>
      </c>
      <c r="C324" s="98" t="inlineStr">
        <is>
          <t xml:space="preserve">Обещал</t>
        </is>
      </c>
      <c r="D324" s="98" t="inlineStr">
        <is>
          <t xml:space="preserve">Кр-99040707-1</t>
        </is>
      </c>
      <c r="E324" s="98" t="inlineStr">
        <is>
          <t xml:space="preserve">KABILOVA DILOBA XAKIMOVNA</t>
        </is>
      </c>
      <c r="F324" s="98" t="inlineStr">
        <is>
          <t xml:space="preserve">+998999902233 SMS O’ZI, 998916716784 ERI, 998978828881 O’G’LI 2, 998988887881 O’G’LI,</t>
        </is>
      </c>
      <c r="G324" s="98" t="inlineStr">
        <is>
          <t xml:space="preserve">FARG’ONA VILOYATI FARG’ONA SHAHAR OYBEK MFY P.MAXMUD KO’CHASI 63-XONADON</t>
        </is>
      </c>
      <c r="H324" s="99">
        <v>8.0</v>
      </c>
      <c r="I324" s="99">
        <v>8784758.83</v>
      </c>
      <c r="K324" s="98" t="inlineStr">
        <is>
          <t xml:space="preserve">Va'da berdi | BALITSADA EKAN 20CHILARGA CHIQAMAN BALISHNI PULIMNI OLIB YOPIB BERAMAN DEDI | 2916666.03</t>
        </is>
      </c>
    </row>
    <row r="325">
      <c r="A325" s="98" t="inlineStr">
        <is>
          <t xml:space="preserve">ФАРГОНА ВИЛОЯТИ</t>
        </is>
      </c>
      <c r="C325" s="98" t="inlineStr">
        <is>
          <t xml:space="preserve">Обещал</t>
        </is>
      </c>
      <c r="D325" s="98" t="inlineStr">
        <is>
          <t xml:space="preserve">Кр-99044133-4</t>
        </is>
      </c>
      <c r="E325" s="98" t="inlineStr">
        <is>
          <t xml:space="preserve">BARATALIYEVA SHOIRAXON ALIMJANOVNA</t>
        </is>
      </c>
      <c r="F325" s="98" t="inlineStr">
        <is>
          <t xml:space="preserve">+998917441071 SMS O’ZI, 998701131117 O’G’LI 2, 998916880270 ERI, 998955670345 O’G’LI, 998200217110 OZI NEW,</t>
        </is>
      </c>
      <c r="G325" s="98" t="inlineStr">
        <is>
          <t xml:space="preserve">FARG’ONA VILOYATI BESHARIQ TUMANI NAVBAXOR MFY NAVBAXOR KO’CHASI 134-XONADON</t>
        </is>
      </c>
      <c r="H325" s="99">
        <v>8.0</v>
      </c>
      <c r="I325" s="99">
        <v>8408818.28</v>
      </c>
      <c r="K325" s="98" t="inlineStr">
        <is>
          <t xml:space="preserve">Va'da berdi | OGLI GA CHIQILADI TELARAMDAN RASIYADA EKAN | 2708333.02</t>
        </is>
      </c>
    </row>
    <row r="326">
      <c r="A326" s="98" t="inlineStr">
        <is>
          <t xml:space="preserve">ФАРГОНА ВИЛОЯТИ</t>
        </is>
      </c>
      <c r="C326" s="98" t="inlineStr">
        <is>
          <t xml:space="preserve">Обещал</t>
        </is>
      </c>
      <c r="D326" s="98" t="inlineStr">
        <is>
          <t xml:space="preserve">Кр-99041780-3</t>
        </is>
      </c>
      <c r="E326" s="98" t="inlineStr">
        <is>
          <t xml:space="preserve">XOSHIMOVA MUAZZAM SHERALIYEVNA</t>
        </is>
      </c>
      <c r="F326" s="98" t="inlineStr">
        <is>
          <t xml:space="preserve">+998908492233 SMS O’ZI, 998900782233 ERI 2, 998907622233 ERI, 998948755111 OPASI,</t>
        </is>
      </c>
      <c r="G326" s="98" t="inlineStr">
        <is>
          <t xml:space="preserve">FARG’ONA VILOYATI MARG’ILON SHAHAR TURON MFY YANGI FARG’ONA KO’CHASI 103-UY 32-XONADON</t>
        </is>
      </c>
      <c r="H326" s="99">
        <v>8.0</v>
      </c>
      <c r="I326" s="99">
        <v>7739491.53</v>
      </c>
      <c r="K326" s="98" t="inlineStr">
        <is>
          <t xml:space="preserve">Va'da berdi | ERI BITA JOYDEYDIM SHUNDSY CHIQIB QAYTARIB YUBORAMAN DEDI HARAMI ERTAGA PULIM KELADIGAN BOLDI ERTAGA ANIQ TOLAYMIZ DEYABDI | 2291666.41</t>
        </is>
      </c>
    </row>
    <row r="327">
      <c r="A327" s="98" t="inlineStr">
        <is>
          <t xml:space="preserve">ФАРГОНА ВИЛОЯТИ</t>
        </is>
      </c>
      <c r="C327" s="98" t="inlineStr">
        <is>
          <t xml:space="preserve">Обещал</t>
        </is>
      </c>
      <c r="D327" s="98" t="inlineStr">
        <is>
          <t xml:space="preserve">Кр-99039832-1</t>
        </is>
      </c>
      <c r="E327" s="98" t="inlineStr">
        <is>
          <t xml:space="preserve">USMANOV MUZAFFAR MUXAMEDOVICH</t>
        </is>
      </c>
      <c r="F327" s="98" t="inlineStr">
        <is>
          <t xml:space="preserve">998900552185 SMS OZI, 998910593282 SMS AYOLI, 998913241110 SMS UKASI, 998910596232 SMS OGLI,</t>
        </is>
      </c>
      <c r="G327" s="98" t="inlineStr">
        <is>
          <t xml:space="preserve">FARG’ONA VILOYATI QO’QON SHAHAR ISTIQBOL MFY ALISHER NAVOIY KO’CHASI 68-UY 15-XONADON</t>
        </is>
      </c>
      <c r="H327" s="99">
        <v>11.0</v>
      </c>
      <c r="I327" s="99">
        <v>7031688.15</v>
      </c>
      <c r="K327" s="98" t="inlineStr">
        <is>
          <t xml:space="preserve">Va'da berdi | PAYSHANBA KUNI KECHGACHA YOPIB BERADI BOLIB BOLI 5 LARGA QAYTA ALOQA | 2500000</t>
        </is>
      </c>
    </row>
    <row r="328">
      <c r="A328" s="98" t="inlineStr">
        <is>
          <t xml:space="preserve">ФАРГОНА ВИЛОЯТИ</t>
        </is>
      </c>
      <c r="C328" s="98" t="inlineStr">
        <is>
          <t xml:space="preserve">Обещал</t>
        </is>
      </c>
      <c r="D328" s="98" t="inlineStr">
        <is>
          <t xml:space="preserve">Кр-99062615-1</t>
        </is>
      </c>
      <c r="E328" s="98" t="inlineStr">
        <is>
          <t xml:space="preserve">XALMATOV ABDUMALIK AXMEDOVICH</t>
        </is>
      </c>
      <c r="F328" s="98" t="inlineStr">
        <is>
          <t xml:space="preserve">998904050850 ozi, 998912065878 ayoli, 998330277000 ogli, 998974191099 katta ogli ,</t>
        </is>
      </c>
      <c r="G328" s="98" t="inlineStr">
        <is>
          <t xml:space="preserve">Манзил: FARG’ONA VILOYATI FARG’ONA SHAHRI BEGLAR MFY BEGLAR KO’CHASI 18/20-UY</t>
        </is>
      </c>
      <c r="H328" s="99">
        <v>11.0</v>
      </c>
      <c r="I328" s="99">
        <v>6807996.64</v>
      </c>
      <c r="K328" s="98" t="inlineStr">
        <is>
          <t xml:space="preserve">Va'da berdi | 3,4 KUNDA YOPIB QOYISHADI HAARAKAT QILISHAYABDI DEDI AYOLI | 2500000</t>
        </is>
      </c>
    </row>
    <row r="329">
      <c r="A329" s="98" t="inlineStr">
        <is>
          <t xml:space="preserve">ФАРГОНА ВИЛОЯТИ</t>
        </is>
      </c>
      <c r="C329" s="98" t="inlineStr">
        <is>
          <t xml:space="preserve">Обещал</t>
        </is>
      </c>
      <c r="D329" s="98" t="inlineStr">
        <is>
          <t xml:space="preserve">Кр-99050433-2</t>
        </is>
      </c>
      <c r="E329" s="98" t="inlineStr">
        <is>
          <t xml:space="preserve">JALOLOVA UMIDAXON ALIYEVNA</t>
        </is>
      </c>
      <c r="F329" s="98" t="inlineStr">
        <is>
          <t xml:space="preserve">998500406904 O’G’LI, 998916567774 DADASI, 998916586904 O’G’LI, 998916591975 SMS O’ZI,</t>
        </is>
      </c>
      <c r="G329" s="98" t="inlineStr">
        <is>
          <t xml:space="preserve">FARG’ONA VILOYATI FARG’ONA TUMANI XONKIZ MFY SOY BO’YI KO’CHASI 98-UY</t>
        </is>
      </c>
      <c r="H329" s="99">
        <v>8.0</v>
      </c>
      <c r="I329" s="99">
        <v>6589875.6</v>
      </c>
      <c r="K329" s="98" t="inlineStr">
        <is>
          <t xml:space="preserve">Va'da berdi | JUMA KUNI 3LARGA QAYTA ALOQA TOLOV QILADI EKAN | 2083332.44</t>
        </is>
      </c>
    </row>
    <row r="330">
      <c r="A330" s="98" t="inlineStr">
        <is>
          <t xml:space="preserve">ФАРГОНА ВИЛОЯТИ</t>
        </is>
      </c>
      <c r="C330" s="98" t="inlineStr">
        <is>
          <t xml:space="preserve">Обещал</t>
        </is>
      </c>
      <c r="D330" s="98" t="inlineStr">
        <is>
          <t xml:space="preserve">Кр-99039797-1</t>
        </is>
      </c>
      <c r="E330" s="98" t="inlineStr">
        <is>
          <t xml:space="preserve">GAFOROV IKBOLJON UKTAMOVICH</t>
        </is>
      </c>
      <c r="F330" s="98" t="inlineStr">
        <is>
          <t xml:space="preserve">998903699953 SMS OZI, 998911081214 SMS AYOLI, 998916729177 SMS OMASI, 998918865940 SMS UY, 998505995135 SMS UZI NEW, 998905618936 OPASI HADEB BEZOVTA QILINMASIN ,</t>
        </is>
      </c>
      <c r="G330" s="98" t="inlineStr">
        <is>
          <t xml:space="preserve">FARG’ONA VILOYATI RISHTON TUMANI ISTIQBOL MFY ZARARIK KO’CHASI 26-UY</t>
        </is>
      </c>
      <c r="H330" s="99">
        <v>8.0</v>
      </c>
      <c r="I330" s="99">
        <v>5920744.68</v>
      </c>
      <c r="K330" s="98" t="inlineStr">
        <is>
          <t xml:space="preserve">Va'da berdi | BUGUN  AVANSI TUSHADI EKAN TUSHI SHI BILAN TOLAB QOYAMAN DEYABDI QOLGANINI 1,2 KUNDA QILIB BERAMAN DEYABDI | 2424000</t>
        </is>
      </c>
    </row>
    <row r="331">
      <c r="A331" s="98" t="inlineStr">
        <is>
          <t xml:space="preserve">ФАРГОНА ВИЛОЯТИ</t>
        </is>
      </c>
      <c r="C331" s="98" t="inlineStr">
        <is>
          <t xml:space="preserve">Обещал</t>
        </is>
      </c>
      <c r="D331" s="98" t="inlineStr">
        <is>
          <t xml:space="preserve">Кр-99035250-1</t>
        </is>
      </c>
      <c r="E331" s="98" t="inlineStr">
        <is>
          <t xml:space="preserve">SHOMATOVA ZAMIRA MUXAMMADOVNA</t>
        </is>
      </c>
      <c r="F331" s="98" t="inlineStr">
        <is>
          <t xml:space="preserve">998958407673 SMS O’ZI, 998908457660 SMS QIZI, 998931907077 SMS JIYANI,</t>
        </is>
      </c>
      <c r="G331" s="98" t="inlineStr">
        <is>
          <t xml:space="preserve">FARG’ONA VILOYATI FARG’ONA SHAHAR BARKAMOL MFY YANGI ASIR KO’CHASI 120-UY 52-XONADON</t>
        </is>
      </c>
      <c r="H331" s="99">
        <v>1.0</v>
      </c>
      <c r="I331" s="99">
        <v>5795399.52</v>
      </c>
      <c r="K331" s="98" t="inlineStr">
        <is>
          <t xml:space="preserve">Va'da berdi | 25 KUNI TOLAB QOYAMAN DEYABDI SAVDODAMAN TAVARGA BERIB YUBORGANMAN  HAMMA PULIMNI 20CHIDA TAVARIM KELADI KELISHI BILAN SOTIB 25 GACHA TOLAB QOYAMAN DEDI | 2244898</t>
        </is>
      </c>
    </row>
    <row r="332">
      <c r="A332" s="98" t="inlineStr">
        <is>
          <t xml:space="preserve">ФАРГОНА ВИЛОЯТИ</t>
        </is>
      </c>
      <c r="C332" s="98" t="inlineStr">
        <is>
          <t xml:space="preserve">Обещал</t>
        </is>
      </c>
      <c r="D332" s="98" t="inlineStr">
        <is>
          <t xml:space="preserve">Кр-99063127-1</t>
        </is>
      </c>
      <c r="E332" s="98" t="inlineStr">
        <is>
          <t xml:space="preserve">KENJAYEVA MATLUBA NUMONOVNA</t>
        </is>
      </c>
      <c r="F332" s="98" t="inlineStr">
        <is>
          <t xml:space="preserve">+998932767070 SMS O’ZI, 998772120060 SMS OPASI, 998907833515 UY, 998911176810 KELINI,</t>
        </is>
      </c>
      <c r="G332" s="98" t="inlineStr">
        <is>
          <t xml:space="preserve">FARG’ONA VILOYATI MARG’ILON SHAHAR MAORIF MFY JURAXON SULTONOV 235-UY</t>
        </is>
      </c>
      <c r="H332" s="99">
        <v>8.0</v>
      </c>
      <c r="I332" s="99">
        <v>5587347.97</v>
      </c>
      <c r="K332" s="98" t="inlineStr">
        <is>
          <t xml:space="preserve">Va'da berdi | NABIRASI KOTARDI KOCHAGA CHIQIB KETGANDI AYTAMAN QILIB YUBORADI DEDI | 1666666.04</t>
        </is>
      </c>
    </row>
    <row r="333">
      <c r="A333" s="98" t="inlineStr">
        <is>
          <t xml:space="preserve">ФАРГОНА ВИЛОЯТИ</t>
        </is>
      </c>
      <c r="C333" s="98" t="inlineStr">
        <is>
          <t xml:space="preserve">Обещал</t>
        </is>
      </c>
      <c r="D333" s="98" t="inlineStr">
        <is>
          <t xml:space="preserve">Кр-99034448-1</t>
        </is>
      </c>
      <c r="E333" s="98" t="inlineStr">
        <is>
          <t xml:space="preserve">ASHIROVA MIRA ABBASOVNA</t>
        </is>
      </c>
      <c r="F333" s="98" t="inlineStr">
        <is>
          <t xml:space="preserve">998916509967 SMS O’ZI, 998901621373 SMS O’G’LI, 998907844322 SMS O’G’LI, 998939773993 SMS JIYANI BEGONA,</t>
        </is>
      </c>
      <c r="G333" s="98" t="inlineStr">
        <is>
          <t xml:space="preserve">FARG’ONA VILOYATI FARG’ONA SHAHAR M.ULUG’BEK MFY AXMAD YASSAVIY 50-UY 11-XONADON</t>
        </is>
      </c>
      <c r="H333" s="99">
        <v>1.0</v>
      </c>
      <c r="I333" s="99">
        <v>5542479.42</v>
      </c>
      <c r="K333" s="98" t="inlineStr">
        <is>
          <t xml:space="preserve">Va'da berdi | UYIDA ISHLAYDI EKAN PULI YETMAYABDI EKAN JUMA KUNI TOLAB QOYADI EKAN | 3030000</t>
        </is>
      </c>
    </row>
    <row r="334">
      <c r="A334" s="98" t="inlineStr">
        <is>
          <t xml:space="preserve">ФАРГОНА ВИЛОЯТИ</t>
        </is>
      </c>
      <c r="C334" s="98" t="inlineStr">
        <is>
          <t xml:space="preserve">Обещал</t>
        </is>
      </c>
      <c r="D334" s="98" t="inlineStr">
        <is>
          <t xml:space="preserve">Кр-99053631-1</t>
        </is>
      </c>
      <c r="E334" s="98" t="inlineStr">
        <is>
          <t xml:space="preserve">ABDUKARIMOV AKMALJON TO’XTASINOVICH</t>
        </is>
      </c>
      <c r="F334" s="98" t="inlineStr">
        <is>
          <t xml:space="preserve">998916720698 SMS OZI, 998505752669 SMS UKASI, 998943940527 SMKS AYOLI, 998939806766 SMS AKASI,</t>
        </is>
      </c>
      <c r="G334" s="98" t="inlineStr">
        <is>
          <t xml:space="preserve">FARG’ONA VILOYATI FARG’ONA TUMANI GULSHAN MFY BARKAMOL KO’CHASI 93-XONADON</t>
        </is>
      </c>
      <c r="H334" s="99">
        <v>8.0</v>
      </c>
      <c r="I334" s="99">
        <v>5342083.05</v>
      </c>
      <c r="K334" s="98" t="inlineStr">
        <is>
          <t xml:space="preserve">Va'da berdi | BUGUN OYLIGI TUSHADI EKAN TUSHISHI BLAN TOLAB QYADI EKAN 941360809 | 1645372.74</t>
        </is>
      </c>
    </row>
    <row r="335">
      <c r="A335" s="98" t="inlineStr">
        <is>
          <t xml:space="preserve">ФАРГОНА ВИЛОЯТИ</t>
        </is>
      </c>
      <c r="C335" s="98" t="inlineStr">
        <is>
          <t xml:space="preserve">Обещал</t>
        </is>
      </c>
      <c r="D335" s="98" t="inlineStr">
        <is>
          <t xml:space="preserve">Кр-99040136-1</t>
        </is>
      </c>
      <c r="E335" s="98" t="inlineStr">
        <is>
          <t xml:space="preserve">MUXTARALIYEV ISRAIL ISMAILOVICH</t>
        </is>
      </c>
      <c r="F335" s="98" t="inlineStr">
        <is>
          <t xml:space="preserve">998505516167 SMS OZI, 998916565115 SMS OGLI 2, 998912062645 SMS AYOLI, 998903035115 SMS KELINI,</t>
        </is>
      </c>
      <c r="G335" s="98" t="inlineStr">
        <is>
          <t xml:space="preserve">FARG’ONA VILOYATI FARG’ONA SHAHAR MUSTAQILLIK MFY BELOVA KO’CHASI 103-UY</t>
        </is>
      </c>
      <c r="H335" s="99">
        <v>11.0</v>
      </c>
      <c r="I335" s="99">
        <v>5326094.04</v>
      </c>
      <c r="K335" s="98" t="inlineStr">
        <is>
          <t xml:space="preserve">Va'da berdi | PAYSHANBA KUNI KECHGACHA YOPIB BERADI EKAN SAVDOGAR AYOLI BUGUN PUL  YIGIB BOSHLASHADI | 3823529</t>
        </is>
      </c>
    </row>
    <row r="336">
      <c r="A336" s="98" t="inlineStr">
        <is>
          <t xml:space="preserve">ФАРГОНА ВИЛОЯТИ</t>
        </is>
      </c>
      <c r="C336" s="98" t="inlineStr">
        <is>
          <t xml:space="preserve">Обещал</t>
        </is>
      </c>
      <c r="D336" s="98" t="inlineStr">
        <is>
          <t xml:space="preserve">Кр-99040371-1</t>
        </is>
      </c>
      <c r="E336" s="98" t="inlineStr">
        <is>
          <t xml:space="preserve">FAYZULLAYEVA MUYASSARXON SAYDUMAROVNA</t>
        </is>
      </c>
      <c r="F336" s="98" t="inlineStr">
        <is>
          <t xml:space="preserve">998507161002 SMS OZI, 998945120202 SMS UY, 998330802006 SMS NEVARASI, 998936402057 SMS OGLI,</t>
        </is>
      </c>
      <c r="G336" s="98" t="inlineStr">
        <is>
          <t xml:space="preserve">FARG’ONA VILOYATI BUVAYDA TUMANI BACHQIR MFY GUZAR KO’CHASI 33-XONADON</t>
        </is>
      </c>
      <c r="H336" s="99">
        <v>8.0</v>
      </c>
      <c r="I336" s="99">
        <v>5242387.69</v>
      </c>
      <c r="K336" s="98" t="inlineStr">
        <is>
          <t xml:space="preserve">Va'da berdi | 18 KUNI 7LARGA QAYTA AOQA TOLOV QILADI EKAN RASIYADAN PULI KELADI | 2424000</t>
        </is>
      </c>
    </row>
    <row r="337">
      <c r="A337" s="98" t="inlineStr">
        <is>
          <t xml:space="preserve">ФАРГОНА ВИЛОЯТИ</t>
        </is>
      </c>
      <c r="C337" s="98" t="inlineStr">
        <is>
          <t xml:space="preserve">Обещал</t>
        </is>
      </c>
      <c r="D337" s="98" t="inlineStr">
        <is>
          <t xml:space="preserve">Кр-99037178-1</t>
        </is>
      </c>
      <c r="E337" s="98" t="inlineStr">
        <is>
          <t xml:space="preserve">NURULLAYEV XOKIMJON OBIDDINOVICH</t>
        </is>
      </c>
      <c r="F337" s="98" t="inlineStr">
        <is>
          <t xml:space="preserve">998972141971 SMS OZI, 998888141973 SMS AYOLI, 998903020279 SMS OGLI ABDULXAFIZ O'G'LI, 998905371938 SMS KELINI,</t>
        </is>
      </c>
      <c r="G337" s="98" t="inlineStr">
        <is>
          <t xml:space="preserve">FARG’ONA VILOYATI FARG’ONA SHAHAR NAFOSAT MFY XAZINA QASHAKAR KO’CHASI 224-UY</t>
        </is>
      </c>
      <c r="H337" s="99">
        <v>11.0</v>
      </c>
      <c r="I337" s="99">
        <v>5160220.75</v>
      </c>
      <c r="K337" s="98" t="inlineStr">
        <is>
          <t xml:space="preserve">Va'da berdi | 20CHIDA OYLIGINI OLADI OLISHI BILAN YOPADI XAR OY SHUNAQA TOLAYDI | 2258677.98</t>
        </is>
      </c>
    </row>
    <row r="338">
      <c r="A338" s="98" t="inlineStr">
        <is>
          <t xml:space="preserve">ФАРГОНА ВИЛОЯТИ</t>
        </is>
      </c>
      <c r="C338" s="98" t="inlineStr">
        <is>
          <t xml:space="preserve">Обещал</t>
        </is>
      </c>
      <c r="D338" s="98" t="inlineStr">
        <is>
          <t xml:space="preserve">Кр-99039992-1</t>
        </is>
      </c>
      <c r="E338" s="98" t="inlineStr">
        <is>
          <t xml:space="preserve">JO’RAYEVA MARXAMATOY TURG’UNOVNA</t>
        </is>
      </c>
      <c r="F338" s="98" t="inlineStr">
        <is>
          <t xml:space="preserve">998996905719 uzi, 998996029191 jiyani tolovchi , 998936979191 ugli,</t>
        </is>
      </c>
      <c r="G338" s="98" t="inlineStr">
        <is>
          <t xml:space="preserve">FARG’ONA VILOYATI UCHKO’PRIK TUMANI</t>
        </is>
      </c>
      <c r="H338" s="99">
        <v>8.0</v>
      </c>
      <c r="I338" s="99">
        <v>5110213.5</v>
      </c>
      <c r="K338" s="98" t="inlineStr">
        <is>
          <t xml:space="preserve">Va'da berdi | 15, 20CHIGACHA PUL KELADI DEDI KELISHI BILAN TOLAB QOYAMAN DEYABDI | 1667000</t>
        </is>
      </c>
    </row>
    <row r="339">
      <c r="A339" s="98" t="inlineStr">
        <is>
          <t xml:space="preserve">ФАРГОНА ВИЛОЯТИ</t>
        </is>
      </c>
      <c r="C339" s="98" t="inlineStr">
        <is>
          <t xml:space="preserve">Обещал</t>
        </is>
      </c>
      <c r="D339" s="98" t="inlineStr">
        <is>
          <t xml:space="preserve">Кр-99042084-2</t>
        </is>
      </c>
      <c r="E339" s="98" t="inlineStr">
        <is>
          <t xml:space="preserve">ARIPOV KURBONALI FARMANOVICH</t>
        </is>
      </c>
      <c r="F339" s="98" t="inlineStr">
        <is>
          <t xml:space="preserve">+998901666019 SMS O’ZI, 998909425347 AYOLI, 998911270930 KELINI, 998990064471 O’G’LI TO’LOVCHI,</t>
        </is>
      </c>
      <c r="G339" s="98" t="inlineStr">
        <is>
          <t xml:space="preserve">FARG’ONA VILOYATI QUVA TUMANI O’ZBEKISTON MFY BERUNIY KO’CHASI 138-XONADON</t>
        </is>
      </c>
      <c r="H339" s="99">
        <v>8.0</v>
      </c>
      <c r="I339" s="99">
        <v>4157383.06</v>
      </c>
      <c r="K339" s="98" t="inlineStr">
        <is>
          <t xml:space="preserve">Va'da berdi | 5 LARGA QAYTA ALOQA ERTAGA 4 LARGA QAYTA ALOQA TOLAYDI BUGUN PULI KELMAY QOLIBDI | 1818180.96</t>
        </is>
      </c>
    </row>
    <row r="340">
      <c r="A340" s="98" t="inlineStr">
        <is>
          <t xml:space="preserve">ФАРГОНА ВИЛОЯТИ</t>
        </is>
      </c>
      <c r="C340" s="98" t="inlineStr">
        <is>
          <t xml:space="preserve">Обещал</t>
        </is>
      </c>
      <c r="D340" s="98" t="inlineStr">
        <is>
          <t xml:space="preserve">Кр-99040890-1</t>
        </is>
      </c>
      <c r="E340" s="98" t="inlineStr">
        <is>
          <t xml:space="preserve">JAMOLOV ASILBEK XOLIQJON O’GLI</t>
        </is>
      </c>
      <c r="F340" s="98" t="inlineStr">
        <is>
          <t xml:space="preserve">998946588800 SMS OZI, 998990099303 SMS DOSTI, 998786494942 SMS DOSTI 2, 998706094543 SMS DOSTI 3, 998770043045 DOST TOLOVCHI ,</t>
        </is>
      </c>
      <c r="G340" s="98" t="inlineStr">
        <is>
          <t xml:space="preserve">TOSHKENT SHAHAR YASHNABOD TUMANI JARBOSHI MFY, A.SERIKBAEV (BUSH) KO’CHASI 20-UY,39-XONADON</t>
        </is>
      </c>
      <c r="H340" s="99">
        <v>13.0</v>
      </c>
      <c r="I340" s="99">
        <v>4025739.75</v>
      </c>
      <c r="K340" s="98" t="inlineStr">
        <is>
          <t xml:space="preserve">Va'da berdi | BUGUN KECHGACHA TOLAYDI EKAN | 1393593.84</t>
        </is>
      </c>
    </row>
    <row r="341">
      <c r="A341" s="98" t="inlineStr">
        <is>
          <t xml:space="preserve">ФАРГОНА ВИЛОЯТИ</t>
        </is>
      </c>
      <c r="C341" s="98" t="inlineStr">
        <is>
          <t xml:space="preserve">Обещал</t>
        </is>
      </c>
      <c r="D341" s="98" t="inlineStr">
        <is>
          <t xml:space="preserve">Кр-99052905-1</t>
        </is>
      </c>
      <c r="E341" s="98" t="inlineStr">
        <is>
          <t xml:space="preserve">KURBONOV SHUXRAT SHAXABIDINOVICH</t>
        </is>
      </c>
      <c r="F341" s="98" t="inlineStr">
        <is>
          <t xml:space="preserve">998700190989 SMS OZI, 998077556362 SMS OZI, 998884130035 SMS OGLI, 998901628776 SMS AYOLI,</t>
        </is>
      </c>
      <c r="G341" s="98" t="inlineStr">
        <is>
          <t xml:space="preserve">FARG’ONA VILOYATI TOSHLOQ TUMANI ZARKENT MFY QASHQARQISHLOQ KO’CHASI 101-XONADON</t>
        </is>
      </c>
      <c r="H341" s="99">
        <v>8.0</v>
      </c>
      <c r="I341" s="99">
        <v>4012591.75</v>
      </c>
      <c r="K341" s="98" t="inlineStr">
        <is>
          <t xml:space="preserve">Va'da berdi | BUGUN 3LARGA QAYTA ALOQA TOLOV QILADI EKAN  5 LARGA QAYTA ALOQA ERTAGA ABETLARGA QAYTA ALOQA TOLOV QILADI EKAN | 1318019.19</t>
        </is>
      </c>
    </row>
    <row r="342">
      <c r="A342" s="98" t="inlineStr">
        <is>
          <t xml:space="preserve">ФАРГОНА ВИЛОЯТИ</t>
        </is>
      </c>
      <c r="C342" s="98" t="inlineStr">
        <is>
          <t xml:space="preserve">Обещал</t>
        </is>
      </c>
      <c r="D342" s="98" t="inlineStr">
        <is>
          <t xml:space="preserve">Кр-99049118-2</t>
        </is>
      </c>
      <c r="E342" s="98" t="inlineStr">
        <is>
          <t xml:space="preserve">MAMATQULOV TOJIBOY RO’ZIYEVICH</t>
        </is>
      </c>
      <c r="F342" s="98" t="inlineStr">
        <is>
          <t xml:space="preserve">+998944948128 SMS O’ZI, 998931070281 O’G’LI 2, 998945532052 NEVARASI, 998970420281 O’G’LI, 998930612052 OZI NEW,</t>
        </is>
      </c>
      <c r="G342" s="98" t="inlineStr">
        <is>
          <t xml:space="preserve">FARG’ONA VILOYATI BESHARIQ TUMANI CHIMBOY MFY NAVRO’Z KO’CHASI 107-XONADON</t>
        </is>
      </c>
      <c r="H342" s="99">
        <v>8.0</v>
      </c>
      <c r="I342" s="99">
        <v>3989896.81</v>
      </c>
      <c r="K342" s="98" t="inlineStr">
        <is>
          <t xml:space="preserve">Va'da berdi | TASHKENTGA ISHGA KELAYABDI EKAN 3,4 LARDA PUL OLIB TOLAB QOYAMAN DEYABDI PASHANBA KUNI 3LARGA QAYTA ALOQA | 1249999.53</t>
        </is>
      </c>
    </row>
    <row r="343">
      <c r="A343" s="98" t="inlineStr">
        <is>
          <t xml:space="preserve">ФАРГОНА ВИЛОЯТИ</t>
        </is>
      </c>
      <c r="C343" s="98" t="inlineStr">
        <is>
          <t xml:space="preserve">Обещал</t>
        </is>
      </c>
      <c r="D343" s="98" t="inlineStr">
        <is>
          <t xml:space="preserve">Кр-99037171-1</t>
        </is>
      </c>
      <c r="E343" s="98" t="inlineStr">
        <is>
          <t xml:space="preserve">SHARABIDINOVA NUSRATXON ISMOILOVNA</t>
        </is>
      </c>
      <c r="F343" s="98" t="inlineStr">
        <is>
          <t xml:space="preserve">998911303102 SMS OZI, 998999810228 SMS O’G’LI, 998335755717 SMS  QIZI, 998335555717 SMS NEVARASI, 998889270228 OGLI TOLOVCHI ,</t>
        </is>
      </c>
      <c r="G343" s="98" t="inlineStr">
        <is>
          <t xml:space="preserve">FARG’ONA VILOYATI FARG’ONA SHAHAR KIMYOGARLAR MFY SO’LIM KO’CHASI 11/2-UY 18-XONADON</t>
        </is>
      </c>
      <c r="H343" s="99">
        <v>8.0</v>
      </c>
      <c r="I343" s="99">
        <v>3805092.72</v>
      </c>
      <c r="K343" s="98" t="inlineStr">
        <is>
          <t xml:space="preserve">Va'da berdi | KECHGACHA TOPIB TOLAB QOYAMAN DEYABDI | 1694008.64</t>
        </is>
      </c>
    </row>
    <row r="344">
      <c r="A344" s="98" t="inlineStr">
        <is>
          <t xml:space="preserve">ФАРГОНА ВИЛОЯТИ</t>
        </is>
      </c>
      <c r="C344" s="98" t="inlineStr">
        <is>
          <t xml:space="preserve">Обещал</t>
        </is>
      </c>
      <c r="D344" s="98" t="inlineStr">
        <is>
          <t xml:space="preserve">Кр-99033555-2</t>
        </is>
      </c>
      <c r="E344" s="98" t="inlineStr">
        <is>
          <t xml:space="preserve">AKBAROV IKROM MUXAMEDOVICH</t>
        </is>
      </c>
      <c r="F344" s="98" t="inlineStr">
        <is>
          <t xml:space="preserve">998902938949 SMS O’ZI, 998903438280 SMS AKASI, 998905652884 SMS AYOLI, 998905084464 SMS JIYANI,</t>
        </is>
      </c>
      <c r="G344" s="98" t="inlineStr">
        <is>
          <t xml:space="preserve">FARG’ONA VILOYATI QO’QON SHAHAR USTA BOZOR MFY PARPASHABOF KO’CHASI 209-XONADON</t>
        </is>
      </c>
      <c r="H344" s="99">
        <v>8.0</v>
      </c>
      <c r="I344" s="99">
        <v>3672642.7</v>
      </c>
      <c r="K344" s="98" t="inlineStr">
        <is>
          <t xml:space="preserve">Va'da berdi | 26,29 GACHA BOLGAN OROLIQDA QIRGIZISTONDAN PULI KELADI KELISHI BILAN YOPIB QOYADI EKAN | 965658.22</t>
        </is>
      </c>
    </row>
    <row r="345">
      <c r="A345" s="98" t="inlineStr">
        <is>
          <t xml:space="preserve">ФАРГОНА ВИЛОЯТИ</t>
        </is>
      </c>
      <c r="C345" s="98" t="inlineStr">
        <is>
          <t xml:space="preserve">Обещал</t>
        </is>
      </c>
      <c r="D345" s="98" t="inlineStr">
        <is>
          <t xml:space="preserve">Кр-99054960-1</t>
        </is>
      </c>
      <c r="E345" s="98" t="inlineStr">
        <is>
          <t xml:space="preserve">BEGALIYEV SARDORBEK MAMASODIK O’G’LI</t>
        </is>
      </c>
      <c r="F345" s="98" t="inlineStr">
        <is>
          <t xml:space="preserve">998936404050 SMS O'ZI, 998908425658 SMS AYOLI, 998931731278 SMS ONASI, 998903904042 SMS DADASI,</t>
        </is>
      </c>
      <c r="G345" s="98" t="inlineStr">
        <is>
          <t xml:space="preserve">FARG’ONA VILOYATI FARG’ONA SHAHAR BERUNIY MFY MARG’ILON KO’CHASI 24-B UY 2-XONADON</t>
        </is>
      </c>
      <c r="H345" s="99">
        <v>8.0</v>
      </c>
      <c r="I345" s="99">
        <v>3626604.39</v>
      </c>
      <c r="K345" s="98" t="inlineStr">
        <is>
          <t xml:space="preserve">Va'da berdi | BIR EKUNDA TOLASHADI DEDI DADASI | 1515000</t>
        </is>
      </c>
    </row>
    <row r="346">
      <c r="A346" s="98" t="inlineStr">
        <is>
          <t xml:space="preserve">ФАРГОНА ВИЛОЯТИ</t>
        </is>
      </c>
      <c r="C346" s="98" t="inlineStr">
        <is>
          <t xml:space="preserve">Обещал</t>
        </is>
      </c>
      <c r="D346" s="98" t="inlineStr">
        <is>
          <t xml:space="preserve">Кр-99039366-1</t>
        </is>
      </c>
      <c r="E346" s="98" t="inlineStr">
        <is>
          <t xml:space="preserve">JURAYEV INOMJON G’ULOMOVICH</t>
        </is>
      </c>
      <c r="F346" s="98" t="inlineStr">
        <is>
          <t xml:space="preserve">998912080108 QIZI, 998940740752 SMS O’ZI, 998949202737 QIZI 2, 998997546688 NABIRASI,</t>
        </is>
      </c>
      <c r="G346" s="98" t="inlineStr">
        <is>
          <t xml:space="preserve">FARG’ONA VILOYATI BUVAYDA TUMANI POSHSHOPIRIM MFY MUSTAQILLIK KO’CHASI 72-UY</t>
        </is>
      </c>
      <c r="H346" s="99">
        <v>8.0</v>
      </c>
      <c r="I346" s="99">
        <v>3096436.98</v>
      </c>
      <c r="K346" s="98" t="inlineStr">
        <is>
          <t xml:space="preserve">Va'da berdi | 20KUNI NABIRASI KELADI EKAN KELISHI BILAN YOPIB BERADI EKAN | 1041562.26</t>
        </is>
      </c>
    </row>
    <row r="347">
      <c r="A347" s="98" t="inlineStr">
        <is>
          <t xml:space="preserve">ФАРГОНА ВИЛОЯТИ</t>
        </is>
      </c>
      <c r="C347" s="98" t="inlineStr">
        <is>
          <t xml:space="preserve">Обещал</t>
        </is>
      </c>
      <c r="D347" s="98" t="inlineStr">
        <is>
          <t xml:space="preserve">Кр-99049204-1</t>
        </is>
      </c>
      <c r="E347" s="98" t="inlineStr">
        <is>
          <t xml:space="preserve">ISROILOVA NABIRAXON YUSUPJON QIZI</t>
        </is>
      </c>
      <c r="F347" s="98" t="inlineStr">
        <is>
          <t xml:space="preserve">998913970794 uzi, 998904068676 opasi, 998332042003 eri, 998903630794 ozi new,</t>
        </is>
      </c>
      <c r="G347" s="98" t="inlineStr">
        <is>
          <t xml:space="preserve">FARG’ONA VILOYATI QUVA TUMANI DEXQONOBOD MFY SHO’RMAXALLA KO’CHASI 268-UY</t>
        </is>
      </c>
      <c r="H347" s="99">
        <v>8.0</v>
      </c>
      <c r="I347" s="99">
        <v>2839125.77</v>
      </c>
      <c r="K347" s="98" t="inlineStr">
        <is>
          <t xml:space="preserve">Va'da berdi | 20CHIGA PULIM KELADI EKAN KELISHI BILAN TOLAB QOYAMAN DEDI | 937429.73</t>
        </is>
      </c>
    </row>
    <row r="348">
      <c r="A348" s="98" t="inlineStr">
        <is>
          <t xml:space="preserve">ФАРГОНА ВИЛОЯТИ</t>
        </is>
      </c>
      <c r="C348" s="98" t="inlineStr">
        <is>
          <t xml:space="preserve">Обещал</t>
        </is>
      </c>
      <c r="D348" s="98" t="inlineStr">
        <is>
          <t xml:space="preserve">Кр-99033385-2</t>
        </is>
      </c>
      <c r="E348" s="98" t="inlineStr">
        <is>
          <t xml:space="preserve">TOSHTEMIROV ULUG’JON NEMATJONOVICH</t>
        </is>
      </c>
      <c r="F348" s="98" t="inlineStr">
        <is>
          <t xml:space="preserve">998773017761 SMS O’ZI, 998907862235 SMS AYOLI, 998773072180 SMS O’G’LI, 998916537761 SMS AKASI, 998910429049 кизи,</t>
        </is>
      </c>
      <c r="G348" s="98" t="inlineStr">
        <is>
          <t xml:space="preserve">FARG'ONA VILOYATI FARG'ONA SHAXAR XO'JAMAG'IZ MFY ULUG'VOR KO'CHASI 528-UY</t>
        </is>
      </c>
      <c r="H348" s="99">
        <v>11.0</v>
      </c>
      <c r="I348" s="99">
        <v>2719125.3</v>
      </c>
      <c r="K348" s="98" t="inlineStr">
        <is>
          <t xml:space="preserve">Va'da berdi | ABETGACHA  TOLAB QOYADI EKAN QOLIDA DOLIR EKAN KECHQURUN 9,10NLARGA KASASINI YIGISHTIRIB TOLAB QOYADI EKAN | 1608932.34</t>
        </is>
      </c>
    </row>
    <row r="349">
      <c r="A349" s="98" t="inlineStr">
        <is>
          <t xml:space="preserve">ФАРГОНА ВИЛОЯТИ</t>
        </is>
      </c>
      <c r="C349" s="98" t="inlineStr">
        <is>
          <t xml:space="preserve">Обещал</t>
        </is>
      </c>
      <c r="D349" s="98" t="inlineStr">
        <is>
          <t xml:space="preserve">Кр-99040038-1</t>
        </is>
      </c>
      <c r="E349" s="98" t="inlineStr">
        <is>
          <t xml:space="preserve">KARIMOV TEMURBEK TURSUNALI O’G’LI</t>
        </is>
      </c>
      <c r="F349" s="98" t="inlineStr">
        <is>
          <t xml:space="preserve">998939833343 SMS OZI, 998916564748 SMS ONASI, 998330310616 SMS OPASI, 998319363322 SMS OPASI 2,</t>
        </is>
      </c>
      <c r="G349" s="98" t="inlineStr">
        <is>
          <t xml:space="preserve">FARG’ONA VILOYATI FARG’ONA SHAHAR 9-FARG’ONA MFY M-SHAYXZODA 38-XONADON</t>
        </is>
      </c>
      <c r="H349" s="99">
        <v>12.0</v>
      </c>
      <c r="I349" s="99">
        <v>2553496.29</v>
      </c>
      <c r="K349" s="98" t="inlineStr">
        <is>
          <t xml:space="preserve">Va'da berdi | ANOR BAKDA ISHLAYDI XAR OY OYNI OXIRIDA TOLAYDI EKAN | 941886.02</t>
        </is>
      </c>
    </row>
    <row r="350">
      <c r="A350" s="98" t="inlineStr">
        <is>
          <t xml:space="preserve">ФАРГОНА ВИЛОЯТИ</t>
        </is>
      </c>
      <c r="C350" s="98" t="inlineStr">
        <is>
          <t xml:space="preserve">Обещал</t>
        </is>
      </c>
      <c r="D350" s="98" t="inlineStr">
        <is>
          <t xml:space="preserve">Кр-99060349-2</t>
        </is>
      </c>
      <c r="E350" s="98" t="inlineStr">
        <is>
          <t xml:space="preserve">ISMOILOV BAHROMJON AXROR O’G’LI</t>
        </is>
      </c>
      <c r="F350" s="98" t="inlineStr">
        <is>
          <t xml:space="preserve">998999990044 узи,</t>
        </is>
      </c>
      <c r="G350" s="98" t="inlineStr">
        <is>
          <t xml:space="preserve">IIV 60010</t>
        </is>
      </c>
      <c r="H350" s="99">
        <v>8.0</v>
      </c>
      <c r="I350" s="99">
        <v>2544082.47</v>
      </c>
      <c r="K350" s="98" t="inlineStr">
        <is>
          <t xml:space="preserve">Va'da berdi | 1230490.19</t>
        </is>
      </c>
    </row>
    <row r="351">
      <c r="A351" s="98" t="inlineStr">
        <is>
          <t xml:space="preserve">ФАРГОНА ВИЛОЯТИ</t>
        </is>
      </c>
      <c r="C351" s="98" t="inlineStr">
        <is>
          <t xml:space="preserve">Обещал</t>
        </is>
      </c>
      <c r="D351" s="98" t="inlineStr">
        <is>
          <t xml:space="preserve">Кр-99063550-2</t>
        </is>
      </c>
      <c r="E351" s="98" t="inlineStr">
        <is>
          <t xml:space="preserve">HAJIYEVA IQBOLXON RAIMBERGANOVNA</t>
        </is>
      </c>
      <c r="F351" s="98" t="inlineStr">
        <is>
          <t xml:space="preserve">+998916740111 SMS O’ZI, 998905320111 ERI, 998911116755 QIZI, 998911310828 O’G’LI,</t>
        </is>
      </c>
      <c r="G351" s="98" t="inlineStr">
        <is>
          <t xml:space="preserve">FARG’ONA VILOYATI FARG’ONA SHAHAR A-JOMIY MFY A-JOMIY KO’CHASI 9-UY 11-XONADON</t>
        </is>
      </c>
      <c r="H351" s="99">
        <v>8.0</v>
      </c>
      <c r="I351" s="99">
        <v>2529304.0</v>
      </c>
      <c r="K351" s="98" t="inlineStr">
        <is>
          <t xml:space="preserve">Va'da berdi | BAKDA EKAN 5LARGA QAYTA ALOQA KIRIDITI CHIQIB QOLSA POLI PAGASHENA QILIB YUNBORADI EKAN | 1045546.95</t>
        </is>
      </c>
    </row>
    <row r="352">
      <c r="A352" s="98" t="inlineStr">
        <is>
          <t xml:space="preserve">ФАРГОНА ВИЛОЯТИ</t>
        </is>
      </c>
      <c r="C352" s="98" t="inlineStr">
        <is>
          <t xml:space="preserve">Обещал</t>
        </is>
      </c>
      <c r="D352" s="98" t="inlineStr">
        <is>
          <t xml:space="preserve">Кр-99034448-2</t>
        </is>
      </c>
      <c r="E352" s="98" t="inlineStr">
        <is>
          <t xml:space="preserve">ASHIROVA MIRA ABBASOVNA</t>
        </is>
      </c>
      <c r="F352" s="98" t="inlineStr">
        <is>
          <t xml:space="preserve">998916509967 SMS O’ZI, 998901621373 SMS O’G’LI, 998907844322 SMS O’G’LI, 998939773993 SMS JIYANI BEGONA,</t>
        </is>
      </c>
      <c r="G352" s="98" t="inlineStr">
        <is>
          <t xml:space="preserve">FARG’ONA VILOYATI FARG’ONA SHAHAR M.ULUG’BEK MFY AXMAD YASSAVIY 50-UY 11-XONADON</t>
        </is>
      </c>
      <c r="H352" s="99">
        <v>8.0</v>
      </c>
      <c r="I352" s="99">
        <v>2505334.45</v>
      </c>
      <c r="K352" s="98" t="inlineStr">
        <is>
          <t xml:space="preserve">Va'da berdi | UYIDA ISHLAYDI EKAN PULI YETMAYABDI EKAN JUMA KUNI TOLAB QOYADI EKAN | 909071.89</t>
        </is>
      </c>
    </row>
    <row r="353">
      <c r="A353" s="98" t="inlineStr">
        <is>
          <t xml:space="preserve">ФАРГОНА ВИЛОЯТИ</t>
        </is>
      </c>
      <c r="C353" s="98" t="inlineStr">
        <is>
          <t xml:space="preserve">Обещал</t>
        </is>
      </c>
      <c r="D353" s="98" t="inlineStr">
        <is>
          <t xml:space="preserve">Кр-99058893-1</t>
        </is>
      </c>
      <c r="E353" s="98" t="inlineStr">
        <is>
          <t xml:space="preserve">RAXMATOV MUXAMMADAZIMJON AXMADJON O’G’LI</t>
        </is>
      </c>
      <c r="F353" s="98" t="inlineStr">
        <is>
          <t xml:space="preserve">998911090005 узи, 998918820808 узи2, 998779700809 уй,</t>
        </is>
      </c>
      <c r="G353" s="98" t="inlineStr">
        <is>
          <t xml:space="preserve">FARG’ONA VILOYATI MARG’ILON SHAXRI YANGI HAYOT MFY S.OLLOYOR KUCHASI 260-UY</t>
        </is>
      </c>
      <c r="H353" s="99">
        <v>8.0</v>
      </c>
      <c r="I353" s="99">
        <v>2236698.73</v>
      </c>
      <c r="K353" s="98" t="inlineStr">
        <is>
          <t xml:space="preserve">Va'da berdi | 5 LARGA QAYTA ALOQA TOLOV QILADI EKAN | 1457275.73</t>
        </is>
      </c>
    </row>
    <row r="354">
      <c r="A354" s="98" t="inlineStr">
        <is>
          <t xml:space="preserve">ФАРГОНА ВИЛОЯТИ</t>
        </is>
      </c>
      <c r="C354" s="98" t="inlineStr">
        <is>
          <t xml:space="preserve">Обещал</t>
        </is>
      </c>
      <c r="D354" s="98" t="inlineStr">
        <is>
          <t xml:space="preserve">Кр-99062924-1</t>
        </is>
      </c>
      <c r="E354" s="98" t="inlineStr">
        <is>
          <t xml:space="preserve">BOBOYEV MUSINJON ABDILLAYEVICH</t>
        </is>
      </c>
      <c r="F354" s="98" t="inlineStr">
        <is>
          <t xml:space="preserve">+998902741096 SMS O’ZI, 998908373666 KELINI, 998916716616 O’G’LI 2, 998949021511 O’G’LI,</t>
        </is>
      </c>
      <c r="G354" s="98" t="inlineStr">
        <is>
          <t xml:space="preserve">FARG’ONA VILOYATI YOZYOVON TUMANI QOTORTOL MFY AHMAD KO’CHASI 72-UY</t>
        </is>
      </c>
      <c r="H354" s="99">
        <v>8.0</v>
      </c>
      <c r="I354" s="99">
        <v>2153319.56</v>
      </c>
      <c r="K354" s="98" t="inlineStr">
        <is>
          <t xml:space="preserve">Va'da berdi | JUMAKUNI  KECHGACHA TOLAB QOYADI EKAN ISHLAYTGAN JOYI PUL BERADI EKAN | 646192.61</t>
        </is>
      </c>
    </row>
    <row r="355">
      <c r="A355" s="98" t="inlineStr">
        <is>
          <t xml:space="preserve">ФАРГОНА ВИЛОЯТИ</t>
        </is>
      </c>
      <c r="C355" s="98" t="inlineStr">
        <is>
          <t xml:space="preserve">Обещал</t>
        </is>
      </c>
      <c r="D355" s="98" t="inlineStr">
        <is>
          <t xml:space="preserve">Кр-99036269-2</t>
        </is>
      </c>
      <c r="E355" s="98" t="inlineStr">
        <is>
          <t xml:space="preserve">TASHPULATOV AVAZJON AKRAMOVICH</t>
        </is>
      </c>
      <c r="F355" s="98" t="inlineStr">
        <is>
          <t xml:space="preserve">998911256909 SMS OZI, 998916797220 SMS OTASI, 998901792328 SMS AYOLI TOLOVCHI , 998911296260 SMS ONASI, +998911256909 Primary phone from road24,</t>
        </is>
      </c>
      <c r="G355" s="98" t="inlineStr">
        <is>
          <t xml:space="preserve">FARG’ONA VILOYATI TOSHLOQ TUMANI FURKAT MFY HUNARMANTLAR KO’CHASI 26-XONADON</t>
        </is>
      </c>
      <c r="H355" s="99">
        <v>8.0</v>
      </c>
      <c r="I355" s="99">
        <v>2152613.89</v>
      </c>
      <c r="K355" s="98" t="inlineStr">
        <is>
          <t xml:space="preserve">Va'da berdi | ERI RASIYADA PUL JONATISHI KERAK EKAN BUGUN ISHINI BOLIB BUGUN YOKI ERTAGA PUL CHIQARADI EKAN CHIQARISHI BILAN TOLAB QOYAMAN DEDI | 837717.91</t>
        </is>
      </c>
    </row>
    <row r="356">
      <c r="A356" s="98" t="inlineStr">
        <is>
          <t xml:space="preserve">ФАРГОНА ВИЛОЯТИ</t>
        </is>
      </c>
      <c r="C356" s="98" t="inlineStr">
        <is>
          <t xml:space="preserve">Обещал</t>
        </is>
      </c>
      <c r="D356" s="98" t="inlineStr">
        <is>
          <t xml:space="preserve">Кр-99036269-1</t>
        </is>
      </c>
      <c r="E356" s="98" t="inlineStr">
        <is>
          <t xml:space="preserve">TASHPULATOV AVAZJON AKRAMOVICH</t>
        </is>
      </c>
      <c r="F356" s="98" t="inlineStr">
        <is>
          <t xml:space="preserve">998911256909 SMS OZI, 998916797220 SMS OTASI, 998901792328 SMS AYOLI TOLOVCHI , 998911296260 SMS ONASI, +998911256909 Primary phone from road24,</t>
        </is>
      </c>
      <c r="G356" s="98" t="inlineStr">
        <is>
          <t xml:space="preserve">FARG’ONA VILOYATI TOSHLOQ TUMANI FURKAT MFY HUNARMANTLAR KO’CHASI 26-XONADON</t>
        </is>
      </c>
      <c r="I356" s="99">
        <v>2140681.13</v>
      </c>
      <c r="K356" s="98" t="inlineStr">
        <is>
          <t xml:space="preserve">Va'da berdi | ERI RASIYADA PUL JONATISHI KERAK EKAN BUGUN ISHINI BOLIB BUGUN YOKI ERTAGA PUL CHIQARADI EKAN CHIQARISHI BILAN TOLAB QOYAMAN DEDI | 0</t>
        </is>
      </c>
    </row>
    <row r="357">
      <c r="A357" s="98" t="inlineStr">
        <is>
          <t xml:space="preserve">ФАРГОНА ВИЛОЯТИ</t>
        </is>
      </c>
      <c r="C357" s="98" t="inlineStr">
        <is>
          <t xml:space="preserve">Обещал</t>
        </is>
      </c>
      <c r="D357" s="98" t="inlineStr">
        <is>
          <t xml:space="preserve">Кр-99034447-1</t>
        </is>
      </c>
      <c r="E357" s="98" t="inlineStr">
        <is>
          <t xml:space="preserve">NO’MONOV NIZOMBEK NE’MATULLO O’G’LI</t>
        </is>
      </c>
      <c r="F357" s="98" t="inlineStr">
        <is>
          <t xml:space="preserve">998916665626 SMS O’ZI, 998772805626 SMS AKASI, 998916765958 SMS UKASI, 998939763939 SMS SHERIGI, 998999855218 SMS new ozi , 998911274848 SMS OZI YENGI NOMERI ,</t>
        </is>
      </c>
      <c r="G357" s="98" t="inlineStr">
        <is>
          <t xml:space="preserve">FARG’ONA VILOYATI MARG’ILON SHAXAR NAVRUZ MFY ILXOM KO’CHASI 14-XONADON</t>
        </is>
      </c>
      <c r="H357" s="99">
        <v>1.0</v>
      </c>
      <c r="I357" s="99">
        <v>2033683.35</v>
      </c>
      <c r="K357" s="98" t="inlineStr">
        <is>
          <t xml:space="preserve">Va'da berdi | HARAMI USBET QILSAM BUGUN BOMASA ERTAGA TOLAB QOYAMAN DEYABDI | 1212000</t>
        </is>
      </c>
    </row>
    <row r="358">
      <c r="A358" s="98" t="inlineStr">
        <is>
          <t xml:space="preserve">ФАРГОНА ВИЛОЯТИ</t>
        </is>
      </c>
      <c r="C358" s="98" t="inlineStr">
        <is>
          <t xml:space="preserve">Обещал</t>
        </is>
      </c>
      <c r="D358" s="98" t="inlineStr">
        <is>
          <t xml:space="preserve">Кр-99049204-2</t>
        </is>
      </c>
      <c r="E358" s="98" t="inlineStr">
        <is>
          <t xml:space="preserve">ISROILOVA NABIRAXON YUSUPJON QIZI</t>
        </is>
      </c>
      <c r="F358" s="98" t="inlineStr">
        <is>
          <t xml:space="preserve">998913970794 uzi, 998904068676 opasi, 998332042003 eri, 998903630794 ozi new,</t>
        </is>
      </c>
      <c r="G358" s="98" t="inlineStr">
        <is>
          <t xml:space="preserve">FARG’ONA VILOYATI QUVA TUMANI DEXQONOBOD MFY SHO’RMAXALLA KO’CHASI 268-UY</t>
        </is>
      </c>
      <c r="H358" s="99">
        <v>8.0</v>
      </c>
      <c r="I358" s="99">
        <v>1992991.18</v>
      </c>
      <c r="K358" s="98" t="inlineStr">
        <is>
          <t xml:space="preserve">Va'da berdi | 20CHIGA PULIM KELADI EKAN KELISHI BILAN TOLAB QOYAMAN DEDI | 757575.56</t>
        </is>
      </c>
    </row>
    <row r="359">
      <c r="A359" s="98" t="inlineStr">
        <is>
          <t xml:space="preserve">ФАРГОНА ВИЛОЯТИ</t>
        </is>
      </c>
      <c r="C359" s="98" t="inlineStr">
        <is>
          <t xml:space="preserve">Обещал</t>
        </is>
      </c>
      <c r="D359" s="98" t="inlineStr">
        <is>
          <t xml:space="preserve">Кр-99042708-1</t>
        </is>
      </c>
      <c r="E359" s="98" t="inlineStr">
        <is>
          <t xml:space="preserve">ABDIRAXMANOV ABDIRAXIM XO’JAMOVICH</t>
        </is>
      </c>
      <c r="F359" s="98" t="inlineStr">
        <is>
          <t xml:space="preserve">+998911401560 SMS O’ZI, 998903615861 O’G’LI, 998930451331 KELINI, 998949710065 AYOLI,</t>
        </is>
      </c>
      <c r="G359" s="98" t="inlineStr">
        <is>
          <t xml:space="preserve">FARG’ONA VILOYATI BUVAYDA TUMANI OQQO’RG’N MFY ARCHAZOR KO’CHASI 7-UY</t>
        </is>
      </c>
      <c r="H359" s="99">
        <v>8.0</v>
      </c>
      <c r="I359" s="99">
        <v>1869282.32</v>
      </c>
      <c r="K359" s="98" t="inlineStr">
        <is>
          <t xml:space="preserve">Va'da berdi | ERTAGA  EBETLARGA QAYTA ALOQA TOLOV QILADI | 786437.67</t>
        </is>
      </c>
    </row>
    <row r="360">
      <c r="A360" s="98" t="inlineStr">
        <is>
          <t xml:space="preserve">ФАРГОНА ВИЛОЯТИ</t>
        </is>
      </c>
      <c r="C360" s="98" t="inlineStr">
        <is>
          <t xml:space="preserve">Обещал</t>
        </is>
      </c>
      <c r="D360" s="98" t="inlineStr">
        <is>
          <t xml:space="preserve">Кр-99063815-1</t>
        </is>
      </c>
      <c r="E360" s="98" t="inlineStr">
        <is>
          <t xml:space="preserve">O’RINXO’JAYEV SHERXON URAYIMJON O’G’LI</t>
        </is>
      </c>
      <c r="G360" s="98" t="inlineStr">
        <is>
          <t xml:space="preserve">BERUNIY MFY</t>
        </is>
      </c>
      <c r="H360" s="99">
        <v>8.0</v>
      </c>
      <c r="I360" s="99">
        <v>1861628.38</v>
      </c>
      <c r="K360" s="98" t="inlineStr">
        <is>
          <t xml:space="preserve">Va'da berdi | AYOLI BILAN GAPLASHILDI OZLARI QIRGIZISTONDA EKAN TELAGRAMDAN CHIQILADI | 756083.61</t>
        </is>
      </c>
    </row>
    <row r="361">
      <c r="A361" s="98" t="inlineStr">
        <is>
          <t xml:space="preserve">ФАРГОНА ВИЛОЯТИ</t>
        </is>
      </c>
      <c r="C361" s="98" t="inlineStr">
        <is>
          <t xml:space="preserve">Обещал</t>
        </is>
      </c>
      <c r="D361" s="98" t="inlineStr">
        <is>
          <t xml:space="preserve">Кр-99032078-3</t>
        </is>
      </c>
      <c r="E361" s="98" t="inlineStr">
        <is>
          <t xml:space="preserve">ABDULLAJONOV XOJIAKBAR OBIDJON O’G’LI</t>
        </is>
      </c>
      <c r="F361" s="98" t="inlineStr">
        <is>
          <t xml:space="preserve">998949997060 SMS O’ZI axrana bolib ishlid , 998947097060 SMS AYOLI, 998948129222 SMS AKASI, 998959709293 SMS KELINI, 998507138440 OZI NEW ,</t>
        </is>
      </c>
      <c r="G361" s="98" t="inlineStr">
        <is>
          <t xml:space="preserve">FARG’ONA VILOYATI FARG’ONA TUMANI MINDONOBOD MFY MADADKOR KO’CHASI 13-XONADON</t>
        </is>
      </c>
      <c r="H361" s="99">
        <v>8.0</v>
      </c>
      <c r="I361" s="99">
        <v>1797817.76</v>
      </c>
      <c r="K361" s="98" t="inlineStr">
        <is>
          <t xml:space="preserve">Va'da berdi | KUNI 170MIGA ISHLAYDI HARKUNI TOPKANINI TOLAYDI KILIKDAN | 1296416.31</t>
        </is>
      </c>
    </row>
    <row r="362">
      <c r="A362" s="98" t="inlineStr">
        <is>
          <t xml:space="preserve">ФАРГОНА ВИЛОЯТИ</t>
        </is>
      </c>
      <c r="C362" s="98" t="inlineStr">
        <is>
          <t xml:space="preserve">Обещал</t>
        </is>
      </c>
      <c r="D362" s="98" t="inlineStr">
        <is>
          <t xml:space="preserve">Кр-99035151-1</t>
        </is>
      </c>
      <c r="E362" s="98" t="inlineStr">
        <is>
          <t xml:space="preserve">NORMATOV ASILBEK SHUXRAT O’G’LI</t>
        </is>
      </c>
      <c r="F362" s="98" t="inlineStr">
        <is>
          <t xml:space="preserve">998507746919 SMS O’ZI, 998941682299 SMS ZALOGADETOL, 998991074040 SMS SHERIGI, 998972442020 SMS UKASI,</t>
        </is>
      </c>
      <c r="G362" s="98" t="inlineStr">
        <is>
          <t xml:space="preserve">FARG’ONA VILOYATI QUVA TUMANI O’ROQVOSHI MFY XAMDUSTLIK KO’CHASI 59-XONADON</t>
        </is>
      </c>
      <c r="H362" s="99">
        <v>6.0</v>
      </c>
      <c r="I362" s="99">
        <v>1665613.07</v>
      </c>
      <c r="K362" s="98" t="inlineStr">
        <is>
          <t xml:space="preserve">Va'da berdi | CHORSHANBA KUNI KECHGACHA POLI YOPADI EKAN PULI KELMAY QOLIBDI | 1510770.58</t>
        </is>
      </c>
    </row>
    <row r="363">
      <c r="A363" s="98" t="inlineStr">
        <is>
          <t xml:space="preserve">ФАРГОНА ВИЛОЯТИ</t>
        </is>
      </c>
      <c r="C363" s="98" t="inlineStr">
        <is>
          <t xml:space="preserve">Обещал</t>
        </is>
      </c>
      <c r="D363" s="98" t="inlineStr">
        <is>
          <t xml:space="preserve">Кр-99030462-1</t>
        </is>
      </c>
      <c r="E363" s="98" t="inlineStr">
        <is>
          <t xml:space="preserve">YIGITALIYEV TO’LQIN ERKINJONOVICH</t>
        </is>
      </c>
      <c r="F363" s="98" t="inlineStr">
        <is>
          <t xml:space="preserve">93-979-38-07 SMS  O'ZI, 93-973-50-05 SMS  UKASI, 93-535-84-40 SMS DADASI, 94-205-31-01  SMS AYOLI, 998932068870 sms ozi new, 998958784224 OZI NEW,</t>
        </is>
      </c>
      <c r="G363" s="98" t="inlineStr">
        <is>
          <t xml:space="preserve">FARG’ONA VILOYATI FARG’ONA TUMANI LANGAR MFY, TEPALIK KO’CHASI 55-UY</t>
        </is>
      </c>
      <c r="H363" s="99">
        <v>8.0</v>
      </c>
      <c r="I363" s="99">
        <v>1519463.61</v>
      </c>
      <c r="K363" s="98" t="inlineStr">
        <is>
          <t xml:space="preserve">Va'da berdi | HARAKATAMAN TOPISHIM BILAN TOLAB QOYAMAN DEYABDI | 909000</t>
        </is>
      </c>
    </row>
    <row r="364">
      <c r="A364" s="98" t="inlineStr">
        <is>
          <t xml:space="preserve">ФАРГОНА ВИЛОЯТИ</t>
        </is>
      </c>
      <c r="C364" s="98" t="inlineStr">
        <is>
          <t xml:space="preserve">Обещал</t>
        </is>
      </c>
      <c r="D364" s="98" t="inlineStr">
        <is>
          <t xml:space="preserve">Кр-99021043-3</t>
        </is>
      </c>
      <c r="E364" s="98" t="inlineStr">
        <is>
          <t xml:space="preserve">DJUMABAYEVA DILBARXON YIGITALIYEVNA</t>
        </is>
      </c>
      <c r="F364" s="98" t="inlineStr">
        <is>
          <t xml:space="preserve">99-615-34-49 SMS OZI , 99-604-38-93 SMS O'G'LI, 99-993-59-69 SMS O'G'LI 2, 91-119-68-11 SMS ERI , 998932544577 tolovchi ,</t>
        </is>
      </c>
      <c r="G364" s="98" t="inlineStr">
        <is>
          <t xml:space="preserve">FARG’ONA VILOYATI FARG’ONA TUMANI MINDONOBOD MFY O’ZBEKISTON OVOZI 133-XONADON</t>
        </is>
      </c>
      <c r="H364" s="99">
        <v>8.0</v>
      </c>
      <c r="I364" s="99">
        <v>1471708.75</v>
      </c>
      <c r="K364" s="98" t="inlineStr">
        <is>
          <t xml:space="preserve">Va'da berdi | 15 AVANSI TUSHADI EKAN BIRKUN ZADESHKASI BILAN 16KUNI KECHGACHA VADA QILAYABDI | 605581.96</t>
        </is>
      </c>
    </row>
    <row r="365">
      <c r="A365" s="98" t="inlineStr">
        <is>
          <t xml:space="preserve">ФАРГОНА ВИЛОЯТИ</t>
        </is>
      </c>
      <c r="C365" s="98" t="inlineStr">
        <is>
          <t xml:space="preserve">Обещал</t>
        </is>
      </c>
      <c r="D365" s="98" t="inlineStr">
        <is>
          <t xml:space="preserve">Кр-99030462-3</t>
        </is>
      </c>
      <c r="E365" s="98" t="inlineStr">
        <is>
          <t xml:space="preserve">YIGITALIYEV TO’LQIN ERKINJONOVICH</t>
        </is>
      </c>
      <c r="F365" s="98" t="inlineStr">
        <is>
          <t xml:space="preserve">93-979-38-07 SMS  O'ZI, 93-973-50-05 SMS  UKASI, 93-535-84-40 SMS DADASI, 94-205-31-01  SMS AYOLI, 998932068870 sms ozi new, 998958784224 OZI NEW,</t>
        </is>
      </c>
      <c r="G365" s="98" t="inlineStr">
        <is>
          <t xml:space="preserve">FARG’ONA VILOYATI FARG’ONA TUMANI LANGAR MFY, TEPALIK KO’CHASI 55-UY</t>
        </is>
      </c>
      <c r="H365" s="99">
        <v>8.0</v>
      </c>
      <c r="I365" s="99">
        <v>1313000.72</v>
      </c>
      <c r="K365" s="98" t="inlineStr">
        <is>
          <t xml:space="preserve">Va'da berdi | HARAKATAMAN TOPISHIM BILAN TOLAB QOYAMAN DEYABDI | 497637.9</t>
        </is>
      </c>
    </row>
    <row r="366">
      <c r="A366" s="98" t="inlineStr">
        <is>
          <t xml:space="preserve">ФАРГОНА ВИЛОЯТИ</t>
        </is>
      </c>
      <c r="C366" s="98" t="inlineStr">
        <is>
          <t xml:space="preserve">Дозвон</t>
        </is>
      </c>
      <c r="D366" s="98" t="inlineStr">
        <is>
          <t xml:space="preserve">Кр-99039376-3</t>
        </is>
      </c>
      <c r="E366" s="98" t="inlineStr">
        <is>
          <t xml:space="preserve">MIRZAYEV DILSHODBEK BAXTIYOROVICH</t>
        </is>
      </c>
      <c r="F366" s="98" t="inlineStr">
        <is>
          <t xml:space="preserve">998507150417 SMS OZI, 998993216045 SMS OZI 2, 998916600164 SMS ONASI,</t>
        </is>
      </c>
      <c r="G366" s="98" t="inlineStr">
        <is>
          <t xml:space="preserve">FARG’ONA VILOYATI FARG’ONA SHAHAR OQ ARIQ MFY QO’TLUQ KO’CHASI 5-XONADON</t>
        </is>
      </c>
      <c r="H366" s="99">
        <v>8.0</v>
      </c>
      <c r="I366" s="99">
        <v>1245334.74</v>
      </c>
      <c r="J366" s="99">
        <v>260574.0</v>
      </c>
      <c r="K366" s="98" t="inlineStr">
        <is>
          <t xml:space="preserve">To'ladi | BUGUN BALISADAN CHIQADI EKAN CHIQIB HARAKAT QILIB YOPIB BERAMAN DEYABDI 5 LARGA QAYTA ALOQA TOLAB QOYADI EKAN | 260574.14</t>
        </is>
      </c>
    </row>
    <row r="367">
      <c r="A367" s="98" t="inlineStr">
        <is>
          <t xml:space="preserve">ФАРГОНА ВИЛОЯТИ</t>
        </is>
      </c>
      <c r="C367" s="98" t="inlineStr">
        <is>
          <t xml:space="preserve">Обещал</t>
        </is>
      </c>
      <c r="D367" s="98" t="inlineStr">
        <is>
          <t xml:space="preserve">Кр-99030672-1</t>
        </is>
      </c>
      <c r="E367" s="98" t="inlineStr">
        <is>
          <t xml:space="preserve">ABDULLAYEV G’AYRATJON G’OLIB O’G’LI</t>
        </is>
      </c>
      <c r="F367" s="98" t="inlineStr">
        <is>
          <t xml:space="preserve">94-130-65-14  SMS O'ZI, 91-114-54-03  SMS XOLASI TULOVCHI, 93-736-18-38  SMS DADASI, 77-254-78-78  SMS TOG’ASI,</t>
        </is>
      </c>
      <c r="G367" s="98" t="inlineStr">
        <is>
          <t xml:space="preserve">FARG’ONA VILOYATI FARG’ONA SHAHAR MADATKOR MFY, YANGI SOY KO’CHASI 53A XONADON</t>
        </is>
      </c>
      <c r="H367" s="99">
        <v>1.0</v>
      </c>
      <c r="I367" s="99">
        <v>1231181.2</v>
      </c>
      <c r="K367" s="98" t="inlineStr">
        <is>
          <t xml:space="preserve">Va'da berdi | PALIKINIKADA EKAN CHIQAY QAYTARIB YUBORAMAN DEDI | 758000</t>
        </is>
      </c>
    </row>
    <row r="368">
      <c r="A368" s="98" t="inlineStr">
        <is>
          <t xml:space="preserve">ФАРГОНА ВИЛОЯТИ</t>
        </is>
      </c>
      <c r="C368" s="98" t="inlineStr">
        <is>
          <t xml:space="preserve">Обещал</t>
        </is>
      </c>
      <c r="D368" s="98" t="inlineStr">
        <is>
          <t xml:space="preserve">Кр-99062957-2</t>
        </is>
      </c>
      <c r="E368" s="98" t="inlineStr">
        <is>
          <t xml:space="preserve">ASHUROVA LOLAXON SOBIROVNA</t>
        </is>
      </c>
      <c r="F368" s="98" t="inlineStr">
        <is>
          <t xml:space="preserve">+998996427161 SMS O’ZI, 998908350007 QIZI, 998939881893 KELINI, 998947869896 O’ZI 2,</t>
        </is>
      </c>
      <c r="G368" s="98" t="inlineStr">
        <is>
          <t xml:space="preserve">FARG’ONA VILOYATI FARG’ONA SHAHAR ABDULLA QODIRIY MFY ABDULLA QODIRIY KO’CHASI 78-UY 1-XONADON</t>
        </is>
      </c>
      <c r="H368" s="99">
        <v>11.0</v>
      </c>
      <c r="I368" s="99">
        <v>1206047.28</v>
      </c>
      <c r="K368" s="98" t="inlineStr">
        <is>
          <t xml:space="preserve">Va'da berdi | QIZI TOLOVCHI BUGUN TOLAYDI  DEDI OZI | 373586.38</t>
        </is>
      </c>
    </row>
    <row r="369">
      <c r="A369" s="98" t="inlineStr">
        <is>
          <t xml:space="preserve">ФАРГОНА ВИЛОЯТИ</t>
        </is>
      </c>
      <c r="C369" s="98" t="inlineStr">
        <is>
          <t xml:space="preserve">Обещал</t>
        </is>
      </c>
      <c r="D369" s="98" t="inlineStr">
        <is>
          <t xml:space="preserve">Кр-99032078-4</t>
        </is>
      </c>
      <c r="E369" s="98" t="inlineStr">
        <is>
          <t xml:space="preserve">ABDULLAJONOV XOJIAKBAR OBIDJON O’G’LI</t>
        </is>
      </c>
      <c r="F369" s="98" t="inlineStr">
        <is>
          <t xml:space="preserve">998949997060 SMS O’ZI axrana bolib ishlid , 998947097060 SMS AYOLI, 998948129222 SMS AKASI, 998959709293 SMS KELINI, 998507138440 OZI NEW ,</t>
        </is>
      </c>
      <c r="G369" s="98" t="inlineStr">
        <is>
          <t xml:space="preserve">FARG’ONA VILOYATI FARG’ONA TUMANI MINDONOBOD MFY MADADKOR KO’CHASI 13-XONADON</t>
        </is>
      </c>
      <c r="H369" s="99">
        <v>8.0</v>
      </c>
      <c r="I369" s="99">
        <v>1180652.04</v>
      </c>
      <c r="K369" s="98" t="inlineStr">
        <is>
          <t xml:space="preserve">Va'da berdi | KUNI 170MIGA ISHLAYDI HARKUNI TOPKANINI TOLAYDI KILIKDAN | 656391.62</t>
        </is>
      </c>
    </row>
    <row r="370">
      <c r="A370" s="98" t="inlineStr">
        <is>
          <t xml:space="preserve">ФАРГОНА ВИЛОЯТИ</t>
        </is>
      </c>
      <c r="C370" s="98" t="inlineStr">
        <is>
          <t xml:space="preserve">Дозвон</t>
        </is>
      </c>
      <c r="D370" s="98" t="inlineStr">
        <is>
          <t xml:space="preserve">Кр-99028520-1</t>
        </is>
      </c>
      <c r="E370" s="98" t="inlineStr">
        <is>
          <t xml:space="preserve">TO’RAKELDIYEV SODIQJON NORALI O’G’LI</t>
        </is>
      </c>
      <c r="F370" s="98" t="inlineStr">
        <is>
          <t xml:space="preserve">94-833-02-02  SMS O'ZI, 50-881-13-13  SMS AKASI, 95-489-33-36  SMS DADASI, 91-670-67-69  SMS O'ROG'I,</t>
        </is>
      </c>
      <c r="G370" s="98" t="inlineStr">
        <is>
          <t xml:space="preserve">FARG’ONA VILOYATI FARGO’ONA SHAHAR SHODIYONA MFY TINIQSOY KO’CHASI 168-UY.</t>
        </is>
      </c>
      <c r="I370" s="99">
        <v>882630.38</v>
      </c>
      <c r="J370" s="99">
        <v>882630.38</v>
      </c>
      <c r="K370" s="98" t="inlineStr">
        <is>
          <t xml:space="preserve">To'ladi | 7 LARGA QAYTA ALOQA TOLOV QILADI EKAN AKASI | 0</t>
        </is>
      </c>
    </row>
    <row r="371">
      <c r="A371" s="98" t="inlineStr">
        <is>
          <t xml:space="preserve">ФАРГОНА ВИЛОЯТИ</t>
        </is>
      </c>
      <c r="C371" s="98" t="inlineStr">
        <is>
          <t xml:space="preserve">Дозвон</t>
        </is>
      </c>
      <c r="D371" s="98" t="inlineStr">
        <is>
          <t xml:space="preserve">Кр-99028581-4</t>
        </is>
      </c>
      <c r="E371" s="98" t="inlineStr">
        <is>
          <t xml:space="preserve">RUSTAMOVA CHINARA ABDRAXMANOVNA</t>
        </is>
      </c>
      <c r="F371" s="98" t="inlineStr">
        <is>
          <t xml:space="preserve">93-443-38-30  SMS O'ZI, 91-396-85-25  SMS ERI , 95-110-82-02  SMS OPASI , 50-772-85-87  SMS SINGLISI ,</t>
        </is>
      </c>
      <c r="G371" s="98" t="inlineStr">
        <is>
          <t xml:space="preserve">FARG’ONA VILOYATI FARG’ONA SHAHAR KIMYOGARLAR MFY, SO’LIM KO’CHASI 11/4-UY 18-XONADON</t>
        </is>
      </c>
      <c r="H371" s="99">
        <v>8.0</v>
      </c>
      <c r="I371" s="99">
        <v>777276.46</v>
      </c>
      <c r="J371" s="99">
        <v>358385.0</v>
      </c>
      <c r="K371" s="98" t="inlineStr">
        <is>
          <t xml:space="preserve">To'ladi | TOLAGAN FILAL ADASIB BOSHQA AYDIGA URGAN | 358385.15</t>
        </is>
      </c>
    </row>
    <row r="372">
      <c r="A372" s="98" t="inlineStr">
        <is>
          <t xml:space="preserve">ФАРГОНА ВИЛОЯТИ</t>
        </is>
      </c>
      <c r="C372" s="98" t="inlineStr">
        <is>
          <t xml:space="preserve">Обещал</t>
        </is>
      </c>
      <c r="D372" s="98" t="inlineStr">
        <is>
          <t xml:space="preserve">Кр-99062910-2</t>
        </is>
      </c>
      <c r="E372" s="98" t="inlineStr">
        <is>
          <t xml:space="preserve">USMANOV TULKUN TOLIPOVICH</t>
        </is>
      </c>
      <c r="F372" s="98" t="inlineStr">
        <is>
          <t xml:space="preserve">998900409693 O’G’LI, 998902725478 JIYANI, 998916813005 SMS O’ZI, 998998090602 O’G’LI,</t>
        </is>
      </c>
      <c r="G372" s="98" t="inlineStr">
        <is>
          <t xml:space="preserve">FARG’ONA VILOYATI QO’SHTEPA TUMANI BALANDMASJID MFY NAVRO’Z KO’CHASI 454-UY</t>
        </is>
      </c>
      <c r="H372" s="99">
        <v>8.0</v>
      </c>
      <c r="I372" s="99">
        <v>776376.46</v>
      </c>
      <c r="K372" s="98" t="inlineStr">
        <is>
          <t xml:space="preserve">Va'da berdi | KECHROQA QAYTA ALOQA  ERTAGA ABETLARGA QAYTA ALOQA TOLOV QILADI EKAN | 234511.83</t>
        </is>
      </c>
    </row>
    <row r="373">
      <c r="A373" s="98" t="inlineStr">
        <is>
          <t xml:space="preserve">ФАРГОНА ВИЛОЯТИ</t>
        </is>
      </c>
      <c r="C373" s="98" t="inlineStr">
        <is>
          <t xml:space="preserve">Обещал</t>
        </is>
      </c>
      <c r="D373" s="98" t="inlineStr">
        <is>
          <t xml:space="preserve">Кр-99028710-3</t>
        </is>
      </c>
      <c r="E373" s="98" t="inlineStr">
        <is>
          <t xml:space="preserve">TOSHTANOV ULUGBEK ASHURALIYEVICH</t>
        </is>
      </c>
      <c r="F373" s="98" t="inlineStr">
        <is>
          <t xml:space="preserve">998887506611 SMS O’ZI, 998907823202 SMS O’G’LI, 998947929221 SMS UKASI, 998104722422 SMS O’G’LI,</t>
        </is>
      </c>
      <c r="G373" s="98" t="inlineStr">
        <is>
          <t xml:space="preserve">FARG’ONA VILOYATI QUVASOY SHAHAR PAKANA MFY YANGI ARIQ 205-XONADON</t>
        </is>
      </c>
      <c r="H373" s="99">
        <v>4.0</v>
      </c>
      <c r="I373" s="99">
        <v>729034.7</v>
      </c>
      <c r="K373" s="98" t="inlineStr">
        <is>
          <t xml:space="preserve">Va'da berdi | OGLIGA BERGAN NAQT HOZIR KILIK TOPIB TOLAB QOYADI EKAN 7 LARGA QAYTA ALOQA OGLI ISHDAN CHIQIB TOLAB QOYADI EKAN | 526634.84</t>
        </is>
      </c>
    </row>
    <row r="374">
      <c r="A374" s="98" t="inlineStr">
        <is>
          <t xml:space="preserve">ФАРГОНА ВИЛОЯТИ</t>
        </is>
      </c>
      <c r="C374" s="98" t="inlineStr">
        <is>
          <t xml:space="preserve">Обещал</t>
        </is>
      </c>
      <c r="D374" s="98" t="inlineStr">
        <is>
          <t xml:space="preserve">Кр-99033438-1</t>
        </is>
      </c>
      <c r="E374" s="98" t="inlineStr">
        <is>
          <t xml:space="preserve">TURDIMATOV SHERQO’ZI TURSINOVICH</t>
        </is>
      </c>
      <c r="F374" s="98" t="inlineStr">
        <is>
          <t xml:space="preserve">998903067862 SMS O’ZI, 998939634147 SMS TURMUSH O'RTOG'I, 998905889303 SMS KELNOYISI, 998943062882 SMS AKASI, 998903067862 SMS Tolvchi ozi ,</t>
        </is>
      </c>
      <c r="G374" s="98" t="inlineStr">
        <is>
          <t xml:space="preserve">FARG'ONA VILOYATI UCHKO'PRIK TUMANI SHEROBOD MFY 100- UY</t>
        </is>
      </c>
      <c r="H374" s="99">
        <v>4.0</v>
      </c>
      <c r="I374" s="99">
        <v>643085.68</v>
      </c>
      <c r="K374" s="98" t="inlineStr">
        <is>
          <t xml:space="preserve">Va'da berdi | AYOLI KOTARDI AYTAMAN TOLAYDI DEDI | 364363.73</t>
        </is>
      </c>
    </row>
    <row r="375">
      <c r="A375" s="100" t="inlineStr">
        <is>
          <t xml:space="preserve">ХОРАЗМ ВИЛОЯТИ</t>
        </is>
      </c>
      <c r="B375" s="100" t="inlineStr">
        <is>
          <t xml:space="preserve">BOSH OFIS</t>
        </is>
      </c>
      <c r="C375" s="100" t="inlineStr">
        <is>
          <t xml:space="preserve">Обещал</t>
        </is>
      </c>
      <c r="D375" s="100" t="inlineStr">
        <is>
          <t xml:space="preserve">Кр-99063153-1</t>
        </is>
      </c>
      <c r="E375" s="100" t="inlineStr">
        <is>
          <t xml:space="preserve">KALANDAROVA SANOBAR JUMABOYEVNA</t>
        </is>
      </c>
      <c r="F375" s="100" t="inlineStr">
        <is>
          <t xml:space="preserve">998946355502 SMS OZI, 998944016415 SMS ERI, 998931375502 SMS OGLI,</t>
        </is>
      </c>
      <c r="G375" s="100" t="inlineStr">
        <is>
          <t xml:space="preserve">FARG’ONA VILOYATI BOG’DOD TUMANI DASHT MFY ZULFIYA KO’CHASI 51-UY</t>
        </is>
      </c>
      <c r="H375" s="101">
        <v>11.0</v>
      </c>
      <c r="I375" s="101">
        <v>6889888.25</v>
      </c>
      <c r="K375" s="100" t="inlineStr">
        <is>
          <t xml:space="preserve">Va'da berdi | Fargonaga ketvotti tolov qilgani | 1721</t>
        </is>
      </c>
    </row>
    <row r="376">
      <c r="A376" s="100" t="inlineStr">
        <is>
          <t xml:space="preserve">ХОРАЗМ ВИЛОЯТИ</t>
        </is>
      </c>
      <c r="B376" s="100" t="inlineStr">
        <is>
          <t xml:space="preserve">BOSH OFIS</t>
        </is>
      </c>
      <c r="C376" s="100" t="inlineStr">
        <is>
          <t xml:space="preserve">Обещал</t>
        </is>
      </c>
      <c r="D376" s="100" t="inlineStr">
        <is>
          <t xml:space="preserve">Кр-99041015-2</t>
        </is>
      </c>
      <c r="E376" s="100" t="inlineStr">
        <is>
          <t xml:space="preserve">JUMANIYAZOVA YOQUTJON SHUXRAT QIZI</t>
        </is>
      </c>
      <c r="F376" s="100" t="inlineStr">
        <is>
          <t xml:space="preserve">+998951015544 SMS UZI, 998885146666 SMS ERI, 998999555544 SMS ERI,</t>
        </is>
      </c>
      <c r="G376" s="100" t="inlineStr">
        <is>
          <t xml:space="preserve">XORAZM VILOYATI URGANCH TUMANI QUMRABOD MFY PROEKTNAYA 181 MAVZESI 59-UY</t>
        </is>
      </c>
      <c r="H376" s="101">
        <v>12.0</v>
      </c>
      <c r="I376" s="101">
        <v>6829496.57</v>
      </c>
      <c r="K376" s="100" t="inlineStr">
        <is>
          <t xml:space="preserve">Va'da berdi | eri rassiyadan pul tashid | 1043</t>
        </is>
      </c>
    </row>
    <row r="377">
      <c r="A377" s="102" t="inlineStr">
        <is>
          <t xml:space="preserve">ХОРАЗМ ВИЛОЯТИ</t>
        </is>
      </c>
      <c r="B377" s="102" t="inlineStr">
        <is>
          <t xml:space="preserve">SUPER BRANCH</t>
        </is>
      </c>
      <c r="C377" s="102" t="inlineStr">
        <is>
          <t xml:space="preserve">Обещал</t>
        </is>
      </c>
      <c r="D377" s="102" t="inlineStr">
        <is>
          <t xml:space="preserve">Кр-99040398-2</t>
        </is>
      </c>
      <c r="E377" s="102" t="inlineStr">
        <is>
          <t xml:space="preserve">BOLTAYEV MUSA QURONBOYEVICH</t>
        </is>
      </c>
      <c r="F377" s="102" t="inlineStr">
        <is>
          <t xml:space="preserve">998500971976 SMS OZI, 998996853272 SMS OZI 2, 998992673111 SMS QIZI,</t>
        </is>
      </c>
      <c r="G377" s="102" t="inlineStr">
        <is>
          <t xml:space="preserve">XORAZM VILOYATI XONQA TUMANI G’AYRAT MFY G’AYRAT KUCHASI 46-UY</t>
        </is>
      </c>
      <c r="H377" s="103">
        <v>8.0</v>
      </c>
      <c r="I377" s="103">
        <v>6031851.37</v>
      </c>
      <c r="K377" s="102" t="inlineStr">
        <is>
          <t xml:space="preserve">Va'da berdi | pul tushishini kutvottti, ozi usta, bugun yo erta yopamaiz dd | 977</t>
        </is>
      </c>
    </row>
    <row r="378">
      <c r="A378" s="102" t="inlineStr">
        <is>
          <t xml:space="preserve">ХОРАЗМ ВИЛОЯТИ</t>
        </is>
      </c>
      <c r="B378" s="102" t="inlineStr">
        <is>
          <t xml:space="preserve">SUPER BRANCH</t>
        </is>
      </c>
      <c r="C378" s="102" t="inlineStr">
        <is>
          <t xml:space="preserve">Обещал</t>
        </is>
      </c>
      <c r="D378" s="102" t="inlineStr">
        <is>
          <t xml:space="preserve">Кр-99040257-1</t>
        </is>
      </c>
      <c r="E378" s="102" t="inlineStr">
        <is>
          <t xml:space="preserve">KURBANOV UMRBEK UKTAMBAYEVICH</t>
        </is>
      </c>
      <c r="F378" s="102" t="inlineStr">
        <is>
          <t xml:space="preserve">998995641564 SMS OZI, 998991280118 SMS XOTINI, 998952713164 SMS OZI, 998995753164 SMS ISH,</t>
        </is>
      </c>
      <c r="G378" s="102" t="inlineStr">
        <is>
          <t xml:space="preserve">XORAZM VILOYATI URGANCH TUMANI TADQIQOTCHILAR MAXALLASI MARDANOVOR KUCHASI 42 UY</t>
        </is>
      </c>
      <c r="H378" s="103">
        <v>8.0</v>
      </c>
      <c r="I378" s="103">
        <v>4614992.27</v>
      </c>
      <c r="K378" s="102" t="inlineStr">
        <is>
          <t xml:space="preserve">Va'da berdi | har kuni  maydalab bolib bolib tolid | 958</t>
        </is>
      </c>
    </row>
    <row r="379">
      <c r="A379" s="102" t="inlineStr">
        <is>
          <t xml:space="preserve">ХОРАЗМ ВИЛОЯТИ</t>
        </is>
      </c>
      <c r="B379" s="102" t="inlineStr">
        <is>
          <t xml:space="preserve">SUPER BRANCH</t>
        </is>
      </c>
      <c r="C379" s="102" t="inlineStr">
        <is>
          <t xml:space="preserve">Обещал</t>
        </is>
      </c>
      <c r="D379" s="102" t="inlineStr">
        <is>
          <t xml:space="preserve">Кр-99039789-1</t>
        </is>
      </c>
      <c r="E379" s="102" t="inlineStr">
        <is>
          <t xml:space="preserve">SAMANDAROV XAMIDJON OTAXONOVICH</t>
        </is>
      </c>
      <c r="F379" s="102" t="inlineStr">
        <is>
          <t xml:space="preserve">998992020025 SMS OGLI, 998991327264 SMS KELINI, 999893103800 SMS OOZI, 998991468050 SMS AYOLI,</t>
        </is>
      </c>
      <c r="G379" s="102" t="inlineStr">
        <is>
          <t xml:space="preserve">XORAZM VILOYATI YANGIARIQ TUMANI KATTABOG’ QFY KATTABOG’ MFY EZOZ KO’CHASI 21-UY</t>
        </is>
      </c>
      <c r="H379" s="103">
        <v>8.0</v>
      </c>
      <c r="I379" s="103">
        <v>4612066.13</v>
      </c>
      <c r="K379" s="102" t="inlineStr">
        <is>
          <t xml:space="preserve">Va'da berdi | ozi bilan gaplashdim bugn yopad ogli | 907</t>
        </is>
      </c>
    </row>
    <row r="380">
      <c r="A380" s="102" t="inlineStr">
        <is>
          <t xml:space="preserve">ХОРАЗМ ВИЛОЯТИ</t>
        </is>
      </c>
      <c r="B380" s="102" t="inlineStr">
        <is>
          <t xml:space="preserve">SUPER BRANCH</t>
        </is>
      </c>
      <c r="C380" s="102" t="inlineStr">
        <is>
          <t xml:space="preserve">Обещал</t>
        </is>
      </c>
      <c r="D380" s="102" t="inlineStr">
        <is>
          <t xml:space="preserve">Кр-99039471-1</t>
        </is>
      </c>
      <c r="E380" s="102" t="inlineStr">
        <is>
          <t xml:space="preserve">ABDULLAYEV ABDULLA OCHILOVICH</t>
        </is>
      </c>
      <c r="F380" s="102" t="inlineStr">
        <is>
          <t xml:space="preserve">998500874141 SMS OGLI, 998931311978 SMS OZI begona, 998949984155 SMS OGLI, 998948859669 SMS AYOLI,</t>
        </is>
      </c>
      <c r="G380" s="102" t="inlineStr">
        <is>
          <t xml:space="preserve">XORAZM VILOYATI XONQA TUMANI MANGULIK MFY NAVBAXOR KUCHASI 40-UY</t>
        </is>
      </c>
      <c r="H380" s="103">
        <v>6.0</v>
      </c>
      <c r="I380" s="103">
        <v>3882572.28</v>
      </c>
      <c r="K380" s="102" t="inlineStr">
        <is>
          <t xml:space="preserve">Va'da berdi | 1-2 kunda hammasi yopilad | 873</t>
        </is>
      </c>
    </row>
    <row r="381">
      <c r="A381" s="102" t="inlineStr">
        <is>
          <t xml:space="preserve">ХОРАЗМ ВИЛОЯТИ</t>
        </is>
      </c>
      <c r="B381" s="102" t="inlineStr">
        <is>
          <t xml:space="preserve">SUPER BRANCH</t>
        </is>
      </c>
      <c r="C381" s="102" t="inlineStr">
        <is>
          <t xml:space="preserve">Обещал</t>
        </is>
      </c>
      <c r="D381" s="102" t="inlineStr">
        <is>
          <t xml:space="preserve">Кр-99040646-1</t>
        </is>
      </c>
      <c r="E381" s="102" t="inlineStr">
        <is>
          <t xml:space="preserve">ALLABERGANOV AXMED IBROGIMOVICH</t>
        </is>
      </c>
      <c r="F381" s="102" t="inlineStr">
        <is>
          <t xml:space="preserve">998935289163 SMS OZI, 998500110088 SMS OGLI, 998860775752 SMS OGLI 2,</t>
        </is>
      </c>
      <c r="G381" s="102" t="inlineStr">
        <is>
          <t xml:space="preserve">XORAZM VILOYATI XIVA TUMANI PIRNAXOS MFY OKKABUTAR KO’CHASI 33-UY</t>
        </is>
      </c>
      <c r="H381" s="103">
        <v>8.0</v>
      </c>
      <c r="I381" s="103">
        <v>3620539.33</v>
      </c>
      <c r="K381" s="102" t="inlineStr">
        <is>
          <t xml:space="preserve">Va'da berdi | ogli bilan gaplashdim ertaga abetgacha tolaberad | 1002</t>
        </is>
      </c>
    </row>
    <row r="382">
      <c r="A382" s="102" t="inlineStr">
        <is>
          <t xml:space="preserve">ХОРАЗМ ВИЛОЯТИ</t>
        </is>
      </c>
      <c r="B382" s="102" t="inlineStr">
        <is>
          <t xml:space="preserve">SUPER BRANCH</t>
        </is>
      </c>
      <c r="C382" s="102" t="inlineStr">
        <is>
          <t xml:space="preserve">Обещал</t>
        </is>
      </c>
      <c r="D382" s="102" t="inlineStr">
        <is>
          <t xml:space="preserve">Кр-99039933-1</t>
        </is>
      </c>
      <c r="E382" s="102" t="inlineStr">
        <is>
          <t xml:space="preserve">ATAJANOV FAXRIDDIN RUZMETOVICH</t>
        </is>
      </c>
      <c r="F382" s="102" t="inlineStr">
        <is>
          <t xml:space="preserve">998918616267 SMS OZI, 998918573148 SMS AYOLI, 998915722424 SMS OGLI, 998339007270 SMS QIZI,</t>
        </is>
      </c>
      <c r="G382" s="102" t="inlineStr">
        <is>
          <t xml:space="preserve">XORAZM VILOYATI XIVA TUMANI CHANASHIK MFY DIYOR KO’CHASI 55-UY</t>
        </is>
      </c>
      <c r="H382" s="103">
        <v>8.0</v>
      </c>
      <c r="I382" s="103">
        <v>3525605.16</v>
      </c>
      <c r="K382" s="102" t="inlineStr">
        <is>
          <t xml:space="preserve">Va'da berdi | 5,30 da xotini oylik olad ushanda yopilad id dan | 921</t>
        </is>
      </c>
    </row>
    <row r="383">
      <c r="A383" s="102" t="inlineStr">
        <is>
          <t xml:space="preserve">ХОРАЗМ ВИЛОЯТИ</t>
        </is>
      </c>
      <c r="B383" s="102" t="inlineStr">
        <is>
          <t xml:space="preserve">SUPER BRANCH</t>
        </is>
      </c>
      <c r="C383" s="102" t="inlineStr">
        <is>
          <t xml:space="preserve">Обещал</t>
        </is>
      </c>
      <c r="D383" s="102" t="inlineStr">
        <is>
          <t xml:space="preserve">Кр-99040131-1</t>
        </is>
      </c>
      <c r="E383" s="102" t="inlineStr">
        <is>
          <t xml:space="preserve">YUSUPOV SHORIFJON ROMONBERGAN O’G’LI</t>
        </is>
      </c>
      <c r="F383" s="102" t="inlineStr">
        <is>
          <t xml:space="preserve">998999664447 SMS OZI, 998827744472 SMS AYOLI, 998956099999 SMS ISH,</t>
        </is>
      </c>
      <c r="G383" s="102" t="inlineStr">
        <is>
          <t xml:space="preserve">XORAZM VILOYATI URGANCH TUMANI BO’STON MFY MUQUMIY KUCHASI 113</t>
        </is>
      </c>
      <c r="H383" s="103">
        <v>8.0</v>
      </c>
      <c r="I383" s="103">
        <v>3520567.07</v>
      </c>
      <c r="K383" s="102" t="inlineStr">
        <is>
          <t xml:space="preserve">Va'da berdi | bugn kechgacha yopilad | 942</t>
        </is>
      </c>
    </row>
    <row r="384">
      <c r="A384" s="102" t="inlineStr">
        <is>
          <t xml:space="preserve">ХОРАЗМ ВИЛОЯТИ</t>
        </is>
      </c>
      <c r="B384" s="102" t="inlineStr">
        <is>
          <t xml:space="preserve">SUPER BRANCH</t>
        </is>
      </c>
      <c r="C384" s="102" t="inlineStr">
        <is>
          <t xml:space="preserve">Обещал</t>
        </is>
      </c>
      <c r="D384" s="102" t="inlineStr">
        <is>
          <t xml:space="preserve">Кр-99040349-1</t>
        </is>
      </c>
      <c r="E384" s="102" t="inlineStr">
        <is>
          <t xml:space="preserve">KARIMOV JAHONGIR SHAROFADDIN O’G’LI</t>
        </is>
      </c>
      <c r="F384" s="102" t="inlineStr">
        <is>
          <t xml:space="preserve">998507157955 SMS OZI, 998952298584 SMS AKASI, 998774088961 SMS OPASI,</t>
        </is>
      </c>
      <c r="G384" s="102" t="inlineStr">
        <is>
          <t xml:space="preserve">XORAZM VILOYATI BOG’OT TUMANI TONG YOG’DU KUCHASI 2 UY </t>
        </is>
      </c>
      <c r="H384" s="103">
        <v>8.0</v>
      </c>
      <c r="I384" s="103">
        <v>3493169.1</v>
      </c>
      <c r="K384" s="102" t="inlineStr">
        <is>
          <t xml:space="preserve">Va'da berdi | bugn yopad kartasiga pul tushishini kutvotti kutvotti | 966</t>
        </is>
      </c>
    </row>
    <row r="385">
      <c r="A385" s="102" t="inlineStr">
        <is>
          <t xml:space="preserve">ХОРАЗМ ВИЛОЯТИ</t>
        </is>
      </c>
      <c r="B385" s="102" t="inlineStr">
        <is>
          <t xml:space="preserve">SUPER BRANCH</t>
        </is>
      </c>
      <c r="C385" s="102" t="inlineStr">
        <is>
          <t xml:space="preserve">Обещал</t>
        </is>
      </c>
      <c r="D385" s="102" t="inlineStr">
        <is>
          <t xml:space="preserve">Кр-99041894-2</t>
        </is>
      </c>
      <c r="E385" s="102" t="inlineStr">
        <is>
          <t xml:space="preserve">SAIDOV ALISHER BOG’BEKOVICH</t>
        </is>
      </c>
      <c r="F385" s="102" t="inlineStr">
        <is>
          <t xml:space="preserve">+998942564444 SMS UZI, 998903344044 SMS UZI 2, 998904517757 SMS AYOLI,</t>
        </is>
      </c>
      <c r="G385" s="102" t="inlineStr">
        <is>
          <t xml:space="preserve">ХОРАЗМ ВИЛОЯТИ ХАЗОРАСП ТУМАНИ ЖАЛОЛАДДИН МАНГУБЕРДИ МФЙ ШАРОФ РАШИДОВ КУЧАСИ 79 УЙ</t>
        </is>
      </c>
      <c r="H385" s="103">
        <v>8.0</v>
      </c>
      <c r="I385" s="103">
        <v>3486445.33</v>
      </c>
      <c r="K385" s="102" t="inlineStr">
        <is>
          <t xml:space="preserve">Va'da berdi | ertaga yopad id dan | 1139</t>
        </is>
      </c>
    </row>
    <row r="386">
      <c r="A386" s="102" t="inlineStr">
        <is>
          <t xml:space="preserve">ХОРАЗМ ВИЛОЯТИ</t>
        </is>
      </c>
      <c r="B386" s="102" t="inlineStr">
        <is>
          <t xml:space="preserve">SUPER BRANCH</t>
        </is>
      </c>
      <c r="C386" s="102" t="inlineStr">
        <is>
          <t xml:space="preserve">Обещал</t>
        </is>
      </c>
      <c r="D386" s="102" t="inlineStr">
        <is>
          <t xml:space="preserve">Кр-99039439-2</t>
        </is>
      </c>
      <c r="E386" s="102" t="inlineStr">
        <is>
          <t xml:space="preserve">YUSUPOV UMRBEK ISMAILOVICH</t>
        </is>
      </c>
      <c r="F386" s="102" t="inlineStr">
        <is>
          <t xml:space="preserve">998957097606 SMS OZI, 998937113111 SMS OZI begona, 998994256205 SMS OGLI 2, 998958772474 SMS AYOLI,</t>
        </is>
      </c>
      <c r="G386" s="102" t="inlineStr">
        <is>
          <t xml:space="preserve">XORAZM VILOYATI URGANCH SHAHRI NAVRUZ MFY FIDOKORLAR KO’CHASI 59-UY</t>
        </is>
      </c>
      <c r="H386" s="103">
        <v>8.0</v>
      </c>
      <c r="I386" s="103">
        <v>2369574.84</v>
      </c>
      <c r="K386" s="102" t="inlineStr">
        <is>
          <t xml:space="preserve">Va'da berdi | bugun kechga yopad oyligini olib id dan urad | 867</t>
        </is>
      </c>
    </row>
    <row r="387">
      <c r="A387" s="102" t="inlineStr">
        <is>
          <t xml:space="preserve">ХОРАЗМ ВИЛОЯТИ</t>
        </is>
      </c>
      <c r="B387" s="102" t="inlineStr">
        <is>
          <t xml:space="preserve">SUPER BRANCH</t>
        </is>
      </c>
      <c r="C387" s="102" t="inlineStr">
        <is>
          <t xml:space="preserve">Обещал</t>
        </is>
      </c>
      <c r="D387" s="102" t="inlineStr">
        <is>
          <t xml:space="preserve">Кр-99040131-2</t>
        </is>
      </c>
      <c r="E387" s="102" t="inlineStr">
        <is>
          <t xml:space="preserve">YUSUPOV SHORIFJON ROMONBERGAN O’G’LI</t>
        </is>
      </c>
      <c r="F387" s="102" t="inlineStr">
        <is>
          <t xml:space="preserve">998999664447 SMS OZI, 998827744472 SMS AYOLI, 998956099999 SMS ISH,</t>
        </is>
      </c>
      <c r="G387" s="102" t="inlineStr">
        <is>
          <t xml:space="preserve">XORAZM VILOYATI URGANCH TUMANI BO’STON MFY MUQUMIY KUCHASI 113</t>
        </is>
      </c>
      <c r="H387" s="103">
        <v>8.0</v>
      </c>
      <c r="I387" s="103">
        <v>2343414.9</v>
      </c>
      <c r="K387" s="102" t="inlineStr">
        <is>
          <t xml:space="preserve">Va'da berdi | bugn kechgacha yopilad | 943</t>
        </is>
      </c>
    </row>
    <row r="388">
      <c r="A388" s="102" t="inlineStr">
        <is>
          <t xml:space="preserve">ХОРАЗМ ВИЛОЯТИ</t>
        </is>
      </c>
      <c r="B388" s="102" t="inlineStr">
        <is>
          <t xml:space="preserve">SUPER BRANCH</t>
        </is>
      </c>
      <c r="C388" s="102" t="inlineStr">
        <is>
          <t xml:space="preserve">Обещал</t>
        </is>
      </c>
      <c r="D388" s="102" t="inlineStr">
        <is>
          <t xml:space="preserve">Кр-99039612-1</t>
        </is>
      </c>
      <c r="E388" s="102" t="inlineStr">
        <is>
          <t xml:space="preserve">TAJIBAYEV AXMEDJON BAXTIYAROVICH</t>
        </is>
      </c>
      <c r="F388" s="102" t="inlineStr">
        <is>
          <t xml:space="preserve">998919173223 SMS OZI, 998919995557 SMS OGLI, 998997357575 SMS HAMKASBI, 998995419757 Katta og`li,</t>
        </is>
      </c>
      <c r="G388" s="102" t="inlineStr">
        <is>
          <t xml:space="preserve">XORAZM VILOYATI YANGIBOZOR TUMANI YUQORI BOSHQIRSHIX MFY YOG’DU KO’CHASI 38-UY</t>
        </is>
      </c>
      <c r="H388" s="103">
        <v>1.0</v>
      </c>
      <c r="I388" s="103">
        <v>2265228.26</v>
      </c>
      <c r="K388" s="102" t="inlineStr">
        <is>
          <t xml:space="preserve">Va'da berdi | fermer 1-2 kunda yopib berad | 894</t>
        </is>
      </c>
    </row>
    <row r="389">
      <c r="A389" s="102" t="inlineStr">
        <is>
          <t xml:space="preserve">ХОРАЗМ ВИЛОЯТИ</t>
        </is>
      </c>
      <c r="B389" s="102" t="inlineStr">
        <is>
          <t xml:space="preserve">SUPER BRANCH</t>
        </is>
      </c>
      <c r="C389" s="102" t="inlineStr">
        <is>
          <t xml:space="preserve">Обещал</t>
        </is>
      </c>
      <c r="D389" s="102" t="inlineStr">
        <is>
          <t xml:space="preserve">Кр-99039537-1</t>
        </is>
      </c>
      <c r="E389" s="102" t="inlineStr">
        <is>
          <t xml:space="preserve">JUMANAZAROVA SHAXNOZA ERKINBAYEVNA</t>
        </is>
      </c>
      <c r="F389" s="102" t="inlineStr">
        <is>
          <t xml:space="preserve">998948958980 SM SUZI, 998932001922 SMS SINGLISI, 998505768980 SMS ERI,</t>
        </is>
      </c>
      <c r="G389" s="102" t="inlineStr">
        <is>
          <t xml:space="preserve">XORAZM VILOYATI YANGIARIQ TUMANI UYG’UR MFY TOYXONA KUCHASI 41-UY</t>
        </is>
      </c>
      <c r="H389" s="103">
        <v>5.0</v>
      </c>
      <c r="I389" s="103">
        <v>2132916.3</v>
      </c>
      <c r="K389" s="102" t="inlineStr">
        <is>
          <t xml:space="preserve">Va'da berdi | 25-sanlarga eri Rassiyadan qaytvotti hammasini yopishmoqchi | 883</t>
        </is>
      </c>
    </row>
    <row r="390">
      <c r="A390" s="102" t="inlineStr">
        <is>
          <t xml:space="preserve">ХОРАЗМ ВИЛОЯТИ</t>
        </is>
      </c>
      <c r="B390" s="102" t="inlineStr">
        <is>
          <t xml:space="preserve">SUPER BRANCH</t>
        </is>
      </c>
      <c r="C390" s="102" t="inlineStr">
        <is>
          <t xml:space="preserve">Обещал</t>
        </is>
      </c>
      <c r="D390" s="102" t="inlineStr">
        <is>
          <t xml:space="preserve">Кр-99026626-1</t>
        </is>
      </c>
      <c r="E390" s="102" t="inlineStr">
        <is>
          <t xml:space="preserve">MATYAKUBOVA OLIYA SULTANOVNA</t>
        </is>
      </c>
      <c r="F390" s="102" t="inlineStr">
        <is>
          <t xml:space="preserve">998974569970 SMS O'ZI, 998976078717 SMS DILSHODA HAMKASBI, 998505722508 SMS O'G'LI, 998999692091 SMS QIZI,</t>
        </is>
      </c>
      <c r="G390" s="102" t="inlineStr">
        <is>
          <t xml:space="preserve">XORAZM VILOYATI QO’SHKO’PIR TUMANI XAYROBOD QFY XAYROBOD MFY MADANIYAT KO’CHASI 48-UY</t>
        </is>
      </c>
      <c r="H390" s="103">
        <v>11.0</v>
      </c>
      <c r="I390" s="103">
        <v>2121771.94</v>
      </c>
      <c r="K390" s="102" t="inlineStr">
        <is>
          <t xml:space="preserve">Va'da berdi | hozi qaytib ciqad | 183</t>
        </is>
      </c>
    </row>
    <row r="391">
      <c r="A391" s="102" t="inlineStr">
        <is>
          <t xml:space="preserve">ХОРАЗМ ВИЛОЯТИ</t>
        </is>
      </c>
      <c r="B391" s="102" t="inlineStr">
        <is>
          <t xml:space="preserve">SUPER BRANCH</t>
        </is>
      </c>
      <c r="C391" s="102" t="inlineStr">
        <is>
          <t xml:space="preserve">Дозвон</t>
        </is>
      </c>
      <c r="D391" s="102" t="inlineStr">
        <is>
          <t xml:space="preserve">Кр-99057449-1</t>
        </is>
      </c>
      <c r="E391" s="102" t="inlineStr">
        <is>
          <t xml:space="preserve">PALVANOV BAXRAM ATANAZAROVICH</t>
        </is>
      </c>
      <c r="F391" s="102" t="inlineStr">
        <is>
          <t xml:space="preserve">998914344383 SMS UZI, 998941030433 SMS UGLI, 998906497173 SMS KELINI, 998954264383 SMS ozi new,</t>
        </is>
      </c>
      <c r="G391" s="102" t="inlineStr">
        <is>
          <t xml:space="preserve">XORAZM VILOYATI XIVA TUMANI KALTAMINOR MFY DESHONKALA KO’CHASI 89A-UY</t>
        </is>
      </c>
      <c r="H391" s="103">
        <v>8.0</v>
      </c>
      <c r="I391" s="103">
        <v>1961175.52</v>
      </c>
      <c r="J391" s="103">
        <v>1961175.52</v>
      </c>
      <c r="K391" s="102" t="inlineStr">
        <is>
          <t xml:space="preserve">To'ladi | abetgacha yopad | 1450</t>
        </is>
      </c>
    </row>
    <row r="392">
      <c r="A392" s="102" t="inlineStr">
        <is>
          <t xml:space="preserve">ХОРАЗМ ВИЛОЯТИ</t>
        </is>
      </c>
      <c r="B392" s="102" t="inlineStr">
        <is>
          <t xml:space="preserve">SUPER BRANCH</t>
        </is>
      </c>
      <c r="C392" s="102" t="inlineStr">
        <is>
          <t xml:space="preserve">Обещал</t>
        </is>
      </c>
      <c r="D392" s="102" t="inlineStr">
        <is>
          <t xml:space="preserve">Кр-99035832-1</t>
        </is>
      </c>
      <c r="E392" s="102" t="inlineStr">
        <is>
          <t xml:space="preserve">PIRMETOVA SALAMAT RAXIMBAYEVNA</t>
        </is>
      </c>
      <c r="F392" s="102" t="inlineStr">
        <is>
          <t xml:space="preserve">998907192065 SMS OZI, 998919968119 SMS SINGLISI, 998912768610 SMS KELINI, 998912762622 SMS QIZI,</t>
        </is>
      </c>
      <c r="G392" s="102" t="inlineStr">
        <is>
          <t xml:space="preserve">XORAZM VILOYATI SHOVOT TUMANI ZAMONDOSH MFY NIZOMIY KUCHASI 14-UY</t>
        </is>
      </c>
      <c r="I392" s="103">
        <v>1631354.78</v>
      </c>
      <c r="K392" s="102" t="inlineStr">
        <is>
          <t xml:space="preserve">Va'da berdi | nevarasi qozogistondan tolaganmush | 598</t>
        </is>
      </c>
    </row>
    <row r="393">
      <c r="A393" s="102" t="inlineStr">
        <is>
          <t xml:space="preserve">ХОРАЗМ ВИЛОЯТИ</t>
        </is>
      </c>
      <c r="B393" s="102" t="inlineStr">
        <is>
          <t xml:space="preserve">SUPER BRANCH</t>
        </is>
      </c>
      <c r="C393" s="102" t="inlineStr">
        <is>
          <t xml:space="preserve">Обещал</t>
        </is>
      </c>
      <c r="D393" s="102" t="inlineStr">
        <is>
          <t xml:space="preserve">Кр-99038058-1</t>
        </is>
      </c>
      <c r="E393" s="102" t="inlineStr">
        <is>
          <t xml:space="preserve">UMIRZOQOVA MUKADDAM UMMATALIYEVNA</t>
        </is>
      </c>
      <c r="F393" s="102" t="inlineStr">
        <is>
          <t xml:space="preserve">998990534741 SMS OZI, 998952228676 SMS OZI 2, 998972026063 SMS QIZI , 998773112899 SMS QIZI 2,</t>
        </is>
      </c>
      <c r="G393" s="102" t="inlineStr">
        <is>
          <t xml:space="preserve">XORAZM VILOYATI QO’SHKO’PIR TUMANI GULZOR MFY OQ OLTIN KUCHASI 53-UY</t>
        </is>
      </c>
      <c r="H393" s="103">
        <v>1.0</v>
      </c>
      <c r="I393" s="103">
        <v>1417718.86</v>
      </c>
      <c r="K393" s="102" t="inlineStr">
        <is>
          <t xml:space="preserve">Va'da berdi | kotarmad tg dan gaplashdim 1-2 kunda yopad | 746</t>
        </is>
      </c>
    </row>
    <row r="394">
      <c r="A394" s="102" t="inlineStr">
        <is>
          <t xml:space="preserve">ХОРАЗМ ВИЛОЯТИ</t>
        </is>
      </c>
      <c r="B394" s="102" t="inlineStr">
        <is>
          <t xml:space="preserve">SUPER BRANCH</t>
        </is>
      </c>
      <c r="C394" s="102" t="inlineStr">
        <is>
          <t xml:space="preserve">Обещал</t>
        </is>
      </c>
      <c r="D394" s="102" t="inlineStr">
        <is>
          <t xml:space="preserve">Кр-99038730-1</t>
        </is>
      </c>
      <c r="E394" s="102" t="inlineStr">
        <is>
          <t xml:space="preserve">QURBONNIYOZOV ANVAR ARTIQBOYEVICH</t>
        </is>
      </c>
      <c r="F394" s="102" t="inlineStr">
        <is>
          <t xml:space="preserve">998938690525 SMS OZI, 998942312504 SMS OGLI, 998939480525 SMS XOTINI,</t>
        </is>
      </c>
      <c r="G394" s="102" t="inlineStr">
        <is>
          <t xml:space="preserve">XORAZM VILOYATI YANGIBOZOR TUMANI BOG’OLON MAXALLASI MARDLAR KUCHASI 24 UY</t>
        </is>
      </c>
      <c r="H394" s="103">
        <v>6.0</v>
      </c>
      <c r="I394" s="103">
        <v>1327072.1</v>
      </c>
      <c r="K394" s="102" t="inlineStr">
        <is>
          <t xml:space="preserve">Va'da berdi | qaytib chiqad | 799</t>
        </is>
      </c>
    </row>
    <row r="395">
      <c r="A395" s="102" t="inlineStr">
        <is>
          <t xml:space="preserve">ХОРАЗМ ВИЛОЯТИ</t>
        </is>
      </c>
      <c r="B395" s="102" t="inlineStr">
        <is>
          <t xml:space="preserve">SUPER BRANCH</t>
        </is>
      </c>
      <c r="C395" s="102" t="inlineStr">
        <is>
          <t xml:space="preserve">Обещал</t>
        </is>
      </c>
      <c r="D395" s="102" t="inlineStr">
        <is>
          <t xml:space="preserve">Кр-99028290-4</t>
        </is>
      </c>
      <c r="E395" s="102" t="inlineStr">
        <is>
          <t xml:space="preserve">TADJIYEV MASHHURBEK DANIYOR O’G’LI</t>
        </is>
      </c>
      <c r="F395" s="102" t="inlineStr">
        <is>
          <t xml:space="preserve">90-559-39-39 SMS OZI  choyxonada ishlid , 93-285-51-55  SMS DOST TOLOVCHI, 97-091-60-00  SMS DOSTI ,</t>
        </is>
      </c>
      <c r="G395" s="102" t="inlineStr">
        <is>
          <t xml:space="preserve">XORAZM VILOYATI XIVA TUMANI JURYON QFY DAVAK MFY NURJAMOL KO’CHASI 47-UY  </t>
        </is>
      </c>
      <c r="I395" s="103">
        <v>514339.16</v>
      </c>
      <c r="K395" s="102" t="inlineStr">
        <is>
          <t xml:space="preserve">Va'da berdi | bugun kechgacha yopad | 230</t>
        </is>
      </c>
    </row>
    <row r="396">
      <c r="A396" s="102" t="inlineStr">
        <is>
          <t xml:space="preserve">ХОРАЗМ ВИЛОЯТИ</t>
        </is>
      </c>
      <c r="B396" s="102" t="inlineStr">
        <is>
          <t xml:space="preserve">SUPER BRANCH</t>
        </is>
      </c>
      <c r="C396" s="102" t="inlineStr">
        <is>
          <t xml:space="preserve">Обещал</t>
        </is>
      </c>
      <c r="D396" s="102" t="inlineStr">
        <is>
          <t xml:space="preserve">Кр-99048302-1</t>
        </is>
      </c>
      <c r="E396" s="102" t="inlineStr">
        <is>
          <t xml:space="preserve">NURMATOV OG‘ABEK FAXRIDDIN O‘G‘LI</t>
        </is>
      </c>
      <c r="F396" s="102" t="inlineStr">
        <is>
          <t xml:space="preserve">+998919981626 Primary phone from road24, 998919981626 Primary phone from road24, 998905580815 SMS OTASI, 998910908909 SMS AKASI,</t>
        </is>
      </c>
      <c r="G396" s="102" t="inlineStr">
        <is>
          <t xml:space="preserve">Хорезмская область, Шаватский район, Каткалъа ССГ, Янги турмуш МСГ, ул. Бунёдкор, дом 33</t>
        </is>
      </c>
      <c r="I396" s="103">
        <v>149474.25</v>
      </c>
      <c r="K396" s="102" t="inlineStr">
        <is>
          <t xml:space="preserve">Va'da berdi | hozi tolid | 1276</t>
        </is>
      </c>
    </row>
    <row r="397">
      <c r="A397" s="104" t="inlineStr">
        <is>
          <t xml:space="preserve">ХОРАЗМ ВИЛОЯТИ</t>
        </is>
      </c>
      <c r="B397" s="104" t="inlineStr">
        <is>
          <t xml:space="preserve">Урганч филиали</t>
        </is>
      </c>
      <c r="C397" s="104" t="inlineStr">
        <is>
          <t xml:space="preserve">Дозвон</t>
        </is>
      </c>
      <c r="D397" s="104" t="inlineStr">
        <is>
          <t xml:space="preserve">Кр-99063321-2</t>
        </is>
      </c>
      <c r="E397" s="104" t="inlineStr">
        <is>
          <t xml:space="preserve">RAXIMOVA GUZAL ALISHEROVNA</t>
        </is>
      </c>
      <c r="F397" s="104" t="inlineStr">
        <is>
          <t xml:space="preserve">+998975275555 SMS UZI, 998975165555 SMS ERI,</t>
        </is>
      </c>
      <c r="G397" s="104" t="inlineStr">
        <is>
          <t xml:space="preserve">ХОРАЗМ ВИЛОЯТИ УРГАНЧ Ш., ГУЛЗОР МФЙ, УРГАНЧ ШАХАР, ГУЛЗОР МФЙ, АЛ-БЕРУНИЙ,  uy:60А</t>
        </is>
      </c>
      <c r="H397" s="105">
        <v>8.0</v>
      </c>
      <c r="I397" s="105">
        <v>10737404.65</v>
      </c>
      <c r="J397" s="105">
        <v>10737404.65</v>
      </c>
      <c r="K397" s="104" t="inlineStr">
        <is>
          <t xml:space="preserve">To'ladi | eri bugun abetgacha yopad | 1747</t>
        </is>
      </c>
    </row>
    <row r="398">
      <c r="A398" s="104" t="inlineStr">
        <is>
          <t xml:space="preserve">ХОРАЗМ ВИЛОЯТИ</t>
        </is>
      </c>
      <c r="B398" s="104" t="inlineStr">
        <is>
          <t xml:space="preserve">Урганч филиали</t>
        </is>
      </c>
      <c r="C398" s="104" t="inlineStr">
        <is>
          <t xml:space="preserve">Обещал</t>
        </is>
      </c>
      <c r="D398" s="104" t="inlineStr">
        <is>
          <t xml:space="preserve">Кр-99040909-1</t>
        </is>
      </c>
      <c r="E398" s="104" t="inlineStr">
        <is>
          <t xml:space="preserve">OTAXONOV DIYORBEK ERGASH O’G’LI</t>
        </is>
      </c>
      <c r="F398" s="104" t="inlineStr">
        <is>
          <t xml:space="preserve">998970150686 SMS OTASI, 998954170093 SMS UZI (BEGONA), 998972392704 SMS AYOLI, 998976052704 SMS UZI, 998880939698 SMS UZI new,</t>
        </is>
      </c>
      <c r="G398" s="104" t="inlineStr">
        <is>
          <t xml:space="preserve">Маданият МФЙ, Мустақиллик кучаси, 37A-уй</t>
        </is>
      </c>
      <c r="H398" s="105">
        <v>13.0</v>
      </c>
      <c r="I398" s="105">
        <v>7544075.74</v>
      </c>
      <c r="K398" s="104" t="inlineStr">
        <is>
          <t xml:space="preserve">Va'da berdi | 2-3 kun da polni yopmoqchi | 1034</t>
        </is>
      </c>
    </row>
    <row r="399">
      <c r="A399" s="104" t="inlineStr">
        <is>
          <t xml:space="preserve">ХОРАЗМ ВИЛОЯТИ</t>
        </is>
      </c>
      <c r="B399" s="104" t="inlineStr">
        <is>
          <t xml:space="preserve">Урганч филиали</t>
        </is>
      </c>
      <c r="C399" s="104" t="inlineStr">
        <is>
          <t xml:space="preserve">Обещал</t>
        </is>
      </c>
      <c r="D399" s="104" t="inlineStr">
        <is>
          <t xml:space="preserve">Кр-99041193-1</t>
        </is>
      </c>
      <c r="E399" s="104" t="inlineStr">
        <is>
          <t xml:space="preserve">SAFAYEVA DURDUGUL DJABIYEVNA</t>
        </is>
      </c>
      <c r="F399" s="104" t="inlineStr">
        <is>
          <t xml:space="preserve">+998930566951 SMS TO’LOVCHI, 998905783265 SMS UZI, 998930499771 SMS O’GLI TO’LOVCHI 2, 998889523000 OZI,</t>
        </is>
      </c>
      <c r="G399" s="104" t="inlineStr">
        <is>
          <t xml:space="preserve">Hurriyat MFY, Diydor ko’chasi, 20-uy</t>
        </is>
      </c>
      <c r="H399" s="105">
        <v>8.0</v>
      </c>
      <c r="I399" s="105">
        <v>6305774.47</v>
      </c>
      <c r="K399" s="104" t="inlineStr">
        <is>
          <t xml:space="preserve">Va'da berdi | bugun kechga yoki ertaga ogli yopad | 1068</t>
        </is>
      </c>
    </row>
    <row r="400">
      <c r="A400" s="104" t="inlineStr">
        <is>
          <t xml:space="preserve">ХОРАЗМ ВИЛОЯТИ</t>
        </is>
      </c>
      <c r="B400" s="104" t="inlineStr">
        <is>
          <t xml:space="preserve">Урганч филиали</t>
        </is>
      </c>
      <c r="C400" s="104" t="inlineStr">
        <is>
          <t xml:space="preserve">Обещал</t>
        </is>
      </c>
      <c r="D400" s="104" t="inlineStr">
        <is>
          <t xml:space="preserve">Кр-99041822-1</t>
        </is>
      </c>
      <c r="E400" s="104" t="inlineStr">
        <is>
          <t xml:space="preserve">JABBAROV MUROD EGAMBERGANOVICH</t>
        </is>
      </c>
      <c r="F400" s="104" t="inlineStr">
        <is>
          <t xml:space="preserve">+998957673366 SMS UZI, 998953260676 SMS AYOLI, 998995263366 SMS O’G’LI, 998502305667 SMS OZI,</t>
        </is>
      </c>
      <c r="G400" s="104" t="inlineStr">
        <is>
          <t xml:space="preserve">Хорезмская область, Янгибазарский район, Уйғур ССГ, Хайват МСГ, ул. Хайват, дом 61</t>
        </is>
      </c>
      <c r="H400" s="105">
        <v>8.0</v>
      </c>
      <c r="I400" s="105">
        <v>5207931.42</v>
      </c>
      <c r="K400" s="104" t="inlineStr">
        <is>
          <t xml:space="preserve">Va'da berdi | bugn kechga yoki ertaga abetgacha yopad | 1131</t>
        </is>
      </c>
    </row>
    <row r="401">
      <c r="A401" s="104" t="inlineStr">
        <is>
          <t xml:space="preserve">ХОРАЗМ ВИЛОЯТИ</t>
        </is>
      </c>
      <c r="B401" s="104" t="inlineStr">
        <is>
          <t xml:space="preserve">Урганч филиали</t>
        </is>
      </c>
      <c r="C401" s="104" t="inlineStr">
        <is>
          <t xml:space="preserve">Обещал</t>
        </is>
      </c>
      <c r="D401" s="104" t="inlineStr">
        <is>
          <t xml:space="preserve">Кр-99032390-1</t>
        </is>
      </c>
      <c r="E401" s="104" t="inlineStr">
        <is>
          <t xml:space="preserve">YULDASHEV RAVSHAN MUXAMEDJANOVICH</t>
        </is>
      </c>
      <c r="F401" s="104" t="inlineStr">
        <is>
          <t xml:space="preserve">998932817070 SMS O’ZI, 998900778677 SMS O’G’LI, 998993477717 SMS begona,</t>
        </is>
      </c>
      <c r="G401" s="104" t="inlineStr">
        <is>
          <t xml:space="preserve">XORAZM VILOYATI URGANCH SHAHAR GUJUMZOR KUCHASI 2/2 UY 10 XONADON</t>
        </is>
      </c>
      <c r="H401" s="105">
        <v>8.0</v>
      </c>
      <c r="I401" s="105">
        <v>5181196.56</v>
      </c>
      <c r="K401" s="104" t="inlineStr">
        <is>
          <t xml:space="preserve">Va'da berdi | oilaviy nimadir bopqopti, muammosi borakan sh sabab tolov kuni kechikibdi, harakat qilib topib beraman dd 1-2 kunda | 394</t>
        </is>
      </c>
    </row>
    <row r="402">
      <c r="A402" s="104" t="inlineStr">
        <is>
          <t xml:space="preserve">ХОРАЗМ ВИЛОЯТИ</t>
        </is>
      </c>
      <c r="B402" s="104" t="inlineStr">
        <is>
          <t xml:space="preserve">Урганч филиали</t>
        </is>
      </c>
      <c r="C402" s="104" t="inlineStr">
        <is>
          <t xml:space="preserve">Обещал</t>
        </is>
      </c>
      <c r="D402" s="104" t="inlineStr">
        <is>
          <t xml:space="preserve">Кр-99041519-1</t>
        </is>
      </c>
      <c r="E402" s="104" t="inlineStr">
        <is>
          <t xml:space="preserve">ATAYEV ERKINBAY BAYJANOVICH</t>
        </is>
      </c>
      <c r="F402" s="104" t="inlineStr">
        <is>
          <t xml:space="preserve">+998995705003 SMS UZI, 998914244747 SMS O’G’LI, 998955244747 SMS O’G’LI,</t>
        </is>
      </c>
      <c r="G402" s="104" t="inlineStr">
        <is>
          <t xml:space="preserve">ЭСКИ ҚИЁТ ҚФЙ, КУШЧИ КАТТАБОГ МФЙ, ПАЛВОН,  uy:18</t>
        </is>
      </c>
      <c r="H402" s="105">
        <v>8.0</v>
      </c>
      <c r="I402" s="105">
        <v>5102601.24</v>
      </c>
      <c r="K402" s="104" t="inlineStr">
        <is>
          <t xml:space="preserve">Va'da berdi | ertaga abetdan kegin pul tushad dd | 1108</t>
        </is>
      </c>
    </row>
    <row r="403">
      <c r="A403" s="104" t="inlineStr">
        <is>
          <t xml:space="preserve">ХОРАЗМ ВИЛОЯТИ</t>
        </is>
      </c>
      <c r="B403" s="104" t="inlineStr">
        <is>
          <t xml:space="preserve">Урганч филиали</t>
        </is>
      </c>
      <c r="C403" s="104" t="inlineStr">
        <is>
          <t xml:space="preserve">Обещал</t>
        </is>
      </c>
      <c r="D403" s="104" t="inlineStr">
        <is>
          <t xml:space="preserve">Кр-99031438-1</t>
        </is>
      </c>
      <c r="E403" s="104" t="inlineStr">
        <is>
          <t xml:space="preserve">MADRAXIMOVA SURAYYO URUSLANOVNA</t>
        </is>
      </c>
      <c r="F403" s="104" t="inlineStr">
        <is>
          <t xml:space="preserve">+998507375512 SMS UZI, 998900901911 SMS KELINI, 998918612201 SMS O’G’LI,</t>
        </is>
      </c>
      <c r="G403" s="104" t="inlineStr">
        <is>
          <t xml:space="preserve">ХОРАЗМ ВИЛОЯТИ УРГАНЧ ТУМАНИ Қумрабод МФЙ, Проектная 181 А мавзеси, 56V-уй</t>
        </is>
      </c>
      <c r="H403" s="105">
        <v>8.0</v>
      </c>
      <c r="I403" s="105">
        <v>5044129.88</v>
      </c>
      <c r="K403" s="104" t="inlineStr">
        <is>
          <t xml:space="preserve">Va'da berdi | qismman tolov qildi qolganin bugn kechgacha yopad | 353</t>
        </is>
      </c>
    </row>
    <row r="404">
      <c r="A404" s="104" t="inlineStr">
        <is>
          <t xml:space="preserve">ХОРАЗМ ВИЛОЯТИ</t>
        </is>
      </c>
      <c r="B404" s="104" t="inlineStr">
        <is>
          <t xml:space="preserve">Урганч филиали</t>
        </is>
      </c>
      <c r="C404" s="104" t="inlineStr">
        <is>
          <t xml:space="preserve">Обещал</t>
        </is>
      </c>
      <c r="D404" s="104" t="inlineStr">
        <is>
          <t xml:space="preserve">Кр-99040754-1</t>
        </is>
      </c>
      <c r="E404" s="104" t="inlineStr">
        <is>
          <t xml:space="preserve">AXMEDOV UMIDJON MASHARIPOVICH</t>
        </is>
      </c>
      <c r="F404" s="104" t="inlineStr">
        <is>
          <t xml:space="preserve">+998774168402 SMS UZI, 998887900082 SMS AKASI, 998943197880 SMS OPASI,</t>
        </is>
      </c>
      <c r="G404" s="104" t="inlineStr">
        <is>
          <t xml:space="preserve">Янги боғ МФЙ, Тинчлик кучаси, 30-уй</t>
        </is>
      </c>
      <c r="H404" s="105">
        <v>8.0</v>
      </c>
      <c r="I404" s="105">
        <v>5042458.04</v>
      </c>
      <c r="K404" s="104" t="inlineStr">
        <is>
          <t xml:space="preserve">Va'da berdi | opasi bilan gaplashdim ertaga tolid ukam ddd | 1015</t>
        </is>
      </c>
    </row>
    <row r="405">
      <c r="A405" s="104" t="inlineStr">
        <is>
          <t xml:space="preserve">ХОРАЗМ ВИЛОЯТИ</t>
        </is>
      </c>
      <c r="B405" s="104" t="inlineStr">
        <is>
          <t xml:space="preserve">Урганч филиали</t>
        </is>
      </c>
      <c r="C405" s="104" t="inlineStr">
        <is>
          <t xml:space="preserve">Обещал</t>
        </is>
      </c>
      <c r="D405" s="104" t="inlineStr">
        <is>
          <t xml:space="preserve">Кр-99034208-1</t>
        </is>
      </c>
      <c r="E405" s="104" t="inlineStr">
        <is>
          <t xml:space="preserve">NORBOYEV NURBEK SHUXRAT O’G’LI</t>
        </is>
      </c>
      <c r="F405" s="104" t="inlineStr">
        <is>
          <t xml:space="preserve">998991710010 SMS OZI, 998999616062 SMS UKASI, 998995071515 SMS AKASI, 998994461983 SMS DOSTI, 998991220010 SMS OTASI,</t>
        </is>
      </c>
      <c r="G405" s="104" t="inlineStr">
        <is>
          <t xml:space="preserve">XORAZM VILOYATI SHOVOT TUMANI GULZOR KUCHASI 20-UY</t>
        </is>
      </c>
      <c r="H405" s="105">
        <v>8.0</v>
      </c>
      <c r="I405" s="105">
        <v>4836487.15</v>
      </c>
      <c r="K405" s="104" t="inlineStr">
        <is>
          <t xml:space="preserve">Va'da berdi | 1-2 kunda tolov qilib berad | 497</t>
        </is>
      </c>
    </row>
    <row r="406">
      <c r="A406" s="104" t="inlineStr">
        <is>
          <t xml:space="preserve">ХОРАЗМ ВИЛОЯТИ</t>
        </is>
      </c>
      <c r="B406" s="104" t="inlineStr">
        <is>
          <t xml:space="preserve">Урганч филиали</t>
        </is>
      </c>
      <c r="C406" s="104" t="inlineStr">
        <is>
          <t xml:space="preserve">Обещал</t>
        </is>
      </c>
      <c r="D406" s="104" t="inlineStr">
        <is>
          <t xml:space="preserve">Кр-99022857-3</t>
        </is>
      </c>
      <c r="E406" s="104" t="inlineStr">
        <is>
          <t xml:space="preserve">JUMANIYOZOV OLIMBOY BAXODIR O’G’LI</t>
        </is>
      </c>
      <c r="F406" s="104" t="inlineStr">
        <is>
          <t xml:space="preserve">88-513-14-00 SMS UZI, 88-456-22-88 SMS OTASI, 93-753-72-88 SMS OTASI, 88-364-57-97 SMS OPASI,</t>
        </is>
      </c>
      <c r="G406" s="104" t="inlineStr">
        <is>
          <t xml:space="preserve">XORAZM VILOYATI YANGIARIQ TUMANI QARMISH QISHLOQI SHIXBOG’I MAXALLASI SHIXBOG’I KUCHASI 104 UY</t>
        </is>
      </c>
      <c r="H406" s="105">
        <v>4.0</v>
      </c>
      <c r="I406" s="105">
        <v>4502319.07</v>
      </c>
      <c r="K406" s="104" t="inlineStr">
        <is>
          <t xml:space="preserve">Va'da berdi | 996207272 maqsud tolovchisi bilan gaplashdim 1-2 kun dvotti | 135</t>
        </is>
      </c>
    </row>
    <row r="407">
      <c r="A407" s="104" t="inlineStr">
        <is>
          <t xml:space="preserve">ХОРАЗМ ВИЛОЯТИ</t>
        </is>
      </c>
      <c r="B407" s="104" t="inlineStr">
        <is>
          <t xml:space="preserve">Урганч филиали</t>
        </is>
      </c>
      <c r="C407" s="104" t="inlineStr">
        <is>
          <t xml:space="preserve">Обещал</t>
        </is>
      </c>
      <c r="D407" s="104" t="inlineStr">
        <is>
          <t xml:space="preserve">Кр-99040991-1</t>
        </is>
      </c>
      <c r="E407" s="104" t="inlineStr">
        <is>
          <t xml:space="preserve">YULDASHEV ABDURAUF ERGASHEVICH</t>
        </is>
      </c>
      <c r="F407" s="104" t="inlineStr">
        <is>
          <t xml:space="preserve">+998990911604 SMS UZI, 998904355651 SMS ONASI, 998907751279 SMS OTASI,</t>
        </is>
      </c>
      <c r="G407" s="104" t="inlineStr">
        <is>
          <t xml:space="preserve">Хорезмская область, Багатский район, Кулонкорабог ССГ, Кулонкорабог МСГ, ул. Кулоллар, дом 92</t>
        </is>
      </c>
      <c r="H407" s="105">
        <v>13.0</v>
      </c>
      <c r="I407" s="105">
        <v>4218177.33</v>
      </c>
      <c r="K407" s="104" t="inlineStr">
        <is>
          <t xml:space="preserve">Va'da berdi | qisman tolov qildi qolgani bugn kechga yoki ertaga abetgacha | 1041</t>
        </is>
      </c>
    </row>
    <row r="408">
      <c r="A408" s="104" t="inlineStr">
        <is>
          <t xml:space="preserve">ХОРАЗМ ВИЛОЯТИ</t>
        </is>
      </c>
      <c r="B408" s="104" t="inlineStr">
        <is>
          <t xml:space="preserve">Урганч филиали</t>
        </is>
      </c>
      <c r="C408" s="104" t="inlineStr">
        <is>
          <t xml:space="preserve">Обещал</t>
        </is>
      </c>
      <c r="D408" s="104" t="inlineStr">
        <is>
          <t xml:space="preserve">Кр-99047894-1</t>
        </is>
      </c>
      <c r="E408" s="104" t="inlineStr">
        <is>
          <t xml:space="preserve">AMINOV AKROM AZAMAT O’G’LI</t>
        </is>
      </c>
      <c r="F408" s="104" t="inlineStr">
        <is>
          <t xml:space="preserve">+998773180700 SMS UZI, 998919947770 SMS AMAKISI, 998935642717 SMS UKASI,</t>
        </is>
      </c>
      <c r="G408" s="104" t="inlineStr">
        <is>
          <t xml:space="preserve">ХОРАЗМ ВИЛОЯТИ УРГАНЧ ТУМАНИ Бўстон МФЙ, А.Темур кучаси, 59-уй</t>
        </is>
      </c>
      <c r="H408" s="105">
        <v>8.0</v>
      </c>
      <c r="I408" s="105">
        <v>3879129.11</v>
      </c>
      <c r="K408" s="104" t="inlineStr">
        <is>
          <t xml:space="preserve">Va'da berdi | 1-2 kunda yopib berad | 1270</t>
        </is>
      </c>
    </row>
    <row r="409">
      <c r="A409" s="104" t="inlineStr">
        <is>
          <t xml:space="preserve">ХОРАЗМ ВИЛОЯТИ</t>
        </is>
      </c>
      <c r="B409" s="104" t="inlineStr">
        <is>
          <t xml:space="preserve">Урганч филиали</t>
        </is>
      </c>
      <c r="C409" s="104" t="inlineStr">
        <is>
          <t xml:space="preserve">Обещал</t>
        </is>
      </c>
      <c r="D409" s="104" t="inlineStr">
        <is>
          <t xml:space="preserve">Кр-99040465-1</t>
        </is>
      </c>
      <c r="E409" s="104" t="inlineStr">
        <is>
          <t xml:space="preserve">AVAZMETOV FURQAT OTAXON O’G’LI</t>
        </is>
      </c>
      <c r="F409" s="104" t="inlineStr">
        <is>
          <t xml:space="preserve">+998937586161 SMS UZI, 998337586161 SMS AYOLI, 998337900202 SMS UZI 2 begona, 998930921161 SMS UKASI, 998942369696 SMS AKASI JURAT,</t>
        </is>
      </c>
      <c r="G409" s="104" t="inlineStr">
        <is>
          <t xml:space="preserve">ГУЛОБОД ҚФЙ, КЎНҒИРОТ МФЙ, СОГЛОМ ТУРМУШ КЎЧАСИ,  uy:58</t>
        </is>
      </c>
      <c r="H409" s="105">
        <v>8.0</v>
      </c>
      <c r="I409" s="105">
        <v>3775571.04</v>
      </c>
      <c r="K409" s="104" t="inlineStr">
        <is>
          <t xml:space="preserve">Va'da berdi | akasi bilan gaplashdimetib qoyaman dd | 982</t>
        </is>
      </c>
    </row>
    <row r="410">
      <c r="A410" s="104" t="inlineStr">
        <is>
          <t xml:space="preserve">ХОРАЗМ ВИЛОЯТИ</t>
        </is>
      </c>
      <c r="B410" s="104" t="inlineStr">
        <is>
          <t xml:space="preserve">Урганч филиали</t>
        </is>
      </c>
      <c r="C410" s="104" t="inlineStr">
        <is>
          <t xml:space="preserve">Обещал</t>
        </is>
      </c>
      <c r="D410" s="104" t="inlineStr">
        <is>
          <t xml:space="preserve">Кр-99013487-3</t>
        </is>
      </c>
      <c r="E410" s="104" t="inlineStr">
        <is>
          <t xml:space="preserve">QURBONBOYEV JAVOHIR QUVONDIQ O’G’LI</t>
        </is>
      </c>
      <c r="F410" s="104" t="inlineStr">
        <is>
          <t xml:space="preserve">97-451-67-68 SMS UZI , 97-361-00-11  sms AKASI TULOVCHI 
 , 99-352-72-22  sms ADASI , 97-791-91-41  sms OYISI , 998976010011 SMS UZI 2,</t>
        </is>
      </c>
      <c r="G410" s="104" t="inlineStr">
        <is>
          <t xml:space="preserve">Хорезмская область, Ханкинский район, Хонка ГСГ, Эхтиром МСГ, ул. Олмазор, дом 28</t>
        </is>
      </c>
      <c r="H410" s="105">
        <v>8.0</v>
      </c>
      <c r="I410" s="105">
        <v>3435630.19</v>
      </c>
      <c r="K410" s="104" t="inlineStr">
        <is>
          <t xml:space="preserve">Va'da berdi | bugn abetdan kegin tolid | 59</t>
        </is>
      </c>
    </row>
    <row r="411">
      <c r="A411" s="104" t="inlineStr">
        <is>
          <t xml:space="preserve">ХОРАЗМ ВИЛОЯТИ</t>
        </is>
      </c>
      <c r="B411" s="104" t="inlineStr">
        <is>
          <t xml:space="preserve">Урганч филиали</t>
        </is>
      </c>
      <c r="C411" s="104" t="inlineStr">
        <is>
          <t xml:space="preserve">Обещал</t>
        </is>
      </c>
      <c r="D411" s="104" t="inlineStr">
        <is>
          <t xml:space="preserve">Кр-99030607-1</t>
        </is>
      </c>
      <c r="E411" s="104" t="inlineStr">
        <is>
          <t xml:space="preserve">DUSHAMOV AZAMAT QO’SHCHANOVICH</t>
        </is>
      </c>
      <c r="F411" s="104" t="inlineStr">
        <is>
          <t xml:space="preserve">95-780-18-58  SMS O’ZI, 95-641-02-88  SMS O’G’LI, 99-291-50-10  SMS AYOLI, 99-538-13-04 SMS , 998772832202 SMS tolovchi ogli new bic ,</t>
        </is>
      </c>
      <c r="G411" s="104" t="inlineStr">
        <is>
          <t xml:space="preserve">QO’SHKO’PIR TUMANI BAXORISTON MFY OYBEK KUCHASI 49-UY</t>
        </is>
      </c>
      <c r="H411" s="105">
        <v>1.0</v>
      </c>
      <c r="I411" s="105">
        <v>3335915.75</v>
      </c>
      <c r="K411" s="104" t="inlineStr">
        <is>
          <t xml:space="preserve">Va'da berdi | abetdan kegin filialga borib yopad | 317</t>
        </is>
      </c>
    </row>
    <row r="412">
      <c r="A412" s="104" t="inlineStr">
        <is>
          <t xml:space="preserve">ХОРАЗМ ВИЛОЯТИ</t>
        </is>
      </c>
      <c r="B412" s="104" t="inlineStr">
        <is>
          <t xml:space="preserve">Урганч филиали</t>
        </is>
      </c>
      <c r="C412" s="104" t="inlineStr">
        <is>
          <t xml:space="preserve">Обещал</t>
        </is>
      </c>
      <c r="D412" s="104" t="inlineStr">
        <is>
          <t xml:space="preserve">Кр-99030554-1</t>
        </is>
      </c>
      <c r="E412" s="104" t="inlineStr">
        <is>
          <t xml:space="preserve">XO’SINOV XAYRULLA ODILBEK O’G’LI</t>
        </is>
      </c>
      <c r="F412" s="104" t="inlineStr">
        <is>
          <t xml:space="preserve">94-863-64-66 SMS O’ZI, 93-308-64-66 SMS AYOLI(begona), 998930438330 SMS ONASI, 998935187910 SMS OTASI, 998992305824 akasi,</t>
        </is>
      </c>
      <c r="G412" s="104" t="inlineStr">
        <is>
          <t xml:space="preserve">XORAZM VILOYATI XONQA TUMANI OXUNBOBOYEV QFY ISTIQLOL MFYDO’STLIK 185-UY</t>
        </is>
      </c>
      <c r="H412" s="105">
        <v>7.0</v>
      </c>
      <c r="I412" s="105">
        <v>3291485.95</v>
      </c>
      <c r="K412" s="104" t="inlineStr">
        <is>
          <t xml:space="preserve">Va'da berdi | 1-2 kunda tolaberamiz dd | 313</t>
        </is>
      </c>
    </row>
    <row r="413">
      <c r="A413" s="104" t="inlineStr">
        <is>
          <t xml:space="preserve">ХОРАЗМ ВИЛОЯТИ</t>
        </is>
      </c>
      <c r="B413" s="104" t="inlineStr">
        <is>
          <t xml:space="preserve">Урганч филиали</t>
        </is>
      </c>
      <c r="C413" s="104" t="inlineStr">
        <is>
          <t xml:space="preserve">Дозвон</t>
        </is>
      </c>
      <c r="D413" s="104" t="inlineStr">
        <is>
          <t xml:space="preserve">Кр-99032959-2</t>
        </is>
      </c>
      <c r="E413" s="104" t="inlineStr">
        <is>
          <t xml:space="preserve">ATADJANOVA MALIKA ABDULLAYEVNA</t>
        </is>
      </c>
      <c r="F413" s="104" t="inlineStr">
        <is>
          <t xml:space="preserve">998914208844 SMS O’ZI, 998771625158 SMS JIYANI, 998918667040 SMS SINGLISI, +998914208844 SMS UZI,</t>
        </is>
      </c>
      <c r="G413" s="104" t="inlineStr">
        <is>
          <t xml:space="preserve">ХОРАЗМ ВИЛОЯТИ УРГАНЧ ШАХРИ Янгихаёт МФЙ, Фирдавсий,4 тор кўчаси, 131-уй</t>
        </is>
      </c>
      <c r="H413" s="105">
        <v>8.0</v>
      </c>
      <c r="I413" s="105">
        <v>2802027.56</v>
      </c>
      <c r="J413" s="105">
        <v>2802027.56</v>
      </c>
      <c r="K413" s="104" t="inlineStr">
        <is>
          <t xml:space="preserve">To'ladi | Abetdan kegin yopad | 416</t>
        </is>
      </c>
    </row>
    <row r="414">
      <c r="A414" s="104" t="inlineStr">
        <is>
          <t xml:space="preserve">ХОРАЗМ ВИЛОЯТИ</t>
        </is>
      </c>
      <c r="B414" s="104" t="inlineStr">
        <is>
          <t xml:space="preserve">Урганч филиали</t>
        </is>
      </c>
      <c r="C414" s="104" t="inlineStr">
        <is>
          <t xml:space="preserve">Обещал</t>
        </is>
      </c>
      <c r="D414" s="104" t="inlineStr">
        <is>
          <t xml:space="preserve">Кр-99032261-1</t>
        </is>
      </c>
      <c r="E414" s="104" t="inlineStr">
        <is>
          <t xml:space="preserve">QALANDAROV MUNIS IKROMBOYEVICH</t>
        </is>
      </c>
      <c r="F414" s="104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414" s="104" t="inlineStr">
        <is>
          <t xml:space="preserve">XORAZM VILOYATI BO’GOT TUMANI XUNARMAND MFY O’ZBEKISTON KELAJAGI KUCHASI 17-UY</t>
        </is>
      </c>
      <c r="H414" s="105">
        <v>12.0</v>
      </c>
      <c r="I414" s="105">
        <v>2800844.32</v>
      </c>
      <c r="K414" s="104" t="inlineStr">
        <is>
          <t xml:space="preserve">Va'da berdi | ozi rassiyada, adasi bilan gaplashib turibman, 19-sanalarga oylik olib jonatarkan | 384</t>
        </is>
      </c>
    </row>
    <row r="415">
      <c r="A415" s="104" t="inlineStr">
        <is>
          <t xml:space="preserve">ХОРАЗМ ВИЛОЯТИ</t>
        </is>
      </c>
      <c r="B415" s="104" t="inlineStr">
        <is>
          <t xml:space="preserve">Урганч филиали</t>
        </is>
      </c>
      <c r="C415" s="104" t="inlineStr">
        <is>
          <t xml:space="preserve">Обещал</t>
        </is>
      </c>
      <c r="D415" s="104" t="inlineStr">
        <is>
          <t xml:space="preserve">Кр-99041377-1</t>
        </is>
      </c>
      <c r="E415" s="104" t="inlineStr">
        <is>
          <t xml:space="preserve">JUMADURDIYEV BEKTEMIR XAJIYEVICH</t>
        </is>
      </c>
      <c r="F415" s="104" t="inlineStr">
        <is>
          <t xml:space="preserve">998885461411 SMS UZI, 998975133428 SMS ONASI, 998975136424 SMS POCHCHASI,</t>
        </is>
      </c>
      <c r="G415" s="104" t="inlineStr">
        <is>
          <t xml:space="preserve">ҒАЛАБА ҚФЙ, ОБОД МФЙ, ОБОД  КЎЧАСИ,  uy:22</t>
        </is>
      </c>
      <c r="H415" s="105">
        <v>8.0</v>
      </c>
      <c r="I415" s="105">
        <v>2242286.39</v>
      </c>
      <c r="K415" s="104" t="inlineStr">
        <is>
          <t xml:space="preserve">Va'da berdi | 20-sanadan kegin oylik olad ozi usta | 1096</t>
        </is>
      </c>
    </row>
    <row r="416">
      <c r="A416" s="104" t="inlineStr">
        <is>
          <t xml:space="preserve">ХОРАЗМ ВИЛОЯТИ</t>
        </is>
      </c>
      <c r="B416" s="104" t="inlineStr">
        <is>
          <t xml:space="preserve">Урганч филиали</t>
        </is>
      </c>
      <c r="C416" s="104" t="inlineStr">
        <is>
          <t xml:space="preserve">Обещал</t>
        </is>
      </c>
      <c r="D416" s="104" t="inlineStr">
        <is>
          <t xml:space="preserve">Кр-99041136-2</t>
        </is>
      </c>
      <c r="E416" s="104" t="inlineStr">
        <is>
          <t xml:space="preserve">EGAMBERGANOV ALISHER BAXTIYOROVICH</t>
        </is>
      </c>
      <c r="F416" s="104" t="inlineStr">
        <is>
          <t xml:space="preserve">+998948435557 SMS UZI, 998914255457 SMS AYOLI,</t>
        </is>
      </c>
      <c r="G416" s="104" t="inlineStr">
        <is>
          <t xml:space="preserve">Уйшин МФЙ, Зиёлилар кучаси, 7-уй</t>
        </is>
      </c>
      <c r="H416" s="105">
        <v>8.0</v>
      </c>
      <c r="I416" s="105">
        <v>1799494.22</v>
      </c>
      <c r="K416" s="104" t="inlineStr">
        <is>
          <t xml:space="preserve">Va'da berdi | ertaga tolaberad | 1058</t>
        </is>
      </c>
    </row>
    <row r="417">
      <c r="A417" s="104" t="inlineStr">
        <is>
          <t xml:space="preserve">ХОРАЗМ ВИЛОЯТИ</t>
        </is>
      </c>
      <c r="B417" s="104" t="inlineStr">
        <is>
          <t xml:space="preserve">Урганч филиали</t>
        </is>
      </c>
      <c r="C417" s="104" t="inlineStr">
        <is>
          <t xml:space="preserve">Дозвон</t>
        </is>
      </c>
      <c r="D417" s="104" t="inlineStr">
        <is>
          <t xml:space="preserve">Кр-99022857-5</t>
        </is>
      </c>
      <c r="E417" s="104" t="inlineStr">
        <is>
          <t xml:space="preserve">JUMANIYOZOV OLIMBOY BAXODIR O’G’LI</t>
        </is>
      </c>
      <c r="F417" s="104" t="inlineStr">
        <is>
          <t xml:space="preserve">88-513-14-00 SMS UZI, 88-456-22-88 SMS OTASI, 93-753-72-88 SMS OTASI, 88-364-57-97 SMS OPASI,</t>
        </is>
      </c>
      <c r="G417" s="104" t="inlineStr">
        <is>
          <t xml:space="preserve">XORAZM VILOYATI YANGIARIQ TUMANI QARMISH QISHLOQI SHIXBOG’I MAXALLASI SHIXBOG’I KUCHASI 104 UY</t>
        </is>
      </c>
      <c r="H417" s="105">
        <v>8.0</v>
      </c>
      <c r="I417" s="105">
        <v>1596279.5</v>
      </c>
      <c r="K417" s="104" t="inlineStr">
        <is>
          <t xml:space="preserve">996207272 maqsud tolovchisi bilan gaplashdim 1-2 kun dvotti | 136</t>
        </is>
      </c>
    </row>
    <row r="418">
      <c r="A418" s="104" t="inlineStr">
        <is>
          <t xml:space="preserve">ХОРАЗМ ВИЛОЯТИ</t>
        </is>
      </c>
      <c r="B418" s="104" t="inlineStr">
        <is>
          <t xml:space="preserve">Урганч филиали</t>
        </is>
      </c>
      <c r="C418" s="104" t="inlineStr">
        <is>
          <t xml:space="preserve">Обещал</t>
        </is>
      </c>
      <c r="D418" s="104" t="inlineStr">
        <is>
          <t xml:space="preserve">Кр-99032052-1</t>
        </is>
      </c>
      <c r="E418" s="104" t="inlineStr">
        <is>
          <t xml:space="preserve">BOLTABAYEV ABBOSBEK ANVARBEK O’G’LI</t>
        </is>
      </c>
      <c r="F418" s="104" t="inlineStr">
        <is>
          <t xml:space="preserve">998992874544 SMS O’ZI malyarkada ishlidi, 998335170097 SMS O’ZI 2, 998338860076 SMS OTASI, 998992354544 SMS AYOLI,</t>
        </is>
      </c>
      <c r="G418" s="104" t="inlineStr">
        <is>
          <t xml:space="preserve">XORAZM VILOYATI URGANCH TUMANI OXUNBOBOYEV QFY YUQORI JIRMIZ MFY BIRDAMLIK KUCHASI 3-UY</t>
        </is>
      </c>
      <c r="I418" s="105">
        <v>1595644.57</v>
      </c>
      <c r="K418" s="104" t="inlineStr">
        <is>
          <t xml:space="preserve">Va'da berdi | qisman tolov qildi. Qolgani bugn kechgacha | 380</t>
        </is>
      </c>
    </row>
    <row r="419">
      <c r="A419" s="104" t="inlineStr">
        <is>
          <t xml:space="preserve">ХОРАЗМ ВИЛОЯТИ</t>
        </is>
      </c>
      <c r="B419" s="104" t="inlineStr">
        <is>
          <t xml:space="preserve">Урганч филиали</t>
        </is>
      </c>
      <c r="C419" s="104" t="inlineStr">
        <is>
          <t xml:space="preserve">Обещал</t>
        </is>
      </c>
      <c r="D419" s="104" t="inlineStr">
        <is>
          <t xml:space="preserve">Кр-99040644-2</t>
        </is>
      </c>
      <c r="E419" s="104" t="inlineStr">
        <is>
          <t xml:space="preserve">AVEZOV MAXMUD RUSTAMOVICH</t>
        </is>
      </c>
      <c r="F419" s="104" t="inlineStr">
        <is>
          <t xml:space="preserve">+998770620060 SMS UZI, 998941181977 SMS AYOLI 2, 998959110060 SMS AYOLI,</t>
        </is>
      </c>
      <c r="G419" s="104" t="inlineStr">
        <is>
          <t xml:space="preserve">Хорезмская область, Хазараспский район, Янгибозор ССГ, Алоқали кўл МСГ, ул. Заминдор, дом 109</t>
        </is>
      </c>
      <c r="H419" s="105">
        <v>8.0</v>
      </c>
      <c r="I419" s="105">
        <v>1561321.88</v>
      </c>
      <c r="K419" s="104" t="inlineStr">
        <is>
          <t xml:space="preserve">Va'da berdi | bugun qisman tolov qilad ayoli | 1001</t>
        </is>
      </c>
    </row>
    <row r="420">
      <c r="A420" s="104" t="inlineStr">
        <is>
          <t xml:space="preserve">ХОРАЗМ ВИЛОЯТИ</t>
        </is>
      </c>
      <c r="B420" s="104" t="inlineStr">
        <is>
          <t xml:space="preserve">Урганч филиали</t>
        </is>
      </c>
      <c r="C420" s="104" t="inlineStr">
        <is>
          <t xml:space="preserve">Дозвон</t>
        </is>
      </c>
      <c r="D420" s="104" t="inlineStr">
        <is>
          <t xml:space="preserve">Кр-99045798-1</t>
        </is>
      </c>
      <c r="E420" s="104" t="inlineStr">
        <is>
          <t xml:space="preserve">TAJIMURATOV FARXOD ISMOYILOVICH</t>
        </is>
      </c>
      <c r="F420" s="104" t="inlineStr">
        <is>
          <t xml:space="preserve">+998948952627 SMS UZI, 998914292627 SMS AYOLI, 998955512040 SMS UKASI,</t>
        </is>
      </c>
      <c r="G420" s="104" t="inlineStr">
        <is>
          <t xml:space="preserve">Тандирчи МФЙ, Олмазор кучаси, 26/1-уй</t>
        </is>
      </c>
      <c r="H420" s="105">
        <v>8.0</v>
      </c>
      <c r="I420" s="105">
        <v>1206858.39</v>
      </c>
      <c r="J420" s="105">
        <v>1206858.39</v>
      </c>
      <c r="K420" s="104" t="inlineStr">
        <is>
          <t xml:space="preserve">To'ladi | filialga ketvotti tolov qilgani | 1231</t>
        </is>
      </c>
    </row>
    <row r="421">
      <c r="A421" s="104" t="inlineStr">
        <is>
          <t xml:space="preserve">ХОРАЗМ ВИЛОЯТИ</t>
        </is>
      </c>
      <c r="B421" s="104" t="inlineStr">
        <is>
          <t xml:space="preserve">Урганч филиали</t>
        </is>
      </c>
      <c r="C421" s="104" t="inlineStr">
        <is>
          <t xml:space="preserve">Обещал</t>
        </is>
      </c>
      <c r="D421" s="104" t="inlineStr">
        <is>
          <t xml:space="preserve">Кр-99030615-1</t>
        </is>
      </c>
      <c r="E421" s="104" t="inlineStr">
        <is>
          <t xml:space="preserve">XUDAYBERGANOV MADYAR ALIMOVICH</t>
        </is>
      </c>
      <c r="F421" s="104" t="inlineStr">
        <is>
          <t xml:space="preserve">91-426-02-50  SMS O’ZI, 91-999-40-40  SMS AYOLI, 90-430-44-61  SMS O’G’LI, 95-771-44-61  SMS QIZI,</t>
        </is>
      </c>
      <c r="G421" s="104" t="inlineStr">
        <is>
          <t xml:space="preserve">XORAZM VILOYATI URGANCH TUMANI BO’STON MFY NAVOI KUCHASI 5-UY</t>
        </is>
      </c>
      <c r="H421" s="105">
        <v>4.0</v>
      </c>
      <c r="I421" s="105">
        <v>991734.17</v>
      </c>
      <c r="K421" s="104" t="inlineStr">
        <is>
          <t xml:space="preserve">Va'da berdi | bugun yopad abetdan kegin… qisman tolad | 320</t>
        </is>
      </c>
    </row>
    <row r="422">
      <c r="A422" s="104" t="inlineStr">
        <is>
          <t xml:space="preserve">ХОРАЗМ ВИЛОЯТИ</t>
        </is>
      </c>
      <c r="B422" s="104" t="inlineStr">
        <is>
          <t xml:space="preserve">Урганч филиали</t>
        </is>
      </c>
      <c r="C422" s="104" t="inlineStr">
        <is>
          <t xml:space="preserve">Обещал</t>
        </is>
      </c>
      <c r="D422" s="104" t="inlineStr">
        <is>
          <t xml:space="preserve">Кр-99031403-1</t>
        </is>
      </c>
      <c r="E422" s="104" t="inlineStr">
        <is>
          <t xml:space="preserve">SHARIFOV UMRBEK XASANOVICH</t>
        </is>
      </c>
      <c r="F422" s="104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422" s="104" t="inlineStr">
        <is>
          <t xml:space="preserve">XORAZM VILOYATI AL-XORAZMIY MFY SAMARQAND KUCHA 134-UY</t>
        </is>
      </c>
      <c r="H422" s="105">
        <v>13.0</v>
      </c>
      <c r="I422" s="105">
        <v>628268.48</v>
      </c>
      <c r="K422" s="104" t="inlineStr">
        <is>
          <t xml:space="preserve">Va'da berdi | bugun yopad | 351</t>
        </is>
      </c>
    </row>
    <row r="423">
      <c r="A423" s="104" t="inlineStr">
        <is>
          <t xml:space="preserve">ХОРАЗМ ВИЛОЯТИ</t>
        </is>
      </c>
      <c r="B423" s="104" t="inlineStr">
        <is>
          <t xml:space="preserve">Урганч филиали</t>
        </is>
      </c>
      <c r="C423" s="104" t="inlineStr">
        <is>
          <t xml:space="preserve">Дозвон</t>
        </is>
      </c>
      <c r="D423" s="104" t="inlineStr">
        <is>
          <t xml:space="preserve">Кр-99027378-2</t>
        </is>
      </c>
      <c r="E423" s="104" t="inlineStr">
        <is>
          <t xml:space="preserve">RUZMETOVA DILNOZA OTANAZAROVNA</t>
        </is>
      </c>
      <c r="F423" s="104" t="inlineStr">
        <is>
          <t xml:space="preserve">97-792-65-55 SMS TULOVCHI, 97-458-65-12 SMS ONASI, 97-221-52-99 SMS,</t>
        </is>
      </c>
      <c r="G423" s="104" t="inlineStr">
        <is>
          <t xml:space="preserve">ХОРАЗМ ВИЛОЯТИ УРГАНЧ ТУМАНИ ҒАЛАБА ҚФЙ, ОБОД МФЙ, ЧЕВАРЛАР КЎЧАСИ,  uy:31</t>
        </is>
      </c>
      <c r="H423" s="105">
        <v>8.0</v>
      </c>
      <c r="I423" s="105">
        <v>374858.49</v>
      </c>
      <c r="J423" s="105">
        <v>374858.49</v>
      </c>
      <c r="K423" s="104" t="inlineStr">
        <is>
          <t xml:space="preserve">To'ladi | ogli abetgacha tolid | 198</t>
        </is>
      </c>
    </row>
    <row r="424">
      <c r="A424" s="104" t="inlineStr">
        <is>
          <t xml:space="preserve">ХОРАЗМ ВИЛОЯТИ</t>
        </is>
      </c>
      <c r="B424" s="104" t="inlineStr">
        <is>
          <t xml:space="preserve">Урганч филиали</t>
        </is>
      </c>
      <c r="C424" s="104" t="inlineStr">
        <is>
          <t xml:space="preserve">Обещал</t>
        </is>
      </c>
      <c r="D424" s="104" t="inlineStr">
        <is>
          <t xml:space="preserve">Кр-99030417-3</t>
        </is>
      </c>
      <c r="E424" s="104" t="inlineStr">
        <is>
          <t xml:space="preserve">ROZIMBETOV XAMDAM BAXADIROVICH</t>
        </is>
      </c>
      <c r="F424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424" s="104" t="inlineStr">
        <is>
          <t xml:space="preserve">ХОРАЗМ ВИЛОЯТИ УРГАНЧ Ш., МАШЪАЛ МФЙ, 176КВАРТАЛ,  uy:241</t>
        </is>
      </c>
      <c r="H424" s="105">
        <v>13.0</v>
      </c>
      <c r="I424" s="105">
        <v>278045.01</v>
      </c>
      <c r="K424" s="104" t="inlineStr">
        <is>
          <t xml:space="preserve">Va'da berdi | bugn kechqurun ogli tolavorad | 307</t>
        </is>
      </c>
    </row>
  </sheetData>
  <autoFilter ref="A2:K424"/>
  <hyperlinks>
    <hyperlink ref="A1" location="'Ввод'!A1" tooltip="Вернуться в отчёт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307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БУХОРО ВИЛОЯТИ</t>
        </is>
      </c>
      <c r="C3" s="98" t="inlineStr">
        <is>
          <t xml:space="preserve">Обещал</t>
        </is>
      </c>
      <c r="D3" s="98" t="inlineStr">
        <is>
          <t xml:space="preserve">Кр-99036711-1</t>
        </is>
      </c>
      <c r="E3" s="98" t="inlineStr">
        <is>
          <t xml:space="preserve">ERGASHOV ALISHER NARZULLAYEVICH</t>
        </is>
      </c>
      <c r="F3" s="98" t="inlineStr">
        <is>
          <t xml:space="preserve">998934784464 SMS O’ZI, 998939569626 SMS OTASI, 998931571911 SMS ONASI, 998930052290 SMS SINGLISI ,</t>
        </is>
      </c>
      <c r="G3" s="98" t="inlineStr">
        <is>
          <t xml:space="preserve">BUXORO VILOYATI, QORAKO'L TUMANI, ISTIQLOL MFY, YANGI QISHLOQ KO'CHASI, 15-UY</t>
        </is>
      </c>
      <c r="H3" s="99">
        <v>1.0</v>
      </c>
      <c r="I3" s="99">
        <v>5020948.32</v>
      </c>
      <c r="K3" s="98" t="inlineStr">
        <is>
          <t xml:space="preserve">Va'da berdi | ertaga anq tulaydi</t>
        </is>
      </c>
    </row>
    <row r="4">
      <c r="A4" s="98" t="inlineStr">
        <is>
          <t xml:space="preserve">БУХОРО ВИЛОЯТИ</t>
        </is>
      </c>
      <c r="C4" s="98" t="inlineStr">
        <is>
          <t xml:space="preserve">Обещал</t>
        </is>
      </c>
      <c r="D4" s="98" t="inlineStr">
        <is>
          <t xml:space="preserve">Кр-99028153-4</t>
        </is>
      </c>
      <c r="E4" s="98" t="inlineStr">
        <is>
          <t xml:space="preserve">GOIPOV EL’BRUS RAXMADOVICH</t>
        </is>
      </c>
      <c r="F4" s="98" t="inlineStr">
        <is>
          <t xml:space="preserve">94-120-61-31 SMS OZI, 94-219-60-83  SMS AYOLI, 94-782-03-28  OGLI (бегана), 94-382-28-11 SMS QIZI,</t>
        </is>
      </c>
      <c r="G4" s="98" t="inlineStr">
        <is>
          <t xml:space="preserve">BUXORO VILOYATI OLOT TUMANI XIDREYLI MFY 141-UY</t>
        </is>
      </c>
      <c r="H4" s="99">
        <v>8.0</v>
      </c>
      <c r="I4" s="99">
        <v>4961647.17</v>
      </c>
      <c r="K4" s="98" t="inlineStr">
        <is>
          <t xml:space="preserve">Va'da berdi</t>
        </is>
      </c>
    </row>
    <row r="5">
      <c r="A5" s="98" t="inlineStr">
        <is>
          <t xml:space="preserve">БУХОРО ВИЛОЯТИ</t>
        </is>
      </c>
      <c r="C5" s="98" t="inlineStr">
        <is>
          <t xml:space="preserve">Обещал</t>
        </is>
      </c>
      <c r="D5" s="98" t="inlineStr">
        <is>
          <t xml:space="preserve">Кр-99034426-1</t>
        </is>
      </c>
      <c r="E5" s="98" t="inlineStr">
        <is>
          <t xml:space="preserve">AZIZOV ILXOM BAXTIYAROVICH</t>
        </is>
      </c>
      <c r="F5" s="98" t="inlineStr">
        <is>
          <t xml:space="preserve">998905146560 SMS OZI, 998907121044 SMS AYOLI, 998938741010 SMS OTASI, 998936421010 SMS ONASI, 998936421010 толовчичи шодиёр,</t>
        </is>
      </c>
      <c r="G5" s="98" t="inlineStr">
        <is>
          <t xml:space="preserve">BUXORO VILOYATI BUXORO SHAHAR TOJIQARAYEV MFY 61-UY</t>
        </is>
      </c>
      <c r="H5" s="99">
        <v>1.0</v>
      </c>
      <c r="I5" s="99">
        <v>4692523.66</v>
      </c>
      <c r="K5" s="98" t="inlineStr">
        <is>
          <t xml:space="preserve">Va'da berdi | ertaga</t>
        </is>
      </c>
    </row>
    <row r="6">
      <c r="A6" s="98" t="inlineStr">
        <is>
          <t xml:space="preserve">БУХОРО ВИЛОЯТИ</t>
        </is>
      </c>
      <c r="C6" s="98" t="inlineStr">
        <is>
          <t xml:space="preserve">Обещал</t>
        </is>
      </c>
      <c r="D6" s="98" t="inlineStr">
        <is>
          <t xml:space="preserve">Кр-99062677-2</t>
        </is>
      </c>
      <c r="E6" s="98" t="inlineStr">
        <is>
          <t xml:space="preserve">POCHCHOYEVA ZULAYXO TOLIBJONOVNA</t>
        </is>
      </c>
      <c r="F6" s="98" t="inlineStr">
        <is>
          <t xml:space="preserve">+998932594485 SMS O’ZI, 998952224447 SMS ERI, 998992304600 SMS QAYNONASI, 998995554600 SMS QAYNOTA, 998939564485 узи 2,</t>
        </is>
      </c>
      <c r="G6" s="98" t="inlineStr">
        <is>
          <t xml:space="preserve">BUXORO VILOYAT JONDOR TUMAN IBN SINO MFY ASBOBSOZ KO’CHA 130-UY</t>
        </is>
      </c>
      <c r="H6" s="99">
        <v>8.0</v>
      </c>
      <c r="I6" s="99">
        <v>4269476.86</v>
      </c>
      <c r="K6" s="98" t="inlineStr">
        <is>
          <t xml:space="preserve">Va'da berdi | JUMA KUNI TOLOV QLAMN OYLI TUWADI DEDI</t>
        </is>
      </c>
    </row>
    <row r="7">
      <c r="A7" s="98" t="inlineStr">
        <is>
          <t xml:space="preserve">БУХОРО ВИЛОЯТИ</t>
        </is>
      </c>
      <c r="C7" s="98" t="inlineStr">
        <is>
          <t xml:space="preserve">Обещал</t>
        </is>
      </c>
      <c r="D7" s="98" t="inlineStr">
        <is>
          <t xml:space="preserve">Кр-99018891-5</t>
        </is>
      </c>
      <c r="E7" s="98" t="inlineStr">
        <is>
          <t xml:space="preserve">FAXILLOYEVA MOXINUR FOZILOVNA</t>
        </is>
      </c>
      <c r="F7" s="98" t="inlineStr">
        <is>
          <t xml:space="preserve">97-306-16-10  SMS OZI, 90-513-05-03 SMS  ERI, 97-854-75-48  SMS QAYNONA, 91-411-91-88  SMS QAYNOTA, 50-578-16-10 SMS UZI2,</t>
        </is>
      </c>
      <c r="G7" s="98" t="inlineStr">
        <is>
          <t xml:space="preserve">BUXORO VILOYATI BUXORO TUMANI NOVMETAN QFY </t>
        </is>
      </c>
      <c r="H7" s="99">
        <v>8.0</v>
      </c>
      <c r="I7" s="99">
        <v>4132073.32</v>
      </c>
      <c r="K7" s="98" t="inlineStr">
        <is>
          <t xml:space="preserve">Va'da berdi | bugun tolov qladi 5 gaca filialga borb</t>
        </is>
      </c>
    </row>
    <row r="8">
      <c r="A8" s="98" t="inlineStr">
        <is>
          <t xml:space="preserve">БУХОРО ВИЛОЯТИ</t>
        </is>
      </c>
      <c r="C8" s="98" t="inlineStr">
        <is>
          <t xml:space="preserve">Обещал</t>
        </is>
      </c>
      <c r="D8" s="98" t="inlineStr">
        <is>
          <t xml:space="preserve">Кр-99033022-1</t>
        </is>
      </c>
      <c r="E8" s="98" t="inlineStr">
        <is>
          <t xml:space="preserve">ASKAROV SHOHBOZ ULUG’BEKOVICH</t>
        </is>
      </c>
      <c r="F8" s="98" t="inlineStr">
        <is>
          <t xml:space="preserve">998944219181 SMS OIZ, 998796441812 SMS OZI 2, 998931971731 SMS AYOLI,</t>
        </is>
      </c>
      <c r="G8" s="98" t="inlineStr">
        <is>
          <t xml:space="preserve">TOSHKENT SHAHAR,  YANGIHAYOT TUMANI,  YANGI DARXON MFY, NAVRO'Z KOCHASI 16-UY</t>
        </is>
      </c>
      <c r="H8" s="99">
        <v>8.0</v>
      </c>
      <c r="I8" s="99">
        <v>3155149.22</v>
      </c>
      <c r="K8" s="98" t="inlineStr">
        <is>
          <t xml:space="preserve">Va'da berdi | JUMA KUNI TOLOV QLAMN OYLI TUWADI DEDI</t>
        </is>
      </c>
    </row>
    <row r="9">
      <c r="A9" s="98" t="inlineStr">
        <is>
          <t xml:space="preserve">БУХОРО ВИЛОЯТИ</t>
        </is>
      </c>
      <c r="C9" s="98" t="inlineStr">
        <is>
          <t xml:space="preserve">Обещал</t>
        </is>
      </c>
      <c r="D9" s="98" t="inlineStr">
        <is>
          <t xml:space="preserve">Кр-99038162-1</t>
        </is>
      </c>
      <c r="E9" s="98" t="inlineStr">
        <is>
          <t xml:space="preserve">DJAMOLOV BOBIR BAHRIDDINOVICH</t>
        </is>
      </c>
      <c r="F9" s="98" t="inlineStr">
        <is>
          <t xml:space="preserve">998914174488 SMS OZI, 998914182244 SMS OZI, 998934225600 SMS O’G’LI Бехруз шу номерга қилинсин, 998930807508 SMS O’G’LI,</t>
        </is>
      </c>
      <c r="G9" s="98" t="inlineStr">
        <is>
          <t xml:space="preserve">BUXORO VILOYATI, VOBKENT TUMANI, ROZMOZ MFY, ELACH KO'CHASI, 4-UY</t>
        </is>
      </c>
      <c r="H9" s="99">
        <v>1.0</v>
      </c>
      <c r="I9" s="99">
        <v>2825554.48</v>
      </c>
      <c r="K9" s="98" t="inlineStr">
        <is>
          <t xml:space="preserve">Va'da berdi | bugun tulaydi</t>
        </is>
      </c>
    </row>
    <row r="10">
      <c r="A10" s="98" t="inlineStr">
        <is>
          <t xml:space="preserve">БУХОРО ВИЛОЯТИ</t>
        </is>
      </c>
      <c r="C10" s="98" t="inlineStr">
        <is>
          <t xml:space="preserve">Обещал</t>
        </is>
      </c>
      <c r="D10" s="98" t="inlineStr">
        <is>
          <t xml:space="preserve">Кр-99037180-2</t>
        </is>
      </c>
      <c r="E10" s="98" t="inlineStr">
        <is>
          <t xml:space="preserve">YULDASHEVA DILNOZA FAXRIDINOVNA</t>
        </is>
      </c>
      <c r="F10" s="98" t="inlineStr">
        <is>
          <t xml:space="preserve">998914076943 SMS OZI, 998907441349 SMS ERI , 998941250707 SMS JIYANI, 998507056161 SMS AMAKISI, +998914076943 SMS O’ZI,</t>
        </is>
      </c>
      <c r="G10" s="98" t="inlineStr">
        <is>
          <t xml:space="preserve">ИСТИКБОЛ МФЙ, ШУРОБОД, 67-УЙ</t>
        </is>
      </c>
      <c r="H10" s="99">
        <v>8.0</v>
      </c>
      <c r="I10" s="99">
        <v>2736915.38</v>
      </c>
      <c r="K10" s="98" t="inlineStr">
        <is>
          <t xml:space="preserve">Va'da berdi | bugun tulaydi</t>
        </is>
      </c>
    </row>
    <row r="11">
      <c r="A11" s="98" t="inlineStr">
        <is>
          <t xml:space="preserve">БУХОРО ВИЛОЯТИ</t>
        </is>
      </c>
      <c r="C11" s="98" t="inlineStr">
        <is>
          <t xml:space="preserve">Обещал</t>
        </is>
      </c>
      <c r="D11" s="98" t="inlineStr">
        <is>
          <t xml:space="preserve">Кр-99033611-1</t>
        </is>
      </c>
      <c r="E11" s="98" t="inlineStr">
        <is>
          <t xml:space="preserve">ELMURODOVA ZEBINISO ODILOVNA</t>
        </is>
      </c>
      <c r="F11" s="98" t="inlineStr">
        <is>
          <t xml:space="preserve">998939904907 SMS O’ZI, 998939983008 SMS ERI, 998943754907 SMS OTASI, 998931374907 SMS O’G’LI, 998501888730 SMS ERI 2, 998501204758  to'lovchi,</t>
        </is>
      </c>
      <c r="G11" s="98" t="inlineStr">
        <is>
          <t xml:space="preserve">BUXORO VILOYATI SHOFIRKON TUMANI PATTAXON MFY, YANGIOBOD q-q, 18-UY</t>
        </is>
      </c>
      <c r="H11" s="99">
        <v>1.0</v>
      </c>
      <c r="I11" s="99">
        <v>2701930.7</v>
      </c>
      <c r="K11" s="98" t="inlineStr">
        <is>
          <t xml:space="preserve">Va'da berdi | 18 sida tolaydi</t>
        </is>
      </c>
    </row>
    <row r="12">
      <c r="A12" s="98" t="inlineStr">
        <is>
          <t xml:space="preserve">БУХОРО ВИЛОЯТИ</t>
        </is>
      </c>
      <c r="C12" s="98" t="inlineStr">
        <is>
          <t xml:space="preserve">Обещал</t>
        </is>
      </c>
      <c r="D12" s="98" t="inlineStr">
        <is>
          <t xml:space="preserve">Кр-99048166-1</t>
        </is>
      </c>
      <c r="E12" s="98" t="inlineStr">
        <is>
          <t xml:space="preserve">KURBANOV DILMUROD TUYMURADOVICH</t>
        </is>
      </c>
      <c r="F12" s="98" t="inlineStr">
        <is>
          <t xml:space="preserve">+998936859009 SMS O’ZI, 998505100034 SMS QIZI, 998931361133 SMS O’G’LI, 998956001133 SMS AYOLI,</t>
        </is>
      </c>
      <c r="G12" s="98" t="inlineStr">
        <is>
          <t xml:space="preserve">BUXORO VILOYATI, BUXORO SHAHAR, IBN SINO MFY, BAHOUDDIN NAQSH BAND KO’CHASI,197-UY, 91-XONADON</t>
        </is>
      </c>
      <c r="H12" s="99">
        <v>8.0</v>
      </c>
      <c r="I12" s="99">
        <v>2505488.03</v>
      </c>
      <c r="K12" s="98" t="inlineStr">
        <is>
          <t xml:space="preserve">Va'da berdi</t>
        </is>
      </c>
    </row>
    <row r="13">
      <c r="A13" s="98" t="inlineStr">
        <is>
          <t xml:space="preserve">БУХОРО ВИЛОЯТИ</t>
        </is>
      </c>
      <c r="C13" s="98" t="inlineStr">
        <is>
          <t xml:space="preserve">Обещал</t>
        </is>
      </c>
      <c r="D13" s="98" t="inlineStr">
        <is>
          <t xml:space="preserve">Кр-99039939-1</t>
        </is>
      </c>
      <c r="E13" s="98" t="inlineStr">
        <is>
          <t xml:space="preserve">TUXTAYEVA NARGIZA JURAYEVNA</t>
        </is>
      </c>
      <c r="F13" s="98" t="inlineStr">
        <is>
          <t xml:space="preserve">998918365488 SMS OZI, 998903407973 SMS ONASI, 998331951802 SMS ERI, 998994452534 SMS UY,</t>
        </is>
      </c>
      <c r="G13" s="98" t="inlineStr">
        <is>
          <t xml:space="preserve">BUXORO VILOYATI BUXORO SHAHAR FOSHUN MFY ALPOMISH KO'CHASI, 17/3 UY, 10-XONADON</t>
        </is>
      </c>
      <c r="H13" s="99">
        <v>8.0</v>
      </c>
      <c r="I13" s="99">
        <v>2408716.9</v>
      </c>
      <c r="K13" s="98" t="inlineStr">
        <is>
          <t xml:space="preserve">Va'da berdi</t>
        </is>
      </c>
    </row>
    <row r="14">
      <c r="A14" s="98" t="inlineStr">
        <is>
          <t xml:space="preserve">БУХОРО ВИЛОЯТИ</t>
        </is>
      </c>
      <c r="C14" s="98" t="inlineStr">
        <is>
          <t xml:space="preserve">Обещал</t>
        </is>
      </c>
      <c r="D14" s="98" t="inlineStr">
        <is>
          <t xml:space="preserve">Кр-99033006-2</t>
        </is>
      </c>
      <c r="E14" s="98" t="inlineStr">
        <is>
          <t xml:space="preserve">AMIRQULOV AZIZBEK FARXOD O’G’LI</t>
        </is>
      </c>
      <c r="F14" s="98" t="inlineStr">
        <is>
          <t xml:space="preserve">998943206655 SMS O’ZI , 998930065166 SMS AKASI, 998940514494 SMS UKASI,</t>
        </is>
      </c>
      <c r="G14" s="98" t="inlineStr">
        <is>
          <t xml:space="preserve">BUXORO VILOYATI KORAKO’L TUMANI DARG’ALI MFY OQG’UN QISHLOG’I 22-UY</t>
        </is>
      </c>
      <c r="H14" s="99">
        <v>13.0</v>
      </c>
      <c r="I14" s="99">
        <v>2230158.71</v>
      </c>
      <c r="K14" s="98" t="inlineStr">
        <is>
          <t xml:space="preserve">Va'da berdi | ozi kotarmadi akasi ozm toliman 2 kunda dedi</t>
        </is>
      </c>
    </row>
    <row r="15">
      <c r="A15" s="98" t="inlineStr">
        <is>
          <t xml:space="preserve">БУХОРО ВИЛОЯТИ</t>
        </is>
      </c>
      <c r="C15" s="98" t="inlineStr">
        <is>
          <t xml:space="preserve">Обещал</t>
        </is>
      </c>
      <c r="D15" s="98" t="inlineStr">
        <is>
          <t xml:space="preserve">Кр-99062595-1</t>
        </is>
      </c>
      <c r="E15" s="98" t="inlineStr">
        <is>
          <t xml:space="preserve">NORQULOV HAYOT XODJIYEVICH</t>
        </is>
      </c>
      <c r="F15" s="98" t="inlineStr">
        <is>
          <t xml:space="preserve">998907109550 SMS OZI, 998907119550 SMS AYOLI, 998902980454 SMS DOSTI, 998919369550 SMS UY,</t>
        </is>
      </c>
      <c r="G15" s="98" t="inlineStr">
        <is>
          <t xml:space="preserve">BUXORO VILOYATI BUXORO SHAHAR 19-SONLI FAYZULLA XO'JAYEV NOMLI MFY, SHODLIK KO'CHASI</t>
        </is>
      </c>
      <c r="H15" s="99">
        <v>8.0</v>
      </c>
      <c r="I15" s="99">
        <v>2213446.39</v>
      </c>
      <c r="K15" s="98" t="inlineStr">
        <is>
          <t xml:space="preserve">Va'da berdi | ertaga anq tolov qladi filialga borb</t>
        </is>
      </c>
    </row>
    <row r="16">
      <c r="A16" s="98" t="inlineStr">
        <is>
          <t xml:space="preserve">БУХОРО ВИЛОЯТИ</t>
        </is>
      </c>
      <c r="C16" s="98" t="inlineStr">
        <is>
          <t xml:space="preserve">Обещал</t>
        </is>
      </c>
      <c r="D16" s="98" t="inlineStr">
        <is>
          <t xml:space="preserve">Кр-99019690-5</t>
        </is>
      </c>
      <c r="E16" s="98" t="inlineStr">
        <is>
          <t xml:space="preserve">HAYDAROV FURQAT RAXMATILLOYEVICH</t>
        </is>
      </c>
      <c r="F16" s="98" t="inlineStr">
        <is>
          <t xml:space="preserve">97-488-07-66  SMS O'ZI, 88-301-90-93  SMS AKASI, 97-296-06-93  SMS UY, 93-841-53-50  SMS AYOLI, 998505999203 SMS O'ZI2,</t>
        </is>
      </c>
      <c r="G16" s="98" t="inlineStr">
        <is>
          <t xml:space="preserve">BUXORO VILOYAT BUXORO SHAHRI BESHKAPPA KO'CHASI 106 UY</t>
        </is>
      </c>
      <c r="H16" s="99">
        <v>8.0</v>
      </c>
      <c r="I16" s="99">
        <v>2186873.8</v>
      </c>
      <c r="K16" s="98" t="inlineStr">
        <is>
          <t xml:space="preserve">Va'da berdi | OZI KOTARMADI UYDIGILANI TELI UCHGAN TGDAN YOZDM BUGUN TOLOV QLAMAN FILIALDAGI NMIRON BN GAPLAWGANMAN DEDI</t>
        </is>
      </c>
    </row>
    <row r="17">
      <c r="A17" s="98" t="inlineStr">
        <is>
          <t xml:space="preserve">БУХОРО ВИЛОЯТИ</t>
        </is>
      </c>
      <c r="C17" s="98" t="inlineStr">
        <is>
          <t xml:space="preserve">Обещал</t>
        </is>
      </c>
      <c r="D17" s="98" t="inlineStr">
        <is>
          <t xml:space="preserve">Кр-99041320-3</t>
        </is>
      </c>
      <c r="E17" s="98" t="inlineStr">
        <is>
          <t xml:space="preserve">SHODIYEV ULUG’BEK SALIMOVICH</t>
        </is>
      </c>
      <c r="F17" s="98" t="inlineStr">
        <is>
          <t xml:space="preserve">+998914431901 sms o’zi, 998907119935 sms onasi, 998912408206 sms ayoli, 998914471901 sms o’zi 2,</t>
        </is>
      </c>
      <c r="G17" s="98" t="inlineStr">
        <is>
          <t xml:space="preserve">Бухарская область, Гиждуванский район, Соктари МСГ, Соктари, дом 239</t>
        </is>
      </c>
      <c r="H17" s="99">
        <v>8.0</v>
      </c>
      <c r="I17" s="99">
        <v>2084855.96</v>
      </c>
      <c r="K17" s="98" t="inlineStr">
        <is>
          <t xml:space="preserve">Va'da berdi | avans tuwadi 2kunda toliman dedi</t>
        </is>
      </c>
    </row>
    <row r="18">
      <c r="A18" s="98" t="inlineStr">
        <is>
          <t xml:space="preserve">БУХОРО ВИЛОЯТИ</t>
        </is>
      </c>
      <c r="C18" s="98" t="inlineStr">
        <is>
          <t xml:space="preserve">Обещал</t>
        </is>
      </c>
      <c r="D18" s="98" t="inlineStr">
        <is>
          <t xml:space="preserve">Кр-99063975-1</t>
        </is>
      </c>
      <c r="E18" s="98" t="inlineStr">
        <is>
          <t xml:space="preserve">QUZIYEV MAQSUD HIKMATULLOYEVICH</t>
        </is>
      </c>
      <c r="F18" s="98" t="inlineStr">
        <is>
          <t xml:space="preserve">998912463904 SINGLISI, 998933147491 AYOLI, 998996229992 O’ZI,</t>
        </is>
      </c>
      <c r="G18" s="98" t="inlineStr">
        <is>
          <t xml:space="preserve">SDFC</t>
        </is>
      </c>
      <c r="H18" s="99">
        <v>8.0</v>
      </c>
      <c r="I18" s="99">
        <v>2059464.53</v>
      </c>
      <c r="K18" s="98" t="inlineStr">
        <is>
          <t xml:space="preserve">Va'da berdi</t>
        </is>
      </c>
    </row>
    <row r="19">
      <c r="A19" s="98" t="inlineStr">
        <is>
          <t xml:space="preserve">БУХОРО ВИЛОЯТИ</t>
        </is>
      </c>
      <c r="C19" s="98" t="inlineStr">
        <is>
          <t xml:space="preserve">Обещал</t>
        </is>
      </c>
      <c r="D19" s="98" t="inlineStr">
        <is>
          <t xml:space="preserve">Кр-99040399-1</t>
        </is>
      </c>
      <c r="E19" s="98" t="inlineStr">
        <is>
          <t xml:space="preserve">FATULLOYEV RIXSILLO SAYFULLA O’G’LI</t>
        </is>
      </c>
      <c r="F19" s="98" t="inlineStr">
        <is>
          <t xml:space="preserve">+998933163138 SMS O’ZI, 998933019922 SMS AKASI, 998934553785 SMS OTASI, 998943129933 SMS YANGASI,</t>
        </is>
      </c>
      <c r="G19" s="98" t="inlineStr">
        <is>
          <t xml:space="preserve">Бухарская область, Жондоpский район, Жамият МСГ, Шамширгарон, дом 309/1</t>
        </is>
      </c>
      <c r="H19" s="99">
        <v>8.0</v>
      </c>
      <c r="I19" s="99">
        <v>1856810.47</v>
      </c>
      <c r="K19" s="98" t="inlineStr">
        <is>
          <t xml:space="preserve">Va'da berdi</t>
        </is>
      </c>
    </row>
    <row r="20">
      <c r="A20" s="98" t="inlineStr">
        <is>
          <t xml:space="preserve">БУХОРО ВИЛОЯТИ</t>
        </is>
      </c>
      <c r="C20" s="98" t="inlineStr">
        <is>
          <t xml:space="preserve">Обещал</t>
        </is>
      </c>
      <c r="D20" s="98" t="inlineStr">
        <is>
          <t xml:space="preserve">Кр-99057620-1</t>
        </is>
      </c>
      <c r="E20" s="98" t="inlineStr">
        <is>
          <t xml:space="preserve">SADRIDDINOV SAVRIDDIN HUSNIDDIN O’G’LI</t>
        </is>
      </c>
      <c r="F20" s="98" t="inlineStr">
        <is>
          <t xml:space="preserve">998997027515 SMS UZI, 998906367515 SMS OTASI, 998997077515 SMS ONASI, 998918087515 SMS AKASI,</t>
        </is>
      </c>
      <c r="G20" s="98" t="inlineStr">
        <is>
          <t xml:space="preserve">BUXORO VILOYATI VOBKENT TUMANI KO'LXATIB MFY, NAVOIY KO'CHASI, 4-UY </t>
        </is>
      </c>
      <c r="H20" s="99">
        <v>8.0</v>
      </c>
      <c r="I20" s="99">
        <v>1845061.77</v>
      </c>
      <c r="K20" s="98" t="inlineStr">
        <is>
          <t xml:space="preserve">Va'da berdi | 16 SIDA OYLI TUWAD</t>
        </is>
      </c>
    </row>
    <row r="21">
      <c r="A21" s="98" t="inlineStr">
        <is>
          <t xml:space="preserve">БУХОРО ВИЛОЯТИ</t>
        </is>
      </c>
      <c r="C21" s="98" t="inlineStr">
        <is>
          <t xml:space="preserve">Обещал</t>
        </is>
      </c>
      <c r="D21" s="98" t="inlineStr">
        <is>
          <t xml:space="preserve">Кр-99047434-2</t>
        </is>
      </c>
      <c r="E21" s="98" t="inlineStr">
        <is>
          <t xml:space="preserve">UMRZOQOV FAXRIDDIN AXMEDJONOVICH</t>
        </is>
      </c>
      <c r="F21" s="98" t="inlineStr">
        <is>
          <t xml:space="preserve">998959754272 O`ZI, 998941220757 AYOLI, 998945457562 DO`STI, 998959754272 uzi, 998941220757 ayoli, 998945457562 dosti,</t>
        </is>
      </c>
      <c r="G21" s="98" t="inlineStr">
        <is>
          <t xml:space="preserve">Бухоро шахар коракул тумани Мустакиллик 50 уй</t>
        </is>
      </c>
      <c r="H21" s="99">
        <v>8.0</v>
      </c>
      <c r="I21" s="99">
        <v>1815275.28</v>
      </c>
      <c r="K21" s="98" t="inlineStr">
        <is>
          <t xml:space="preserve">Va'da berdi</t>
        </is>
      </c>
    </row>
    <row r="22">
      <c r="A22" s="98" t="inlineStr">
        <is>
          <t xml:space="preserve">БУХОРО ВИЛОЯТИ</t>
        </is>
      </c>
      <c r="C22" s="98" t="inlineStr">
        <is>
          <t xml:space="preserve">Обещал</t>
        </is>
      </c>
      <c r="D22" s="98" t="inlineStr">
        <is>
          <t xml:space="preserve">Кр-99038109-1</t>
        </is>
      </c>
      <c r="E22" s="98" t="inlineStr">
        <is>
          <t xml:space="preserve">QO’YLIYEV SARDOR SATTOR O’G’LI</t>
        </is>
      </c>
      <c r="F22" s="98" t="inlineStr">
        <is>
          <t xml:space="preserve">998885546677 SMS OZI, 998954741616 SMS AKASI, 998990748047 SMS OPASI, 998883041232 SMS UYI,</t>
        </is>
      </c>
      <c r="G22" s="98" t="inlineStr">
        <is>
          <t xml:space="preserve">BUXORO VILOYATI KOGON TUMANI, NIYOZ HOJI MFY, VADAN QISHLOG'I 88-UY </t>
        </is>
      </c>
      <c r="H22" s="99">
        <v>1.0</v>
      </c>
      <c r="I22" s="99">
        <v>1763754.28</v>
      </c>
      <c r="K22" s="98" t="inlineStr">
        <is>
          <t xml:space="preserve">Va'da berdi | sewanba kun oylik tuwadi tolov qlaman dedi</t>
        </is>
      </c>
    </row>
    <row r="23">
      <c r="A23" s="98" t="inlineStr">
        <is>
          <t xml:space="preserve">БУХОРО ВИЛОЯТИ</t>
        </is>
      </c>
      <c r="C23" s="98" t="inlineStr">
        <is>
          <t xml:space="preserve">Обещал</t>
        </is>
      </c>
      <c r="D23" s="98" t="inlineStr">
        <is>
          <t xml:space="preserve">Кр-99041716-1</t>
        </is>
      </c>
      <c r="E23" s="98" t="inlineStr">
        <is>
          <t xml:space="preserve">ODINAYEV ASLON AZIMOVICH</t>
        </is>
      </c>
      <c r="F23" s="98" t="inlineStr">
        <is>
          <t xml:space="preserve">+998872504057 SMS O’ZI, 998905122625 SMS DO’STI, 998912479697 SMS O’G’LI, 998978588778 SMS O’G’LI 2, 998882802662 yangi nomer o'zi,</t>
        </is>
      </c>
      <c r="G23" s="98" t="inlineStr">
        <is>
          <t xml:space="preserve">Убачули МФЙ, Мевазор кучаси, 96-уй</t>
        </is>
      </c>
      <c r="H23" s="99">
        <v>8.0</v>
      </c>
      <c r="I23" s="99">
        <v>1724153.68</v>
      </c>
      <c r="K23" s="98" t="inlineStr">
        <is>
          <t xml:space="preserve">Va'da berdi</t>
        </is>
      </c>
    </row>
    <row r="24">
      <c r="A24" s="98" t="inlineStr">
        <is>
          <t xml:space="preserve">БУХОРО ВИЛОЯТИ</t>
        </is>
      </c>
      <c r="C24" s="98" t="inlineStr">
        <is>
          <t xml:space="preserve">Обещал</t>
        </is>
      </c>
      <c r="D24" s="98" t="inlineStr">
        <is>
          <t xml:space="preserve">Кр-99031584-1</t>
        </is>
      </c>
      <c r="E24" s="98" t="inlineStr">
        <is>
          <t xml:space="preserve">NOROVA IRODA NE’MATOVNA</t>
        </is>
      </c>
      <c r="F24" s="98" t="inlineStr">
        <is>
          <t xml:space="preserve">90-809-45-45  SMS O'ZI, 93-372-19-81  SMS QIZI MAFTUNA, 50-758-04-06  SMS QIZI MAHSUDA tanimidi, 91-016-68-42  SMS ONASI, 950378185 opchasi, 998774080081 узи  ,</t>
        </is>
      </c>
      <c r="G24" s="98" t="inlineStr">
        <is>
          <t xml:space="preserve">BUXORO VILOYATI QORAKO’L TUMANI TASHABBUS MFY ADXAM / YUNUSOBOD TUMANI  2-MAVZE 31-UY 45-XONADON </t>
        </is>
      </c>
      <c r="H24" s="99">
        <v>8.0</v>
      </c>
      <c r="I24" s="99">
        <v>1670536.4</v>
      </c>
      <c r="K24" s="98" t="inlineStr">
        <is>
          <t xml:space="preserve">Va'da berdi</t>
        </is>
      </c>
    </row>
    <row r="25">
      <c r="A25" s="98" t="inlineStr">
        <is>
          <t xml:space="preserve">БУХОРО ВИЛОЯТИ</t>
        </is>
      </c>
      <c r="C25" s="98" t="inlineStr">
        <is>
          <t xml:space="preserve">Обещал</t>
        </is>
      </c>
      <c r="D25" s="98" t="inlineStr">
        <is>
          <t xml:space="preserve">Кр-99063280-1</t>
        </is>
      </c>
      <c r="E25" s="98" t="inlineStr">
        <is>
          <t xml:space="preserve">QURBONOV XUSHVAQT G’ULOMOVICH</t>
        </is>
      </c>
      <c r="F25" s="98" t="inlineStr">
        <is>
          <t xml:space="preserve">+998914177518 SMS O’ZI, 998990454555 SMS AYOLI, 998993454441 SMS DO’STI,</t>
        </is>
      </c>
      <c r="G25" s="98" t="inlineStr">
        <is>
          <t xml:space="preserve">OLOT TUMANI</t>
        </is>
      </c>
      <c r="H25" s="99">
        <v>8.0</v>
      </c>
      <c r="I25" s="99">
        <v>1535825.03</v>
      </c>
      <c r="K25" s="98" t="inlineStr">
        <is>
          <t xml:space="preserve">Va'da berdi | BUGUN TOLAYDI</t>
        </is>
      </c>
    </row>
    <row r="26">
      <c r="A26" s="98" t="inlineStr">
        <is>
          <t xml:space="preserve">БУХОРО ВИЛОЯТИ</t>
        </is>
      </c>
      <c r="C26" s="98" t="inlineStr">
        <is>
          <t xml:space="preserve">Обещал</t>
        </is>
      </c>
      <c r="D26" s="98" t="inlineStr">
        <is>
          <t xml:space="preserve">Кр-99062864-1</t>
        </is>
      </c>
      <c r="E26" s="98" t="inlineStr">
        <is>
          <t xml:space="preserve">MAXMUDOV ALIAKBAR SAIDJONOVICH</t>
        </is>
      </c>
      <c r="F26" s="98" t="inlineStr">
        <is>
          <t xml:space="preserve">+998900650514 SMS, 998507103377 SMS UY, 998905128669 SMS AYOLI,</t>
        </is>
      </c>
      <c r="G26" s="98" t="inlineStr">
        <is>
          <t xml:space="preserve">BUXORO VILOYATI BUXORO SHAHAR AVSHORMAHALLA MFY 77-UY</t>
        </is>
      </c>
      <c r="H26" s="99">
        <v>8.0</v>
      </c>
      <c r="I26" s="99">
        <v>1516902.03</v>
      </c>
      <c r="K26" s="98" t="inlineStr">
        <is>
          <t xml:space="preserve">Va'da berdi | BUGUN TOLAYDI</t>
        </is>
      </c>
    </row>
    <row r="27">
      <c r="A27" s="98" t="inlineStr">
        <is>
          <t xml:space="preserve">БУХОРО ВИЛОЯТИ</t>
        </is>
      </c>
      <c r="C27" s="98" t="inlineStr">
        <is>
          <t xml:space="preserve">Обещал</t>
        </is>
      </c>
      <c r="D27" s="98" t="inlineStr">
        <is>
          <t xml:space="preserve">Кр-99032591-1</t>
        </is>
      </c>
      <c r="E27" s="98" t="inlineStr">
        <is>
          <t xml:space="preserve">BOZOROV DILSHOD OLIM O’G’LI</t>
        </is>
      </c>
      <c r="F27" s="98" t="inlineStr">
        <is>
          <t xml:space="preserve">998995853782 SMS O’G’LI, 998940186667 SMS AYOLI(BEGONA), 998938997077 SMS ONASI, 998930831515 SMS HAMKASBI бегона ,</t>
        </is>
      </c>
      <c r="G27" s="98" t="inlineStr">
        <is>
          <t xml:space="preserve">BUXORO VILOYATI ROMITAN TUMANI O'TABEK MFY, PITMON q-q, 6-uy</t>
        </is>
      </c>
      <c r="I27" s="99">
        <v>1298935.71</v>
      </c>
      <c r="K27" s="98" t="inlineStr">
        <is>
          <t xml:space="preserve">Va'da berdi | erta tolov qladi</t>
        </is>
      </c>
    </row>
    <row r="28">
      <c r="A28" s="98" t="inlineStr">
        <is>
          <t xml:space="preserve">БУХОРО ВИЛОЯТИ</t>
        </is>
      </c>
      <c r="C28" s="98" t="inlineStr">
        <is>
          <t xml:space="preserve">Обещал</t>
        </is>
      </c>
      <c r="D28" s="98" t="inlineStr">
        <is>
          <t xml:space="preserve">Кр-99019690-4</t>
        </is>
      </c>
      <c r="E28" s="98" t="inlineStr">
        <is>
          <t xml:space="preserve">HAYDAROV FURQAT RAXMATILLOYEVICH</t>
        </is>
      </c>
      <c r="F28" s="98" t="inlineStr">
        <is>
          <t xml:space="preserve">97-488-07-66  SMS O'ZI, 88-301-90-93  SMS AKASI, 97-296-06-93  SMS UY, 93-841-53-50  SMS AYOLI, 998505999203 SMS O'ZI2,</t>
        </is>
      </c>
      <c r="G28" s="98" t="inlineStr">
        <is>
          <t xml:space="preserve">BUXORO VILOYAT BUXORO SHAHRI BESHKAPPA KO'CHASI 106 UY</t>
        </is>
      </c>
      <c r="H28" s="99">
        <v>11.0</v>
      </c>
      <c r="I28" s="99">
        <v>1212298.85</v>
      </c>
      <c r="K28" s="98" t="inlineStr">
        <is>
          <t xml:space="preserve">Va'da berdi | OZI KOTARMADI UYDIGILANI TELI UCHGAN TGDAN YOZDM BUGUN TOLOV QLAMAN FILIALDAGI NMIRON BN GAPLAWGANMAN DEDI</t>
        </is>
      </c>
    </row>
    <row r="29">
      <c r="A29" s="98" t="inlineStr">
        <is>
          <t xml:space="preserve">БУХОРО ВИЛОЯТИ</t>
        </is>
      </c>
      <c r="C29" s="98" t="inlineStr">
        <is>
          <t xml:space="preserve">Обещал</t>
        </is>
      </c>
      <c r="D29" s="98" t="inlineStr">
        <is>
          <t xml:space="preserve">Кр-99019690-6</t>
        </is>
      </c>
      <c r="E29" s="98" t="inlineStr">
        <is>
          <t xml:space="preserve">HAYDAROV FURQAT RAXMATILLOYEVICH</t>
        </is>
      </c>
      <c r="F29" s="98" t="inlineStr">
        <is>
          <t xml:space="preserve">97-488-07-66  SMS O'ZI, 88-301-90-93  SMS AKASI, 97-296-06-93  SMS UY, 93-841-53-50  SMS AYOLI, 998505999203 SMS O'ZI2,</t>
        </is>
      </c>
      <c r="G29" s="98" t="inlineStr">
        <is>
          <t xml:space="preserve">BUXORO VILOYAT BUXORO SHAHRI BESHKAPPA KO'CHASI 106 UY</t>
        </is>
      </c>
      <c r="H29" s="99">
        <v>8.0</v>
      </c>
      <c r="I29" s="99">
        <v>1137499.19</v>
      </c>
      <c r="K29" s="98" t="inlineStr">
        <is>
          <t xml:space="preserve">Va'da berdi | OZI KOTARMADI UYDIGILANI TELI UCHGAN TGDAN YOZDM BUGUN TOLOV QLAMAN FILIALDAGI NMIRON BN GAPLAWGANMAN DEDI</t>
        </is>
      </c>
    </row>
    <row r="30">
      <c r="A30" s="98" t="inlineStr">
        <is>
          <t xml:space="preserve">БУХОРО ВИЛОЯТИ</t>
        </is>
      </c>
      <c r="C30" s="98" t="inlineStr">
        <is>
          <t xml:space="preserve">Обещал</t>
        </is>
      </c>
      <c r="D30" s="98" t="inlineStr">
        <is>
          <t xml:space="preserve">Кр-99036367-2</t>
        </is>
      </c>
      <c r="E30" s="98" t="inlineStr">
        <is>
          <t xml:space="preserve">BEHBUDOV ASLBEK RIZAMATOVICH</t>
        </is>
      </c>
      <c r="F30" s="98" t="inlineStr">
        <is>
          <t xml:space="preserve">+998947812907 SMS O’ZI, 998914462869 SMS OTASI, 998948795777 SMS JIYANI, 998997034797 SMS ONASI,</t>
        </is>
      </c>
      <c r="G30" s="98" t="inlineStr">
        <is>
          <t xml:space="preserve">BUXORO VILOYATI QORAKO’L TUMANI KUYI JANPAR 101-UY</t>
        </is>
      </c>
      <c r="H30" s="99">
        <v>8.0</v>
      </c>
      <c r="I30" s="99">
        <v>1113123.3</v>
      </c>
      <c r="K30" s="98" t="inlineStr">
        <is>
          <t xml:space="preserve">Va'da berdi | 20 09 CIDA TOLIDI</t>
        </is>
      </c>
    </row>
    <row r="31">
      <c r="A31" s="98" t="inlineStr">
        <is>
          <t xml:space="preserve">БУХОРО ВИЛОЯТИ</t>
        </is>
      </c>
      <c r="C31" s="98" t="inlineStr">
        <is>
          <t xml:space="preserve">Обещал</t>
        </is>
      </c>
      <c r="D31" s="98" t="inlineStr">
        <is>
          <t xml:space="preserve">Кр-99049211-1</t>
        </is>
      </c>
      <c r="E31" s="98" t="inlineStr">
        <is>
          <t xml:space="preserve">ADIZOV AZAMAT SHOYIMOVICH</t>
        </is>
      </c>
      <c r="F31" s="98" t="inlineStr">
        <is>
          <t xml:space="preserve">998940642993 SMS JIYANI, 998942218131 SMS O’ZI, 998978055824 SMS UKASI, 998999767786 SMS AYOLI,</t>
        </is>
      </c>
      <c r="G31" s="98" t="inlineStr">
        <is>
          <t xml:space="preserve">GULISTON, DOM 56</t>
        </is>
      </c>
      <c r="H31" s="99">
        <v>8.0</v>
      </c>
      <c r="I31" s="99">
        <v>721276.55</v>
      </c>
      <c r="K31" s="98" t="inlineStr">
        <is>
          <t xml:space="preserve">Va'da berdi | filial bilan  gaplawdim dedi</t>
        </is>
      </c>
    </row>
    <row r="32">
      <c r="A32" s="98" t="inlineStr">
        <is>
          <t xml:space="preserve">БУХОРО ВИЛОЯТИ</t>
        </is>
      </c>
      <c r="C32" s="98" t="inlineStr">
        <is>
          <t xml:space="preserve">Обещал</t>
        </is>
      </c>
      <c r="D32" s="98" t="inlineStr">
        <is>
          <t xml:space="preserve">Кр-99044175-1</t>
        </is>
      </c>
      <c r="E32" s="98" t="inlineStr">
        <is>
          <t xml:space="preserve">MURODOV MUROD UMAR O’G’LI</t>
        </is>
      </c>
      <c r="F32" s="98" t="inlineStr">
        <is>
          <t xml:space="preserve">+998995624067 SMS O’ZI, 998914450878 SMS DO’STI, 998918384026 SMS ONASI, 998948893111 SMS DO’STI,</t>
        </is>
      </c>
      <c r="G32" s="98" t="inlineStr">
        <is>
          <t xml:space="preserve">Паноб МФЙ, Янги ҳаёт қишлоғи, 138-уй</t>
        </is>
      </c>
      <c r="I32" s="99">
        <v>559713.31</v>
      </c>
      <c r="K32" s="98" t="inlineStr">
        <is>
          <t xml:space="preserve">Va'da berdi | bugun</t>
        </is>
      </c>
    </row>
    <row r="33">
      <c r="A33" s="98" t="inlineStr">
        <is>
          <t xml:space="preserve">БУХОРО ВИЛОЯТИ</t>
        </is>
      </c>
      <c r="C33" s="98" t="inlineStr">
        <is>
          <t xml:space="preserve">Обещал</t>
        </is>
      </c>
      <c r="D33" s="98" t="inlineStr">
        <is>
          <t xml:space="preserve">Кр-99062840-2</t>
        </is>
      </c>
      <c r="E33" s="98" t="inlineStr">
        <is>
          <t xml:space="preserve">DAVRONOV SOBIR KAMOLOVICH</t>
        </is>
      </c>
      <c r="F33" s="98" t="inlineStr">
        <is>
          <t xml:space="preserve">998934608944 UKASI, 998936850790 AYOLI, 998945177590 O’ZI 2 NOMERI, 998935690790 uzi new SMS,</t>
        </is>
      </c>
      <c r="G33" s="98" t="inlineStr">
        <is>
          <t xml:space="preserve">G’IJDUVON TUMANI</t>
        </is>
      </c>
      <c r="H33" s="99">
        <v>8.0</v>
      </c>
      <c r="I33" s="99">
        <v>477080.45</v>
      </c>
      <c r="K33" s="98" t="inlineStr">
        <is>
          <t xml:space="preserve">Va'da berdi | bu navoiy viloyati</t>
        </is>
      </c>
    </row>
    <row r="34">
      <c r="A34" s="100" t="inlineStr">
        <is>
          <t xml:space="preserve">ЖИЗЗАХ ВИЛОЯТИ</t>
        </is>
      </c>
      <c r="C34" s="100" t="inlineStr">
        <is>
          <t xml:space="preserve">Обещал</t>
        </is>
      </c>
      <c r="D34" s="100" t="inlineStr">
        <is>
          <t xml:space="preserve">Кр-99047637-1</t>
        </is>
      </c>
      <c r="E34" s="100" t="inlineStr">
        <is>
          <t xml:space="preserve">AZIMOV ASADBEK OTABEK O’G’LI</t>
        </is>
      </c>
      <c r="F34" s="100" t="inlineStr">
        <is>
          <t xml:space="preserve">+998905382222 SMS NOMER, 998971120007 SMS O’ZI, 998991937773 begonA EKAN,</t>
        </is>
      </c>
      <c r="G34" s="100" t="inlineStr">
        <is>
          <t xml:space="preserve">JIZZAX VILOYATI JIZZAX SHAHRI TURON MFY   SAYILJOYI KUCHASI 21-UY</t>
        </is>
      </c>
      <c r="H34" s="101">
        <v>71.0</v>
      </c>
      <c r="I34" s="101">
        <v>19927076.38</v>
      </c>
      <c r="K34" s="100" t="inlineStr">
        <is>
          <t xml:space="preserve">Va'da berdi | ertaga yopadi</t>
        </is>
      </c>
    </row>
    <row r="35">
      <c r="A35" s="100" t="inlineStr">
        <is>
          <t xml:space="preserve">ЖИЗЗАХ ВИЛОЯТИ</t>
        </is>
      </c>
      <c r="C35" s="100" t="inlineStr">
        <is>
          <t xml:space="preserve">Обещал</t>
        </is>
      </c>
      <c r="D35" s="100" t="inlineStr">
        <is>
          <t xml:space="preserve">Кр-99060448-1</t>
        </is>
      </c>
      <c r="E35" s="100" t="inlineStr">
        <is>
          <t xml:space="preserve">MAMIROVA ZEBO ZOIROVNA</t>
        </is>
      </c>
      <c r="F35" s="100" t="inlineStr">
        <is>
          <t xml:space="preserve">998779762227 SMS OZI, 998938244230 SMS AYOLI, 998906432211 SMS UKASI,</t>
        </is>
      </c>
      <c r="G35" s="100" t="inlineStr">
        <is>
          <t xml:space="preserve">JIZZAX VILOYATI SHAROF RASHIDOV TUMANI YAXTANLIK MFY GUZAL KOCHASI 52-UY</t>
        </is>
      </c>
      <c r="H35" s="101">
        <v>11.0</v>
      </c>
      <c r="I35" s="101">
        <v>11697427.0</v>
      </c>
      <c r="K35" s="100" t="inlineStr">
        <is>
          <t xml:space="preserve">Va'da berdi | wu hafta tolaydi</t>
        </is>
      </c>
    </row>
    <row r="36">
      <c r="A36" s="100" t="inlineStr">
        <is>
          <t xml:space="preserve">ЖИЗЗАХ ВИЛОЯТИ</t>
        </is>
      </c>
      <c r="C36" s="100" t="inlineStr">
        <is>
          <t xml:space="preserve">Обещал</t>
        </is>
      </c>
      <c r="D36" s="100" t="inlineStr">
        <is>
          <t xml:space="preserve">Кр-99027165-3</t>
        </is>
      </c>
      <c r="E36" s="100" t="inlineStr">
        <is>
          <t xml:space="preserve">DJABBAROVA PULATOY SAYFIDDINNOVNA</t>
        </is>
      </c>
      <c r="F36" s="100" t="inlineStr">
        <is>
          <t xml:space="preserve">91-941-83-83  SMS UZI , 93-393-79-09  SMS UZI 2, 94-977-84-58  SMS QAYNONASI , 93-449-77-15  SMS OGLI, 99-079-20-10 SMS UZI new,</t>
        </is>
      </c>
      <c r="G36" s="100" t="inlineStr">
        <is>
          <t xml:space="preserve">JIZZAX VILOYATI  JIZZAX TUMANI QANGLI MFY  CHAVANDOZLAR KUCHASI 13-UY</t>
        </is>
      </c>
      <c r="H36" s="101">
        <v>11.0</v>
      </c>
      <c r="I36" s="101">
        <v>8369851.85</v>
      </c>
      <c r="K36" s="100" t="inlineStr">
        <is>
          <t xml:space="preserve">Va'da berdi | kecgaca tolaydi</t>
        </is>
      </c>
    </row>
    <row r="37">
      <c r="A37" s="100" t="inlineStr">
        <is>
          <t xml:space="preserve">ЖИЗЗАХ ВИЛОЯТИ</t>
        </is>
      </c>
      <c r="C37" s="100" t="inlineStr">
        <is>
          <t xml:space="preserve">Обещал</t>
        </is>
      </c>
      <c r="D37" s="100" t="inlineStr">
        <is>
          <t xml:space="preserve">Кр-99056937-2</t>
        </is>
      </c>
      <c r="E37" s="100" t="inlineStr">
        <is>
          <t xml:space="preserve">RASHIDOVA NASIBA YAKUBOVNA</t>
        </is>
      </c>
      <c r="F37" s="100" t="inlineStr">
        <is>
          <t xml:space="preserve">998889541771 SMS OZI, 998843817712 SMS OZI2, 998974390219 SMS KELINI,</t>
        </is>
      </c>
      <c r="G37" s="100" t="inlineStr">
        <is>
          <t xml:space="preserve">JIZZAX VILOYATI JIZZAX SHAHAR MIRZO ULUG'BEK MAHALLASI 2-UY 10-XONADON</t>
        </is>
      </c>
      <c r="H37" s="101">
        <v>11.0</v>
      </c>
      <c r="I37" s="101">
        <v>8235139.54</v>
      </c>
      <c r="K37" s="100" t="inlineStr">
        <is>
          <t xml:space="preserve">Va'da berdi | bugun tulaydi</t>
        </is>
      </c>
    </row>
    <row r="38">
      <c r="A38" s="100" t="inlineStr">
        <is>
          <t xml:space="preserve">ЖИЗЗАХ ВИЛОЯТИ</t>
        </is>
      </c>
      <c r="C38" s="100" t="inlineStr">
        <is>
          <t xml:space="preserve">Обещал</t>
        </is>
      </c>
      <c r="D38" s="100" t="inlineStr">
        <is>
          <t xml:space="preserve">Кр-99028729-1</t>
        </is>
      </c>
      <c r="E38" s="100" t="inlineStr">
        <is>
          <t xml:space="preserve">AMANOV BUNYOD MUMIN O’G’LI</t>
        </is>
      </c>
      <c r="F38" s="100" t="inlineStr">
        <is>
          <t xml:space="preserve">998991791177 SMS OZI, 998902642879 SMS OPASI, 998509979579 SMS TOLOVCHISI, 998996790117 SMS AYOLI, 998881591177 AYOLI, 998944449556 ONASI,</t>
        </is>
      </c>
      <c r="G38" s="100" t="inlineStr">
        <is>
          <t xml:space="preserve">МУЗБУЛОК МФЙ, МУЗБУЛОК МФЙ, ЛОЙИХАДАГИ,  uy:Р.С</t>
        </is>
      </c>
      <c r="H38" s="101">
        <v>4.0</v>
      </c>
      <c r="I38" s="101">
        <v>6850779.38</v>
      </c>
      <c r="K38" s="100" t="inlineStr">
        <is>
          <t xml:space="preserve">Va'da berdi | kecgaca tolaydi</t>
        </is>
      </c>
    </row>
    <row r="39">
      <c r="A39" s="100" t="inlineStr">
        <is>
          <t xml:space="preserve">ЖИЗЗАХ ВИЛОЯТИ</t>
        </is>
      </c>
      <c r="C39" s="100" t="inlineStr">
        <is>
          <t xml:space="preserve">Обещал</t>
        </is>
      </c>
      <c r="D39" s="100" t="inlineStr">
        <is>
          <t xml:space="preserve">Кр-99062344-1</t>
        </is>
      </c>
      <c r="E39" s="100" t="inlineStr">
        <is>
          <t xml:space="preserve">ALIMOV BAXROM YETMISHOVICH</t>
        </is>
      </c>
      <c r="F39" s="100" t="inlineStr">
        <is>
          <t xml:space="preserve">998959098681 O`ZI, 998959108681 AYOLI, 998956261810 QIZI,</t>
        </is>
      </c>
      <c r="G39" s="100" t="inlineStr">
        <is>
          <t xml:space="preserve">JIZZAX VILOYATI ZARBDOR TUMANI RAVOT MFY PILLAKOR KUCHASI 1-UYI</t>
        </is>
      </c>
      <c r="H39" s="101">
        <v>8.0</v>
      </c>
      <c r="I39" s="101">
        <v>6616631.71</v>
      </c>
      <c r="K39" s="100" t="inlineStr">
        <is>
          <t xml:space="preserve">Va'da berdi | 2kunda tolimn filyaldagilar blan gaplawdm dedi</t>
        </is>
      </c>
    </row>
    <row r="40">
      <c r="A40" s="100" t="inlineStr">
        <is>
          <t xml:space="preserve">ЖИЗЗАХ ВИЛОЯТИ</t>
        </is>
      </c>
      <c r="C40" s="100" t="inlineStr">
        <is>
          <t xml:space="preserve">Обещал</t>
        </is>
      </c>
      <c r="D40" s="100" t="inlineStr">
        <is>
          <t xml:space="preserve">Кр-99028038-1</t>
        </is>
      </c>
      <c r="E40" s="100" t="inlineStr">
        <is>
          <t xml:space="preserve">XAZRATKULOVA RAYXON TURSUNBAYEVNA</t>
        </is>
      </c>
      <c r="F40" s="100" t="inlineStr">
        <is>
          <t xml:space="preserve">998772725500 SMS OZI, 998951307770 SMS UKASI, 998904928594 SMS ZOLOGATEL,</t>
        </is>
      </c>
      <c r="G40" s="100" t="inlineStr">
        <is>
          <t xml:space="preserve">JIZZAX VILOYATI JIZZAX SHAHRI OBOD MFY XALQLAR DUSTLIGI KUCHASI 101-A UY 23-XONADON</t>
        </is>
      </c>
      <c r="H40" s="101">
        <v>6.0</v>
      </c>
      <c r="I40" s="101">
        <v>5897133.62</v>
      </c>
      <c r="K40" s="100" t="inlineStr">
        <is>
          <t xml:space="preserve">Va'da berdi | ukasi temur bilan gaplawganman dedi</t>
        </is>
      </c>
    </row>
    <row r="41">
      <c r="A41" s="100" t="inlineStr">
        <is>
          <t xml:space="preserve">ЖИЗЗАХ ВИЛОЯТИ</t>
        </is>
      </c>
      <c r="C41" s="100" t="inlineStr">
        <is>
          <t xml:space="preserve">Обещал</t>
        </is>
      </c>
      <c r="D41" s="100" t="inlineStr">
        <is>
          <t xml:space="preserve">Кр-99021925-1</t>
        </is>
      </c>
      <c r="E41" s="100" t="inlineStr">
        <is>
          <t xml:space="preserve">ISMOILOVA NARGIZA ABDUSALIYEVNA</t>
        </is>
      </c>
      <c r="F41" s="100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41" s="100" t="inlineStr">
        <is>
          <t xml:space="preserve">JIZZAX VILOYATI SHAROF RASHIDOV TUMANI QANG'LI QFY ARISHLI MAHALLASI ZIYOKOR KUCHASI 4-UY</t>
        </is>
      </c>
      <c r="H41" s="101">
        <v>1.0</v>
      </c>
      <c r="I41" s="101">
        <v>5112052.46</v>
      </c>
      <c r="K41" s="100" t="inlineStr">
        <is>
          <t xml:space="preserve">Va'da berdi | ertaga tulaydi</t>
        </is>
      </c>
    </row>
    <row r="42">
      <c r="A42" s="100" t="inlineStr">
        <is>
          <t xml:space="preserve">ЖИЗЗАХ ВИЛОЯТИ</t>
        </is>
      </c>
      <c r="C42" s="100" t="inlineStr">
        <is>
          <t xml:space="preserve">Обещал</t>
        </is>
      </c>
      <c r="D42" s="100" t="inlineStr">
        <is>
          <t xml:space="preserve">Кр-99042115-1</t>
        </is>
      </c>
      <c r="E42" s="100" t="inlineStr">
        <is>
          <t xml:space="preserve">MIRZAYEV OYBEK SUNATILLAYEVICH</t>
        </is>
      </c>
      <c r="F42" s="100" t="inlineStr">
        <is>
          <t xml:space="preserve">+998902659695 SMS, 998915909006 SMS, 998974559695 SMS,</t>
        </is>
      </c>
      <c r="G42" s="100" t="inlineStr">
        <is>
          <t xml:space="preserve">JIZZAX VILOYATI SH.RASHIDOV TUMANI TOKCHILIK MFY ZARGARLIK KUCHASI 2-UY</t>
        </is>
      </c>
      <c r="H42" s="101">
        <v>8.0</v>
      </c>
      <c r="I42" s="101">
        <v>4443964.28</v>
      </c>
      <c r="K42" s="100" t="inlineStr">
        <is>
          <t xml:space="preserve">Va'da berdi | bugun kecgaca yopadi</t>
        </is>
      </c>
    </row>
    <row r="43">
      <c r="A43" s="100" t="inlineStr">
        <is>
          <t xml:space="preserve">ЖИЗЗАХ ВИЛОЯТИ</t>
        </is>
      </c>
      <c r="C43" s="100" t="inlineStr">
        <is>
          <t xml:space="preserve">Обещал</t>
        </is>
      </c>
      <c r="D43" s="100" t="inlineStr">
        <is>
          <t xml:space="preserve">Кр-99063504-1</t>
        </is>
      </c>
      <c r="E43" s="100" t="inlineStr">
        <is>
          <t xml:space="preserve">MIRZAYEVA LOBARXON ERGASHEVNA</t>
        </is>
      </c>
      <c r="F43" s="100" t="inlineStr">
        <is>
          <t xml:space="preserve">998933556974 UZI, 998934026974 ERI, 998958832266 TO’LOVCHI,</t>
        </is>
      </c>
      <c r="G43" s="100" t="inlineStr">
        <is>
          <t xml:space="preserve">ТОШКЕСГАН КФЙ, ЛОЙИХАДАГИ КЎЧА,  uy:РАКАМСИЗ</t>
        </is>
      </c>
      <c r="H43" s="101">
        <v>8.0</v>
      </c>
      <c r="I43" s="101">
        <v>4415942.08</v>
      </c>
      <c r="K43" s="100" t="inlineStr">
        <is>
          <t xml:space="preserve">Va'da berdi | ertaga tolaydi</t>
        </is>
      </c>
    </row>
    <row r="44">
      <c r="A44" s="100" t="inlineStr">
        <is>
          <t xml:space="preserve">ЖИЗЗАХ ВИЛОЯТИ</t>
        </is>
      </c>
      <c r="C44" s="100" t="inlineStr">
        <is>
          <t xml:space="preserve">Обещал</t>
        </is>
      </c>
      <c r="D44" s="100" t="inlineStr">
        <is>
          <t xml:space="preserve">Кр-99062963-2</t>
        </is>
      </c>
      <c r="E44" s="100" t="inlineStr">
        <is>
          <t xml:space="preserve">RAJABOV BAXODIR BOZARBOYEVICH</t>
        </is>
      </c>
      <c r="F44" s="100" t="inlineStr">
        <is>
          <t xml:space="preserve">998941996644 AYOLI,</t>
        </is>
      </c>
      <c r="G44" s="100" t="inlineStr">
        <is>
          <t xml:space="preserve">Саройлик МФЙ, Эркинлик кучаси, 45-уй</t>
        </is>
      </c>
      <c r="H44" s="101">
        <v>8.0</v>
      </c>
      <c r="I44" s="101">
        <v>4084124.41</v>
      </c>
      <c r="K44" s="100" t="inlineStr">
        <is>
          <t xml:space="preserve">Va'da berdi | erta abetgaca tolaydi</t>
        </is>
      </c>
    </row>
    <row r="45">
      <c r="A45" s="100" t="inlineStr">
        <is>
          <t xml:space="preserve">ЖИЗЗАХ ВИЛОЯТИ</t>
        </is>
      </c>
      <c r="C45" s="100" t="inlineStr">
        <is>
          <t xml:space="preserve">Обещал</t>
        </is>
      </c>
      <c r="D45" s="100" t="inlineStr">
        <is>
          <t xml:space="preserve">Кр-99031840-1</t>
        </is>
      </c>
      <c r="E45" s="100" t="inlineStr">
        <is>
          <t xml:space="preserve">UKTAMOV KOMILJON G’ULOMJON O’G’LI</t>
        </is>
      </c>
      <c r="F45" s="100" t="inlineStr">
        <is>
          <t xml:space="preserve">998947060276 SMS O’ZI, 998996837171 SMS Uzi, 998883472121 SMS AKASI, 998941621146 SMS ONASI,</t>
        </is>
      </c>
      <c r="G45" s="100" t="inlineStr">
        <is>
          <t xml:space="preserve">JIZZAX VILOYATI SH.RASHIDOV TUMANI BUSTON MFY YOSHLIK KUCHASI 3-UY </t>
        </is>
      </c>
      <c r="H45" s="101">
        <v>1.0</v>
      </c>
      <c r="I45" s="101">
        <v>3851979.19</v>
      </c>
      <c r="K45" s="100" t="inlineStr">
        <is>
          <t xml:space="preserve">Va'da berdi | kecgaca tolaydi</t>
        </is>
      </c>
    </row>
    <row r="46">
      <c r="A46" s="100" t="inlineStr">
        <is>
          <t xml:space="preserve">ЖИЗЗАХ ВИЛОЯТИ</t>
        </is>
      </c>
      <c r="C46" s="100" t="inlineStr">
        <is>
          <t xml:space="preserve">Обещал</t>
        </is>
      </c>
      <c r="D46" s="100" t="inlineStr">
        <is>
          <t xml:space="preserve">Кр-99057340-1</t>
        </is>
      </c>
      <c r="E46" s="100" t="inlineStr">
        <is>
          <t xml:space="preserve">SUYUNOVA UMIDA ILHOM QIZI</t>
        </is>
      </c>
      <c r="F46" s="100" t="inlineStr">
        <is>
          <t xml:space="preserve">998995542023 SMS ERI, 998930913798 SMS UZI, 998943461045 SMS UY, 998901020807 SMS Akasi,</t>
        </is>
      </c>
      <c r="G46" s="100" t="inlineStr">
        <is>
          <t xml:space="preserve">JIZZAX VILOYATI MIRZACHO'L TUMANI IPAK YULI QFY YANGI XAYOT KUCHASI 29-UY</t>
        </is>
      </c>
      <c r="H46" s="101">
        <v>8.0</v>
      </c>
      <c r="I46" s="101">
        <v>3789341.31</v>
      </c>
      <c r="K46" s="100" t="inlineStr">
        <is>
          <t xml:space="preserve">Va'da berdi | soat 4da tel qiliw kerak</t>
        </is>
      </c>
    </row>
    <row r="47">
      <c r="A47" s="100" t="inlineStr">
        <is>
          <t xml:space="preserve">ЖИЗЗАХ ВИЛОЯТИ</t>
        </is>
      </c>
      <c r="C47" s="100" t="inlineStr">
        <is>
          <t xml:space="preserve">Обещал</t>
        </is>
      </c>
      <c r="D47" s="100" t="inlineStr">
        <is>
          <t xml:space="preserve">Кр-99003082-6</t>
        </is>
      </c>
      <c r="E47" s="100" t="inlineStr">
        <is>
          <t xml:space="preserve">TO’XTAYEV RASHID RAXMONQULOVICH</t>
        </is>
      </c>
      <c r="F47" s="100" t="inlineStr">
        <is>
          <t xml:space="preserve">998881535010 SMS O’ZI, 998912352020 SMS BEGONA, 998979809700 SMS UKASI, 998915964295 SMS ozi shunga qilinsin ,</t>
        </is>
      </c>
      <c r="G47" s="100" t="inlineStr">
        <is>
          <t xml:space="preserve">JIZZAX VILOYATI SHAROF RASHIDOV TUMANI ZIYOKOR MFY ZIYOKOR KO'CHASI 96-UY</t>
        </is>
      </c>
      <c r="H47" s="101">
        <v>1.0</v>
      </c>
      <c r="I47" s="101">
        <v>3507615.98</v>
      </c>
      <c r="K47" s="100" t="inlineStr">
        <is>
          <t xml:space="preserve">Va'da berdi | ertaga tulaydi</t>
        </is>
      </c>
    </row>
    <row r="48">
      <c r="A48" s="100" t="inlineStr">
        <is>
          <t xml:space="preserve">ЖИЗЗАХ ВИЛОЯТИ</t>
        </is>
      </c>
      <c r="C48" s="100" t="inlineStr">
        <is>
          <t xml:space="preserve">Обещал</t>
        </is>
      </c>
      <c r="D48" s="100" t="inlineStr">
        <is>
          <t xml:space="preserve">Кр-99052135-1</t>
        </is>
      </c>
      <c r="E48" s="100" t="inlineStr">
        <is>
          <t xml:space="preserve">TURAKULOV SIROJIDDIN SUNNAT O’G’LI</t>
        </is>
      </c>
      <c r="F48" s="100" t="inlineStr">
        <is>
          <t xml:space="preserve">998919421111 UY, 998993447700 sms new uz,</t>
        </is>
      </c>
      <c r="G48" s="100" t="inlineStr">
        <is>
          <t xml:space="preserve">ЗИЛОЛ, ЗИЛОЛ, ЯНГИОБОД,  uy:30</t>
        </is>
      </c>
      <c r="H48" s="101">
        <v>12.0</v>
      </c>
      <c r="I48" s="101">
        <v>3447004.57</v>
      </c>
      <c r="K48" s="100" t="inlineStr">
        <is>
          <t xml:space="preserve">Va'da berdi</t>
        </is>
      </c>
    </row>
    <row r="49">
      <c r="A49" s="100" t="inlineStr">
        <is>
          <t xml:space="preserve">ЖИЗЗАХ ВИЛОЯТИ</t>
        </is>
      </c>
      <c r="C49" s="100" t="inlineStr">
        <is>
          <t xml:space="preserve">Обещал</t>
        </is>
      </c>
      <c r="D49" s="100" t="inlineStr">
        <is>
          <t xml:space="preserve">Кр-99034257-1</t>
        </is>
      </c>
      <c r="E49" s="100" t="inlineStr">
        <is>
          <t xml:space="preserve">MURADOV SHOKIRJON ABDULLAYEVICH</t>
        </is>
      </c>
      <c r="F49" s="100" t="inlineStr">
        <is>
          <t xml:space="preserve">998950381202 SMS OZI, 998957986998 SMS SINI, 998933680979 SMS AYOLI, 998991677998 SMS KELINI, 998950240408 SMS O’G’LI TO’LOVCHI,</t>
        </is>
      </c>
      <c r="G49" s="100" t="inlineStr">
        <is>
          <t xml:space="preserve">JIZZAX VILOYATI G’ALLAOROL TUMANI MADANIYAT MFY QANGLIOBOD SHAXARCHASI 265-UY </t>
        </is>
      </c>
      <c r="H49" s="101">
        <v>8.0</v>
      </c>
      <c r="I49" s="101">
        <v>3441012.47</v>
      </c>
      <c r="K49" s="100" t="inlineStr">
        <is>
          <t xml:space="preserve">Va'da berdi | 2kunda toliman dedi</t>
        </is>
      </c>
    </row>
    <row r="50">
      <c r="A50" s="100" t="inlineStr">
        <is>
          <t xml:space="preserve">ЖИЗЗАХ ВИЛОЯТИ</t>
        </is>
      </c>
      <c r="C50" s="100" t="inlineStr">
        <is>
          <t xml:space="preserve">Обещал</t>
        </is>
      </c>
      <c r="D50" s="100" t="inlineStr">
        <is>
          <t xml:space="preserve">Кр-99035229-1</t>
        </is>
      </c>
      <c r="E50" s="100" t="inlineStr">
        <is>
          <t xml:space="preserve">XOJAMBERDIYEVA GULNOZA SHAVKATOVNA</t>
        </is>
      </c>
      <c r="F50" s="100" t="inlineStr">
        <is>
          <t xml:space="preserve">998884843344 SMS ERI , 998992335888 SMS O’ZI, 998883566521 SMS DO’STI, 998932103564 SMS UY, 998933007076 SMS ERI GULNOZANI, 998884814433 tulovchi,</t>
        </is>
      </c>
      <c r="G50" s="100" t="inlineStr">
        <is>
          <t xml:space="preserve">JIZZAX VILOYATI ZARBDOR TUMANI SHODLIK MFY NIHOL KUCHASI 19-UY </t>
        </is>
      </c>
      <c r="H50" s="101">
        <v>4.0</v>
      </c>
      <c r="I50" s="101">
        <v>3418638.32</v>
      </c>
      <c r="K50" s="100" t="inlineStr">
        <is>
          <t xml:space="preserve">Va'da berdi | kecgaca tolaydi</t>
        </is>
      </c>
    </row>
    <row r="51">
      <c r="A51" s="100" t="inlineStr">
        <is>
          <t xml:space="preserve">ЖИЗЗАХ ВИЛОЯТИ</t>
        </is>
      </c>
      <c r="C51" s="100" t="inlineStr">
        <is>
          <t xml:space="preserve">Обещал</t>
        </is>
      </c>
      <c r="D51" s="100" t="inlineStr">
        <is>
          <t xml:space="preserve">Кр-99063773-1</t>
        </is>
      </c>
      <c r="E51" s="100" t="inlineStr">
        <is>
          <t xml:space="preserve">MUHAMADIYEVA GULNORA QIZILOVNA</t>
        </is>
      </c>
      <c r="F51" s="100" t="inlineStr">
        <is>
          <t xml:space="preserve">998911950663 UZI, 998977947748 O’G’LI, 998995406039 O’G’LI,</t>
        </is>
      </c>
      <c r="G51" s="100" t="inlineStr">
        <is>
          <t xml:space="preserve">Жиззахлик МФЙ,  ул.Ш.Рашидов , 24-уй</t>
        </is>
      </c>
      <c r="H51" s="101">
        <v>8.0</v>
      </c>
      <c r="I51" s="101">
        <v>3386877.68</v>
      </c>
      <c r="K51" s="100" t="inlineStr">
        <is>
          <t xml:space="preserve">Va'da berdi | abetgaca tulaydi</t>
        </is>
      </c>
    </row>
    <row r="52">
      <c r="A52" s="100" t="inlineStr">
        <is>
          <t xml:space="preserve">ЖИЗЗАХ ВИЛОЯТИ</t>
        </is>
      </c>
      <c r="C52" s="100" t="inlineStr">
        <is>
          <t xml:space="preserve">Обещал</t>
        </is>
      </c>
      <c r="D52" s="100" t="inlineStr">
        <is>
          <t xml:space="preserve">Кр-99045797-1</t>
        </is>
      </c>
      <c r="E52" s="100" t="inlineStr">
        <is>
          <t xml:space="preserve">QARSHIBAYEV RUSLAN QAXRAMON O’G’LI</t>
        </is>
      </c>
      <c r="F52" s="100" t="inlineStr">
        <is>
          <t xml:space="preserve">+998900251515 SMS, 998902978487 SMS, 998992408778 SMS,</t>
        </is>
      </c>
      <c r="G52" s="100" t="inlineStr">
        <is>
          <t xml:space="preserve">JIZZAX VILOYATI SH.RASHIDOV TUMANI TOSHKENTLIK MFY QATORTOL KUCHASI 7-UY</t>
        </is>
      </c>
      <c r="H52" s="101">
        <v>12.0</v>
      </c>
      <c r="I52" s="101">
        <v>3182278.22</v>
      </c>
      <c r="K52" s="100" t="inlineStr">
        <is>
          <t xml:space="preserve">Va'da berdi | 2kunda tolaydi bowqa viloyatda edi kesin ertaga tolaydi dedi</t>
        </is>
      </c>
    </row>
    <row r="53">
      <c r="A53" s="100" t="inlineStr">
        <is>
          <t xml:space="preserve">ЖИЗЗАХ ВИЛОЯТИ</t>
        </is>
      </c>
      <c r="C53" s="100" t="inlineStr">
        <is>
          <t xml:space="preserve">Обещал</t>
        </is>
      </c>
      <c r="D53" s="100" t="inlineStr">
        <is>
          <t xml:space="preserve">Кр-99039288-1</t>
        </is>
      </c>
      <c r="E53" s="100" t="inlineStr">
        <is>
          <t xml:space="preserve">YAKUBOV BUNYOD NEMATILLAYEVICH</t>
        </is>
      </c>
      <c r="F53" s="100" t="inlineStr">
        <is>
          <t xml:space="preserve">998904878684 SMS OZI, 998886441986 SMS AYOLI, 998932988684 SMS OZI, 998773450986 SMS SINGLISI,</t>
        </is>
      </c>
      <c r="G53" s="100" t="inlineStr">
        <is>
          <t xml:space="preserve">JIZZAX VILOYATI DUSTLIK TUMANI MEVAZOR QFY LOLAZOR KUCHASI 35-UY </t>
        </is>
      </c>
      <c r="H53" s="101">
        <v>13.0</v>
      </c>
      <c r="I53" s="101">
        <v>3181468.04</v>
      </c>
      <c r="K53" s="100" t="inlineStr">
        <is>
          <t xml:space="preserve">Va'da berdi | kecgaca tolaydi</t>
        </is>
      </c>
    </row>
    <row r="54">
      <c r="A54" s="100" t="inlineStr">
        <is>
          <t xml:space="preserve">ЖИЗЗАХ ВИЛОЯТИ</t>
        </is>
      </c>
      <c r="C54" s="100" t="inlineStr">
        <is>
          <t xml:space="preserve">Обещал</t>
        </is>
      </c>
      <c r="D54" s="100" t="inlineStr">
        <is>
          <t xml:space="preserve">Кр-99052894-1</t>
        </is>
      </c>
      <c r="E54" s="100" t="inlineStr">
        <is>
          <t xml:space="preserve">SUVONQULOV SHAXRIYOR MIRZABEK O’G’LI</t>
        </is>
      </c>
      <c r="F54" s="100" t="inlineStr">
        <is>
          <t xml:space="preserve">998943079900 SMS OZI, 998932800094 SMS AKASI, 998938265665 SMS AKASI 2, 999839712506 SMS UKASI,</t>
        </is>
      </c>
      <c r="G54" s="100" t="inlineStr">
        <is>
          <t xml:space="preserve">JIZZAX VILOYATI SHAROF RASHIDOV TUMANI QANG'LI QFY NURAFSHON MFY OBOD KUCHASI 9-UY</t>
        </is>
      </c>
      <c r="H54" s="101">
        <v>8.0</v>
      </c>
      <c r="I54" s="101">
        <v>3034487.46</v>
      </c>
      <c r="K54" s="100" t="inlineStr">
        <is>
          <t xml:space="preserve">Va'da berdi | ertaga abetgaca tolaydi</t>
        </is>
      </c>
    </row>
    <row r="55">
      <c r="A55" s="100" t="inlineStr">
        <is>
          <t xml:space="preserve">ЖИЗЗАХ ВИЛОЯТИ</t>
        </is>
      </c>
      <c r="C55" s="100" t="inlineStr">
        <is>
          <t xml:space="preserve">Обещал</t>
        </is>
      </c>
      <c r="D55" s="100" t="inlineStr">
        <is>
          <t xml:space="preserve">Кр-99055031-1</t>
        </is>
      </c>
      <c r="E55" s="100" t="inlineStr">
        <is>
          <t xml:space="preserve">PARDAYEVA XAFIZA AKRAMOVNA</t>
        </is>
      </c>
      <c r="F55" s="100" t="inlineStr">
        <is>
          <t xml:space="preserve">998995900655 SMS OZI, 998997473110 SMS OZI, 998958160926 SMS O'G'LI,</t>
        </is>
      </c>
      <c r="G55" s="100" t="inlineStr">
        <is>
          <t xml:space="preserve">JIZZAX VILOYATI G'ALLAOROL TUMANI MIRZABULOQ QFY NAYMAN KUCHASI 36-UY</t>
        </is>
      </c>
      <c r="H55" s="101">
        <v>8.0</v>
      </c>
      <c r="I55" s="101">
        <v>3018725.12</v>
      </c>
      <c r="K55" s="100" t="inlineStr">
        <is>
          <t xml:space="preserve">Va'da berdi | kecgaca tolaydi</t>
        </is>
      </c>
    </row>
    <row r="56">
      <c r="A56" s="100" t="inlineStr">
        <is>
          <t xml:space="preserve">ЖИЗЗАХ ВИЛОЯТИ</t>
        </is>
      </c>
      <c r="C56" s="100" t="inlineStr">
        <is>
          <t xml:space="preserve">Обещал</t>
        </is>
      </c>
      <c r="D56" s="100" t="inlineStr">
        <is>
          <t xml:space="preserve">Кр-99036491-1</t>
        </is>
      </c>
      <c r="E56" s="100" t="inlineStr">
        <is>
          <t xml:space="preserve">XAYDAROVA KOMILA ZAYNIDDINOVNA</t>
        </is>
      </c>
      <c r="F56" s="100" t="inlineStr">
        <is>
          <t xml:space="preserve">998973462688 SMS OZI , 998936507904 SMS AYOLI , 998944740513 SMS QIZI, 998338990215 SMS SINGLISI , 998943462688 SMS NEW,</t>
        </is>
      </c>
      <c r="G56" s="100" t="inlineStr">
        <is>
          <t xml:space="preserve">JIZZAX VILOYATI SH.RASHIDOV TUMANI SOVUNGARLIK MFY 11-UY</t>
        </is>
      </c>
      <c r="H56" s="101">
        <v>12.0</v>
      </c>
      <c r="I56" s="101">
        <v>2908627.86</v>
      </c>
      <c r="K56" s="100" t="inlineStr">
        <is>
          <t xml:space="preserve">Va'da berdi | 16gaca tolaydi temur aka bilan gaplawdm dedi</t>
        </is>
      </c>
    </row>
    <row r="57">
      <c r="A57" s="100" t="inlineStr">
        <is>
          <t xml:space="preserve">ЖИЗЗАХ ВИЛОЯТИ</t>
        </is>
      </c>
      <c r="C57" s="100" t="inlineStr">
        <is>
          <t xml:space="preserve">Обещал</t>
        </is>
      </c>
      <c r="D57" s="100" t="inlineStr">
        <is>
          <t xml:space="preserve">Кр-99039896-1</t>
        </is>
      </c>
      <c r="E57" s="100" t="inlineStr">
        <is>
          <t xml:space="preserve">UMMATOV JAVLON MAVLONOVICH</t>
        </is>
      </c>
      <c r="F57" s="100" t="inlineStr">
        <is>
          <t xml:space="preserve">998959172024 SMS OZI, 998957701676 SMS UKASI, 998957741676 SMS SINGLIASI, 998911956219 SMS DADASI, 998995247977 sms uzi mew, 998995247977 sms uzi new,</t>
        </is>
      </c>
      <c r="G57" s="100" t="inlineStr">
        <is>
          <t xml:space="preserve">JIZZAX VILOYATI SH.RASHIDOV TUMANI UCH TEPA MFY GUNCHA KUCHASI 97-UY </t>
        </is>
      </c>
      <c r="H57" s="101">
        <v>8.0</v>
      </c>
      <c r="I57" s="101">
        <v>2809934.08</v>
      </c>
      <c r="K57" s="100" t="inlineStr">
        <is>
          <t xml:space="preserve">Va'da berdi | tel qiliw kerak</t>
        </is>
      </c>
    </row>
    <row r="58">
      <c r="A58" s="100" t="inlineStr">
        <is>
          <t xml:space="preserve">ЖИЗЗАХ ВИЛОЯТИ</t>
        </is>
      </c>
      <c r="C58" s="100" t="inlineStr">
        <is>
          <t xml:space="preserve">Обещал</t>
        </is>
      </c>
      <c r="D58" s="100" t="inlineStr">
        <is>
          <t xml:space="preserve">Кр-99035971-1</t>
        </is>
      </c>
      <c r="E58" s="100" t="inlineStr">
        <is>
          <t xml:space="preserve">SHAROPOV JASUR SALAXIDDINOVICH</t>
        </is>
      </c>
      <c r="F58" s="100" t="inlineStr">
        <is>
          <t xml:space="preserve">998995618200 SMS O’ZI, 998885248200 SMS AYOLI, 998905380123 SMS ONASI ,</t>
        </is>
      </c>
      <c r="G58" s="100" t="inlineStr">
        <is>
          <t xml:space="preserve">JIZZAX VILOYATI SH.RASHIDOV TUMANI TOSHKENTLIK MAHALLASI BINOKOR KUCHASI 28-UY </t>
        </is>
      </c>
      <c r="H58" s="101">
        <v>1.0</v>
      </c>
      <c r="I58" s="101">
        <v>2493532.34</v>
      </c>
      <c r="K58" s="100" t="inlineStr">
        <is>
          <t xml:space="preserve">Va'da berdi | bugun kecga ulgurmasam ertaga tawiman dei</t>
        </is>
      </c>
    </row>
    <row r="59">
      <c r="A59" s="100" t="inlineStr">
        <is>
          <t xml:space="preserve">ЖИЗЗАХ ВИЛОЯТИ</t>
        </is>
      </c>
      <c r="C59" s="100" t="inlineStr">
        <is>
          <t xml:space="preserve">Обещал</t>
        </is>
      </c>
      <c r="D59" s="100" t="inlineStr">
        <is>
          <t xml:space="preserve">Кр-99046098-1</t>
        </is>
      </c>
      <c r="E59" s="100" t="inlineStr">
        <is>
          <t xml:space="preserve">RAMAZANOV IXTIYOR BAXTIYOR O’G’LI</t>
        </is>
      </c>
      <c r="F59" s="100" t="inlineStr">
        <is>
          <t xml:space="preserve">998915983004 SMS, 998945960080 SMS, 998950800277 SMS,</t>
        </is>
      </c>
      <c r="G59" s="100" t="inlineStr">
        <is>
          <t xml:space="preserve">JIZZAX VILOYATI, JIZZAX SHAHRI, TINCHLIK MFY, S.KARIMOV KO’CHASI, 5/17-UY</t>
        </is>
      </c>
      <c r="H59" s="101">
        <v>11.0</v>
      </c>
      <c r="I59" s="101">
        <v>2244914.59</v>
      </c>
      <c r="K59" s="100" t="inlineStr">
        <is>
          <t xml:space="preserve">Va'da berdi | erta yo indin aniq tolaydi</t>
        </is>
      </c>
    </row>
    <row r="60">
      <c r="A60" s="100" t="inlineStr">
        <is>
          <t xml:space="preserve">ЖИЗЗАХ ВИЛОЯТИ</t>
        </is>
      </c>
      <c r="C60" s="100" t="inlineStr">
        <is>
          <t xml:space="preserve">Обещал</t>
        </is>
      </c>
      <c r="D60" s="100" t="inlineStr">
        <is>
          <t xml:space="preserve">Кр-99057414-1</t>
        </is>
      </c>
      <c r="E60" s="100" t="inlineStr">
        <is>
          <t xml:space="preserve">KARSHIBAYEV SHUXRAT URALOVICH</t>
        </is>
      </c>
      <c r="F60" s="100" t="inlineStr">
        <is>
          <t xml:space="preserve">998991231880 SMS UZI, 998958914146 SMS UZI 2, 998938265151 SMS AKASI,</t>
        </is>
      </c>
      <c r="G60" s="100" t="inlineStr">
        <is>
          <t xml:space="preserve">JIZZAX VILOYATI ARNASOY TUMANI BO'STON MFY A.QARSHIYEV KUCHASI 30/2-UY</t>
        </is>
      </c>
      <c r="H60" s="101">
        <v>8.0</v>
      </c>
      <c r="I60" s="101">
        <v>1778665.0</v>
      </c>
      <c r="K60" s="100" t="inlineStr">
        <is>
          <t xml:space="preserve">Va'da berdi | bugun tulaydi</t>
        </is>
      </c>
    </row>
    <row r="61">
      <c r="A61" s="100" t="inlineStr">
        <is>
          <t xml:space="preserve">ЖИЗЗАХ ВИЛОЯТИ</t>
        </is>
      </c>
      <c r="C61" s="100" t="inlineStr">
        <is>
          <t xml:space="preserve">Обещал</t>
        </is>
      </c>
      <c r="D61" s="100" t="inlineStr">
        <is>
          <t xml:space="preserve">Кр-99039329-1</t>
        </is>
      </c>
      <c r="E61" s="100" t="inlineStr">
        <is>
          <t xml:space="preserve">TURSUNMATOV ABDULAZIZ ALIAKBAR O’G’LI</t>
        </is>
      </c>
      <c r="F61" s="100" t="inlineStr">
        <is>
          <t xml:space="preserve">+998947200340 SMS OZI, 998772942607 SMS DADASI, 998990231125 SMS AKASI, 998999992897 SMS UKASI,</t>
        </is>
      </c>
      <c r="G61" s="100" t="inlineStr">
        <is>
          <t xml:space="preserve">МУГОЛ КФЙ, МУГОЛ КФЙ, ЛОЙИХАДАГИ,  uy:Р.С</t>
        </is>
      </c>
      <c r="H61" s="101">
        <v>8.0</v>
      </c>
      <c r="I61" s="101">
        <v>1765774.14</v>
      </c>
      <c r="K61" s="100" t="inlineStr">
        <is>
          <t xml:space="preserve">Va'da berdi | ertaga tulaydi</t>
        </is>
      </c>
    </row>
    <row r="62">
      <c r="A62" s="100" t="inlineStr">
        <is>
          <t xml:space="preserve">ЖИЗЗАХ ВИЛОЯТИ</t>
        </is>
      </c>
      <c r="C62" s="100" t="inlineStr">
        <is>
          <t xml:space="preserve">Обещал</t>
        </is>
      </c>
      <c r="D62" s="100" t="inlineStr">
        <is>
          <t xml:space="preserve">Кр-99041856-2</t>
        </is>
      </c>
      <c r="E62" s="100" t="inlineStr">
        <is>
          <t xml:space="preserve">ERDASHEV RUSTAM JALILOVICH</t>
        </is>
      </c>
      <c r="F62" s="100" t="inlineStr">
        <is>
          <t xml:space="preserve">+998932916225 OZI, 998946894222 SMS OZI, 998952852325 SMS OZI 3,</t>
        </is>
      </c>
      <c r="G62" s="100" t="inlineStr">
        <is>
          <t xml:space="preserve">JIZZAX VILOYATI ARNASOY TUMANI G.GULOM MFY BOGIDILKUSHOD KUCHASI 6-UY</t>
        </is>
      </c>
      <c r="H62" s="101">
        <v>8.0</v>
      </c>
      <c r="I62" s="101">
        <v>1531566.74</v>
      </c>
      <c r="K62" s="100" t="inlineStr">
        <is>
          <t xml:space="preserve">Va'da berdi | ertaga tulaydi</t>
        </is>
      </c>
    </row>
    <row r="63">
      <c r="A63" s="100" t="inlineStr">
        <is>
          <t xml:space="preserve">ЖИЗЗАХ ВИЛОЯТИ</t>
        </is>
      </c>
      <c r="C63" s="100" t="inlineStr">
        <is>
          <t xml:space="preserve">Обещал</t>
        </is>
      </c>
      <c r="D63" s="100" t="inlineStr">
        <is>
          <t xml:space="preserve">Кр-99036491-2</t>
        </is>
      </c>
      <c r="E63" s="100" t="inlineStr">
        <is>
          <t xml:space="preserve">XAYDAROVA KOMILA ZAYNIDDINOVNA</t>
        </is>
      </c>
      <c r="F63" s="100" t="inlineStr">
        <is>
          <t xml:space="preserve">998973462688 SMS OZI , 998936507904 SMS AYOLI , 998944740513 SMS QIZI, 998338990215 SMS SINGLISI , 998943462688 SMS NEW,</t>
        </is>
      </c>
      <c r="G63" s="100" t="inlineStr">
        <is>
          <t xml:space="preserve">JIZZAX VILOYATI SH.RASHIDOV TUMANI SOVUNGARLIK MFY 11-UY</t>
        </is>
      </c>
      <c r="H63" s="101">
        <v>8.0</v>
      </c>
      <c r="I63" s="101">
        <v>1470244.24</v>
      </c>
      <c r="K63" s="100" t="inlineStr">
        <is>
          <t xml:space="preserve">Va'da berdi | 16gaca tolaydi temur aka bilan gaplawdm dedi</t>
        </is>
      </c>
    </row>
    <row r="64">
      <c r="A64" s="100" t="inlineStr">
        <is>
          <t xml:space="preserve">ЖИЗЗАХ ВИЛОЯТИ</t>
        </is>
      </c>
      <c r="C64" s="100" t="inlineStr">
        <is>
          <t xml:space="preserve">Обещал</t>
        </is>
      </c>
      <c r="D64" s="100" t="inlineStr">
        <is>
          <t xml:space="preserve">Кр-99046548-1</t>
        </is>
      </c>
      <c r="E64" s="100" t="inlineStr">
        <is>
          <t xml:space="preserve">BOYMURZAYEV HASAN NAZAR O’G’LI</t>
        </is>
      </c>
      <c r="F64" s="100" t="inlineStr">
        <is>
          <t xml:space="preserve">998996766010 узи, 998954330009 укаси, 998919446010 уй,</t>
        </is>
      </c>
      <c r="G64" s="100" t="inlineStr">
        <is>
          <t xml:space="preserve">JIZZAX VILOYATI SHAROF RASHIDOV TUMANI PAXTOBOD QFY YAXTANLIK MAHALLASI </t>
        </is>
      </c>
      <c r="H64" s="101">
        <v>8.0</v>
      </c>
      <c r="I64" s="101">
        <v>1248009.32</v>
      </c>
      <c r="K64" s="100" t="inlineStr">
        <is>
          <t xml:space="preserve">Va'da berdi | kecgaca tolaydi</t>
        </is>
      </c>
    </row>
    <row r="65">
      <c r="A65" s="100" t="inlineStr">
        <is>
          <t xml:space="preserve">ЖИЗЗАХ ВИЛОЯТИ</t>
        </is>
      </c>
      <c r="C65" s="100" t="inlineStr">
        <is>
          <t xml:space="preserve">Обещал</t>
        </is>
      </c>
      <c r="D65" s="100" t="inlineStr">
        <is>
          <t xml:space="preserve">Кр-99034257-2</t>
        </is>
      </c>
      <c r="E65" s="100" t="inlineStr">
        <is>
          <t xml:space="preserve">MURADOV SHOKIRJON ABDULLAYEVICH</t>
        </is>
      </c>
      <c r="F65" s="100" t="inlineStr">
        <is>
          <t xml:space="preserve">998950381202 SMS OZI, 998957986998 SMS SINI, 998933680979 SMS AYOLI, 998991677998 SMS KELINI, 998950240408 SMS O’G’LI TO’LOVCHI,</t>
        </is>
      </c>
      <c r="G65" s="100" t="inlineStr">
        <is>
          <t xml:space="preserve">JIZZAX VILOYATI G’ALLAOROL TUMANI MADANIYAT MFY QANGLIOBOD SHAXARCHASI 265-UY </t>
        </is>
      </c>
      <c r="H65" s="101">
        <v>8.0</v>
      </c>
      <c r="I65" s="101">
        <v>1154455.6</v>
      </c>
      <c r="K65" s="100" t="inlineStr">
        <is>
          <t xml:space="preserve">Va'da berdi | kecgaca tolaydi</t>
        </is>
      </c>
    </row>
    <row r="66">
      <c r="A66" s="100" t="inlineStr">
        <is>
          <t xml:space="preserve">ЖИЗЗАХ ВИЛОЯТИ</t>
        </is>
      </c>
      <c r="C66" s="100" t="inlineStr">
        <is>
          <t xml:space="preserve">Обещал</t>
        </is>
      </c>
      <c r="D66" s="100" t="inlineStr">
        <is>
          <t xml:space="preserve">Кр-99045797-2</t>
        </is>
      </c>
      <c r="E66" s="100" t="inlineStr">
        <is>
          <t xml:space="preserve">QARSHIBAYEV RUSLAN QAXRAMON O’G’LI</t>
        </is>
      </c>
      <c r="F66" s="100" t="inlineStr">
        <is>
          <t xml:space="preserve">+998900251515 SMS, 998902978487 SMS, 998992408778 SMS,</t>
        </is>
      </c>
      <c r="G66" s="100" t="inlineStr">
        <is>
          <t xml:space="preserve">JIZZAX VILOYATI SH.RASHIDOV TUMANI TOSHKENTLIK MFY QATORTOL KUCHASI 7-UY</t>
        </is>
      </c>
      <c r="H66" s="101">
        <v>8.0</v>
      </c>
      <c r="I66" s="101">
        <v>1152143.05</v>
      </c>
      <c r="K66" s="100" t="inlineStr">
        <is>
          <t xml:space="preserve">Va'da berdi | 2kunda tolaydi bowqa viloyatda edi kesin ertaga tolaydi dedi</t>
        </is>
      </c>
    </row>
    <row r="67">
      <c r="A67" s="100" t="inlineStr">
        <is>
          <t xml:space="preserve">ЖИЗЗАХ ВИЛОЯТИ</t>
        </is>
      </c>
      <c r="C67" s="100" t="inlineStr">
        <is>
          <t xml:space="preserve">Обещал</t>
        </is>
      </c>
      <c r="D67" s="100" t="inlineStr">
        <is>
          <t xml:space="preserve">Кр-99048922-1</t>
        </is>
      </c>
      <c r="E67" s="100" t="inlineStr">
        <is>
          <t xml:space="preserve">XOLMURODOV SHERBEK MARDON O‘G‘LI</t>
        </is>
      </c>
      <c r="F67" s="100" t="inlineStr">
        <is>
          <t xml:space="preserve">+998770010109 SMS OZI, 998944841200 SMS UYI, 998973311213 SMS OPASI, 998976410109 SMS OZI 2, 998770010109 Primary phone from road24,</t>
        </is>
      </c>
      <c r="G67" s="100" t="inlineStr">
        <is>
          <t xml:space="preserve">БАХМАЛ КФЙ, БАХМАЛ КФЙ, ЛОЙИХАДАГИ,  uy:Р.С</t>
        </is>
      </c>
      <c r="H67" s="101">
        <v>1.0</v>
      </c>
      <c r="I67" s="101">
        <v>1122689.2</v>
      </c>
      <c r="K67" s="100" t="inlineStr">
        <is>
          <t xml:space="preserve">Va'da berdi | ertaga tulaydi</t>
        </is>
      </c>
    </row>
    <row r="68">
      <c r="A68" s="100" t="inlineStr">
        <is>
          <t xml:space="preserve">ЖИЗЗАХ ВИЛОЯТИ</t>
        </is>
      </c>
      <c r="C68" s="100" t="inlineStr">
        <is>
          <t xml:space="preserve">Обещал</t>
        </is>
      </c>
      <c r="D68" s="100" t="inlineStr">
        <is>
          <t xml:space="preserve">Кр-99063395-2</t>
        </is>
      </c>
      <c r="E68" s="100" t="inlineStr">
        <is>
          <t xml:space="preserve">SOXIBOV DILSHOD YUSUPALIYEVICH</t>
        </is>
      </c>
      <c r="F68" s="100" t="inlineStr">
        <is>
          <t xml:space="preserve">998501038581 SMS QIZI, 998882488581 SMS AYOLI, 998990661191 SMS OZI,</t>
        </is>
      </c>
      <c r="G68" s="100" t="inlineStr">
        <is>
          <t xml:space="preserve">DEXQONOBOD 2 UY 7 XONADON</t>
        </is>
      </c>
      <c r="H68" s="101">
        <v>8.0</v>
      </c>
      <c r="I68" s="101">
        <v>1117596.95</v>
      </c>
      <c r="K68" s="100" t="inlineStr">
        <is>
          <t xml:space="preserve">Va'da berdi | uzogi paywanbagaca tolaydi rasiyadan pulni kutyapti</t>
        </is>
      </c>
    </row>
    <row r="69">
      <c r="A69" s="100" t="inlineStr">
        <is>
          <t xml:space="preserve">ЖИЗЗАХ ВИЛОЯТИ</t>
        </is>
      </c>
      <c r="C69" s="100" t="inlineStr">
        <is>
          <t xml:space="preserve">Обещал</t>
        </is>
      </c>
      <c r="D69" s="100" t="inlineStr">
        <is>
          <t xml:space="preserve">Кр-99033516-1</t>
        </is>
      </c>
      <c r="E69" s="100" t="inlineStr">
        <is>
          <t xml:space="preserve">MIRZAMAXMUDOV ODILJON ALLAYOR O’G’LI</t>
        </is>
      </c>
      <c r="F69" s="100" t="inlineStr">
        <is>
          <t xml:space="preserve">998997449700 SMS O’ZI, 998912084455 SMS O’ZI, 998338382297 SMS DO’STI, 998991332871 SMS ONASI, 998950702444 SMS AKASI, 998336669700 SMS OZI YANGI, 998932947066 SMS ABDUNABI ORTOGI,</t>
        </is>
      </c>
      <c r="G69" s="100" t="inlineStr">
        <is>
          <t xml:space="preserve">JIZZAX VILOYATI BAXMAL TUMANI UDAMALI QISHLOG’I 63-UY </t>
        </is>
      </c>
      <c r="H69" s="101">
        <v>1.0</v>
      </c>
      <c r="I69" s="101">
        <v>1079691.82</v>
      </c>
      <c r="K69" s="100" t="inlineStr">
        <is>
          <t xml:space="preserve">Va'da berdi | ertaga abetgaca tolaydi</t>
        </is>
      </c>
    </row>
    <row r="70">
      <c r="A70" s="100" t="inlineStr">
        <is>
          <t xml:space="preserve">ЖИЗЗАХ ВИЛОЯТИ</t>
        </is>
      </c>
      <c r="C70" s="100" t="inlineStr">
        <is>
          <t xml:space="preserve">Обещал</t>
        </is>
      </c>
      <c r="D70" s="100" t="inlineStr">
        <is>
          <t xml:space="preserve">Кр-99045121-1</t>
        </is>
      </c>
      <c r="E70" s="100" t="inlineStr">
        <is>
          <t xml:space="preserve">ISLAMOVA GO’ZAL ZOIR QIZI</t>
        </is>
      </c>
      <c r="F70" s="100" t="inlineStr">
        <is>
          <t xml:space="preserve">998774512156 SMS, 998950414100 SMS, 998958824000 SMS,</t>
        </is>
      </c>
      <c r="G70" s="100" t="inlineStr">
        <is>
          <t xml:space="preserve">ОСМОНСОЙ ҚФЙ, ОСМОНСОЙ ҚФЙ, УРТАКИШЛОК КИШЛОГИ,  uy:РАКАМСИЗ</t>
        </is>
      </c>
      <c r="I70" s="101">
        <v>452412.95</v>
      </c>
      <c r="K70" s="100" t="inlineStr">
        <is>
          <t xml:space="preserve">Va'da berdi | bugun kecgaca yopadi</t>
        </is>
      </c>
    </row>
    <row r="71">
      <c r="A71" s="100" t="inlineStr">
        <is>
          <t xml:space="preserve">ЖИЗЗАХ ВИЛОЯТИ</t>
        </is>
      </c>
      <c r="C71" s="100" t="inlineStr">
        <is>
          <t xml:space="preserve">Обещал</t>
        </is>
      </c>
      <c r="D71" s="100" t="inlineStr">
        <is>
          <t xml:space="preserve">Кр-99034148-3</t>
        </is>
      </c>
      <c r="E71" s="100" t="inlineStr">
        <is>
          <t xml:space="preserve">SAYFUTDINOVA GAVXAR SHUXRATOVNA</t>
        </is>
      </c>
      <c r="F71" s="100" t="inlineStr">
        <is>
          <t xml:space="preserve">998903111016 SMS OZI, 998976480208 SMS ERI TOLOVCHI, 998912093311 SMS HAMKASBI, 998712267815 SMS UY,</t>
        </is>
      </c>
      <c r="G71" s="100" t="inlineStr">
        <is>
          <t xml:space="preserve">JIZZAX VILOYATI SH.RASHIDOV TUMANI ZIYOKOR QFY M.ESHONQULOV KUCHASI 125-UY </t>
        </is>
      </c>
      <c r="H71" s="101">
        <v>8.0</v>
      </c>
      <c r="I71" s="101">
        <v>397223.7</v>
      </c>
      <c r="K71" s="100" t="inlineStr">
        <is>
          <t xml:space="preserve">Va'da berdi | bugun tulaydi</t>
        </is>
      </c>
    </row>
    <row r="72">
      <c r="A72" s="100" t="inlineStr">
        <is>
          <t xml:space="preserve">ЖИЗЗАХ ВИЛОЯТИ</t>
        </is>
      </c>
      <c r="C72" s="100" t="inlineStr">
        <is>
          <t xml:space="preserve">Обещал</t>
        </is>
      </c>
      <c r="D72" s="100" t="inlineStr">
        <is>
          <t xml:space="preserve">Кр-99025940-2</t>
        </is>
      </c>
      <c r="E72" s="100" t="inlineStr">
        <is>
          <t xml:space="preserve">XAYRULLAYEV MUXAMMAD FAYZULLAYEVICH</t>
        </is>
      </c>
      <c r="F72" s="100" t="inlineStr">
        <is>
          <t xml:space="preserve">97-129-10-83 SMS UZI, 99-566-22-10 SMS UZI 2, 98-561-10-12 SMS TULOVCHI, 998995610220 SMS O’ZI SHUNGA QILINSIN,</t>
        </is>
      </c>
      <c r="G72" s="100" t="inlineStr">
        <is>
          <t xml:space="preserve">КУЛАМА ҚФЙ, МУЛКАНЛИК МФЙ, ЛОЙИХАДАГИ КЎЧА,  uy:60</t>
        </is>
      </c>
      <c r="I72" s="101">
        <v>285394.68</v>
      </c>
      <c r="K72" s="100" t="inlineStr">
        <is>
          <t xml:space="preserve">Va'da berdi | 7gaca yopadi</t>
        </is>
      </c>
    </row>
    <row r="73">
      <c r="A73" s="102" t="inlineStr">
        <is>
          <t xml:space="preserve">КАШКАДАРЁ ВИЛОЯТИ</t>
        </is>
      </c>
      <c r="B73" s="102" t="inlineStr">
        <is>
          <t xml:space="preserve">SUPER BRANCH</t>
        </is>
      </c>
      <c r="C73" s="102" t="inlineStr">
        <is>
          <t xml:space="preserve">Обещал</t>
        </is>
      </c>
      <c r="D73" s="102" t="inlineStr">
        <is>
          <t xml:space="preserve">Кр-99036435-3</t>
        </is>
      </c>
      <c r="E73" s="102" t="inlineStr">
        <is>
          <t xml:space="preserve">JO’RAQULOV MANSUR QULMUROT O’G’LI</t>
        </is>
      </c>
      <c r="F73" s="102" t="inlineStr">
        <is>
          <t xml:space="preserve">998997330311 SMS O’ZI, 998333400311 SMS AYOLI, 998942976783 SMS O’ZI 2, 998881365522 SMS UKASI ,</t>
        </is>
      </c>
      <c r="G73" s="102" t="inlineStr">
        <is>
          <t xml:space="preserve">ЧИРОКЧИ МФЙ, ЧИРОКЧИ,  uy:Р/С</t>
        </is>
      </c>
      <c r="H73" s="103">
        <v>11.0</v>
      </c>
      <c r="I73" s="103">
        <v>17370593.08</v>
      </c>
      <c r="K73" s="102" t="inlineStr">
        <is>
          <t xml:space="preserve">Va'da berdi | 20 da to'lov qiladi</t>
        </is>
      </c>
    </row>
    <row r="74">
      <c r="A74" s="102" t="inlineStr">
        <is>
          <t xml:space="preserve">КАШКАДАРЁ ВИЛОЯТИ</t>
        </is>
      </c>
      <c r="B74" s="102" t="inlineStr">
        <is>
          <t xml:space="preserve">SUPER BRANCH</t>
        </is>
      </c>
      <c r="C74" s="102" t="inlineStr">
        <is>
          <t xml:space="preserve">Обещал</t>
        </is>
      </c>
      <c r="D74" s="102" t="inlineStr">
        <is>
          <t xml:space="preserve">Кр-99060317-1</t>
        </is>
      </c>
      <c r="E74" s="102" t="inlineStr">
        <is>
          <t xml:space="preserve">NAFASOV ASADBEK VALIJON O’G’LI</t>
        </is>
      </c>
      <c r="F74" s="102" t="inlineStr">
        <is>
          <t xml:space="preserve">998973852277 SMS OZI, 998886191100 SMS AYOLI, 998770994440 SMS DADASI, 998886195000 SMS ONASI,</t>
        </is>
      </c>
      <c r="G74" s="102" t="inlineStr">
        <is>
          <t xml:space="preserve">QASHQADARYO VILOYATI YAKKABOG’ TUMANI ISTIQLOL MFY OLAQARG’A QISHLOG’I</t>
        </is>
      </c>
      <c r="H74" s="103">
        <v>11.0</v>
      </c>
      <c r="I74" s="103">
        <v>11559192.93</v>
      </c>
      <c r="K74" s="102" t="inlineStr">
        <is>
          <t xml:space="preserve">Va'da berdi | payshanba kuni</t>
        </is>
      </c>
    </row>
    <row r="75">
      <c r="A75" s="102" t="inlineStr">
        <is>
          <t xml:space="preserve">КАШКАДАРЁ ВИЛОЯТИ</t>
        </is>
      </c>
      <c r="B75" s="102" t="inlineStr">
        <is>
          <t xml:space="preserve">SUPER BRANCH</t>
        </is>
      </c>
      <c r="C75" s="102" t="inlineStr">
        <is>
          <t xml:space="preserve">Обещал</t>
        </is>
      </c>
      <c r="D75" s="102" t="inlineStr">
        <is>
          <t xml:space="preserve">Кр-99059908-1</t>
        </is>
      </c>
      <c r="E75" s="102" t="inlineStr">
        <is>
          <t xml:space="preserve">MURODOV BEGZOD ZOIDOVICH</t>
        </is>
      </c>
      <c r="F75" s="102" t="inlineStr">
        <is>
          <t xml:space="preserve">998500721265 SMS OZI, 998509098588 SMS ONASI (BEGONA), 998976194411 SMS OTASI, 998977088588 SMS ASKASI, 998509098525 SMS UZI NEW,</t>
        </is>
      </c>
      <c r="G75" s="102" t="inlineStr">
        <is>
          <t xml:space="preserve">QASHQADARYO VILOYATI KITOB TUMANI CHARMGAR MFY SAYILGOH KO’CHASI 3-UY</t>
        </is>
      </c>
      <c r="H75" s="103">
        <v>11.0</v>
      </c>
      <c r="I75" s="103">
        <v>7888733.51</v>
      </c>
      <c r="K75" s="102" t="inlineStr">
        <is>
          <t xml:space="preserve">Va'da berdi | bugun</t>
        </is>
      </c>
    </row>
    <row r="76">
      <c r="A76" s="102" t="inlineStr">
        <is>
          <t xml:space="preserve">КАШКАДАРЁ ВИЛОЯТИ</t>
        </is>
      </c>
      <c r="B76" s="102" t="inlineStr">
        <is>
          <t xml:space="preserve">SUPER BRANCH</t>
        </is>
      </c>
      <c r="C76" s="102" t="inlineStr">
        <is>
          <t xml:space="preserve">Обещал</t>
        </is>
      </c>
      <c r="D76" s="102" t="inlineStr">
        <is>
          <t xml:space="preserve">Кр-99034170-3</t>
        </is>
      </c>
      <c r="E76" s="102" t="inlineStr">
        <is>
          <t xml:space="preserve">YUSUPOV OBID XOMETOVICH</t>
        </is>
      </c>
      <c r="F76" s="102" t="inlineStr">
        <is>
          <t xml:space="preserve">998883831111 SMS O’ZI, 998973871111 SMS O’G’LI, 998973801991 SMS UKASI, 998912621111 SMS AKASI,</t>
        </is>
      </c>
      <c r="G76" s="102" t="inlineStr">
        <is>
          <t xml:space="preserve">QASHQADARYO VILOYATI SHAXRISABZ TUMANI XONTEPA MFY SHUKRONA 32 UY</t>
        </is>
      </c>
      <c r="H76" s="103">
        <v>8.0</v>
      </c>
      <c r="I76" s="103">
        <v>5852440.86</v>
      </c>
      <c r="K76" s="102" t="inlineStr">
        <is>
          <t xml:space="preserve">Va'da berdi | oylik tushadi xozir to'liman deb</t>
        </is>
      </c>
    </row>
    <row r="77">
      <c r="A77" s="102" t="inlineStr">
        <is>
          <t xml:space="preserve">КАШКАДАРЁ ВИЛОЯТИ</t>
        </is>
      </c>
      <c r="B77" s="102" t="inlineStr">
        <is>
          <t xml:space="preserve">SUPER BRANCH</t>
        </is>
      </c>
      <c r="C77" s="102" t="inlineStr">
        <is>
          <t xml:space="preserve">Обещал</t>
        </is>
      </c>
      <c r="D77" s="102" t="inlineStr">
        <is>
          <t xml:space="preserve">Кр-99062658-1</t>
        </is>
      </c>
      <c r="E77" s="102" t="inlineStr">
        <is>
          <t xml:space="preserve">AVAZOV SHOXRUX ASADULLOYEVICH</t>
        </is>
      </c>
      <c r="F77" s="102" t="inlineStr">
        <is>
          <t xml:space="preserve">998918871711 OZI QAYNI UKASI, 998945240302 ONASI, 998507181711 UKASI, 998942911001 O'ZI TO'LOVCHI,</t>
        </is>
      </c>
      <c r="G77" s="102" t="inlineStr">
        <is>
          <t xml:space="preserve">QASHQADARYO VILOYATI KASBI TUMANI XO’JAKASBI MFY 3-G’ALLAKORLAR KO’CHASI 2-UY</t>
        </is>
      </c>
      <c r="H77" s="103">
        <v>8.0</v>
      </c>
      <c r="I77" s="103">
        <v>5841569.48</v>
      </c>
      <c r="K77" s="102" t="inlineStr">
        <is>
          <t xml:space="preserve">Va'da berdi | payshanba kuni</t>
        </is>
      </c>
    </row>
    <row r="78">
      <c r="A78" s="102" t="inlineStr">
        <is>
          <t xml:space="preserve">КАШКАДАРЁ ВИЛОЯТИ</t>
        </is>
      </c>
      <c r="B78" s="102" t="inlineStr">
        <is>
          <t xml:space="preserve">SUPER BRANCH</t>
        </is>
      </c>
      <c r="C78" s="102" t="inlineStr">
        <is>
          <t xml:space="preserve">Обещал</t>
        </is>
      </c>
      <c r="D78" s="102" t="inlineStr">
        <is>
          <t xml:space="preserve">Кр-99063528-1</t>
        </is>
      </c>
      <c r="E78" s="102" t="inlineStr">
        <is>
          <t xml:space="preserve">SHODMONOV SHERZOD O’KTAM O’G’LI</t>
        </is>
      </c>
      <c r="F78" s="102" t="inlineStr">
        <is>
          <t xml:space="preserve">998970660077 sms uzi, 998973890077 sms uzi2, 998981001601 sms uzi3,</t>
        </is>
      </c>
      <c r="G78" s="102" t="inlineStr">
        <is>
          <t xml:space="preserve">ЗАРБДОР МФЙ, РОВОТ,  uy:Р/С,</t>
        </is>
      </c>
      <c r="H78" s="103">
        <v>8.0</v>
      </c>
      <c r="I78" s="103">
        <v>4733988.75</v>
      </c>
      <c r="K78" s="102" t="inlineStr">
        <is>
          <t xml:space="preserve">Va'da berdi | 15:00 tolov ammalga oshiriladi</t>
        </is>
      </c>
    </row>
    <row r="79">
      <c r="A79" s="102" t="inlineStr">
        <is>
          <t xml:space="preserve">КАШКАДАРЁ ВИЛОЯТИ</t>
        </is>
      </c>
      <c r="B79" s="102" t="inlineStr">
        <is>
          <t xml:space="preserve">SUPER BRANCH</t>
        </is>
      </c>
      <c r="C79" s="102" t="inlineStr">
        <is>
          <t xml:space="preserve">Обещал</t>
        </is>
      </c>
      <c r="D79" s="102" t="inlineStr">
        <is>
          <t xml:space="preserve">Кр-99062537-1</t>
        </is>
      </c>
      <c r="E79" s="102" t="inlineStr">
        <is>
          <t xml:space="preserve">RAXMONOV AZIZJON AZIMJON O’G’LI</t>
        </is>
      </c>
      <c r="F79" s="102" t="inlineStr">
        <is>
          <t xml:space="preserve">998881270813 ozi, 998773201114 ayoli, 998993820813 dadasi,</t>
        </is>
      </c>
      <c r="G79" s="102" t="inlineStr">
        <is>
          <t xml:space="preserve">QASHQADARYO VILOYATI KASBI TUMANI TALLIYULG’UN MFY TALLIYULG’UN QISHLOG’I</t>
        </is>
      </c>
      <c r="H79" s="103">
        <v>8.0</v>
      </c>
      <c r="I79" s="103">
        <v>3449858.25</v>
      </c>
      <c r="K79" s="102" t="inlineStr">
        <is>
          <t xml:space="preserve">Va'da berdi | ertaga to'lom ammalga oshadi</t>
        </is>
      </c>
    </row>
    <row r="80">
      <c r="A80" s="102" t="inlineStr">
        <is>
          <t xml:space="preserve">КАШКАДАРЁ ВИЛОЯТИ</t>
        </is>
      </c>
      <c r="B80" s="102" t="inlineStr">
        <is>
          <t xml:space="preserve">SUPER BRANCH</t>
        </is>
      </c>
      <c r="C80" s="102" t="inlineStr">
        <is>
          <t xml:space="preserve">Обещал</t>
        </is>
      </c>
      <c r="D80" s="102" t="inlineStr">
        <is>
          <t xml:space="preserve">Кр-99054733-1</t>
        </is>
      </c>
      <c r="E80" s="102" t="inlineStr">
        <is>
          <t xml:space="preserve">OCHILOV DUSTMUROD FAXRIDINOVICH</t>
        </is>
      </c>
      <c r="F80" s="102" t="inlineStr">
        <is>
          <t xml:space="preserve">998913976071 SMSOZ, 998999442521 SMS AYOLI, 998996848798 SMS DADASI, 998916333232 SMS TO'LOVCHI ,</t>
        </is>
      </c>
      <c r="G80" s="102" t="inlineStr">
        <is>
          <t xml:space="preserve">QASHQADARYO VILOYATI KOSON TUMANI MASHAL MFY FUSUNKOR KUCHASI 1-1 UY 5-XONADON</t>
        </is>
      </c>
      <c r="H80" s="103">
        <v>8.0</v>
      </c>
      <c r="I80" s="103">
        <v>3324027.43</v>
      </c>
      <c r="K80" s="102" t="inlineStr">
        <is>
          <t xml:space="preserve">Va'da berdi | ERTAGA FILYALGA KELADI</t>
        </is>
      </c>
    </row>
    <row r="81">
      <c r="A81" s="102" t="inlineStr">
        <is>
          <t xml:space="preserve">КАШКАДАРЁ ВИЛОЯТИ</t>
        </is>
      </c>
      <c r="B81" s="102" t="inlineStr">
        <is>
          <t xml:space="preserve">SUPER BRANCH</t>
        </is>
      </c>
      <c r="C81" s="102" t="inlineStr">
        <is>
          <t xml:space="preserve">Обещал</t>
        </is>
      </c>
      <c r="D81" s="102" t="inlineStr">
        <is>
          <t xml:space="preserve">Кр-99022781-4</t>
        </is>
      </c>
      <c r="E81" s="102" t="inlineStr">
        <is>
          <t xml:space="preserve">SHARAPOV ABDULLO ZIYODULLO O’G’LI</t>
        </is>
      </c>
      <c r="F81" s="102" t="inlineStr">
        <is>
          <t xml:space="preserve">90-505-02-07 SMS UZI, 91-553-02-07  SMS UZI 2, 91-522-09-87  SMS AKASI, 90-877-79-67  SMS AYOLI, 90-114-03-26  SMS ortog'i shunga tel qlila , 998978080207 UZI NEWW,</t>
        </is>
      </c>
      <c r="G81" s="102" t="inlineStr">
        <is>
          <t xml:space="preserve">QASHQADARYO VILOYATI KITOB TUMANI KATLOS MFY TUL QISHLOG’I 36-UY</t>
        </is>
      </c>
      <c r="H81" s="103">
        <v>8.0</v>
      </c>
      <c r="I81" s="103">
        <v>2438718.09</v>
      </c>
      <c r="K81" s="102" t="inlineStr">
        <is>
          <t xml:space="preserve">Va'da berdi | bugun to'liman dedi</t>
        </is>
      </c>
    </row>
    <row r="82">
      <c r="A82" s="102" t="inlineStr">
        <is>
          <t xml:space="preserve">КАШКАДАРЁ ВИЛОЯТИ</t>
        </is>
      </c>
      <c r="B82" s="102" t="inlineStr">
        <is>
          <t xml:space="preserve">SUPER BRANCH</t>
        </is>
      </c>
      <c r="C82" s="102" t="inlineStr">
        <is>
          <t xml:space="preserve">Обещал</t>
        </is>
      </c>
      <c r="D82" s="102" t="inlineStr">
        <is>
          <t xml:space="preserve">Кр-99033686-1</t>
        </is>
      </c>
      <c r="E82" s="102" t="inlineStr">
        <is>
          <t xml:space="preserve">CHORIYEVA SHOHNOZA ABDURASHIDOVNA</t>
        </is>
      </c>
      <c r="F82" s="102" t="inlineStr">
        <is>
          <t xml:space="preserve">998957777748 узи, 998932222234 аели, 998991289300 дадаси, 998990405493 онаси,</t>
        </is>
      </c>
      <c r="G82" s="102" t="inlineStr">
        <is>
          <t xml:space="preserve">QASHQADARYO VILOYATI DEHQONOBOD TUMANI QURG’ONTOSH MFY GALA KUCHASI 100-UY</t>
        </is>
      </c>
      <c r="H82" s="103">
        <v>8.0</v>
      </c>
      <c r="I82" s="103">
        <v>2202881.19</v>
      </c>
      <c r="K82" s="102" t="inlineStr">
        <is>
          <t xml:space="preserve">Va'da berdi | ertaga akasi keladi yopvorad navoiyda kamndrofkada akasi</t>
        </is>
      </c>
    </row>
    <row r="83">
      <c r="A83" s="102" t="inlineStr">
        <is>
          <t xml:space="preserve">КАШКАДАРЁ ВИЛОЯТИ</t>
        </is>
      </c>
      <c r="B83" s="102" t="inlineStr">
        <is>
          <t xml:space="preserve">SUPER BRANCH</t>
        </is>
      </c>
      <c r="C83" s="102" t="inlineStr">
        <is>
          <t xml:space="preserve">Обещал</t>
        </is>
      </c>
      <c r="D83" s="102" t="inlineStr">
        <is>
          <t xml:space="preserve">Кр-99035132-1</t>
        </is>
      </c>
      <c r="E83" s="102" t="inlineStr">
        <is>
          <t xml:space="preserve">OCHILOV OYBEK ISROIL O’G’LI</t>
        </is>
      </c>
      <c r="F83" s="102" t="inlineStr">
        <is>
          <t xml:space="preserve">998995008899  SMS O’ZI , 998507575193 SMS UKASI , 998500011995 SMS OILASI , 998507575293  SMS UKASI 2, 998972230068 SMS DADASI,</t>
        </is>
      </c>
      <c r="G83" s="102" t="inlineStr">
        <is>
          <t xml:space="preserve">QASHQADARYO VILOYATI KOSON TUMANI USHOKTEPA MFY USHOKTEPA KUCHASI 21 UY</t>
        </is>
      </c>
      <c r="H83" s="103">
        <v>6.0</v>
      </c>
      <c r="I83" s="103">
        <v>2196036.81</v>
      </c>
      <c r="K83" s="102" t="inlineStr">
        <is>
          <t xml:space="preserve">Va'da berdi | payshanba kuni to'liman dedi</t>
        </is>
      </c>
    </row>
    <row r="84">
      <c r="A84" s="102" t="inlineStr">
        <is>
          <t xml:space="preserve">КАШКАДАРЁ ВИЛОЯТИ</t>
        </is>
      </c>
      <c r="B84" s="102" t="inlineStr">
        <is>
          <t xml:space="preserve">SUPER BRANCH</t>
        </is>
      </c>
      <c r="C84" s="102" t="inlineStr">
        <is>
          <t xml:space="preserve">Обещал</t>
        </is>
      </c>
      <c r="D84" s="102" t="inlineStr">
        <is>
          <t xml:space="preserve">Кр-99031215-3</t>
        </is>
      </c>
      <c r="E84" s="102" t="inlineStr">
        <is>
          <t xml:space="preserve">SULTONOV XASAN ORIF O’G’LI</t>
        </is>
      </c>
      <c r="F84" s="102" t="inlineStr">
        <is>
          <t xml:space="preserve">88-360-05-05  SMS O’ZI, 99-587-55-51  SMS UY, 91-216-71-34  SMS ONASI, 90-899-71-68  SMS DADASI,</t>
        </is>
      </c>
      <c r="G84" s="102" t="inlineStr">
        <is>
          <t xml:space="preserve">QASHQADARYO VILOYATI QAMASHI TUMANI BERDOLI MFY BERDOLI KO’CHASI 198-UY</t>
        </is>
      </c>
      <c r="H84" s="103">
        <v>8.0</v>
      </c>
      <c r="I84" s="103">
        <v>1801308.83</v>
      </c>
      <c r="K84" s="102" t="inlineStr">
        <is>
          <t xml:space="preserve">Va'da berdi | qisman to'lov qildi</t>
        </is>
      </c>
    </row>
    <row r="85">
      <c r="A85" s="102" t="inlineStr">
        <is>
          <t xml:space="preserve">КАШКАДАРЁ ВИЛОЯТИ</t>
        </is>
      </c>
      <c r="B85" s="102" t="inlineStr">
        <is>
          <t xml:space="preserve">SUPER BRANCH</t>
        </is>
      </c>
      <c r="C85" s="102" t="inlineStr">
        <is>
          <t xml:space="preserve">Обещал</t>
        </is>
      </c>
      <c r="D85" s="102" t="inlineStr">
        <is>
          <t xml:space="preserve">Кр-99033487-3</t>
        </is>
      </c>
      <c r="E85" s="102" t="inlineStr">
        <is>
          <t xml:space="preserve">SHODMONOVA BAXTIGUL ABDIQAYUM QIZI</t>
        </is>
      </c>
      <c r="F85" s="102" t="inlineStr">
        <is>
          <t xml:space="preserve">998908957040 SMS O’ZI, 998908797040 SMS OILASI, 998935250601 SMS, 998995719343 SMS, 998955556474 SMS TO'LOVCHI FAQAT SHUNGA QILINSIN, 998973102809 SMS Eldor tolovchi,</t>
        </is>
      </c>
      <c r="G85" s="102" t="inlineStr">
        <is>
          <t xml:space="preserve">QASHQADARYO VILOYATI QARSHI TUMANI PATRON MFY PATRON QISHLOG’I 112-UY</t>
        </is>
      </c>
      <c r="H85" s="103">
        <v>8.0</v>
      </c>
      <c r="I85" s="103">
        <v>1386613.36</v>
      </c>
      <c r="K85" s="102" t="inlineStr">
        <is>
          <t xml:space="preserve">Va'da berdi | juma kun to'lov qiladi</t>
        </is>
      </c>
    </row>
    <row r="86">
      <c r="A86" s="102" t="inlineStr">
        <is>
          <t xml:space="preserve">КАШКАДАРЁ ВИЛОЯТИ</t>
        </is>
      </c>
      <c r="B86" s="102" t="inlineStr">
        <is>
          <t xml:space="preserve">SUPER BRANCH</t>
        </is>
      </c>
      <c r="C86" s="102" t="inlineStr">
        <is>
          <t xml:space="preserve">Обещал</t>
        </is>
      </c>
      <c r="D86" s="102" t="inlineStr">
        <is>
          <t xml:space="preserve">Кр-99035313-2</t>
        </is>
      </c>
      <c r="E86" s="102" t="inlineStr">
        <is>
          <t xml:space="preserve">OMONOV RO’YIDDIN ADASH O’G’LI</t>
        </is>
      </c>
      <c r="F86" s="102" t="inlineStr">
        <is>
          <t xml:space="preserve">998906167214 SMS OILASI, 998913830559 SMS AKASI  UZIII TO'LOVCHI, 998993830559 SMS OILASI, 998914682525 SMS UKASI (POCHCHASI),</t>
        </is>
      </c>
      <c r="G86" s="102" t="inlineStr">
        <is>
          <t xml:space="preserve">QASHQADARYO VILOYATI QARSHI TUMANI TINCHLIK MFY PARMITON QISHLOG’I 13-UY</t>
        </is>
      </c>
      <c r="H86" s="103">
        <v>1.0</v>
      </c>
      <c r="I86" s="103">
        <v>999946.2</v>
      </c>
      <c r="K86" s="102" t="inlineStr">
        <is>
          <t xml:space="preserve">Va'da berdi | ertaga to'liman dedi</t>
        </is>
      </c>
    </row>
    <row r="87">
      <c r="A87" s="102" t="inlineStr">
        <is>
          <t xml:space="preserve">КАШКАДАРЁ ВИЛОЯТИ</t>
        </is>
      </c>
      <c r="B87" s="102" t="inlineStr">
        <is>
          <t xml:space="preserve">SUPER BRANCH</t>
        </is>
      </c>
      <c r="C87" s="102" t="inlineStr">
        <is>
          <t xml:space="preserve">Обещал</t>
        </is>
      </c>
      <c r="D87" s="102" t="inlineStr">
        <is>
          <t xml:space="preserve">Кр-99031215-2</t>
        </is>
      </c>
      <c r="E87" s="102" t="inlineStr">
        <is>
          <t xml:space="preserve">SULTONOV XASAN ORIF O’G’LI</t>
        </is>
      </c>
      <c r="F87" s="102" t="inlineStr">
        <is>
          <t xml:space="preserve">88-360-05-05  SMS O’ZI, 99-587-55-51  SMS UY, 91-216-71-34  SMS ONASI, 90-899-71-68  SMS DADASI,</t>
        </is>
      </c>
      <c r="G87" s="102" t="inlineStr">
        <is>
          <t xml:space="preserve">QASHQADARYO VILOYATI QAMASHI TUMANI BERDOLI MFY BERDOLI KO’CHASI 198-UY</t>
        </is>
      </c>
      <c r="H87" s="103">
        <v>8.0</v>
      </c>
      <c r="I87" s="103">
        <v>847086.54</v>
      </c>
      <c r="K87" s="102" t="inlineStr">
        <is>
          <t xml:space="preserve">Va'da berdi | qisman to'lov qildi</t>
        </is>
      </c>
    </row>
    <row r="88">
      <c r="A88" s="102" t="inlineStr">
        <is>
          <t xml:space="preserve">КАШКАДАРЁ ВИЛОЯТИ</t>
        </is>
      </c>
      <c r="B88" s="102" t="inlineStr">
        <is>
          <t xml:space="preserve">SUPER BRANCH</t>
        </is>
      </c>
      <c r="C88" s="102" t="inlineStr">
        <is>
          <t xml:space="preserve">Обещал</t>
        </is>
      </c>
      <c r="D88" s="102" t="inlineStr">
        <is>
          <t xml:space="preserve">Кр-99057087-1</t>
        </is>
      </c>
      <c r="E88" s="102" t="inlineStr">
        <is>
          <t xml:space="preserve">XAYITOV ZIKIR SHERKULOVICH</t>
        </is>
      </c>
      <c r="F88" s="102" t="inlineStr">
        <is>
          <t xml:space="preserve">998992669600 SMS OZI, 998934260277 SMS AYOLI, 998932305610 SMS UKASI, 998944826069 OG'LI TULOVCHI SHU,</t>
        </is>
      </c>
      <c r="G88" s="102" t="inlineStr">
        <is>
          <t xml:space="preserve">QASHQADARYO VILOYATI KOSON TUMANI MULALI MFY KORABAYIR KUCHASI 11-UY</t>
        </is>
      </c>
      <c r="H88" s="103">
        <v>8.0</v>
      </c>
      <c r="I88" s="103">
        <v>132078.6</v>
      </c>
      <c r="K88" s="102" t="inlineStr">
        <is>
          <t xml:space="preserve">Va'da berdi</t>
        </is>
      </c>
    </row>
    <row r="89">
      <c r="A89" s="104" t="inlineStr">
        <is>
          <t xml:space="preserve">КАШКАДАРЁ ВИЛОЯТИ</t>
        </is>
      </c>
      <c r="B89" s="104" t="inlineStr">
        <is>
          <t xml:space="preserve">Қарши филиали</t>
        </is>
      </c>
      <c r="C89" s="104" t="inlineStr">
        <is>
          <t xml:space="preserve">Обещал</t>
        </is>
      </c>
      <c r="D89" s="104" t="inlineStr">
        <is>
          <t xml:space="preserve">Кр-99063705-1</t>
        </is>
      </c>
      <c r="E89" s="104" t="inlineStr">
        <is>
          <t xml:space="preserve">ABADOV DOSTON RUSTAM O’G’LI</t>
        </is>
      </c>
      <c r="F89" s="104" t="inlineStr">
        <is>
          <t xml:space="preserve">+998701208881 SMS O'ZI, 998702198484 SMS , 998918127626 SMS,</t>
        </is>
      </c>
      <c r="G89" s="104" t="inlineStr">
        <is>
          <t xml:space="preserve">КАШКАДАРЁ ВИЛОЯТИ КАРШИ ТУМАНИ УЗУМЗОР МФЙ ЛАГАНДИ КИШЛОГИ 2/18 УЙ</t>
        </is>
      </c>
      <c r="H89" s="105">
        <v>8.0</v>
      </c>
      <c r="I89" s="105">
        <v>9347812.8</v>
      </c>
      <c r="K89" s="104" t="inlineStr">
        <is>
          <t xml:space="preserve">Va'da berdi | 15:00 gacha tolaniladi</t>
        </is>
      </c>
    </row>
    <row r="90">
      <c r="A90" s="104" t="inlineStr">
        <is>
          <t xml:space="preserve">КАШКАДАРЁ ВИЛОЯТИ</t>
        </is>
      </c>
      <c r="B90" s="104" t="inlineStr">
        <is>
          <t xml:space="preserve">Қарши филиали</t>
        </is>
      </c>
      <c r="C90" s="104" t="inlineStr">
        <is>
          <t xml:space="preserve">Обещал</t>
        </is>
      </c>
      <c r="D90" s="104" t="inlineStr">
        <is>
          <t xml:space="preserve">Кр-99035313-4</t>
        </is>
      </c>
      <c r="E90" s="104" t="inlineStr">
        <is>
          <t xml:space="preserve">OMONOV RO’YIDDIN ADASH O’G’LI</t>
        </is>
      </c>
      <c r="F90" s="104" t="inlineStr">
        <is>
          <t xml:space="preserve">998906167214 SMS OILASI, 998913830559 SMS AKASI  UZIII TO'LOVCHI, 998993830559 SMS OILASI, 998914682525 SMS UKASI (POCHCHASI),</t>
        </is>
      </c>
      <c r="G90" s="104" t="inlineStr">
        <is>
          <t xml:space="preserve">QASHQADARYO VILOYATI QARSHI TUMANI TINCHLIK MFY PARMITON QISHLOG’I 13-UY</t>
        </is>
      </c>
      <c r="H90" s="105">
        <v>8.0</v>
      </c>
      <c r="I90" s="105">
        <v>3262800.28</v>
      </c>
      <c r="K90" s="104" t="inlineStr">
        <is>
          <t xml:space="preserve">Va'da berdi | ertaga to'liman dedi</t>
        </is>
      </c>
    </row>
    <row r="91">
      <c r="A91" s="104" t="inlineStr">
        <is>
          <t xml:space="preserve">КАШКАДАРЁ ВИЛОЯТИ</t>
        </is>
      </c>
      <c r="B91" s="104" t="inlineStr">
        <is>
          <t xml:space="preserve">Қарши филиали</t>
        </is>
      </c>
      <c r="C91" s="104" t="inlineStr">
        <is>
          <t xml:space="preserve">Обещал</t>
        </is>
      </c>
      <c r="D91" s="104" t="inlineStr">
        <is>
          <t xml:space="preserve">Кр-99032971-3</t>
        </is>
      </c>
      <c r="E91" s="104" t="inlineStr">
        <is>
          <t xml:space="preserve">SHODIYEV NAMOZ ERKIN O’G’LI</t>
        </is>
      </c>
      <c r="F91" s="104" t="inlineStr">
        <is>
          <t xml:space="preserve">998900111050 SMS O’ZI, 998332232320 SMS UY, 998882911130 SMS BEGONA, 998990400306 SMS Ozi, 998973125615 SMS AMAKISINI O'G'LI,</t>
        </is>
      </c>
      <c r="G91" s="104" t="inlineStr">
        <is>
          <t xml:space="preserve">QASHQADARYO VILOYATI MUBORAK TUMANI PAXTAKOR MFY QARLIQ QISHLOG’I 7-UY</t>
        </is>
      </c>
      <c r="H91" s="105">
        <v>8.0</v>
      </c>
      <c r="I91" s="105">
        <v>3227314.5</v>
      </c>
      <c r="K91" s="104" t="inlineStr">
        <is>
          <t xml:space="preserve">Va'da berdi | ertaga abetgacha yopvoradi</t>
        </is>
      </c>
    </row>
    <row r="92">
      <c r="A92" s="104" t="inlineStr">
        <is>
          <t xml:space="preserve">КАШКАДАРЁ ВИЛОЯТИ</t>
        </is>
      </c>
      <c r="B92" s="104" t="inlineStr">
        <is>
          <t xml:space="preserve">Қарши филиали</t>
        </is>
      </c>
      <c r="C92" s="104" t="inlineStr">
        <is>
          <t xml:space="preserve">Обещал</t>
        </is>
      </c>
      <c r="D92" s="104" t="inlineStr">
        <is>
          <t xml:space="preserve">Кр-99063942-1</t>
        </is>
      </c>
      <c r="E92" s="104" t="inlineStr">
        <is>
          <t xml:space="preserve">TO’LAYEV MIRJALOL MUZAFFARJON O’G’LI</t>
        </is>
      </c>
      <c r="F92" s="104" t="inlineStr">
        <is>
          <t xml:space="preserve">+998883110080 SMS, 998771727141 SMS, 998889518080 SMS,</t>
        </is>
      </c>
      <c r="G92" s="104" t="inlineStr">
        <is>
          <t xml:space="preserve">КАШКАДАРЁ ВИЛОЯТИ ГУЗОР ТУМАНИ ШЕРАЛИ МФЙ ХАЛКАБОД КИШЛОГИ</t>
        </is>
      </c>
      <c r="H92" s="105">
        <v>8.0</v>
      </c>
      <c r="I92" s="105">
        <v>2343568.42</v>
      </c>
      <c r="K92" s="104" t="inlineStr">
        <is>
          <t xml:space="preserve">Va'da berdi | 16:00:00</t>
        </is>
      </c>
    </row>
    <row r="93">
      <c r="A93" s="104" t="inlineStr">
        <is>
          <t xml:space="preserve">КАШКАДАРЁ ВИЛОЯТИ</t>
        </is>
      </c>
      <c r="B93" s="104" t="inlineStr">
        <is>
          <t xml:space="preserve">Қарши филиали</t>
        </is>
      </c>
      <c r="C93" s="104" t="inlineStr">
        <is>
          <t xml:space="preserve">Обещал</t>
        </is>
      </c>
      <c r="D93" s="104" t="inlineStr">
        <is>
          <t xml:space="preserve">Кр-99050434-2</t>
        </is>
      </c>
      <c r="E93" s="104" t="inlineStr">
        <is>
          <t xml:space="preserve">SHAMSIYEV MEHRIDIN TUBLI O’G’LI</t>
        </is>
      </c>
      <c r="F93" s="104" t="inlineStr">
        <is>
          <t xml:space="preserve">+998973876569 SMS UZI, 998970057479 SMS UKASI, 998975196569 SMS  BEGONA,</t>
        </is>
      </c>
      <c r="G93" s="104" t="inlineStr">
        <is>
          <t xml:space="preserve">КАШКАДАРЁ ВИЛОЯТИ КОСОН ТУМАНИ ESABOY MFY ESABOY QISHLOG’I 11 UY</t>
        </is>
      </c>
      <c r="H93" s="105">
        <v>8.0</v>
      </c>
      <c r="I93" s="105">
        <v>2249207.72</v>
      </c>
      <c r="K93" s="104" t="inlineStr">
        <is>
          <t xml:space="preserve">Va'da berdi | ERATAGA TOLOV OTADI</t>
        </is>
      </c>
    </row>
    <row r="94">
      <c r="A94" s="104" t="inlineStr">
        <is>
          <t xml:space="preserve">КАШКАДАРЁ ВИЛОЯТИ</t>
        </is>
      </c>
      <c r="B94" s="104" t="inlineStr">
        <is>
          <t xml:space="preserve">Қарши филиали</t>
        </is>
      </c>
      <c r="C94" s="104" t="inlineStr">
        <is>
          <t xml:space="preserve">Обещал</t>
        </is>
      </c>
      <c r="D94" s="104" t="inlineStr">
        <is>
          <t xml:space="preserve">Кр-99063483-1</t>
        </is>
      </c>
      <c r="E94" s="104" t="inlineStr">
        <is>
          <t xml:space="preserve">PIRNAZAROVA MARJONA PANJI QIZI</t>
        </is>
      </c>
      <c r="F94" s="104" t="inlineStr">
        <is>
          <t xml:space="preserve">+998972223235 SMS QAYNI OTASI, 998882294020 SMS O'ZI, 998959200046 SMS,</t>
        </is>
      </c>
      <c r="G94" s="104" t="inlineStr">
        <is>
          <t xml:space="preserve">КАШКАДАРЁ ВИЛОЯТИ КОСОН ТУМАНИ ЭСАБОЙ МФЙ НАСАФ КУЧАСИ 39-УЙ</t>
        </is>
      </c>
      <c r="H94" s="105">
        <v>8.0</v>
      </c>
      <c r="I94" s="105">
        <v>2172639.44</v>
      </c>
      <c r="K94" s="104" t="inlineStr">
        <is>
          <t xml:space="preserve">Va'da berdi | tolov ertaga ammalga oshadi</t>
        </is>
      </c>
    </row>
    <row r="95">
      <c r="A95" s="104" t="inlineStr">
        <is>
          <t xml:space="preserve">КАШКАДАРЁ ВИЛОЯТИ</t>
        </is>
      </c>
      <c r="B95" s="104" t="inlineStr">
        <is>
          <t xml:space="preserve">Қарши филиали</t>
        </is>
      </c>
      <c r="C95" s="104" t="inlineStr">
        <is>
          <t xml:space="preserve">Обещал</t>
        </is>
      </c>
      <c r="D95" s="104" t="inlineStr">
        <is>
          <t xml:space="preserve">Кр-99017085-2</t>
        </is>
      </c>
      <c r="E95" s="104" t="inlineStr">
        <is>
          <t xml:space="preserve">IQBOLOVA DILNAVOZ RAJABOVNA</t>
        </is>
      </c>
      <c r="F95" s="104" t="inlineStr">
        <is>
          <t xml:space="preserve">998942928121 SMS OZI, 998507263234 SMS ERI, 998906075063 SMS OPASI(  UZI SHUNGA QILINSIN), 998908980199 SMS JIYANI, 998941128121 UZI NEW,</t>
        </is>
      </c>
      <c r="G95" s="104" t="inlineStr">
        <is>
          <t xml:space="preserve">Кашкадарьинская область, г. Карши, Чулкувар, 4 митти туман, дом 2, кв. 8</t>
        </is>
      </c>
      <c r="H95" s="105">
        <v>8.0</v>
      </c>
      <c r="I95" s="105">
        <v>2053017.09</v>
      </c>
      <c r="K95" s="104" t="inlineStr">
        <is>
          <t xml:space="preserve">Va'da berdi | bugun kechga to'liman dedi</t>
        </is>
      </c>
    </row>
    <row r="96">
      <c r="A96" s="104" t="inlineStr">
        <is>
          <t xml:space="preserve">КАШКАДАРЁ ВИЛОЯТИ</t>
        </is>
      </c>
      <c r="B96" s="104" t="inlineStr">
        <is>
          <t xml:space="preserve">Қарши филиали</t>
        </is>
      </c>
      <c r="C96" s="104" t="inlineStr">
        <is>
          <t xml:space="preserve">Обещал</t>
        </is>
      </c>
      <c r="D96" s="104" t="inlineStr">
        <is>
          <t xml:space="preserve">Кр-99034394-1</t>
        </is>
      </c>
      <c r="E96" s="104" t="inlineStr">
        <is>
          <t xml:space="preserve">JUMANAZAROV UMIDJON ORIFJON O’G’LI</t>
        </is>
      </c>
      <c r="F96" s="104" t="inlineStr">
        <is>
          <t xml:space="preserve">998997397839 SMS O’ZI, 998774230383 SMS AKASI, 998997267839 SMS OTASI,</t>
        </is>
      </c>
      <c r="G96" s="104" t="inlineStr">
        <is>
          <t xml:space="preserve">QASHQADARYO VILOYATI MIRISHKOR TUMANI NURAFSHON MFY NASAF KUCHASI 7 UY</t>
        </is>
      </c>
      <c r="H96" s="105">
        <v>1.0</v>
      </c>
      <c r="I96" s="105">
        <v>1891983.6</v>
      </c>
      <c r="K96" s="104" t="inlineStr">
        <is>
          <t xml:space="preserve">Va'da berdi | ertalab to'liman dedi</t>
        </is>
      </c>
    </row>
    <row r="97">
      <c r="A97" s="104" t="inlineStr">
        <is>
          <t xml:space="preserve">КАШКАДАРЁ ВИЛОЯТИ</t>
        </is>
      </c>
      <c r="B97" s="104" t="inlineStr">
        <is>
          <t xml:space="preserve">Қарши филиали</t>
        </is>
      </c>
      <c r="C97" s="104" t="inlineStr">
        <is>
          <t xml:space="preserve">Обещал</t>
        </is>
      </c>
      <c r="D97" s="104" t="inlineStr">
        <is>
          <t xml:space="preserve">Кр-99041346-1</t>
        </is>
      </c>
      <c r="E97" s="104" t="inlineStr">
        <is>
          <t xml:space="preserve">RAVSHANOV FARHOD CHORIYOROVICH</t>
        </is>
      </c>
      <c r="F97" s="104" t="inlineStr">
        <is>
          <t xml:space="preserve">998952510007 sms ozi, 998953156767 sms, 998974348787 sms,</t>
        </is>
      </c>
      <c r="G97" s="104" t="inlineStr">
        <is>
          <t xml:space="preserve">Кашкадарьинская область, Камашинский район, Туқбой МСГ, ул. Сарой, дом 54</t>
        </is>
      </c>
      <c r="H97" s="105">
        <v>8.0</v>
      </c>
      <c r="I97" s="105">
        <v>1340493.38</v>
      </c>
      <c r="K97" s="104" t="inlineStr">
        <is>
          <t xml:space="preserve">Va'da berdi | 2 kun ichda tolov qiladi</t>
        </is>
      </c>
    </row>
    <row r="98">
      <c r="A98" s="106" t="inlineStr">
        <is>
          <t xml:space="preserve">КОРАКАЛПОГИСТОН РЕСПУБЛИКАСИ</t>
        </is>
      </c>
      <c r="C98" s="106" t="inlineStr">
        <is>
          <t xml:space="preserve">Обещал</t>
        </is>
      </c>
      <c r="D98" s="106" t="inlineStr">
        <is>
          <t xml:space="preserve">Кр-99062886-3</t>
        </is>
      </c>
      <c r="E98" s="106" t="inlineStr">
        <is>
          <t xml:space="preserve">AYTMURATOV BAXIT DJANABAYEVICH</t>
        </is>
      </c>
      <c r="F98" s="106" t="inlineStr">
        <is>
          <t xml:space="preserve">+998933067303 OZI, 998932023938 OGLI, 998996823509 OYALI, 998939677376 OZII NEWWW,</t>
        </is>
      </c>
      <c r="G98" s="106" t="inlineStr">
        <is>
          <t xml:space="preserve">QORAQALPOGISTON RES SHUMBOY TUMANI ORJAP MFY AQ ALTIN KUSHASI 8 UY</t>
        </is>
      </c>
      <c r="H98" s="107">
        <v>71.0</v>
      </c>
      <c r="I98" s="107">
        <v>13465118.1</v>
      </c>
      <c r="K98" s="106" t="inlineStr">
        <is>
          <t xml:space="preserve">ALMATIDA AYOLI TO;LAYDI OY OXIRI | 1650 | Va'da berdi</t>
        </is>
      </c>
    </row>
    <row r="99">
      <c r="A99" s="106" t="inlineStr">
        <is>
          <t xml:space="preserve">КОРАКАЛПОГИСТОН РЕСПУБЛИКАСИ</t>
        </is>
      </c>
      <c r="C99" s="106" t="inlineStr">
        <is>
          <t xml:space="preserve">Обещал</t>
        </is>
      </c>
      <c r="D99" s="106" t="inlineStr">
        <is>
          <t xml:space="preserve">Кр-99056260-1</t>
        </is>
      </c>
      <c r="E99" s="106" t="inlineStr">
        <is>
          <t xml:space="preserve">ABDIKALIKOV DASTAN BOSTANOVICH</t>
        </is>
      </c>
      <c r="F99" s="106" t="inlineStr">
        <is>
          <t xml:space="preserve">998887079454 SMS OZI, 998970010096 SMS AKASI, 998888018881 SMS UKASI,</t>
        </is>
      </c>
      <c r="G99" s="106" t="inlineStr">
        <is>
          <t xml:space="preserve">QARAQALPOGISTON RES NUKUS SHAHAR SHIMBAY SHAYXANA MFY KOKLEMZAR KUSHASI 113 UY 38 KVARTIRA </t>
        </is>
      </c>
      <c r="H99" s="107">
        <v>11.0</v>
      </c>
      <c r="I99" s="107">
        <v>9679134.01</v>
      </c>
      <c r="K99" s="106" t="inlineStr">
        <is>
          <t xml:space="preserve">OYLIKDAN  QACHONLIGINI AYTMADI | 1401 | Va'da berdi</t>
        </is>
      </c>
    </row>
    <row r="100">
      <c r="A100" s="106" t="inlineStr">
        <is>
          <t xml:space="preserve">КОРАКАЛПОГИСТОН РЕСПУБЛИКАСИ</t>
        </is>
      </c>
      <c r="C100" s="106" t="inlineStr">
        <is>
          <t xml:space="preserve">Обещал</t>
        </is>
      </c>
      <c r="D100" s="106" t="inlineStr">
        <is>
          <t xml:space="preserve">Кр-99032661-1</t>
        </is>
      </c>
      <c r="E100" s="106" t="inlineStr">
        <is>
          <t xml:space="preserve">TLEUMBETOVA DILARAM DUYSENBAYEVNA</t>
        </is>
      </c>
      <c r="F100" s="106" t="inlineStr">
        <is>
          <t xml:space="preserve">998937093732 SMS TO’LOVCHI, 998905951051 SMS TOLOVCHI 2, 998337402818 SMS AKASI, 998932095775 SMS AKASI 2, 998919282212 SMS Ikrom akasi tolovchi , 998919288148 SMS akasi , 998919382212 SMS ozi new , 998933645639 SMS MAHALLA SHUNGA CHIQILSIN , 998921950595 ERI TULOVCHI,</t>
        </is>
      </c>
      <c r="G100" s="106" t="inlineStr">
        <is>
          <t xml:space="preserve">NUKUS SHAHAR MATEN SIYTNIYZOZ KUSHASI 152A UY  </t>
        </is>
      </c>
      <c r="H100" s="107">
        <v>63.0</v>
      </c>
      <c r="I100" s="107">
        <v>8278329.23</v>
      </c>
      <c r="K100" s="106" t="inlineStr">
        <is>
          <t xml:space="preserve">BUGUNGA TO'LOV QILAMAN DEDILA ERINI AVANSIDAN 7 MILLION | 408 | Uyiga borildi - to'ladi</t>
        </is>
      </c>
    </row>
    <row r="101">
      <c r="A101" s="106" t="inlineStr">
        <is>
          <t xml:space="preserve">КОРАКАЛПОГИСТОН РЕСПУБЛИКАСИ</t>
        </is>
      </c>
      <c r="C101" s="106" t="inlineStr">
        <is>
          <t xml:space="preserve">Обещал</t>
        </is>
      </c>
      <c r="D101" s="106" t="inlineStr">
        <is>
          <t xml:space="preserve">Кр-99061501-1</t>
        </is>
      </c>
      <c r="E101" s="106" t="inlineStr">
        <is>
          <t xml:space="preserve">JOLDIBAEV NARTAY TABINBAEVICH</t>
        </is>
      </c>
      <c r="F101" s="106" t="inlineStr">
        <is>
          <t xml:space="preserve">998991188928 узи, 998995849029 аели, 998932002889 кизи, 998997028990 угли,</t>
        </is>
      </c>
      <c r="G101" s="106" t="inlineStr">
        <is>
          <t xml:space="preserve">QORAQALPOGISTON RES KEGIYLI TUMANI JANA BAZAR MFY BAXITLI EL KUSHASI 15 UY </t>
        </is>
      </c>
      <c r="H101" s="107">
        <v>8.0</v>
      </c>
      <c r="I101" s="107">
        <v>7372185.27</v>
      </c>
      <c r="K101" s="106" t="inlineStr">
        <is>
          <t xml:space="preserve">BUGUN ERTAGA VRACH QILISH SHARTMAS | 1546 | Va'da berdi</t>
        </is>
      </c>
    </row>
    <row r="102">
      <c r="A102" s="106" t="inlineStr">
        <is>
          <t xml:space="preserve">КОРАКАЛПОГИСТОН РЕСПУБЛИКАСИ</t>
        </is>
      </c>
      <c r="C102" s="106" t="inlineStr">
        <is>
          <t xml:space="preserve">Обещал</t>
        </is>
      </c>
      <c r="D102" s="106" t="inlineStr">
        <is>
          <t xml:space="preserve">Кр-99046605-1</t>
        </is>
      </c>
      <c r="E102" s="106" t="inlineStr">
        <is>
          <t xml:space="preserve">BALTAYEV SADULLA MAKSUDOVICH</t>
        </is>
      </c>
      <c r="F102" s="106" t="inlineStr">
        <is>
          <t xml:space="preserve">998907147737 SMS UZI, 998947020528 SMS UGLI, 998945640304 SMS QIZI, 998997147737 o'zi newww,</t>
        </is>
      </c>
      <c r="G102" s="106" t="inlineStr">
        <is>
          <t xml:space="preserve">QORAQALPOGISTON RES XOJAYLI TUMANI TUTZAR MFY XALKABAD KUSHASI 8 UY</t>
        </is>
      </c>
      <c r="H102" s="107">
        <v>11.0</v>
      </c>
      <c r="I102" s="107">
        <v>6949519.22</v>
      </c>
      <c r="K102" s="106" t="inlineStr">
        <is>
          <t xml:space="preserve">G'ISHT ZAVODDA ISHLAYDI  OYLIGIMI OLISHIM BN TASHAYMAN DEDILA AJDANIYA | 1244 | Va'da berdi</t>
        </is>
      </c>
    </row>
    <row r="103">
      <c r="A103" s="106" t="inlineStr">
        <is>
          <t xml:space="preserve">КОРАКАЛПОГИСТОН РЕСПУБЛИКАСИ</t>
        </is>
      </c>
      <c r="C103" s="106" t="inlineStr">
        <is>
          <t xml:space="preserve">Обещал</t>
        </is>
      </c>
      <c r="D103" s="106" t="inlineStr">
        <is>
          <t xml:space="preserve">Кр-99026306-2</t>
        </is>
      </c>
      <c r="E103" s="106" t="inlineStr">
        <is>
          <t xml:space="preserve">ABDURAXMANOV SANJAR SADULLAYEVICH</t>
        </is>
      </c>
      <c r="F103" s="106" t="inlineStr">
        <is>
          <t xml:space="preserve">99-775-55-05 SMS O'ZI, 91-436-90-03  SMS UKASI begona, 99-348-90-03 SMS tulovchi , 998990247010 SMS ukasi tulovchi,</t>
        </is>
      </c>
      <c r="G103" s="106" t="inlineStr">
        <is>
          <t xml:space="preserve">QORAQALPOG’ISTON RESPUBLIKASI BERUNIY TUMANI BUNYODKOR MAXALLASI N.KUBRO KUCHASI 10 UY</t>
        </is>
      </c>
      <c r="H103" s="107">
        <v>6.0</v>
      </c>
      <c r="I103" s="107">
        <v>5707198.04</v>
      </c>
      <c r="K103" s="106" t="inlineStr">
        <is>
          <t xml:space="preserve">BU 3KUNDA TASHAB BERAMAN OYLIKDAN DDILA QAYERDA ISHLASHLARINI AYTMADILA | 178 | Va'da berdi</t>
        </is>
      </c>
    </row>
    <row r="104">
      <c r="A104" s="106" t="inlineStr">
        <is>
          <t xml:space="preserve">КОРАКАЛПОГИСТОН РЕСПУБЛИКАСИ</t>
        </is>
      </c>
      <c r="C104" s="106" t="inlineStr">
        <is>
          <t xml:space="preserve">Обещал</t>
        </is>
      </c>
      <c r="D104" s="106" t="inlineStr">
        <is>
          <t xml:space="preserve">Кр-99057450-1</t>
        </is>
      </c>
      <c r="E104" s="106" t="inlineStr">
        <is>
          <t xml:space="preserve">BEKIMOV GULIMBAY YERKABAYEVICH</t>
        </is>
      </c>
      <c r="F104" s="106" t="inlineStr">
        <is>
          <t xml:space="preserve">998996622374 SMS O'ZI, 998912711974 SMS O'ZI 2, 998977965585 SMS AYOLI,</t>
        </is>
      </c>
      <c r="G104" s="106" t="inlineStr">
        <is>
          <t xml:space="preserve">BERUNIY TUMANI</t>
        </is>
      </c>
      <c r="H104" s="107">
        <v>8.0</v>
      </c>
      <c r="I104" s="107">
        <v>5236088.15</v>
      </c>
      <c r="K104" s="106" t="inlineStr">
        <is>
          <t xml:space="preserve">20-25 OYLIKDAN  O'G'LI TO'LAYDI | 1451 | Va'da berdi</t>
        </is>
      </c>
    </row>
    <row r="105">
      <c r="A105" s="106" t="inlineStr">
        <is>
          <t xml:space="preserve">КОРАКАЛПОГИСТОН РЕСПУБЛИКАСИ</t>
        </is>
      </c>
      <c r="C105" s="106" t="inlineStr">
        <is>
          <t xml:space="preserve">Обещал</t>
        </is>
      </c>
      <c r="D105" s="106" t="inlineStr">
        <is>
          <t xml:space="preserve">Кр-99044140-3</t>
        </is>
      </c>
      <c r="E105" s="106" t="inlineStr">
        <is>
          <t xml:space="preserve">BAEKEEV BERIK MUXAMBETKARIMOVICH</t>
        </is>
      </c>
      <c r="F105" s="106" t="inlineStr">
        <is>
          <t xml:space="preserve">998884871988 OZI, 998970008892 OYALI, 998978889288 UKASI,</t>
        </is>
      </c>
      <c r="G105" s="106" t="inlineStr">
        <is>
          <t xml:space="preserve">ХАКИМ-АТА МФЙ, МСГ ХАКИМ-АТА, С,АЛЛАНИЯЗОВ,  uy:Р/З</t>
        </is>
      </c>
      <c r="H105" s="107">
        <v>8.0</v>
      </c>
      <c r="I105" s="107">
        <v>5171582.4</v>
      </c>
      <c r="K105" s="106" t="inlineStr">
        <is>
          <t xml:space="preserve">28DA BANESADA ISHLEDI | 1199 | Va'da berdi</t>
        </is>
      </c>
    </row>
    <row r="106">
      <c r="A106" s="106" t="inlineStr">
        <is>
          <t xml:space="preserve">КОРАКАЛПОГИСТОН РЕСПУБЛИКАСИ</t>
        </is>
      </c>
      <c r="C106" s="106" t="inlineStr">
        <is>
          <t xml:space="preserve">Обещал</t>
        </is>
      </c>
      <c r="D106" s="106" t="inlineStr">
        <is>
          <t xml:space="preserve">Кр-99063426-1</t>
        </is>
      </c>
      <c r="E106" s="106" t="inlineStr">
        <is>
          <t xml:space="preserve">YULDASHEVA ZULAYXA TURSUNBOYEVNA</t>
        </is>
      </c>
      <c r="F106" s="106" t="inlineStr">
        <is>
          <t xml:space="preserve">998500178083 OZI, 998995680099 KELINI, 998997450099 OGLI,</t>
        </is>
      </c>
      <c r="G106" s="106" t="inlineStr">
        <is>
          <t xml:space="preserve">QORAQALPOGISTON RES AMUDARYO TUMANI SHAYKOL OFY 7- SHAQSHA 3 UY</t>
        </is>
      </c>
      <c r="H106" s="107">
        <v>8.0</v>
      </c>
      <c r="I106" s="107">
        <v>4755571.62</v>
      </c>
      <c r="K106" s="106" t="inlineStr">
        <is>
          <t xml:space="preserve">20 KUNIGA UKASI  ROSSIYADA ISHLEDI OWA YERDAN TASHAB BERADI | 1769 | Va'da berdi</t>
        </is>
      </c>
    </row>
    <row r="107">
      <c r="A107" s="106" t="inlineStr">
        <is>
          <t xml:space="preserve">КОРАКАЛПОГИСТОН РЕСПУБЛИКАСИ</t>
        </is>
      </c>
      <c r="C107" s="106" t="inlineStr">
        <is>
          <t xml:space="preserve">Обещал</t>
        </is>
      </c>
      <c r="D107" s="106" t="inlineStr">
        <is>
          <t xml:space="preserve">Кр-99042828-1</t>
        </is>
      </c>
      <c r="E107" s="106" t="inlineStr">
        <is>
          <t xml:space="preserve">KALANDAROV MANSUR MAXMUDOVICH</t>
        </is>
      </c>
      <c r="F107" s="106" t="inlineStr">
        <is>
          <t xml:space="preserve">+998912558828 SMS UZI, 998551028828 SMS UYI, 998992628828 SMS UKASI,</t>
        </is>
      </c>
      <c r="G107" s="106" t="inlineStr">
        <is>
          <t xml:space="preserve">КОРАКАЛПОГИСТОН РЕСПУБЛИКАСИ БЕРУНИЙ ТУМАНИ ШИМАМ ҚФЙ, КУК-КУЗ АХОЛИ ПУНКТИ,  uy:Р/С</t>
        </is>
      </c>
      <c r="H107" s="107">
        <v>8.0</v>
      </c>
      <c r="I107" s="107">
        <v>4690275.94</v>
      </c>
      <c r="K107" s="106" t="inlineStr">
        <is>
          <t xml:space="preserve">18KUNI ONASI TO'LOV QILIB BERADILA | 1179 | Va'da berdi</t>
        </is>
      </c>
    </row>
    <row r="108">
      <c r="A108" s="106" t="inlineStr">
        <is>
          <t xml:space="preserve">КОРАКАЛПОГИСТОН РЕСПУБЛИКАСИ</t>
        </is>
      </c>
      <c r="C108" s="106" t="inlineStr">
        <is>
          <t xml:space="preserve">Обещал</t>
        </is>
      </c>
      <c r="D108" s="106" t="inlineStr">
        <is>
          <t xml:space="preserve">Кр-99019952-6</t>
        </is>
      </c>
      <c r="E108" s="106" t="inlineStr">
        <is>
          <t xml:space="preserve">URAZIMBETOVA SHOHISTA GULIMBAYEVNA</t>
        </is>
      </c>
      <c r="F108" s="106" t="inlineStr">
        <is>
          <t xml:space="preserve">99-186-59-19  SMS UZI, 998995033939 SMS ERI, 998940910907 SMS UZI, 998771152010 OGLI,</t>
        </is>
      </c>
      <c r="G108" s="106" t="inlineStr">
        <is>
          <t xml:space="preserve">QORAQALPOG’ISTON RESPUBLIKASI BERUNIY TUMANI BERUNIY OFY GULZOR KO’CHA </t>
        </is>
      </c>
      <c r="H108" s="107">
        <v>13.0</v>
      </c>
      <c r="I108" s="107">
        <v>4455521.88</v>
      </c>
      <c r="K108" s="106" t="inlineStr">
        <is>
          <t xml:space="preserve">MOSHINASINI SOTIB TO'LOV QILIB BERAMAN DEYABDILA | 97 | Va'da berdi</t>
        </is>
      </c>
    </row>
    <row r="109">
      <c r="A109" s="106" t="inlineStr">
        <is>
          <t xml:space="preserve">КОРАКАЛПОГИСТОН РЕСПУБЛИКАСИ</t>
        </is>
      </c>
      <c r="C109" s="106" t="inlineStr">
        <is>
          <t xml:space="preserve">Обещал</t>
        </is>
      </c>
      <c r="D109" s="106" t="inlineStr">
        <is>
          <t xml:space="preserve">Кр-99041208-1</t>
        </is>
      </c>
      <c r="E109" s="106" t="inlineStr">
        <is>
          <t xml:space="preserve">ZARIEVA ZUXIRA NASIROVNA</t>
        </is>
      </c>
      <c r="F109" s="106" t="inlineStr">
        <is>
          <t xml:space="preserve">998905926568 OZI SMS, 998913755131 KELINI, 998991559339 OGLI,</t>
        </is>
      </c>
      <c r="G109" s="106" t="inlineStr">
        <is>
          <t xml:space="preserve">НАВРУЗ МФЙ, НАУРЫЗ МФЙ, МИЗДАКХАН КЎЧАСИ,  uy:56</t>
        </is>
      </c>
      <c r="H109" s="107">
        <v>8.0</v>
      </c>
      <c r="I109" s="107">
        <v>4176956.66</v>
      </c>
      <c r="K109" s="106" t="inlineStr">
        <is>
          <t xml:space="preserve">20KUNI O'G'LI OYLIGIDAN | 1072 | Va'da berdi</t>
        </is>
      </c>
    </row>
    <row r="110">
      <c r="A110" s="106" t="inlineStr">
        <is>
          <t xml:space="preserve">КОРАКАЛПОГИСТОН РЕСПУБЛИКАСИ</t>
        </is>
      </c>
      <c r="C110" s="106" t="inlineStr">
        <is>
          <t xml:space="preserve">Обещал</t>
        </is>
      </c>
      <c r="D110" s="106" t="inlineStr">
        <is>
          <t xml:space="preserve">Кр-99040858-1</t>
        </is>
      </c>
      <c r="E110" s="106" t="inlineStr">
        <is>
          <t xml:space="preserve">ZIYAUOV SALAMAT MINAJATDINOVICH</t>
        </is>
      </c>
      <c r="F110" s="106" t="inlineStr">
        <is>
          <t xml:space="preserve">998900954989 sms ozi, 998907280424 sms onasi, 998951650684 sms ayoli, 998944330084 SMS UZI 2,</t>
        </is>
      </c>
      <c r="G110" s="106" t="inlineStr">
        <is>
          <t xml:space="preserve">НАУРЫЗ МФЙ, ЛОЛА КЎЧАСИ,  uy:46</t>
        </is>
      </c>
      <c r="H110" s="107">
        <v>8.0</v>
      </c>
      <c r="I110" s="107">
        <v>3838657.52</v>
      </c>
      <c r="K110" s="106" t="inlineStr">
        <is>
          <t xml:space="preserve">ROSSIYADA BUGUN BERISHI KERAK | 1026 | Va'da berdi</t>
        </is>
      </c>
    </row>
    <row r="111">
      <c r="A111" s="106" t="inlineStr">
        <is>
          <t xml:space="preserve">КОРАКАЛПОГИСТОН РЕСПУБЛИКАСИ</t>
        </is>
      </c>
      <c r="C111" s="106" t="inlineStr">
        <is>
          <t xml:space="preserve">Обещал</t>
        </is>
      </c>
      <c r="D111" s="106" t="inlineStr">
        <is>
          <t xml:space="preserve">Кр-99041705-1</t>
        </is>
      </c>
      <c r="E111" s="106" t="inlineStr">
        <is>
          <t xml:space="preserve">UTEBAEV KOMEKBAY TOREBAEVICH</t>
        </is>
      </c>
      <c r="F111" s="106" t="inlineStr">
        <is>
          <t xml:space="preserve">+998913790226 смс ozi, 998777063706 sms qizi, 998913704273 sms ayoli, 998930739701 sms kelini,</t>
        </is>
      </c>
      <c r="G111" s="106" t="inlineStr">
        <is>
          <t xml:space="preserve">НАУПИР МФЙ, НУКУС ШАХАР, КУС ЖОЛЫ,  uy:44</t>
        </is>
      </c>
      <c r="H111" s="107">
        <v>8.0</v>
      </c>
      <c r="I111" s="107">
        <v>3490062.61</v>
      </c>
      <c r="K111" s="106" t="inlineStr">
        <is>
          <t xml:space="preserve">FUQARO ROSSIYADA 20KUNIDA YOPADI | 1121 | Uyiga borildi - va'da berdi</t>
        </is>
      </c>
    </row>
    <row r="112">
      <c r="A112" s="106" t="inlineStr">
        <is>
          <t xml:space="preserve">КОРАКАЛПОГИСТОН РЕСПУБЛИКАСИ</t>
        </is>
      </c>
      <c r="C112" s="106" t="inlineStr">
        <is>
          <t xml:space="preserve">Обещал</t>
        </is>
      </c>
      <c r="D112" s="106" t="inlineStr">
        <is>
          <t xml:space="preserve">Кр-99041840-1</t>
        </is>
      </c>
      <c r="E112" s="106" t="inlineStr">
        <is>
          <t xml:space="preserve">ABDULLAYEV MUSA XUDAYBERGENOVICH</t>
        </is>
      </c>
      <c r="F112" s="106" t="inlineStr">
        <is>
          <t xml:space="preserve">998907096778 AKASI, 998994583521 OYALI, 998994587888 OZI,</t>
        </is>
      </c>
      <c r="G112" s="106" t="inlineStr">
        <is>
          <t xml:space="preserve">Qaraqalpogiston Respublikasi Xojayli tumani Juzimzar MFY Jenis kushasi 36uy</t>
        </is>
      </c>
      <c r="H112" s="107">
        <v>8.0</v>
      </c>
      <c r="I112" s="107">
        <v>3097685.4</v>
      </c>
      <c r="K112" s="106" t="inlineStr">
        <is>
          <t xml:space="preserve">ROSSA JOVRADI PULIM BO'LGANDA TO'LEMAN DEB FOIZELA KO'P DEB BGUNGA TO'LOV QILIB BERADILA | 1133 | Va'da berdi</t>
        </is>
      </c>
    </row>
    <row r="113">
      <c r="A113" s="106" t="inlineStr">
        <is>
          <t xml:space="preserve">КОРАКАЛПОГИСТОН РЕСПУБЛИКАСИ</t>
        </is>
      </c>
      <c r="C113" s="106" t="inlineStr">
        <is>
          <t xml:space="preserve">Обещал</t>
        </is>
      </c>
      <c r="D113" s="106" t="inlineStr">
        <is>
          <t xml:space="preserve">Кр-99057077-1</t>
        </is>
      </c>
      <c r="E113" s="106" t="inlineStr">
        <is>
          <t xml:space="preserve">SERIKBAYEV MARAT ALDANAZAROVICH</t>
        </is>
      </c>
      <c r="F113" s="106" t="inlineStr">
        <is>
          <t xml:space="preserve">998946831315 SMS UZI, 998905906668 SMS QIZI, 998933083023 SMS UKASI, 998938743798 SMS KELINI,</t>
        </is>
      </c>
      <c r="G113" s="106" t="inlineStr">
        <is>
          <t xml:space="preserve">QARAQALPOGISTON RES NUKUS SHAHAR SHIGIS MFY MATEKE JUMANAZAROV KUSHASI 18 UY</t>
        </is>
      </c>
      <c r="H113" s="107">
        <v>8.0</v>
      </c>
      <c r="I113" s="107">
        <v>2547933.06</v>
      </c>
      <c r="K113" s="106" t="inlineStr">
        <is>
          <t xml:space="preserve">20KUNI TO'LOV QILADI | 1411 | Uyiga borildi - va'da berdi</t>
        </is>
      </c>
    </row>
    <row r="114">
      <c r="A114" s="106" t="inlineStr">
        <is>
          <t xml:space="preserve">КОРАКАЛПОГИСТОН РЕСПУБЛИКАСИ</t>
        </is>
      </c>
      <c r="C114" s="106" t="inlineStr">
        <is>
          <t xml:space="preserve">Обещал</t>
        </is>
      </c>
      <c r="D114" s="106" t="inlineStr">
        <is>
          <t xml:space="preserve">Кр-99035767-1</t>
        </is>
      </c>
      <c r="E114" s="106" t="inlineStr">
        <is>
          <t xml:space="preserve">DJUMANIYAZOV XUJAAXMAD BERDIBAYEVICH</t>
        </is>
      </c>
      <c r="F114" s="106" t="inlineStr">
        <is>
          <t xml:space="preserve">998974749400 SMS OZI(Begona), 998336771006 SMS UY, 998975056865 SMS DOSTI(begona), 998331240571 SMS DOSTI,</t>
        </is>
      </c>
      <c r="G114" s="106" t="inlineStr">
        <is>
          <t xml:space="preserve">XORAZM VILOYATI ELLIKQALA TUMANI KASHKURA MAXALLASI YOSH KUCH KUCHASI 2 UY</t>
        </is>
      </c>
      <c r="H114" s="107">
        <v>13.0</v>
      </c>
      <c r="I114" s="107">
        <v>2120990.03</v>
      </c>
      <c r="K114" s="106" t="inlineStr">
        <is>
          <t xml:space="preserve">20KUNIGA TASHAB BERAMAN DEYABDILA OYLIGIM DAN DEB OCHIRDILA | 591 | Va'da berdi</t>
        </is>
      </c>
    </row>
    <row r="115">
      <c r="A115" s="106" t="inlineStr">
        <is>
          <t xml:space="preserve">КОРАКАЛПОГИСТОН РЕСПУБЛИКАСИ</t>
        </is>
      </c>
      <c r="C115" s="106" t="inlineStr">
        <is>
          <t xml:space="preserve">Обещал</t>
        </is>
      </c>
      <c r="D115" s="106" t="inlineStr">
        <is>
          <t xml:space="preserve">Кр-99063016-1</t>
        </is>
      </c>
      <c r="E115" s="106" t="inlineStr">
        <is>
          <t xml:space="preserve">ISMOILOV JAMSHID QUVONDIQ O’G’LI</t>
        </is>
      </c>
      <c r="F115" s="106" t="inlineStr">
        <is>
          <t xml:space="preserve">+998336141313 SMS UZI, 998331711333 SMS DO’STI, 998992192429 SMS SINGLISI,</t>
        </is>
      </c>
      <c r="G115" s="106" t="inlineStr">
        <is>
          <t xml:space="preserve">КОРАКАЛПОГИСТОН РЕСПУБЛИКАСИ ТУРТКУЛ ТУМАНИ БОҒЁП МФЙ, ДИЁНАТ КЎЧАСИ,  uy:69</t>
        </is>
      </c>
      <c r="H115" s="107">
        <v>8.0</v>
      </c>
      <c r="I115" s="107">
        <v>2078018.38</v>
      </c>
      <c r="K115" s="106" t="inlineStr">
        <is>
          <t xml:space="preserve">BUGUN IDDAN TO'LOV QILAMAN DEDILA | 1685 | Va'da berdi</t>
        </is>
      </c>
    </row>
    <row r="116">
      <c r="A116" s="106" t="inlineStr">
        <is>
          <t xml:space="preserve">КОРАКАЛПОГИСТОН РЕСПУБЛИКАСИ</t>
        </is>
      </c>
      <c r="C116" s="106" t="inlineStr">
        <is>
          <t xml:space="preserve">Обещал</t>
        </is>
      </c>
      <c r="D116" s="106" t="inlineStr">
        <is>
          <t xml:space="preserve">Кр-99062991-1</t>
        </is>
      </c>
      <c r="E116" s="106" t="inlineStr">
        <is>
          <t xml:space="preserve">BEKESOV AZAMAT KOBEYSINOVICH</t>
        </is>
      </c>
      <c r="F116" s="106" t="inlineStr">
        <is>
          <t xml:space="preserve">998883561818 AKASI, 998889521818 OZI, 998933756210 UKASI,</t>
        </is>
      </c>
      <c r="G116" s="106" t="inlineStr">
        <is>
          <t xml:space="preserve">Каракалпогистон Рес Хожели тумани  Сарышунгул ССГ, Онерли кучаси, 2-уй</t>
        </is>
      </c>
      <c r="H116" s="107">
        <v>8.0</v>
      </c>
      <c r="I116" s="107">
        <v>1902399.91</v>
      </c>
      <c r="K116" s="106" t="inlineStr">
        <is>
          <t xml:space="preserve">TAKSICHILIK QILADI1-2 KUNDA QILAMAN HOZIR PULIM YUQ DEDI  O'TA O'TA QO'POL ODAM | 1678 | Va'da berdi</t>
        </is>
      </c>
    </row>
    <row r="117">
      <c r="A117" s="106" t="inlineStr">
        <is>
          <t xml:space="preserve">КОРАКАЛПОГИСТОН РЕСПУБЛИКАСИ</t>
        </is>
      </c>
      <c r="C117" s="106" t="inlineStr">
        <is>
          <t xml:space="preserve">Обещал</t>
        </is>
      </c>
      <c r="D117" s="106" t="inlineStr">
        <is>
          <t xml:space="preserve">Кр-99033360-1</t>
        </is>
      </c>
      <c r="E117" s="106" t="inlineStr">
        <is>
          <t xml:space="preserve">ABDURAHIMOV ALIJON RUSTAM O’G’LI</t>
        </is>
      </c>
      <c r="F117" s="106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17" s="106" t="inlineStr">
        <is>
          <t xml:space="preserve">QARAQALPOGISTON RES AMUDARYO TUMANI TOLQIN OFY MARIFATSHILAR KUSHASI 27 UY</t>
        </is>
      </c>
      <c r="H117" s="107">
        <v>8.0</v>
      </c>
      <c r="I117" s="107">
        <v>1894150.92</v>
      </c>
      <c r="K117" s="106" t="inlineStr">
        <is>
          <t xml:space="preserve">ERTAGA ROSSA GAPIRDILA | 437 | Va'da berdi</t>
        </is>
      </c>
    </row>
    <row r="118">
      <c r="A118" s="106" t="inlineStr">
        <is>
          <t xml:space="preserve">КОРАКАЛПОГИСТОН РЕСПУБЛИКАСИ</t>
        </is>
      </c>
      <c r="C118" s="106" t="inlineStr">
        <is>
          <t xml:space="preserve">Обещал</t>
        </is>
      </c>
      <c r="D118" s="106" t="inlineStr">
        <is>
          <t xml:space="preserve">Кр-99047374-1</t>
        </is>
      </c>
      <c r="E118" s="106" t="inlineStr">
        <is>
          <t xml:space="preserve">SHARAPOV BAXIT URAZBAYEVICH</t>
        </is>
      </c>
      <c r="F118" s="106" t="inlineStr">
        <is>
          <t xml:space="preserve">998880716102 OGLI, 998907077908 OZI, 998994507986 OYALI,</t>
        </is>
      </c>
      <c r="G118" s="106" t="inlineStr">
        <is>
          <t xml:space="preserve">Qaraqalpogiston Respublikasi nukus shahar Nurli bostan MFY Askerler joli kushasi 215 uy</t>
        </is>
      </c>
      <c r="H118" s="107">
        <v>8.0</v>
      </c>
      <c r="I118" s="107">
        <v>1763358.72</v>
      </c>
      <c r="K118" s="106" t="inlineStr">
        <is>
          <t xml:space="preserve">UYIGA FILIAL BORISHDI  QOZOQDA ISHLAYDI 3KUNDA OYLIGINI OLIB FILIALGA TASHAB BERAMAN DEBDILA | 1256 | Va'da berdi</t>
        </is>
      </c>
    </row>
    <row r="119">
      <c r="A119" s="106" t="inlineStr">
        <is>
          <t xml:space="preserve">КОРАКАЛПОГИСТОН РЕСПУБЛИКАСИ</t>
        </is>
      </c>
      <c r="C119" s="106" t="inlineStr">
        <is>
          <t xml:space="preserve">Обещал</t>
        </is>
      </c>
      <c r="D119" s="106" t="inlineStr">
        <is>
          <t xml:space="preserve">Кр-99052696-1</t>
        </is>
      </c>
      <c r="E119" s="106" t="inlineStr">
        <is>
          <t xml:space="preserve">XALMURATOV AZAT ORINBAYEVICH</t>
        </is>
      </c>
      <c r="F119" s="106" t="inlineStr">
        <is>
          <t xml:space="preserve">998993545834 SMS OZI, 998991213870 SMS OGLI, 998996364570 SMS OGLI, 998973545834 SMS QIZI,</t>
        </is>
      </c>
      <c r="G119" s="106" t="inlineStr">
        <is>
          <t xml:space="preserve">KANLIKOL TUMANI</t>
        </is>
      </c>
      <c r="H119" s="107">
        <v>8.0</v>
      </c>
      <c r="I119" s="107">
        <v>1705802.97</v>
      </c>
      <c r="K119" s="106" t="inlineStr">
        <is>
          <t xml:space="preserve">ERTAGA TO'LOV QILAMAN DEDI LEKIN TO'G'RISI MOL EKAN | 1340 | Va'da berdi</t>
        </is>
      </c>
    </row>
    <row r="120">
      <c r="A120" s="106" t="inlineStr">
        <is>
          <t xml:space="preserve">КОРАКАЛПОГИСТОН РЕСПУБЛИКАСИ</t>
        </is>
      </c>
      <c r="C120" s="106" t="inlineStr">
        <is>
          <t xml:space="preserve">Обещал</t>
        </is>
      </c>
      <c r="D120" s="106" t="inlineStr">
        <is>
          <t xml:space="preserve">Кр-99041583-1</t>
        </is>
      </c>
      <c r="E120" s="106" t="inlineStr">
        <is>
          <t xml:space="preserve">ATAMURATOVA ZAURE KENESBAEVNA</t>
        </is>
      </c>
      <c r="F120" s="106" t="inlineStr">
        <is>
          <t xml:space="preserve">+998913926462 OZI,</t>
        </is>
      </c>
      <c r="G120" s="106" t="inlineStr">
        <is>
          <t xml:space="preserve">Моншаклы МФЙ, Улугбек кучаси, 34-уй</t>
        </is>
      </c>
      <c r="H120" s="107">
        <v>8.0</v>
      </c>
      <c r="I120" s="107">
        <v>1425870.86</v>
      </c>
      <c r="K120" s="106" t="inlineStr">
        <is>
          <t xml:space="preserve">KO'TARMAYABDI  O'RINBOSAR AKA TANISHI GAPLASHIBDI TO'LAYDI EKAN | 1116 | Va'da berdi</t>
        </is>
      </c>
    </row>
    <row r="121">
      <c r="A121" s="106" t="inlineStr">
        <is>
          <t xml:space="preserve">КОРАКАЛПОГИСТОН РЕСПУБЛИКАСИ</t>
        </is>
      </c>
      <c r="C121" s="106" t="inlineStr">
        <is>
          <t xml:space="preserve">Обещал</t>
        </is>
      </c>
      <c r="D121" s="106" t="inlineStr">
        <is>
          <t xml:space="preserve">Кр-99038438-2</t>
        </is>
      </c>
      <c r="E121" s="106" t="inlineStr">
        <is>
          <t xml:space="preserve">MADREYMOV QUANISH SALAMAT ULI</t>
        </is>
      </c>
      <c r="F121" s="106" t="inlineStr">
        <is>
          <t xml:space="preserve">998913927939 SMS OZI, 998912650077 SMS DO’STI , 998912618787 SMS DO’STI 2, 998777277939 SMS OZI 2 shunga tellefon qilinsin !!!,</t>
        </is>
      </c>
      <c r="G121" s="106" t="inlineStr">
        <is>
          <t xml:space="preserve">QORAQALPOGISTON RESP.NUKUS SHAHAR A.SULTANOV 5 UY</t>
        </is>
      </c>
      <c r="H121" s="107">
        <v>8.0</v>
      </c>
      <c r="I121" s="107">
        <v>1371881.08</v>
      </c>
      <c r="K121" s="106" t="inlineStr">
        <is>
          <t xml:space="preserve">ERTAGA  DEDILA O'TA KAPREZNE | 779 | Va'da berdi</t>
        </is>
      </c>
    </row>
    <row r="122">
      <c r="A122" s="106" t="inlineStr">
        <is>
          <t xml:space="preserve">КОРАКАЛПОГИСТОН РЕСПУБЛИКАСИ</t>
        </is>
      </c>
      <c r="C122" s="106" t="inlineStr">
        <is>
          <t xml:space="preserve">Обещал</t>
        </is>
      </c>
      <c r="D122" s="106" t="inlineStr">
        <is>
          <t xml:space="preserve">Кр-99040114-1</t>
        </is>
      </c>
      <c r="E122" s="106" t="inlineStr">
        <is>
          <t xml:space="preserve">TURGANBAYEVA MADINA JUMASHOVNA</t>
        </is>
      </c>
      <c r="F122" s="106" t="inlineStr">
        <is>
          <t xml:space="preserve">998937777906 SMS OZI, 998938421353 SMS QIZI, 998500557906 SMS QIZI, 998770919616 SMS KELINI, 998943947779 SMS ERI, 998881915355 sms eri newww,</t>
        </is>
      </c>
      <c r="G122" s="106" t="inlineStr">
        <is>
          <t xml:space="preserve">QORAQALPOGISTON RESPUBLIKASI KUNGIROT TUMANI USTYURT APJ CENTR 1</t>
        </is>
      </c>
      <c r="H122" s="107">
        <v>11.0</v>
      </c>
      <c r="I122" s="107">
        <v>780908.75</v>
      </c>
      <c r="K122" s="106" t="inlineStr">
        <is>
          <t xml:space="preserve">BUGUN TO'LOV QILAMAN FILIALGA BERAMAN DEDILA | 939 | Va'da berdi</t>
        </is>
      </c>
    </row>
    <row r="123">
      <c r="A123" s="106" t="inlineStr">
        <is>
          <t xml:space="preserve">КОРАКАЛПОГИСТОН РЕСПУБЛИКАСИ</t>
        </is>
      </c>
      <c r="C123" s="106" t="inlineStr">
        <is>
          <t xml:space="preserve">Обещал</t>
        </is>
      </c>
      <c r="D123" s="106" t="inlineStr">
        <is>
          <t xml:space="preserve">Кр-99019952-8</t>
        </is>
      </c>
      <c r="E123" s="106" t="inlineStr">
        <is>
          <t xml:space="preserve">URAZIMBETOVA SHOHISTA GULIMBAYEVNA</t>
        </is>
      </c>
      <c r="F123" s="106" t="inlineStr">
        <is>
          <t xml:space="preserve">99-186-59-19  SMS UZI, 998995033939 SMS ERI, 998940910907 SMS UZI, 998771152010 OGLI,</t>
        </is>
      </c>
      <c r="G123" s="106" t="inlineStr">
        <is>
          <t xml:space="preserve">QORAQALPOG’ISTON RESPUBLIKASI BERUNIY TUMANI BERUNIY OFY GULZOR KO’CHA </t>
        </is>
      </c>
      <c r="H123" s="107">
        <v>12.0</v>
      </c>
      <c r="I123" s="107">
        <v>733092.63</v>
      </c>
      <c r="K123" s="106" t="inlineStr">
        <is>
          <t xml:space="preserve">MOSHINASINI SOTIB TO'LOV QILIB BERAMAN DEYABDILA | 98 | Va'da berdi</t>
        </is>
      </c>
    </row>
    <row r="124">
      <c r="A124" s="106" t="inlineStr">
        <is>
          <t xml:space="preserve">КОРАКАЛПОГИСТОН РЕСПУБЛИКАСИ</t>
        </is>
      </c>
      <c r="C124" s="106" t="inlineStr">
        <is>
          <t xml:space="preserve">Обещал</t>
        </is>
      </c>
      <c r="D124" s="106" t="inlineStr">
        <is>
          <t xml:space="preserve">Кр-99052913-1</t>
        </is>
      </c>
      <c r="E124" s="106" t="inlineStr">
        <is>
          <t xml:space="preserve">SAPARIMBETOVA DILARA ARTIKBAEVNA</t>
        </is>
      </c>
      <c r="F124" s="106" t="inlineStr">
        <is>
          <t xml:space="preserve">998918730764 SMS OZI, 998913750057 SMS OGLI, 998137175772 SMS OGLI 2, 998919289383 SMS QIZI, 998885022001 O'G'LI,</t>
        </is>
      </c>
      <c r="G124" s="106" t="inlineStr">
        <is>
          <t xml:space="preserve">QARAQALPOGISTON RES NUKUS SHAHAR JAYXUN MFY QIZIL UY KUSHASI 50 A UY </t>
        </is>
      </c>
      <c r="H124" s="107">
        <v>8.0</v>
      </c>
      <c r="I124" s="107">
        <v>568323.62</v>
      </c>
      <c r="K124" s="106" t="inlineStr">
        <is>
          <t xml:space="preserve">O'G'LIM TO'LEDI HOZIR PULI YUQ EDI BOLISHI BN TO'LAYMIZ DEYABDI | 1351 | Va'da berdi</t>
        </is>
      </c>
    </row>
    <row r="125">
      <c r="A125" s="108" t="inlineStr">
        <is>
          <t xml:space="preserve">НАВОИЙ ВИЛОЯТИ</t>
        </is>
      </c>
      <c r="C125" s="108" t="inlineStr">
        <is>
          <t xml:space="preserve">Обещал</t>
        </is>
      </c>
      <c r="D125" s="108" t="inlineStr">
        <is>
          <t xml:space="preserve">Кр-99063368-1</t>
        </is>
      </c>
      <c r="E125" s="108" t="inlineStr">
        <is>
          <t xml:space="preserve">SHODIYEV G’ULOM BOBOYOROVICH</t>
        </is>
      </c>
      <c r="F125" s="108" t="inlineStr">
        <is>
          <t xml:space="preserve">998501569527 O’G’LI, 998880859593 O’ZI, 998932797793 KICHIK O’G’LI,</t>
        </is>
      </c>
      <c r="G125" s="108" t="inlineStr">
        <is>
          <t xml:space="preserve">NAVOIY VILOYATI,NAVBAHOR TUMANI,XASHMAN MFY,QO’RG’ONTEPA  KOCHASI,70 UY</t>
        </is>
      </c>
      <c r="H125" s="109">
        <v>8.0</v>
      </c>
      <c r="I125" s="109">
        <v>8392133.01</v>
      </c>
      <c r="K125" s="108" t="inlineStr">
        <is>
          <t xml:space="preserve">Va'da berdi | bugun kechqurun</t>
        </is>
      </c>
    </row>
    <row r="126">
      <c r="A126" s="108" t="inlineStr">
        <is>
          <t xml:space="preserve">НАВОИЙ ВИЛОЯТИ</t>
        </is>
      </c>
      <c r="C126" s="108" t="inlineStr">
        <is>
          <t xml:space="preserve">Обещал</t>
        </is>
      </c>
      <c r="D126" s="108" t="inlineStr">
        <is>
          <t xml:space="preserve">Кр-99063423-2</t>
        </is>
      </c>
      <c r="E126" s="108" t="inlineStr">
        <is>
          <t xml:space="preserve">XAMDAMOV ANVAR MARDONOVICH</t>
        </is>
      </c>
      <c r="F126" s="108" t="inlineStr">
        <is>
          <t xml:space="preserve">998933150284 OG’LI, 998933683804 TURMUSH O’RTOG’I, 998939120284 2 NOMERI,</t>
        </is>
      </c>
      <c r="G126" s="108" t="inlineStr">
        <is>
          <t xml:space="preserve">NAVOIY VILOYATI,KONIMEX TUMANI,YUKSALISH MFY,GULISTON KO’CHASI,3 BERK KO’CHAS,44 UY</t>
        </is>
      </c>
      <c r="H126" s="109">
        <v>8.0</v>
      </c>
      <c r="I126" s="109">
        <v>5700597.7</v>
      </c>
      <c r="K126" s="108" t="inlineStr">
        <is>
          <t xml:space="preserve">Va'da berdi | 3 kunda</t>
        </is>
      </c>
    </row>
    <row r="127">
      <c r="A127" s="108" t="inlineStr">
        <is>
          <t xml:space="preserve">НАВОИЙ ВИЛОЯТИ</t>
        </is>
      </c>
      <c r="C127" s="108" t="inlineStr">
        <is>
          <t xml:space="preserve">Обещал</t>
        </is>
      </c>
      <c r="D127" s="108" t="inlineStr">
        <is>
          <t xml:space="preserve">Кр-99058089-1</t>
        </is>
      </c>
      <c r="E127" s="108" t="inlineStr">
        <is>
          <t xml:space="preserve">KARIMOV ABDURASUL ASHURALIYEVICH</t>
        </is>
      </c>
      <c r="F127" s="108" t="inlineStr">
        <is>
          <t xml:space="preserve">998976858991 узи, 998976848991 узи 2 номер, 998999970603 кайнонаси, 998918472023 кайнсинглиси,</t>
        </is>
      </c>
      <c r="G127" s="108" t="inlineStr">
        <is>
          <t xml:space="preserve">NAVOIY VILOYATI, NAVOIY SHAXAR,BUNYODKOR MFY,SADRIDDIN AYNIY KO'CHASI,99-UY,29 XONADON</t>
        </is>
      </c>
      <c r="H127" s="109">
        <v>8.0</v>
      </c>
      <c r="I127" s="109">
        <v>2613399.8</v>
      </c>
      <c r="K127" s="108" t="inlineStr">
        <is>
          <t xml:space="preserve">Va'da berdi | ertaga vada berdi soat 5 ga</t>
        </is>
      </c>
    </row>
    <row r="128">
      <c r="A128" s="108" t="inlineStr">
        <is>
          <t xml:space="preserve">НАВОИЙ ВИЛОЯТИ</t>
        </is>
      </c>
      <c r="C128" s="108" t="inlineStr">
        <is>
          <t xml:space="preserve">Обещал</t>
        </is>
      </c>
      <c r="D128" s="108" t="inlineStr">
        <is>
          <t xml:space="preserve">Кр-99037388-2</t>
        </is>
      </c>
      <c r="E128" s="108" t="inlineStr">
        <is>
          <t xml:space="preserve">RASULOVA MADINA ABDURASHIT QIZI</t>
        </is>
      </c>
      <c r="F128" s="108" t="inlineStr">
        <is>
          <t xml:space="preserve">998937549991 SMS OZI, 998943478788 SMS ERI, 998906558555 SMS OPASI, 998943124440 SMS ONASI, 998937502343 ERI NEW,</t>
        </is>
      </c>
      <c r="G128" s="108" t="inlineStr">
        <is>
          <t xml:space="preserve">NAVOIY VILOYATI NUROTA TUMANI, G’AFUR G’ULOM MFY, XOLMUROD RAXIMOV KO’CHASI 12-UY</t>
        </is>
      </c>
      <c r="H128" s="109">
        <v>8.0</v>
      </c>
      <c r="I128" s="109">
        <v>1888246.4</v>
      </c>
      <c r="K128" s="108" t="inlineStr">
        <is>
          <t xml:space="preserve">Va'da berdi | bugun tolidi</t>
        </is>
      </c>
    </row>
    <row r="129">
      <c r="A129" s="110" t="inlineStr">
        <is>
          <t xml:space="preserve">НАМАНГАН ВИЛОЯТИ</t>
        </is>
      </c>
      <c r="C129" s="110" t="inlineStr">
        <is>
          <t xml:space="preserve">Обещал</t>
        </is>
      </c>
      <c r="D129" s="110" t="inlineStr">
        <is>
          <t xml:space="preserve">Кр-99027270-2</t>
        </is>
      </c>
      <c r="E129" s="110" t="inlineStr">
        <is>
          <t xml:space="preserve">ISLOMOV MAMADALIXON TOLIBXON O’G’LI</t>
        </is>
      </c>
      <c r="F129" s="110" t="inlineStr">
        <is>
          <t xml:space="preserve">95-000-22-92 SMS O'ZI, 99-398-23-92 SMS OZ'I 2, 91-365-08-04 SMS AYOLI, 91-355-24-41 SMS UKASI, 93-490-51-33 ozi ,</t>
        </is>
      </c>
      <c r="G129" s="110" t="inlineStr">
        <is>
          <t xml:space="preserve">NAMANGAN VILOYATI KOSONSOY TUMANI CHINDOVUL QFY ZAMONDOSH MFY 110-UY</t>
        </is>
      </c>
      <c r="H129" s="111">
        <v>36.0</v>
      </c>
      <c r="I129" s="111">
        <v>7644771.11</v>
      </c>
      <c r="K129" s="110" t="inlineStr">
        <is>
          <t xml:space="preserve">Va'da berdi | bir ikki kunda yopib berarkan polni yopvoraman deb va'da berayabdi</t>
        </is>
      </c>
    </row>
    <row r="130">
      <c r="A130" s="110" t="inlineStr">
        <is>
          <t xml:space="preserve">НАМАНГАН ВИЛОЯТИ</t>
        </is>
      </c>
      <c r="C130" s="110" t="inlineStr">
        <is>
          <t xml:space="preserve">Обещал</t>
        </is>
      </c>
      <c r="D130" s="110" t="inlineStr">
        <is>
          <t xml:space="preserve">Кр-99027834-2</t>
        </is>
      </c>
      <c r="E130" s="110" t="inlineStr">
        <is>
          <t xml:space="preserve">HAYDARALIYEV IKROMJON MAHMUDJON O’G’LI</t>
        </is>
      </c>
      <c r="F130" s="110" t="inlineStr">
        <is>
          <t xml:space="preserve">998943003001 SMS SARVAR AKA NAMANGAN, +998944960505 SMS JIYANI,</t>
        </is>
      </c>
      <c r="G130" s="110" t="inlineStr">
        <is>
          <t xml:space="preserve">Сузаковул МФЙ, Юкори Сузок кучаси, 24-уй</t>
        </is>
      </c>
      <c r="H130" s="111">
        <v>8.0</v>
      </c>
      <c r="I130" s="111">
        <v>3198920.47</v>
      </c>
      <c r="K130" s="110" t="inlineStr">
        <is>
          <t xml:space="preserve">Va'da berdi | bugun kechgacha anniq toliman deyabdi</t>
        </is>
      </c>
    </row>
    <row r="131">
      <c r="A131" s="110" t="inlineStr">
        <is>
          <t xml:space="preserve">НАМАНГАН ВИЛОЯТИ</t>
        </is>
      </c>
      <c r="C131" s="110" t="inlineStr">
        <is>
          <t xml:space="preserve">Обещал</t>
        </is>
      </c>
      <c r="D131" s="110" t="inlineStr">
        <is>
          <t xml:space="preserve">Кр-99030695-1</t>
        </is>
      </c>
      <c r="E131" s="110" t="inlineStr">
        <is>
          <t xml:space="preserve">USMONXANOV IBROXIMJON ISROIL O’G’LI</t>
        </is>
      </c>
      <c r="F131" s="110" t="inlineStr">
        <is>
          <t xml:space="preserve">91-280-30-80  SMS O'ZI, 90-791-83-86  SMS AYOLI, 93-492-63-63  SMS ONASI, 90-794-25-65 SMS  UYI, +998934926363 Primary phone from road24, 998934926363 Primary phone from road24, 907918386 SMS AYOLI, 907942565 SMS  UYI, 912803080 SMS O’ZI, 934926363 SMS ONASI,</t>
        </is>
      </c>
      <c r="G131" s="110" t="inlineStr">
        <is>
          <t xml:space="preserve">NAMANGAN VILOYATI NAMANGAN SHAHAR YANGI NAMANGAN TUMANI BUNYODKOR MFY SANOAT KO’CHASI 52A UY</t>
        </is>
      </c>
      <c r="H131" s="111">
        <v>1.0</v>
      </c>
      <c r="I131" s="111">
        <v>2325973.04</v>
      </c>
      <c r="K131" s="110" t="inlineStr">
        <is>
          <t xml:space="preserve">Va'da berdi | bugun tolab qoyarkan filialga</t>
        </is>
      </c>
    </row>
    <row r="132">
      <c r="A132" s="110" t="inlineStr">
        <is>
          <t xml:space="preserve">НАМАНГАН ВИЛОЯТИ</t>
        </is>
      </c>
      <c r="C132" s="110" t="inlineStr">
        <is>
          <t xml:space="preserve">Обещал</t>
        </is>
      </c>
      <c r="D132" s="110" t="inlineStr">
        <is>
          <t xml:space="preserve">Кр-99027564-1</t>
        </is>
      </c>
      <c r="E132" s="110" t="inlineStr">
        <is>
          <t xml:space="preserve">SOLIYEV NODIRBEK JUMANBOYEVICH</t>
        </is>
      </c>
      <c r="F132" s="110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132" s="110" t="inlineStr">
        <is>
          <t xml:space="preserve">NAMANGAN VILOYATI NORIN TUMANI BOYOVUL MFY BESHQO’RG’ON KO’CHASI 108 UY</t>
        </is>
      </c>
      <c r="H132" s="111">
        <v>13.0</v>
      </c>
      <c r="I132" s="111">
        <v>1772755.57</v>
      </c>
      <c r="K132" s="110" t="inlineStr">
        <is>
          <t xml:space="preserve">Va'da berdi | bugun qisman tolarkan qolgani ertaga tolab yoparkan oylik tolovini</t>
        </is>
      </c>
    </row>
    <row r="133">
      <c r="A133" s="110" t="inlineStr">
        <is>
          <t xml:space="preserve">НАМАНГАН ВИЛОЯТИ</t>
        </is>
      </c>
      <c r="C133" s="110" t="inlineStr">
        <is>
          <t xml:space="preserve">Обещал</t>
        </is>
      </c>
      <c r="D133" s="110" t="inlineStr">
        <is>
          <t xml:space="preserve">Кр-99035142-1</t>
        </is>
      </c>
      <c r="E133" s="110" t="inlineStr">
        <is>
          <t xml:space="preserve">USMONALIYEV ABRORJON BAHROMJON O’G’LI</t>
        </is>
      </c>
      <c r="F133" s="110" t="inlineStr">
        <is>
          <t xml:space="preserve">998950871314 SMS O’ZI , 998990811515 SMS AKASI , 998770037797 SMS AKASI  begona, 998999040673 SMS ONASI ,</t>
        </is>
      </c>
      <c r="G133" s="110" t="inlineStr">
        <is>
          <t xml:space="preserve">NAMANGAN VILOYATI YANGIQO’RG’ON TUMANI QANDIYON MFY YANGI QANDIYON KO’CHA 87 UY</t>
        </is>
      </c>
      <c r="H133" s="111">
        <v>6.0</v>
      </c>
      <c r="I133" s="111">
        <v>1396253.5</v>
      </c>
      <c r="K133" s="110" t="inlineStr">
        <is>
          <t xml:space="preserve">Va'da berdi | yopildi</t>
        </is>
      </c>
    </row>
    <row r="134">
      <c r="A134" s="110" t="inlineStr">
        <is>
          <t xml:space="preserve">НАМАНГАН ВИЛОЯТИ</t>
        </is>
      </c>
      <c r="C134" s="110" t="inlineStr">
        <is>
          <t xml:space="preserve">Обещал</t>
        </is>
      </c>
      <c r="D134" s="110" t="inlineStr">
        <is>
          <t xml:space="preserve">Кр-99062024-1</t>
        </is>
      </c>
      <c r="E134" s="110" t="inlineStr">
        <is>
          <t xml:space="preserve">DADABAYEVA RA’NO INAMJONOVNA</t>
        </is>
      </c>
      <c r="F134" s="110" t="inlineStr">
        <is>
          <t xml:space="preserve">998935721472 SMS OZI, 998944938585 SMS ERI, 998934721472 SMS DADSI, 998974938585 SMS ERI,</t>
        </is>
      </c>
      <c r="G134" s="110" t="inlineStr">
        <is>
          <t xml:space="preserve">NAMANGAN VILOYATI CHUST TUMANI OLMOS MFY MUSTAQILLIK KO’CHASI 9-UY</t>
        </is>
      </c>
      <c r="I134" s="111">
        <v>1284540.17</v>
      </c>
      <c r="K134" s="110" t="inlineStr">
        <is>
          <t xml:space="preserve">Va'da berdi | yopildi</t>
        </is>
      </c>
    </row>
    <row r="135">
      <c r="A135" s="110" t="inlineStr">
        <is>
          <t xml:space="preserve">НАМАНГАН ВИЛОЯТИ</t>
        </is>
      </c>
      <c r="C135" s="110" t="inlineStr">
        <is>
          <t xml:space="preserve">Обещал</t>
        </is>
      </c>
      <c r="D135" s="110" t="inlineStr">
        <is>
          <t xml:space="preserve">Кр-99032402-1</t>
        </is>
      </c>
      <c r="E135" s="110" t="inlineStr">
        <is>
          <t xml:space="preserve">XUJAYEV GULOMJON ATAVALIYEVICH</t>
        </is>
      </c>
      <c r="F135" s="110" t="inlineStr">
        <is>
          <t xml:space="preserve">998936750549 SMS O’ZI, 998935683707 SMS O’G’LI, 998935930302 SMS O’G’LI 2 begona, 998938813707 SMS KELINI,</t>
        </is>
      </c>
      <c r="G135" s="110" t="inlineStr">
        <is>
          <t xml:space="preserve">NAMANGAN VILOYATI UCHQO’RG’ON TUMANI YANGIYER MFY YANGIYER KO’CHASI 68 UY</t>
        </is>
      </c>
      <c r="H135" s="111">
        <v>8.0</v>
      </c>
      <c r="I135" s="111">
        <v>1040796.55</v>
      </c>
      <c r="K135" s="110" t="inlineStr">
        <is>
          <t xml:space="preserve">Va'da berdi | yopildi</t>
        </is>
      </c>
    </row>
    <row r="136">
      <c r="A136" s="110" t="inlineStr">
        <is>
          <t xml:space="preserve">НАМАНГАН ВИЛОЯТИ</t>
        </is>
      </c>
      <c r="C136" s="110" t="inlineStr">
        <is>
          <t xml:space="preserve">Обещал</t>
        </is>
      </c>
      <c r="D136" s="110" t="inlineStr">
        <is>
          <t xml:space="preserve">Кр-99010690-2</t>
        </is>
      </c>
      <c r="E136" s="110" t="inlineStr">
        <is>
          <t xml:space="preserve">ANVAROV XUSANBOY MALIKJON O’G’LI</t>
        </is>
      </c>
      <c r="F136" s="110" t="inlineStr">
        <is>
          <t xml:space="preserve">93-423-99-69  SMS OZI, 998993940008 SMS DADASI, 94-905-55-69  SMS OPASI, 93-408-15-04  SMS ONASI, 998937196777 UZI NEWW,</t>
        </is>
      </c>
      <c r="G136" s="110" t="inlineStr">
        <is>
          <t xml:space="preserve">NAMANGAN VILOYATI UYCHI TUMANI YORQO’RGON MFY NURLIK KOCHASI 100-UY</t>
        </is>
      </c>
      <c r="H136" s="111">
        <v>8.0</v>
      </c>
      <c r="I136" s="111">
        <v>314876.99</v>
      </c>
      <c r="K136" s="110" t="inlineStr">
        <is>
          <t xml:space="preserve">Va'da berdi | yopildi</t>
        </is>
      </c>
    </row>
    <row r="137">
      <c r="A137" s="110" t="inlineStr">
        <is>
          <t xml:space="preserve">НАМАНГАН ВИЛОЯТИ</t>
        </is>
      </c>
      <c r="C137" s="110" t="inlineStr">
        <is>
          <t xml:space="preserve">Обещал</t>
        </is>
      </c>
      <c r="D137" s="110" t="inlineStr">
        <is>
          <t xml:space="preserve">Кр-99031370-1</t>
        </is>
      </c>
      <c r="E137" s="110" t="inlineStr">
        <is>
          <t xml:space="preserve">TOJIBOYEV XURSHIDBEK XURSANOVICH</t>
        </is>
      </c>
      <c r="F137" s="110" t="inlineStr">
        <is>
          <t xml:space="preserve">94-509-59-83  SMS O’ZI watsab ishlidi, 998943460500 SMS BEGONA, 50-551-59-83  SMS O’ZI 2, 99-514-22-29  SMS AKASI, 998945954433 sms ozin new nomeri, 998943021414 tolovchi ukasi ,</t>
        </is>
      </c>
      <c r="G137" s="110" t="inlineStr">
        <is>
          <t xml:space="preserve">NAMANGAN VILOYATI UCHQO’RG’ON TUMANI BAXT MFY HUVAYDO KO’CHASI 14 UY</t>
        </is>
      </c>
      <c r="H137" s="111">
        <v>13.0</v>
      </c>
      <c r="I137" s="111">
        <v>250875.97</v>
      </c>
      <c r="K137" s="110" t="inlineStr">
        <is>
          <t xml:space="preserve">Va'da berdi | yopildi cartaga tashadi</t>
        </is>
      </c>
    </row>
    <row r="138">
      <c r="A138" s="112" t="inlineStr">
        <is>
          <t xml:space="preserve">САМАРКАНД ВИЛОЯТИ</t>
        </is>
      </c>
      <c r="C138" s="112" t="inlineStr">
        <is>
          <t xml:space="preserve">Обещал</t>
        </is>
      </c>
      <c r="D138" s="112" t="inlineStr">
        <is>
          <t xml:space="preserve">Кр-99024819-8</t>
        </is>
      </c>
      <c r="E138" s="112" t="inlineStr">
        <is>
          <t xml:space="preserve">GULYAMOV IMRON BAXODIROVICH</t>
        </is>
      </c>
      <c r="F138" s="112" t="inlineStr">
        <is>
          <t xml:space="preserve">90-503-44-22 SMS AKASI SHU HAL QILADI, 91-520-43-44 SMS UZI, 66-234-44-63 SMS UYI, 97-927-25-11 SMS UKASI,</t>
        </is>
      </c>
      <c r="G138" s="112" t="inlineStr">
        <is>
          <t xml:space="preserve">SAMARQAND VILOYATI SAMARQAND SHAHRI BOG’I SHIFO MFY  MASKOVSKIY KUCHASI 12-UY</t>
        </is>
      </c>
      <c r="H138" s="113">
        <v>8.0</v>
      </c>
      <c r="I138" s="113">
        <v>10679970.37</v>
      </c>
      <c r="K138" s="112" t="inlineStr">
        <is>
          <t xml:space="preserve">Va'da berdi</t>
        </is>
      </c>
    </row>
    <row r="139">
      <c r="A139" s="112" t="inlineStr">
        <is>
          <t xml:space="preserve">САМАРКАНД ВИЛОЯТИ</t>
        </is>
      </c>
      <c r="C139" s="112" t="inlineStr">
        <is>
          <t xml:space="preserve">Обещал</t>
        </is>
      </c>
      <c r="D139" s="112" t="inlineStr">
        <is>
          <t xml:space="preserve">Кр-99064082-1</t>
        </is>
      </c>
      <c r="E139" s="112" t="inlineStr">
        <is>
          <t xml:space="preserve">XODJIQULOVA MAVLYUDA XXX</t>
        </is>
      </c>
      <c r="F139" s="112" t="inlineStr">
        <is>
          <t xml:space="preserve">998871355366 SMS UYI, 998882338080 SMS OZI, 998933535366 SMS ERI, 998940039953 SMS O’G’LI,</t>
        </is>
      </c>
      <c r="G139" s="112" t="inlineStr">
        <is>
          <t xml:space="preserve">SAMARQAND VILOYATI SAMARQAND SHAHAR BOG’BONLAR MFY SIPITAMINSHOX KUCHASI 266-UY 29-XONODON</t>
        </is>
      </c>
      <c r="H139" s="113">
        <v>8.0</v>
      </c>
      <c r="I139" s="113">
        <v>8354433.05</v>
      </c>
      <c r="K139" s="112" t="inlineStr">
        <is>
          <t xml:space="preserve">Va'da berdi | ertaga tolid</t>
        </is>
      </c>
    </row>
    <row r="140">
      <c r="A140" s="112" t="inlineStr">
        <is>
          <t xml:space="preserve">САМАРКАНД ВИЛОЯТИ</t>
        </is>
      </c>
      <c r="C140" s="112" t="inlineStr">
        <is>
          <t xml:space="preserve">Обещал</t>
        </is>
      </c>
      <c r="D140" s="112" t="inlineStr">
        <is>
          <t xml:space="preserve">Кр-99057416-1</t>
        </is>
      </c>
      <c r="E140" s="112" t="inlineStr">
        <is>
          <t xml:space="preserve">BASHMONOVA DILFUZA ALIMOVNA</t>
        </is>
      </c>
      <c r="F140" s="112" t="inlineStr">
        <is>
          <t xml:space="preserve">998937298058 SMS ERI, 998933480095 SMS OZI, 998330870702 SMS UYI, 998930508058 SMS UZI 2,</t>
        </is>
      </c>
      <c r="G140" s="112" t="inlineStr">
        <is>
          <t xml:space="preserve">SAMARQAND VILOYATI PAYARIQ TUMANI TOMOYROT MFY SHON-SHUHRAT KO'CHASI 113-UY</t>
        </is>
      </c>
      <c r="H140" s="113">
        <v>11.0</v>
      </c>
      <c r="I140" s="113">
        <v>7678655.1</v>
      </c>
      <c r="K140" s="112" t="inlineStr">
        <is>
          <t xml:space="preserve">Va'da berdi</t>
        </is>
      </c>
    </row>
    <row r="141">
      <c r="A141" s="112" t="inlineStr">
        <is>
          <t xml:space="preserve">САМАРКАНД ВИЛОЯТИ</t>
        </is>
      </c>
      <c r="C141" s="112" t="inlineStr">
        <is>
          <t xml:space="preserve">Обещал</t>
        </is>
      </c>
      <c r="D141" s="112" t="inlineStr">
        <is>
          <t xml:space="preserve">Кр-99063322-2</t>
        </is>
      </c>
      <c r="E141" s="112" t="inlineStr">
        <is>
          <t xml:space="preserve">UTABAYEV JONIBEK ILXOMOVICH</t>
        </is>
      </c>
      <c r="F141" s="112" t="inlineStr">
        <is>
          <t xml:space="preserve">998901922133 SMS OPASI, 998910394407 SMS, 998915214468 SMM UYI, 998995267774 SMS OZI,</t>
        </is>
      </c>
      <c r="G141" s="112" t="inlineStr">
        <is>
          <t xml:space="preserve">SAMARQAND VILOYATI KATTAQO’RG’ON SHAHAR YERMSCHIT MFY BUNYODKOR KUCHASI 6 A DOM 1 KORPUS 1 KVARTERA</t>
        </is>
      </c>
      <c r="H141" s="113">
        <v>8.0</v>
      </c>
      <c r="I141" s="113">
        <v>4214417.98</v>
      </c>
      <c r="K141" s="112" t="inlineStr">
        <is>
          <t xml:space="preserve">Va'da berdi | ertaga tolid</t>
        </is>
      </c>
    </row>
    <row r="142">
      <c r="A142" s="112" t="inlineStr">
        <is>
          <t xml:space="preserve">САМАРКАНД ВИЛОЯТИ</t>
        </is>
      </c>
      <c r="C142" s="112" t="inlineStr">
        <is>
          <t xml:space="preserve">Обещал</t>
        </is>
      </c>
      <c r="D142" s="112" t="inlineStr">
        <is>
          <t xml:space="preserve">Кр-99019784-3</t>
        </is>
      </c>
      <c r="E142" s="112" t="inlineStr">
        <is>
          <t xml:space="preserve">AXATOVA NARGIZA ILXOMOVNA</t>
        </is>
      </c>
      <c r="F142" s="112" t="inlineStr">
        <is>
          <t xml:space="preserve">99-771-09-30 SMS UZI , 99-599-69-66 SMS ERI, 93-353-56-07 SMS QIZI, 99-350-56-07 SMS UYI, +998997710930 SMS OZI,</t>
        </is>
      </c>
      <c r="G142" s="112" t="inlineStr">
        <is>
          <t xml:space="preserve">SAMARQAND VILOYATI SAMARQAND SHAHRI XO’JA QISHLOQ MFY LOCHIN KO’CHASI 2 YULAK 22-UY</t>
        </is>
      </c>
      <c r="H142" s="113">
        <v>8.0</v>
      </c>
      <c r="I142" s="113">
        <v>4097262.49</v>
      </c>
      <c r="K142" s="112" t="inlineStr">
        <is>
          <t xml:space="preserve">Va'da berdi</t>
        </is>
      </c>
    </row>
    <row r="143">
      <c r="A143" s="112" t="inlineStr">
        <is>
          <t xml:space="preserve">САМАРКАНД ВИЛОЯТИ</t>
        </is>
      </c>
      <c r="C143" s="112" t="inlineStr">
        <is>
          <t xml:space="preserve">Обещал</t>
        </is>
      </c>
      <c r="D143" s="112" t="inlineStr">
        <is>
          <t xml:space="preserve">Кр-99063884-1</t>
        </is>
      </c>
      <c r="E143" s="112" t="inlineStr">
        <is>
          <t xml:space="preserve">ABDURASHIDOV AKOBIR VASLIDDIN O’G’LI</t>
        </is>
      </c>
      <c r="F143" s="112" t="inlineStr">
        <is>
          <t xml:space="preserve">998777162444 SMS DOSTI, 998943414303 SMS UZI, 998993961270 SMS TOLOVCHI,</t>
        </is>
      </c>
      <c r="G143" s="112" t="inlineStr">
        <is>
          <t xml:space="preserve">ДУРБЕШ ҚФЙ, ЯНГИРАВОТ МФЙ, ДУРБЕШ ҚИШЛОҒИ,  uy:Р/С</t>
        </is>
      </c>
      <c r="H143" s="113">
        <v>8.0</v>
      </c>
      <c r="I143" s="113">
        <v>4062717.29</v>
      </c>
      <c r="K143" s="112" t="inlineStr">
        <is>
          <t xml:space="preserve">Va'da berdi | 28-29 tolov qiladi</t>
        </is>
      </c>
    </row>
    <row r="144">
      <c r="A144" s="112" t="inlineStr">
        <is>
          <t xml:space="preserve">САМАРКАНД ВИЛОЯТИ</t>
        </is>
      </c>
      <c r="C144" s="112" t="inlineStr">
        <is>
          <t xml:space="preserve">Обещал</t>
        </is>
      </c>
      <c r="D144" s="112" t="inlineStr">
        <is>
          <t xml:space="preserve">Кр-99062920-1</t>
        </is>
      </c>
      <c r="E144" s="112" t="inlineStr">
        <is>
          <t xml:space="preserve">BOBOYEV SHERXON RUZIMURODOVICH</t>
        </is>
      </c>
      <c r="F144" s="112" t="inlineStr">
        <is>
          <t xml:space="preserve">+998992957374 SMS OZI, 998904757374 SMS OZI 2, 998956738444 SMS UKASI,</t>
        </is>
      </c>
      <c r="G144" s="112" t="inlineStr">
        <is>
          <t xml:space="preserve">SAMARQAND VILOYATI NUROBOD TUMANI OQSOY MFY</t>
        </is>
      </c>
      <c r="H144" s="113">
        <v>8.0</v>
      </c>
      <c r="I144" s="113">
        <v>3435601.02</v>
      </c>
      <c r="K144" s="112" t="inlineStr">
        <is>
          <t xml:space="preserve">Va'da berdi | 5 laga tolid</t>
        </is>
      </c>
    </row>
    <row r="145">
      <c r="A145" s="112" t="inlineStr">
        <is>
          <t xml:space="preserve">САМАРКАНД ВИЛОЯТИ</t>
        </is>
      </c>
      <c r="C145" s="112" t="inlineStr">
        <is>
          <t xml:space="preserve">Обещал</t>
        </is>
      </c>
      <c r="D145" s="112" t="inlineStr">
        <is>
          <t xml:space="preserve">Кр-99016634-3</t>
        </is>
      </c>
      <c r="E145" s="112" t="inlineStr">
        <is>
          <t xml:space="preserve">YAZDONOV QAHRAMON BOTIR O’G’LI</t>
        </is>
      </c>
      <c r="F145" s="112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145" s="112" t="inlineStr">
        <is>
          <t xml:space="preserve">SAMARQAND VILOYATI URGUT TUMANI QAYROQLI MFY QAYROQLI QISHLOG’I 444-UY</t>
        </is>
      </c>
      <c r="H145" s="113">
        <v>8.0</v>
      </c>
      <c r="I145" s="113">
        <v>3156177.3</v>
      </c>
      <c r="K145" s="112" t="inlineStr">
        <is>
          <t xml:space="preserve">Va'da berdi | ertaga 3 gacha tolov qiladi</t>
        </is>
      </c>
    </row>
    <row r="146">
      <c r="A146" s="112" t="inlineStr">
        <is>
          <t xml:space="preserve">САМАРКАНД ВИЛОЯТИ</t>
        </is>
      </c>
      <c r="C146" s="112" t="inlineStr">
        <is>
          <t xml:space="preserve">Обещал</t>
        </is>
      </c>
      <c r="D146" s="112" t="inlineStr">
        <is>
          <t xml:space="preserve">Кр-99027786-1</t>
        </is>
      </c>
      <c r="E146" s="112" t="inlineStr">
        <is>
          <t xml:space="preserve">TEMIROV OLIMSHER JAXONGIR O’G’LI</t>
        </is>
      </c>
      <c r="F146" s="112" t="inlineStr">
        <is>
          <t xml:space="preserve">998947420451 SMS OZI кариндоши, 998905021015 SMS AYOLI, 998901951510 SMS O'ZI 2, 998907420451 SMS ISHXONASI, 998949977497 узи ,</t>
        </is>
      </c>
      <c r="G146" s="112" t="inlineStr">
        <is>
          <t xml:space="preserve">SAMARQAND VILOYATI PASTDARG’OM TUMANI PULATCHI QFY OLMAZOR MFY XALOVAT KO’CHASI 80-UY</t>
        </is>
      </c>
      <c r="H146" s="113">
        <v>6.0</v>
      </c>
      <c r="I146" s="113">
        <v>3047606.77</v>
      </c>
      <c r="K146" s="112" t="inlineStr">
        <is>
          <t xml:space="preserve">Va'da berdi | ertadan kin tyolov qiladi</t>
        </is>
      </c>
    </row>
    <row r="147">
      <c r="A147" s="112" t="inlineStr">
        <is>
          <t xml:space="preserve">САМАРКАНД ВИЛОЯТИ</t>
        </is>
      </c>
      <c r="C147" s="112" t="inlineStr">
        <is>
          <t xml:space="preserve">Обещал</t>
        </is>
      </c>
      <c r="D147" s="112" t="inlineStr">
        <is>
          <t xml:space="preserve">Кр-99017675-2</t>
        </is>
      </c>
      <c r="E147" s="112" t="inlineStr">
        <is>
          <t xml:space="preserve">DAVRONOV SHEXROZ AZAMAT O’G’LI</t>
        </is>
      </c>
      <c r="F147" s="112" t="inlineStr">
        <is>
          <t xml:space="preserve">91-314-41-42  SMS UZI, 97-929-03-70  SMS tolovchi, 97-643-03-30  SMS UKASI, 97-919-52-22  SMS UYI, 998949230370 SMS TULOVCHI,</t>
        </is>
      </c>
      <c r="G147" s="112" t="inlineStr">
        <is>
          <t xml:space="preserve">SAMARQAND VILOYATI PASTDARGOM TUMANI TURKMAN MFY ISLOMOBOD KUCHASI 5-UY</t>
        </is>
      </c>
      <c r="H147" s="113">
        <v>8.0</v>
      </c>
      <c r="I147" s="113">
        <v>3034821.32</v>
      </c>
      <c r="K147" s="112" t="inlineStr">
        <is>
          <t xml:space="preserve">Va'da berdi | bugun yopad</t>
        </is>
      </c>
    </row>
    <row r="148">
      <c r="A148" s="112" t="inlineStr">
        <is>
          <t xml:space="preserve">САМАРКАНД ВИЛОЯТИ</t>
        </is>
      </c>
      <c r="C148" s="112" t="inlineStr">
        <is>
          <t xml:space="preserve">Обещал</t>
        </is>
      </c>
      <c r="D148" s="112" t="inlineStr">
        <is>
          <t xml:space="preserve">Кр-99063189-1</t>
        </is>
      </c>
      <c r="E148" s="112" t="inlineStr">
        <is>
          <t xml:space="preserve">BURONOV BUNYOD KAMOLIDDIN O’G’LI</t>
        </is>
      </c>
      <c r="F148" s="112" t="inlineStr">
        <is>
          <t xml:space="preserve">998941864114 OZI, 998944894114 AYOLI, 998937236606 UKASI, 998946815515 UYI,</t>
        </is>
      </c>
      <c r="G148" s="112" t="inlineStr">
        <is>
          <t xml:space="preserve">SAMARQAND VILOYATI NARPAY TUMANI TINCHLIK MFY PULKAN SHOIR KUCHASI 26-UY</t>
        </is>
      </c>
      <c r="H148" s="113">
        <v>8.0</v>
      </c>
      <c r="I148" s="113">
        <v>2797136.83</v>
      </c>
      <c r="K148" s="112" t="inlineStr">
        <is>
          <t xml:space="preserve">Va'da berdi | ERTALAB 9 GACHA TOLID</t>
        </is>
      </c>
    </row>
    <row r="149">
      <c r="A149" s="112" t="inlineStr">
        <is>
          <t xml:space="preserve">САМАРКАНД ВИЛОЯТИ</t>
        </is>
      </c>
      <c r="C149" s="112" t="inlineStr">
        <is>
          <t xml:space="preserve">Обещал</t>
        </is>
      </c>
      <c r="D149" s="112" t="inlineStr">
        <is>
          <t xml:space="preserve">Кр-99048134-1</t>
        </is>
      </c>
      <c r="E149" s="112" t="inlineStr">
        <is>
          <t xml:space="preserve">UMAROVA NIGINA SAIDKULOVNA</t>
        </is>
      </c>
      <c r="F149" s="112" t="inlineStr">
        <is>
          <t xml:space="preserve">+998910383833 SMS OZI, 998910330807 SMS UYI, 998910336888 SMS ZALOGADATEL, 998972880575 SMS OZI 2,</t>
        </is>
      </c>
      <c r="G149" s="112" t="inlineStr">
        <is>
          <t xml:space="preserve">SAMARQAND VILOYATI SAMARQAND TUMANI KULBA MFY KULBA KUCHASI 8-UY</t>
        </is>
      </c>
      <c r="H149" s="113">
        <v>8.0</v>
      </c>
      <c r="I149" s="113">
        <v>2148032.97</v>
      </c>
      <c r="K149" s="112" t="inlineStr">
        <is>
          <t xml:space="preserve">Va'da berdi | 20 kuni xudud inspektoridan ruxsat olgan</t>
        </is>
      </c>
    </row>
    <row r="150">
      <c r="A150" s="112" t="inlineStr">
        <is>
          <t xml:space="preserve">САМАРКАНД ВИЛОЯТИ</t>
        </is>
      </c>
      <c r="C150" s="112" t="inlineStr">
        <is>
          <t xml:space="preserve">Обещал</t>
        </is>
      </c>
      <c r="D150" s="112" t="inlineStr">
        <is>
          <t xml:space="preserve">Кр-99034407-1</t>
        </is>
      </c>
      <c r="E150" s="112" t="inlineStr">
        <is>
          <t xml:space="preserve">SHODIYEV YUNUS ZIYOYEVICH</t>
        </is>
      </c>
      <c r="F150" s="112" t="inlineStr">
        <is>
          <t xml:space="preserve">998937673633 SMS O’ZI, 998939967812 SMS AYOLI, 998904649211 SMS O’G’LI,</t>
        </is>
      </c>
      <c r="G150" s="112" t="inlineStr">
        <is>
          <t xml:space="preserve">SAMARQAND VILOYATI TAYLOQ TUMANI XITOYUZ MFY XITOYUZ QISHLOG’I GULOBOD KO’CHASI 41-UY</t>
        </is>
      </c>
      <c r="H150" s="113">
        <v>1.0</v>
      </c>
      <c r="I150" s="113">
        <v>1995834.65</v>
      </c>
      <c r="K150" s="112" t="inlineStr">
        <is>
          <t xml:space="preserve">Va'da berdi | ertaga  filialga tolov</t>
        </is>
      </c>
    </row>
    <row r="151">
      <c r="A151" s="112" t="inlineStr">
        <is>
          <t xml:space="preserve">САМАРКАНД ВИЛОЯТИ</t>
        </is>
      </c>
      <c r="C151" s="112" t="inlineStr">
        <is>
          <t xml:space="preserve">Обещал</t>
        </is>
      </c>
      <c r="D151" s="112" t="inlineStr">
        <is>
          <t xml:space="preserve">Кр-99034186-2</t>
        </is>
      </c>
      <c r="E151" s="112" t="inlineStr">
        <is>
          <t xml:space="preserve">SARIMSAKOV ALIJON SHUKUROVICH</t>
        </is>
      </c>
      <c r="F151" s="112" t="inlineStr">
        <is>
          <t xml:space="preserve">998933496749 SMS O’ZI, 998794322772 SMS O’ZI, 998941879595 SMS UKASI, 998932739603 SMS AYOLI, +998933496749 SMS OZI,</t>
        </is>
      </c>
      <c r="G151" s="112" t="inlineStr">
        <is>
          <t xml:space="preserve">SAMARQAND VILOYATI SAMARQAND SHAHRI BAHODIR YALANGTUSH MFY 127/9</t>
        </is>
      </c>
      <c r="H151" s="113">
        <v>8.0</v>
      </c>
      <c r="I151" s="113">
        <v>1758912.63</v>
      </c>
      <c r="K151" s="112" t="inlineStr">
        <is>
          <t xml:space="preserve">Va'da berdi | avans tushsa yopaman kutub otribman dedi</t>
        </is>
      </c>
    </row>
    <row r="152">
      <c r="A152" s="112" t="inlineStr">
        <is>
          <t xml:space="preserve">САМАРКАНД ВИЛОЯТИ</t>
        </is>
      </c>
      <c r="C152" s="112" t="inlineStr">
        <is>
          <t xml:space="preserve">Обещал</t>
        </is>
      </c>
      <c r="D152" s="112" t="inlineStr">
        <is>
          <t xml:space="preserve">Кр-99006537-5</t>
        </is>
      </c>
      <c r="E152" s="112" t="inlineStr">
        <is>
          <t xml:space="preserve">SHUKUROVA DILDORA MURODULLAYEVNA</t>
        </is>
      </c>
      <c r="F152" s="112" t="inlineStr">
        <is>
          <t xml:space="preserve">93-861-07-84 SMS OZI, 91-557-43-87 SMS ERI, 94-686-65-05 SMS O’G’LI tanimasakan, 94-028-85-80 SMS JIYANI, +998938610784 SMS OZI,</t>
        </is>
      </c>
      <c r="G152" s="112" t="inlineStr">
        <is>
          <t xml:space="preserve">SAMARQAND VILOYATI JOMBOY TUMANI QUSHTEPA QISHLOG’I 16-UY</t>
        </is>
      </c>
      <c r="H152" s="113">
        <v>12.0</v>
      </c>
      <c r="I152" s="113">
        <v>1631394.69</v>
      </c>
      <c r="K152" s="112" t="inlineStr">
        <is>
          <t xml:space="preserve">Va'da berdi | ertaga abedgacha yopadi</t>
        </is>
      </c>
    </row>
    <row r="153">
      <c r="A153" s="112" t="inlineStr">
        <is>
          <t xml:space="preserve">САМАРКАНД ВИЛОЯТИ</t>
        </is>
      </c>
      <c r="C153" s="112" t="inlineStr">
        <is>
          <t xml:space="preserve">Обещал</t>
        </is>
      </c>
      <c r="D153" s="112" t="inlineStr">
        <is>
          <t xml:space="preserve">Кр-99027716-2</t>
        </is>
      </c>
      <c r="E153" s="112" t="inlineStr">
        <is>
          <t xml:space="preserve">SHAVAYEV XAFIZ ILIMDAR O’G’LI</t>
        </is>
      </c>
      <c r="F153" s="112" t="inlineStr">
        <is>
          <t xml:space="preserve">97-926-88-84 SMS AMAKISI FILIAR, 90-224-13-24 SMS OZI, 91-529-11-88 SMS DADASI, 99-949-11-88 SMS AYASI, 998915492288 мирза туловчи , 998771861177 mirza bc,</t>
        </is>
      </c>
      <c r="G153" s="112" t="inlineStr">
        <is>
          <t xml:space="preserve">SAMARQAND VILOYATI SAMARQAND SHAHRI XUNARMANDLAR MFY SPITAMENSHOX KUCHASI 14-UY</t>
        </is>
      </c>
      <c r="H153" s="113">
        <v>12.0</v>
      </c>
      <c r="I153" s="113">
        <v>1568090.55</v>
      </c>
      <c r="K153" s="112" t="inlineStr">
        <is>
          <t xml:space="preserve">Va'da berdi | juma kuni tolid</t>
        </is>
      </c>
    </row>
    <row r="154">
      <c r="A154" s="112" t="inlineStr">
        <is>
          <t xml:space="preserve">САМАРКАНД ВИЛОЯТИ</t>
        </is>
      </c>
      <c r="C154" s="112" t="inlineStr">
        <is>
          <t xml:space="preserve">Обещал</t>
        </is>
      </c>
      <c r="D154" s="112" t="inlineStr">
        <is>
          <t xml:space="preserve">Кр-99063856-2</t>
        </is>
      </c>
      <c r="E154" s="112" t="inlineStr">
        <is>
          <t xml:space="preserve">XUSHANOVA MAXBUBA JAZILOVNA</t>
        </is>
      </c>
      <c r="F154" s="112" t="inlineStr">
        <is>
          <t xml:space="preserve">+998941879595 SMS OZI, 998889931922 SMS QIZI, 998938339898 SMS O’G’LI, 998949595951 SMS OZI 2,</t>
        </is>
      </c>
      <c r="G154" s="112" t="inlineStr">
        <is>
          <t xml:space="preserve">SAMARQAND VILOYATI QUSHRABOT  TUMANI BULOKBOSHI MFY BULOKBOSHI QISHLOG’I 1439-UY</t>
        </is>
      </c>
      <c r="H154" s="113">
        <v>8.0</v>
      </c>
      <c r="I154" s="113">
        <v>1298417.8</v>
      </c>
      <c r="K154" s="112" t="inlineStr">
        <is>
          <t xml:space="preserve">Va'da berdi | 6 lada tolov qlad</t>
        </is>
      </c>
    </row>
    <row r="155">
      <c r="A155" s="112" t="inlineStr">
        <is>
          <t xml:space="preserve">САМАРКАНД ВИЛОЯТИ</t>
        </is>
      </c>
      <c r="C155" s="112" t="inlineStr">
        <is>
          <t xml:space="preserve">Обещал</t>
        </is>
      </c>
      <c r="D155" s="112" t="inlineStr">
        <is>
          <t xml:space="preserve">Кр-99034186-3</t>
        </is>
      </c>
      <c r="E155" s="112" t="inlineStr">
        <is>
          <t xml:space="preserve">SARIMSAKOV ALIJON SHUKUROVICH</t>
        </is>
      </c>
      <c r="F155" s="112" t="inlineStr">
        <is>
          <t xml:space="preserve">998933496749 SMS O’ZI, 998794322772 SMS O’ZI, 998941879595 SMS UKASI, 998932739603 SMS AYOLI, +998933496749 SMS OZI,</t>
        </is>
      </c>
      <c r="G155" s="112" t="inlineStr">
        <is>
          <t xml:space="preserve">SAMARQAND VILOYATI SAMARQAND SHAHRI BAHODIR YALANGTUSH MFY 127/9</t>
        </is>
      </c>
      <c r="H155" s="113">
        <v>13.0</v>
      </c>
      <c r="I155" s="113">
        <v>1189882.02</v>
      </c>
      <c r="K155" s="112" t="inlineStr">
        <is>
          <t xml:space="preserve">Va'da berdi | avans tushsa yopaman kutub otribman dedi</t>
        </is>
      </c>
    </row>
    <row r="156">
      <c r="A156" s="112" t="inlineStr">
        <is>
          <t xml:space="preserve">САМАРКАНД ВИЛОЯТИ</t>
        </is>
      </c>
      <c r="C156" s="112" t="inlineStr">
        <is>
          <t xml:space="preserve">Обещал</t>
        </is>
      </c>
      <c r="D156" s="112" t="inlineStr">
        <is>
          <t xml:space="preserve">Кр-99063830-1</t>
        </is>
      </c>
      <c r="E156" s="112" t="inlineStr">
        <is>
          <t xml:space="preserve">XAMIDOVA MARHABO RAHMANOVNA</t>
        </is>
      </c>
      <c r="F156" s="112" t="inlineStr">
        <is>
          <t xml:space="preserve">+998915268657 SMS OZI, 998955268657 SMS UYI, 998975268657 SMS DADASI,</t>
        </is>
      </c>
      <c r="G156" s="112" t="inlineStr">
        <is>
          <t xml:space="preserve">SAMARQAND VILOYATI OQDARYO TUMANI PAXTAOBOD MFY PAXTAOBOD KUCHASI 44-UY</t>
        </is>
      </c>
      <c r="H156" s="113">
        <v>8.0</v>
      </c>
      <c r="I156" s="113">
        <v>560997.66</v>
      </c>
      <c r="K156" s="112" t="inlineStr">
        <is>
          <t xml:space="preserve">Va'da berdi | 5 lada tolov qiladi</t>
        </is>
      </c>
    </row>
    <row r="157">
      <c r="A157" s="112" t="inlineStr">
        <is>
          <t xml:space="preserve">САМАРКАНД ВИЛОЯТИ</t>
        </is>
      </c>
      <c r="C157" s="112" t="inlineStr">
        <is>
          <t xml:space="preserve">Обещал</t>
        </is>
      </c>
      <c r="D157" s="112" t="inlineStr">
        <is>
          <t xml:space="preserve">Кр-99062859-1</t>
        </is>
      </c>
      <c r="E157" s="112" t="inlineStr">
        <is>
          <t xml:space="preserve">DAVLATOV SHERALI BARATOVICH</t>
        </is>
      </c>
      <c r="F157" s="112" t="inlineStr">
        <is>
          <t xml:space="preserve">+998938353878 SMS OZI, 998952319497 SMS QIZI, 998958970676 SMS AYOLI, 998990641497 SMS UYI,</t>
        </is>
      </c>
      <c r="G157" s="112" t="inlineStr">
        <is>
          <t xml:space="preserve">SAMARQAND VILOYATI SAMARQAND SHAHAR MUSTAQILLIK MFY SHOXRUX KUCHASI 8 UY</t>
        </is>
      </c>
      <c r="H157" s="113">
        <v>8.0</v>
      </c>
      <c r="I157" s="113">
        <v>140357.6</v>
      </c>
      <c r="K157" s="112" t="inlineStr">
        <is>
          <t xml:space="preserve">Va'da berdi | hozi yolda ekan toxtab yopar ekan</t>
        </is>
      </c>
    </row>
    <row r="158">
      <c r="A158" s="114" t="inlineStr">
        <is>
          <t xml:space="preserve">СУРХОНДАРЁ ВИЛОЯТИ</t>
        </is>
      </c>
      <c r="C158" s="114" t="inlineStr">
        <is>
          <t xml:space="preserve">Обещал</t>
        </is>
      </c>
      <c r="D158" s="114" t="inlineStr">
        <is>
          <t xml:space="preserve">Кр-99041030-1</t>
        </is>
      </c>
      <c r="E158" s="114" t="inlineStr">
        <is>
          <t xml:space="preserve">KARABOYEV ILHOM CHORIYEVICH</t>
        </is>
      </c>
      <c r="F158" s="114" t="inlineStr">
        <is>
          <t xml:space="preserve">+998508828224 SMS O’ZI, 998882426242 SMS QIZI, 998952128999 SMS QIZI, 998500126575 SMS OZI ,</t>
        </is>
      </c>
      <c r="G158" s="114" t="inlineStr">
        <is>
          <t xml:space="preserve">ДЕНОВ ШАХАР, САНОАТЧИЛИК МФЙ, М.БЕДИЛ,  uy:1А</t>
        </is>
      </c>
      <c r="H158" s="115">
        <v>43.0</v>
      </c>
      <c r="I158" s="115">
        <v>13574210.28</v>
      </c>
      <c r="K158" s="114" t="inlineStr">
        <is>
          <t xml:space="preserve">Va'da berdi | bugun yo erte keb tolov qlad | 1047</t>
        </is>
      </c>
    </row>
    <row r="159">
      <c r="A159" s="114" t="inlineStr">
        <is>
          <t xml:space="preserve">СУРХОНДАРЁ ВИЛОЯТИ</t>
        </is>
      </c>
      <c r="C159" s="114" t="inlineStr">
        <is>
          <t xml:space="preserve">Обещал</t>
        </is>
      </c>
      <c r="D159" s="114" t="inlineStr">
        <is>
          <t xml:space="preserve">Кр-99035010-1</t>
        </is>
      </c>
      <c r="E159" s="114" t="inlineStr">
        <is>
          <t xml:space="preserve">MALLAYEV MUZAFFAR TOSHNIYAZOVICH</t>
        </is>
      </c>
      <c r="F159" s="114" t="inlineStr">
        <is>
          <t xml:space="preserve">998930038079 SMS OZI, 998941793332 SMS OSHNASI, 998936763332 SMS OSHNASI, 998937972425 SMS NEVARASI,</t>
        </is>
      </c>
      <c r="G159" s="114" t="inlineStr">
        <is>
          <t xml:space="preserve">SURXONDARYO VILOYATI MUZRABOT TUMANI OLMOZOR MFY O’ZBEKISTON KO’CHASI 117-UY</t>
        </is>
      </c>
      <c r="H159" s="115">
        <v>42.0</v>
      </c>
      <c r="I159" s="115">
        <v>8805269.27</v>
      </c>
      <c r="K159" s="114" t="inlineStr">
        <is>
          <t xml:space="preserve">Va'da berdi | bugun erte tolidi | 541</t>
        </is>
      </c>
    </row>
    <row r="160">
      <c r="A160" s="114" t="inlineStr">
        <is>
          <t xml:space="preserve">СУРХОНДАРЁ ВИЛОЯТИ</t>
        </is>
      </c>
      <c r="C160" s="114" t="inlineStr">
        <is>
          <t xml:space="preserve">Обещал</t>
        </is>
      </c>
      <c r="D160" s="114" t="inlineStr">
        <is>
          <t xml:space="preserve">Кр-99040880-1</t>
        </is>
      </c>
      <c r="E160" s="114" t="inlineStr">
        <is>
          <t xml:space="preserve">USANOV ANARBOY XXX</t>
        </is>
      </c>
      <c r="F160" s="114" t="inlineStr">
        <is>
          <t xml:space="preserve">998919824959 SMS OZI, 998930952477 SMS UYI, 998915816615 SMS OILASI,</t>
        </is>
      </c>
      <c r="G160" s="114" t="inlineStr">
        <is>
          <t xml:space="preserve">SURXONDARYO VILOYATI OLTINSOY TUMANI SHODLIK MAXALLASI YANGI HAYOT KO'CHASI 142-UY</t>
        </is>
      </c>
      <c r="H160" s="115">
        <v>41.0</v>
      </c>
      <c r="I160" s="115">
        <v>7048053.68</v>
      </c>
      <c r="K160" s="114" t="inlineStr">
        <is>
          <t xml:space="preserve">Va'da berdi | 25 dan kyn grafikka tuwib olad | 1029</t>
        </is>
      </c>
    </row>
    <row r="161">
      <c r="A161" s="114" t="inlineStr">
        <is>
          <t xml:space="preserve">СУРХОНДАРЁ ВИЛОЯТИ</t>
        </is>
      </c>
      <c r="C161" s="114" t="inlineStr">
        <is>
          <t xml:space="preserve">Обещал</t>
        </is>
      </c>
      <c r="D161" s="114" t="inlineStr">
        <is>
          <t xml:space="preserve">Кр-99061891-2</t>
        </is>
      </c>
      <c r="E161" s="114" t="inlineStr">
        <is>
          <t xml:space="preserve">NAVRUZOVA ADOLAT MELIKULOVNA</t>
        </is>
      </c>
      <c r="F161" s="114" t="inlineStr">
        <is>
          <t xml:space="preserve">998880439898 SMS QIZI, 998915153070 SMS O’ZI, 998919820709 SMS O’G’LI,</t>
        </is>
      </c>
      <c r="G161" s="114" t="inlineStr">
        <is>
          <t xml:space="preserve">EZGULIK KO’CHASI 38-UY</t>
        </is>
      </c>
      <c r="H161" s="115">
        <v>8.0</v>
      </c>
      <c r="I161" s="115">
        <v>5810235.76</v>
      </c>
      <c r="K161" s="114" t="inlineStr">
        <is>
          <t xml:space="preserve">Va'da berdi | 20 cisiga tolo qberad | 1560</t>
        </is>
      </c>
    </row>
    <row r="162">
      <c r="A162" s="114" t="inlineStr">
        <is>
          <t xml:space="preserve">СУРХОНДАРЁ ВИЛОЯТИ</t>
        </is>
      </c>
      <c r="C162" s="114" t="inlineStr">
        <is>
          <t xml:space="preserve">Обещал</t>
        </is>
      </c>
      <c r="D162" s="114" t="inlineStr">
        <is>
          <t xml:space="preserve">Кр-99037123-1</t>
        </is>
      </c>
      <c r="E162" s="114" t="inlineStr">
        <is>
          <t xml:space="preserve">UMAROV ISROYILJON MAMAJONOVICH</t>
        </is>
      </c>
      <c r="F162" s="114" t="inlineStr">
        <is>
          <t xml:space="preserve">998993451982 SMS OZI, 998885311221 SMS UY, 998900400044 SMS OGLI BEGONA, 998882479680 SMS AKASI, 998975351151 SMS O'ZI , 998772751151 ozi new,</t>
        </is>
      </c>
      <c r="G162" s="114" t="inlineStr">
        <is>
          <t xml:space="preserve">SURXONDARYO VILOYATI DENOV TUMANI TOTUVLI MFY GULBAHOR K’OCHASI 78-UY</t>
        </is>
      </c>
      <c r="H162" s="115">
        <v>43.0</v>
      </c>
      <c r="I162" s="115">
        <v>5752498.04</v>
      </c>
      <c r="K162" s="114" t="inlineStr">
        <is>
          <t xml:space="preserve">Va'da berdi | erte tolo qlad | 681</t>
        </is>
      </c>
    </row>
    <row r="163">
      <c r="A163" s="114" t="inlineStr">
        <is>
          <t xml:space="preserve">СУРХОНДАРЁ ВИЛОЯТИ</t>
        </is>
      </c>
      <c r="C163" s="114" t="inlineStr">
        <is>
          <t xml:space="preserve">Обещал</t>
        </is>
      </c>
      <c r="D163" s="114" t="inlineStr">
        <is>
          <t xml:space="preserve">Кр-99034990-1</t>
        </is>
      </c>
      <c r="E163" s="114" t="inlineStr">
        <is>
          <t xml:space="preserve">PAYG’AMOV SAMANDAR BAXROM O’G’LI</t>
        </is>
      </c>
      <c r="F163" s="114" t="inlineStr">
        <is>
          <t xml:space="preserve">998930038079 SMS OZI, 998941793332 SMS OTASI, 998936763332 SMS OTASI, 998937972425 SMS UKASI,</t>
        </is>
      </c>
      <c r="G163" s="114" t="inlineStr">
        <is>
          <t xml:space="preserve">SURXONDARYO VILOYATI MUZRABOT TUMANI OLMOZOR MFY O’ZBEKISTON KO’CHASI 44-UY</t>
        </is>
      </c>
      <c r="H163" s="115">
        <v>42.0</v>
      </c>
      <c r="I163" s="115">
        <v>5419738.6</v>
      </c>
      <c r="K163" s="114" t="inlineStr">
        <is>
          <t xml:space="preserve">Va'da berdi | bugun erte tolidi | 539</t>
        </is>
      </c>
    </row>
    <row r="164">
      <c r="A164" s="114" t="inlineStr">
        <is>
          <t xml:space="preserve">СУРХОНДАРЁ ВИЛОЯТИ</t>
        </is>
      </c>
      <c r="C164" s="114" t="inlineStr">
        <is>
          <t xml:space="preserve">Обещал</t>
        </is>
      </c>
      <c r="D164" s="114" t="inlineStr">
        <is>
          <t xml:space="preserve">Кр-99058385-1</t>
        </is>
      </c>
      <c r="E164" s="114" t="inlineStr">
        <is>
          <t xml:space="preserve">RAXMATOVA MAFTUNA AXMADOVNA</t>
        </is>
      </c>
      <c r="F164" s="114" t="inlineStr">
        <is>
          <t xml:space="preserve">998942349989 SMS ukasi, 998932508896 SMS uzi , 998932735262 SMS dadasi,</t>
        </is>
      </c>
      <c r="G164" s="114" t="inlineStr">
        <is>
          <t xml:space="preserve">DENOV TUMANI</t>
        </is>
      </c>
      <c r="H164" s="115">
        <v>8.0</v>
      </c>
      <c r="I164" s="115">
        <v>5164765.74</v>
      </c>
      <c r="K164" s="114" t="inlineStr">
        <is>
          <t xml:space="preserve">Va'da berdi | 20 sidan kyn tolo qladi | 1480</t>
        </is>
      </c>
    </row>
    <row r="165">
      <c r="A165" s="114" t="inlineStr">
        <is>
          <t xml:space="preserve">СУРХОНДАРЁ ВИЛОЯТИ</t>
        </is>
      </c>
      <c r="C165" s="114" t="inlineStr">
        <is>
          <t xml:space="preserve">Обещал</t>
        </is>
      </c>
      <c r="D165" s="114" t="inlineStr">
        <is>
          <t xml:space="preserve">Кр-99034309-1</t>
        </is>
      </c>
      <c r="E165" s="114" t="inlineStr">
        <is>
          <t xml:space="preserve">KAMBAROV NIZOMIDDIN IKROMIDDINOVICH</t>
        </is>
      </c>
      <c r="F165" s="114" t="inlineStr">
        <is>
          <t xml:space="preserve">998883310406 SMS OZI, 998885350803 SMS UY, 998882661198 SMS AKASI, 998990157293 SMS UKASI,</t>
        </is>
      </c>
      <c r="G165" s="114" t="inlineStr">
        <is>
          <t xml:space="preserve">Сурхандарьинская область, Денауский район, Фарғона ҚФЙ,  Водий МФЙ, дом 6, кв. 15</t>
        </is>
      </c>
      <c r="H165" s="115">
        <v>8.0</v>
      </c>
      <c r="I165" s="115">
        <v>5048023.32</v>
      </c>
      <c r="K165" s="114" t="inlineStr">
        <is>
          <t xml:space="preserve">Va'da berdi | erte tolidi | 507</t>
        </is>
      </c>
    </row>
    <row r="166">
      <c r="A166" s="114" t="inlineStr">
        <is>
          <t xml:space="preserve">СУРХОНДАРЁ ВИЛОЯТИ</t>
        </is>
      </c>
      <c r="C166" s="114" t="inlineStr">
        <is>
          <t xml:space="preserve">Обещал</t>
        </is>
      </c>
      <c r="D166" s="114" t="inlineStr">
        <is>
          <t xml:space="preserve">Кр-99040217-1</t>
        </is>
      </c>
      <c r="E166" s="114" t="inlineStr">
        <is>
          <t xml:space="preserve">YUSUPOVA ULJON MAMATOVNA</t>
        </is>
      </c>
      <c r="F166" s="114" t="inlineStr">
        <is>
          <t xml:space="preserve">998902252061 SMS OZI, 998995222242 SMS OGLI SHU TULOVCHI FAQAT SHUNGA TEL QILINSIN, 998911913914 SMS JIYANI,</t>
        </is>
      </c>
      <c r="G166" s="114" t="inlineStr">
        <is>
          <t xml:space="preserve">SURXONDARYO VILOYATI OLTINSOY TUMANI XIDIRSHO MFY SOKIN HAYOT KO'CHASI 6-UY</t>
        </is>
      </c>
      <c r="H166" s="115">
        <v>8.0</v>
      </c>
      <c r="I166" s="115">
        <v>4911991.47</v>
      </c>
      <c r="K166" s="114" t="inlineStr">
        <is>
          <t xml:space="preserve">Va'da berdi | oy oxrgaca | 953</t>
        </is>
      </c>
    </row>
    <row r="167">
      <c r="A167" s="114" t="inlineStr">
        <is>
          <t xml:space="preserve">СУРХОНДАРЁ ВИЛОЯТИ</t>
        </is>
      </c>
      <c r="C167" s="114" t="inlineStr">
        <is>
          <t xml:space="preserve">Обещал</t>
        </is>
      </c>
      <c r="D167" s="114" t="inlineStr">
        <is>
          <t xml:space="preserve">Кр-99037958-1</t>
        </is>
      </c>
      <c r="E167" s="114" t="inlineStr">
        <is>
          <t xml:space="preserve">ESANOVA KAMOLA YULDASHEVNA</t>
        </is>
      </c>
      <c r="F167" s="114" t="inlineStr">
        <is>
          <t xml:space="preserve">998939679008 SMS OZI, 998935858080 SMS ERI, 998917141955 SMS ONASI, 998905239973 SMS OPASI,</t>
        </is>
      </c>
      <c r="G167" s="114" t="inlineStr">
        <is>
          <t xml:space="preserve">SURXONDARYO VILOYATI BOYSUN TUMANI POYGABOSHI MFY SEVINCH  K’OCHASI 35-UY </t>
        </is>
      </c>
      <c r="H167" s="115">
        <v>8.0</v>
      </c>
      <c r="I167" s="115">
        <v>4660958.7</v>
      </c>
      <c r="K167" s="114" t="inlineStr">
        <is>
          <t xml:space="preserve">Va'da berdi | bugun kecgaca xal qlad | 735</t>
        </is>
      </c>
    </row>
    <row r="168">
      <c r="A168" s="114" t="inlineStr">
        <is>
          <t xml:space="preserve">СУРХОНДАРЁ ВИЛОЯТИ</t>
        </is>
      </c>
      <c r="C168" s="114" t="inlineStr">
        <is>
          <t xml:space="preserve">Обещал</t>
        </is>
      </c>
      <c r="D168" s="114" t="inlineStr">
        <is>
          <t xml:space="preserve">Кр-99033434-2</t>
        </is>
      </c>
      <c r="E168" s="114" t="inlineStr">
        <is>
          <t xml:space="preserve">KARAYEVA UMIDA SHAMSIDDINOVNA</t>
        </is>
      </c>
      <c r="F168" s="114" t="inlineStr">
        <is>
          <t xml:space="preserve">998953102200 SMS O’ZI, 998996144777 SMS ERI, 998952260624 SMS UKASI, 998995522016 SMS TELEGRAM NOMER,</t>
        </is>
      </c>
      <c r="G168" s="114" t="inlineStr">
        <is>
          <t xml:space="preserve">SURXONDARYO VILOYATI DENOV TUMANI PISTAMOZOR  MFY LOCHIN DEKONCHLIK  51-UY</t>
        </is>
      </c>
      <c r="H168" s="115">
        <v>8.0</v>
      </c>
      <c r="I168" s="115">
        <v>4526968.72</v>
      </c>
      <c r="K168" s="114" t="inlineStr">
        <is>
          <t xml:space="preserve">Va'da berdi | oyni oxrgaca yopad | 443</t>
        </is>
      </c>
    </row>
    <row r="169">
      <c r="A169" s="114" t="inlineStr">
        <is>
          <t xml:space="preserve">СУРХОНДАРЁ ВИЛОЯТИ</t>
        </is>
      </c>
      <c r="C169" s="114" t="inlineStr">
        <is>
          <t xml:space="preserve">Обещал</t>
        </is>
      </c>
      <c r="D169" s="114" t="inlineStr">
        <is>
          <t xml:space="preserve">Кр-99042205-2</t>
        </is>
      </c>
      <c r="E169" s="114" t="inlineStr">
        <is>
          <t xml:space="preserve">ERGASHOVA GULCHEHRA HASANOVNA</t>
        </is>
      </c>
      <c r="F169" s="114" t="inlineStr">
        <is>
          <t xml:space="preserve">998915100210 SMS UY, 998915742909 SMS AYOLI, 998919080869 SMS O’ZI,</t>
        </is>
      </c>
      <c r="G169" s="114" t="inlineStr">
        <is>
          <t xml:space="preserve">СУРХОНДАРЁ ВИЛОЯТИ ШУРЧИ ТУМАНИ ҚЎЛДОШ ҚФЙ, ГУЛИСТОН МФЙ,  uy:68</t>
        </is>
      </c>
      <c r="H169" s="115">
        <v>8.0</v>
      </c>
      <c r="I169" s="115">
        <v>4441108.48</v>
      </c>
      <c r="K169" s="114" t="inlineStr">
        <is>
          <t xml:space="preserve">Va'da berdi | ucaskasn sotuvga qoygan | 1156</t>
        </is>
      </c>
    </row>
    <row r="170">
      <c r="A170" s="114" t="inlineStr">
        <is>
          <t xml:space="preserve">СУРХОНДАРЁ ВИЛОЯТИ</t>
        </is>
      </c>
      <c r="C170" s="114" t="inlineStr">
        <is>
          <t xml:space="preserve">Обещал</t>
        </is>
      </c>
      <c r="D170" s="114" t="inlineStr">
        <is>
          <t xml:space="preserve">Кр-99042816-2</t>
        </is>
      </c>
      <c r="E170" s="114" t="inlineStr">
        <is>
          <t xml:space="preserve">RAHIMOV HUMOYUN BEKMUROD O’G’LI</t>
        </is>
      </c>
      <c r="F170" s="114" t="inlineStr">
        <is>
          <t xml:space="preserve">998942097777 SMS AKASI, 998975341111 SMS O’ZI, 998994161900 SMS SHERIGI,</t>
        </is>
      </c>
      <c r="G170" s="114" t="inlineStr">
        <is>
          <t xml:space="preserve">Тошкент шаҳри, Чилонзор, 17 мавзе, 33 Уй, 69 Квартира</t>
        </is>
      </c>
      <c r="H170" s="115">
        <v>8.0</v>
      </c>
      <c r="I170" s="115">
        <v>4060784.21</v>
      </c>
      <c r="K170" s="114" t="inlineStr">
        <is>
          <t xml:space="preserve">Va'da berdi | wu hafta yop beraman dd | 1177</t>
        </is>
      </c>
    </row>
    <row r="171">
      <c r="A171" s="114" t="inlineStr">
        <is>
          <t xml:space="preserve">СУРХОНДАРЁ ВИЛОЯТИ</t>
        </is>
      </c>
      <c r="C171" s="114" t="inlineStr">
        <is>
          <t xml:space="preserve">Обещал</t>
        </is>
      </c>
      <c r="D171" s="114" t="inlineStr">
        <is>
          <t xml:space="preserve">Кр-99040377-1</t>
        </is>
      </c>
      <c r="E171" s="114" t="inlineStr">
        <is>
          <t xml:space="preserve">RADJABOV JO’RABEK MAXMUTOVICH</t>
        </is>
      </c>
      <c r="F171" s="114" t="inlineStr">
        <is>
          <t xml:space="preserve">998507795666 SMS OZI, 998992118496 SMS UKASI, 998507218995 SMS AYOLI, 998999484972 SMS QAYTNONASI,</t>
        </is>
      </c>
      <c r="G171" s="114" t="inlineStr">
        <is>
          <t xml:space="preserve">SURXONDARYO VILOYATI DENOV TUMANI ISLOM TO'RAYEV MFY ASRLAR SADOSI  KO'CHASI</t>
        </is>
      </c>
      <c r="H171" s="115">
        <v>8.0</v>
      </c>
      <c r="I171" s="115">
        <v>3567229.1</v>
      </c>
      <c r="K171" s="114" t="inlineStr">
        <is>
          <t xml:space="preserve">Va'da berdi | erte uzogi indn tolo qlad | 974</t>
        </is>
      </c>
    </row>
    <row r="172">
      <c r="A172" s="114" t="inlineStr">
        <is>
          <t xml:space="preserve">СУРХОНДАРЁ ВИЛОЯТИ</t>
        </is>
      </c>
      <c r="C172" s="114" t="inlineStr">
        <is>
          <t xml:space="preserve">Обещал</t>
        </is>
      </c>
      <c r="D172" s="114" t="inlineStr">
        <is>
          <t xml:space="preserve">Кр-99053658-1</t>
        </is>
      </c>
      <c r="E172" s="114" t="inlineStr">
        <is>
          <t xml:space="preserve">MUROTALIV BEKMUROD XAITMUROT O’G’LI</t>
        </is>
      </c>
      <c r="F172" s="114" t="inlineStr">
        <is>
          <t xml:space="preserve">998773737223 SMS OZI, 998200295964 SMS OZI, 998954405859 SMS OANSI, 998915833844 SMS AKASI, 998950199165 SMS ozi yangisi,</t>
        </is>
      </c>
      <c r="G172" s="114" t="inlineStr">
        <is>
          <t xml:space="preserve">SURXONDARYO VILOYAT QUMQURG’ON TUMAN GULTEPA MFY BOYQISHLOQ KO’CHASI 252-UY</t>
        </is>
      </c>
      <c r="H172" s="115">
        <v>8.0</v>
      </c>
      <c r="I172" s="115">
        <v>3452921.7</v>
      </c>
      <c r="K172" s="114" t="inlineStr">
        <is>
          <t xml:space="preserve">Va'da berdi | har oy oxirida tolo qlad | 1376</t>
        </is>
      </c>
    </row>
    <row r="173">
      <c r="A173" s="114" t="inlineStr">
        <is>
          <t xml:space="preserve">СУРХОНДАРЁ ВИЛОЯТИ</t>
        </is>
      </c>
      <c r="C173" s="114" t="inlineStr">
        <is>
          <t xml:space="preserve">Обещал</t>
        </is>
      </c>
      <c r="D173" s="114" t="inlineStr">
        <is>
          <t xml:space="preserve">Кр-99049246-1</t>
        </is>
      </c>
      <c r="E173" s="114" t="inlineStr">
        <is>
          <t xml:space="preserve">DJUMAYEV SHAROFIDDIN SHODIKULOVICH</t>
        </is>
      </c>
      <c r="F173" s="114" t="inlineStr">
        <is>
          <t xml:space="preserve">998888752525 SMS O’ZI, 998915111161 SMS OILASI, 998952223089 SMS TO'LOVCHI,</t>
        </is>
      </c>
      <c r="G173" s="114" t="inlineStr">
        <is>
          <t xml:space="preserve">SURXONDARYO VILOYATI DENOVI TUMANI BOG’INAV MFY AL-BUXORIY 47 UY</t>
        </is>
      </c>
      <c r="H173" s="115">
        <v>8.0</v>
      </c>
      <c r="I173" s="115">
        <v>2936269.52</v>
      </c>
      <c r="K173" s="114" t="inlineStr">
        <is>
          <t xml:space="preserve">Va'da berdi | oy oxrgaca | 1299</t>
        </is>
      </c>
    </row>
    <row r="174">
      <c r="A174" s="114" t="inlineStr">
        <is>
          <t xml:space="preserve">СУРХОНДАРЁ ВИЛОЯТИ</t>
        </is>
      </c>
      <c r="C174" s="114" t="inlineStr">
        <is>
          <t xml:space="preserve">Обещал</t>
        </is>
      </c>
      <c r="D174" s="114" t="inlineStr">
        <is>
          <t xml:space="preserve">Кр-99035581-2</t>
        </is>
      </c>
      <c r="E174" s="114" t="inlineStr">
        <is>
          <t xml:space="preserve">SAYDALIYEV BAXTINUR BAXRIDDIN O’G’LI</t>
        </is>
      </c>
      <c r="F174" s="11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174" s="114" t="inlineStr">
        <is>
          <t xml:space="preserve">Сурхондарё вилояти Кизирик Тумани Работак МФЙ, Абдулла Қаххор 1 кучаси, 21...-уй</t>
        </is>
      </c>
      <c r="H174" s="115">
        <v>8.0</v>
      </c>
      <c r="I174" s="115">
        <v>2925210.73</v>
      </c>
      <c r="K174" s="114" t="inlineStr">
        <is>
          <t xml:space="preserve">Va'da berdi | bugun tolo qlad | 577</t>
        </is>
      </c>
    </row>
    <row r="175">
      <c r="A175" s="114" t="inlineStr">
        <is>
          <t xml:space="preserve">СУРХОНДАРЁ ВИЛОЯТИ</t>
        </is>
      </c>
      <c r="C175" s="114" t="inlineStr">
        <is>
          <t xml:space="preserve">Обещал</t>
        </is>
      </c>
      <c r="D175" s="114" t="inlineStr">
        <is>
          <t xml:space="preserve">Кр-99036107-1</t>
        </is>
      </c>
      <c r="E175" s="114" t="inlineStr">
        <is>
          <t xml:space="preserve">ZIKIROV ALISHER KUDRATOVICH</t>
        </is>
      </c>
      <c r="F175" s="114" t="inlineStr">
        <is>
          <t xml:space="preserve">998957668603 SMS O’ZI, 998991970555 SMS JIYANI , 998882444737 AKASI, 998990380351 SMS AYOLI ,</t>
        </is>
      </c>
      <c r="G175" s="114" t="inlineStr">
        <is>
          <t xml:space="preserve">SURXONDARYO VILOYATI DENOV TUMANI ISTIQBOL MFY SATTOR YODGOROV 35-UY </t>
        </is>
      </c>
      <c r="H175" s="115">
        <v>29.0</v>
      </c>
      <c r="I175" s="115">
        <v>2880478.98</v>
      </c>
      <c r="K175" s="114" t="inlineStr">
        <is>
          <t xml:space="preserve">Va'da berdi | 20 cisidan kyn tolo qlad | 623</t>
        </is>
      </c>
    </row>
    <row r="176">
      <c r="A176" s="114" t="inlineStr">
        <is>
          <t xml:space="preserve">СУРХОНДАРЁ ВИЛОЯТИ</t>
        </is>
      </c>
      <c r="C176" s="114" t="inlineStr">
        <is>
          <t xml:space="preserve">Обещал</t>
        </is>
      </c>
      <c r="D176" s="114" t="inlineStr">
        <is>
          <t xml:space="preserve">Кр-99057441-1</t>
        </is>
      </c>
      <c r="E176" s="114" t="inlineStr">
        <is>
          <t xml:space="preserve">ISMATULLAYEV SALOXIDDIN SHERALI O’G’LI</t>
        </is>
      </c>
      <c r="F176" s="114" t="inlineStr">
        <is>
          <t xml:space="preserve">998971544440 SMS UZI, 998700137737 SMS UKASI, 998917333337 SMS UY, 998903799208 SMS UY 2,</t>
        </is>
      </c>
      <c r="G176" s="114" t="inlineStr">
        <is>
          <t xml:space="preserve">SURXONDARYO VILOYATI UZUN TUMANI QARASHIQ MFY SHODLIK KO’CHASI  153-UY </t>
        </is>
      </c>
      <c r="H176" s="115">
        <v>8.0</v>
      </c>
      <c r="I176" s="115">
        <v>2841617.98</v>
      </c>
      <c r="K176" s="114" t="inlineStr">
        <is>
          <t xml:space="preserve">Va'da berdi | bugun yo erte tolov qlad | 1449</t>
        </is>
      </c>
    </row>
    <row r="177">
      <c r="A177" s="114" t="inlineStr">
        <is>
          <t xml:space="preserve">СУРХОНДАРЁ ВИЛОЯТИ</t>
        </is>
      </c>
      <c r="C177" s="114" t="inlineStr">
        <is>
          <t xml:space="preserve">Обещал</t>
        </is>
      </c>
      <c r="D177" s="114" t="inlineStr">
        <is>
          <t xml:space="preserve">Кр-99037348-1</t>
        </is>
      </c>
      <c r="E177" s="114" t="inlineStr">
        <is>
          <t xml:space="preserve">OLIMOV UMIDJON XUMOYIDDIN O’G’LI</t>
        </is>
      </c>
      <c r="F177" s="114" t="inlineStr">
        <is>
          <t xml:space="preserve">998942029997 SMS OZI, 998943059997 SMS UY, 998774143444 SMS AKASI, 998932072484 SMS AKASI,</t>
        </is>
      </c>
      <c r="G177" s="114" t="inlineStr">
        <is>
          <t xml:space="preserve">SURXONDARYO VILOYATI QUMQO’RG’ON TUMANI YANGIQISHLOQ  MFY NAFASAD   37-UY</t>
        </is>
      </c>
      <c r="H177" s="115">
        <v>1.0</v>
      </c>
      <c r="I177" s="115">
        <v>2823681.2</v>
      </c>
      <c r="K177" s="114" t="inlineStr">
        <is>
          <t xml:space="preserve">Va'da berdi | bugun hal qlama dd | 704</t>
        </is>
      </c>
    </row>
    <row r="178">
      <c r="A178" s="114" t="inlineStr">
        <is>
          <t xml:space="preserve">СУРХОНДАРЁ ВИЛОЯТИ</t>
        </is>
      </c>
      <c r="C178" s="114" t="inlineStr">
        <is>
          <t xml:space="preserve">Обещал</t>
        </is>
      </c>
      <c r="D178" s="114" t="inlineStr">
        <is>
          <t xml:space="preserve">Кр-99037985-1</t>
        </is>
      </c>
      <c r="E178" s="114" t="inlineStr">
        <is>
          <t xml:space="preserve">RAXMATOV SANJAR SIROJIDDIN O’G’LI</t>
        </is>
      </c>
      <c r="F178" s="114" t="inlineStr">
        <is>
          <t xml:space="preserve">998200079666 SMS OZI, 998770979222 SMS UYI, 998934087282 SMS UKASI, 998990379858 SMS UYI, 998770979222 SMS TOLOVCHI MOSHINANI SHU SOTIB OLGAN ,</t>
        </is>
      </c>
      <c r="G178" s="114" t="inlineStr">
        <is>
          <t xml:space="preserve">SURXONDARYO VILOYATI BOYSUN TUMANI GAZA MFY BIDORKOM 79-UY</t>
        </is>
      </c>
      <c r="H178" s="115">
        <v>8.0</v>
      </c>
      <c r="I178" s="115">
        <v>2728535.7</v>
      </c>
      <c r="K178" s="114" t="inlineStr">
        <is>
          <t xml:space="preserve">Va'da berdi | togga ciqib ketibdi kyng xaftala tuwad toolov qlama dd | 736</t>
        </is>
      </c>
    </row>
    <row r="179">
      <c r="A179" s="114" t="inlineStr">
        <is>
          <t xml:space="preserve">СУРХОНДАРЁ ВИЛОЯТИ</t>
        </is>
      </c>
      <c r="C179" s="114" t="inlineStr">
        <is>
          <t xml:space="preserve">Обещал</t>
        </is>
      </c>
      <c r="D179" s="114" t="inlineStr">
        <is>
          <t xml:space="preserve">Кр-99034309-2</t>
        </is>
      </c>
      <c r="E179" s="114" t="inlineStr">
        <is>
          <t xml:space="preserve">KAMBAROV NIZOMIDDIN IKROMIDDINOVICH</t>
        </is>
      </c>
      <c r="F179" s="114" t="inlineStr">
        <is>
          <t xml:space="preserve">998883310406 SMS OZI, 998885350803 SMS UY, 998882661198 SMS AKASI, 998990157293 SMS UKASI,</t>
        </is>
      </c>
      <c r="G179" s="114" t="inlineStr">
        <is>
          <t xml:space="preserve">Сурхандарьинская область, Денауский район, Фарғона ҚФЙ,  Водий МФЙ, дом 6, кв. 15</t>
        </is>
      </c>
      <c r="H179" s="115">
        <v>8.0</v>
      </c>
      <c r="I179" s="115">
        <v>2705342.8</v>
      </c>
      <c r="K179" s="114" t="inlineStr">
        <is>
          <t xml:space="preserve">Va'da berdi | 2-3 kunda tolo qlad | 508</t>
        </is>
      </c>
    </row>
    <row r="180">
      <c r="A180" s="114" t="inlineStr">
        <is>
          <t xml:space="preserve">СУРХОНДАРЁ ВИЛОЯТИ</t>
        </is>
      </c>
      <c r="C180" s="114" t="inlineStr">
        <is>
          <t xml:space="preserve">Обещал</t>
        </is>
      </c>
      <c r="D180" s="114" t="inlineStr">
        <is>
          <t xml:space="preserve">Кр-99035839-1</t>
        </is>
      </c>
      <c r="E180" s="114" t="inlineStr">
        <is>
          <t xml:space="preserve">NAZAROV SOATMUROT BOBONAZAROVICH</t>
        </is>
      </c>
      <c r="F180" s="114" t="inlineStr">
        <is>
          <t xml:space="preserve">998904112878 SMS tulovchi quruvchi, 998915861956 SMS OZI, 998915103380 SMS UY, 998952790593 SMS OGLI,</t>
        </is>
      </c>
      <c r="G180" s="114" t="inlineStr">
        <is>
          <t xml:space="preserve">SURXONDARYO VILOYATI DENOV TUMANI XAYRABOD QFY PAXTAKURASH MFY SURXONDARYO KO'CHASI 22-UY</t>
        </is>
      </c>
      <c r="H180" s="115">
        <v>8.0</v>
      </c>
      <c r="I180" s="115">
        <v>2549051.45</v>
      </c>
      <c r="K180" s="114" t="inlineStr">
        <is>
          <t xml:space="preserve">Va'da berdi | soatmurot aka bn gaplawdm oglm tolid wu xaftalarda dd | 600</t>
        </is>
      </c>
    </row>
    <row r="181">
      <c r="A181" s="114" t="inlineStr">
        <is>
          <t xml:space="preserve">СУРХОНДАРЁ ВИЛОЯТИ</t>
        </is>
      </c>
      <c r="C181" s="114" t="inlineStr">
        <is>
          <t xml:space="preserve">Обещал</t>
        </is>
      </c>
      <c r="D181" s="114" t="inlineStr">
        <is>
          <t xml:space="preserve">Кр-99062848-2</t>
        </is>
      </c>
      <c r="E181" s="114" t="inlineStr">
        <is>
          <t xml:space="preserve">BOZOROV RO’ZIMUROD IBROXIM O’G’LI</t>
        </is>
      </c>
      <c r="F181" s="114" t="inlineStr">
        <is>
          <t xml:space="preserve">+998915169710 SMS OZI, 998884151097 SMS AYOLI, 998902472797 SMS AKASI,</t>
        </is>
      </c>
      <c r="G181" s="114" t="inlineStr">
        <is>
          <t xml:space="preserve">ТЕРМИЗ Ш., БАЙНАЛМИНАЛ МФЙ, ШИМОЛИЙ ДАРВОЗА 1-БУРИЛИШ 4-БОШИ БЕРК,  uy:7</t>
        </is>
      </c>
      <c r="H181" s="115">
        <v>5.0</v>
      </c>
      <c r="I181" s="115">
        <v>2499240.92</v>
      </c>
      <c r="K181" s="114" t="inlineStr">
        <is>
          <t xml:space="preserve">Va'da berdi | bugundan qoldirmasdan tolov qlad | 1636</t>
        </is>
      </c>
    </row>
    <row r="182">
      <c r="A182" s="114" t="inlineStr">
        <is>
          <t xml:space="preserve">СУРХОНДАРЁ ВИЛОЯТИ</t>
        </is>
      </c>
      <c r="C182" s="114" t="inlineStr">
        <is>
          <t xml:space="preserve">Обещал</t>
        </is>
      </c>
      <c r="D182" s="114" t="inlineStr">
        <is>
          <t xml:space="preserve">Кр-99035581-5</t>
        </is>
      </c>
      <c r="E182" s="114" t="inlineStr">
        <is>
          <t xml:space="preserve">SAYDALIYEV BAXTINUR BAXRIDDIN O’G’LI</t>
        </is>
      </c>
      <c r="F182" s="11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182" s="114" t="inlineStr">
        <is>
          <t xml:space="preserve">Сурхондарё вилояти Кизирик Тумани Работак МФЙ, Абдулла Қаххор 1 кучаси, 21...-уй</t>
        </is>
      </c>
      <c r="H182" s="115">
        <v>8.0</v>
      </c>
      <c r="I182" s="115">
        <v>2448284.87</v>
      </c>
      <c r="K182" s="114" t="inlineStr">
        <is>
          <t xml:space="preserve">Va'da berdi | bugun tolo qlad | 579</t>
        </is>
      </c>
    </row>
    <row r="183">
      <c r="A183" s="114" t="inlineStr">
        <is>
          <t xml:space="preserve">СУРХОНДАРЁ ВИЛОЯТИ</t>
        </is>
      </c>
      <c r="C183" s="114" t="inlineStr">
        <is>
          <t xml:space="preserve">Обещал</t>
        </is>
      </c>
      <c r="D183" s="114" t="inlineStr">
        <is>
          <t xml:space="preserve">Кр-99036477-1</t>
        </is>
      </c>
      <c r="E183" s="114" t="inlineStr">
        <is>
          <t xml:space="preserve">MALIKOVA DILFUZA FARXODOVNA</t>
        </is>
      </c>
      <c r="F183" s="114" t="inlineStr">
        <is>
          <t xml:space="preserve">998942626009 SMS OZI, 998888100600 SMS DOSTI, 998919000061 SMS ERI, 998947086666 SMS ERI,</t>
        </is>
      </c>
      <c r="G183" s="114" t="inlineStr">
        <is>
          <t xml:space="preserve">SURXANDARYO VILOYATI SHEROBOD TUMANI HO’JGI MAXALLASI SH.SHOBERDIYEV KUCHASI 59 UY</t>
        </is>
      </c>
      <c r="H183" s="115">
        <v>11.0</v>
      </c>
      <c r="I183" s="115">
        <v>2438878.1</v>
      </c>
      <c r="K183" s="114" t="inlineStr">
        <is>
          <t xml:space="preserve">Va'da berdi | dilfuzani eri kotardi tolov qladigan odamga etama 3-4 kunda tolo qberad dd | 642</t>
        </is>
      </c>
    </row>
    <row r="184">
      <c r="A184" s="114" t="inlineStr">
        <is>
          <t xml:space="preserve">СУРХОНДАРЁ ВИЛОЯТИ</t>
        </is>
      </c>
      <c r="C184" s="114" t="inlineStr">
        <is>
          <t xml:space="preserve">Обещал</t>
        </is>
      </c>
      <c r="D184" s="114" t="inlineStr">
        <is>
          <t xml:space="preserve">Кр-99033591-1</t>
        </is>
      </c>
      <c r="E184" s="114" t="inlineStr">
        <is>
          <t xml:space="preserve">XOLLIYEV ABDUMAJID ESHBO’RIYEVICH</t>
        </is>
      </c>
      <c r="F184" s="114" t="inlineStr">
        <is>
          <t xml:space="preserve">998997561174 SMS O’ZI, 998937683686 SMS UKASI, 998884290204 SMS O’G’LI, 998990768400 SMS UKASI, 998770505870 SMS ,</t>
        </is>
      </c>
      <c r="G184" s="114" t="inlineStr">
        <is>
          <t xml:space="preserve">SURXONDARYO VILOYATI ANGOR TUMAN MARKAZ MFY FIDOKOR KO’CHASI </t>
        </is>
      </c>
      <c r="H184" s="115">
        <v>1.0</v>
      </c>
      <c r="I184" s="115">
        <v>2424000.0</v>
      </c>
      <c r="K184" s="114" t="inlineStr">
        <is>
          <t xml:space="preserve">Va'da berdi | 2-3 kunda tolo qlad | 467</t>
        </is>
      </c>
    </row>
    <row r="185">
      <c r="A185" s="114" t="inlineStr">
        <is>
          <t xml:space="preserve">СУРХОНДАРЁ ВИЛОЯТИ</t>
        </is>
      </c>
      <c r="C185" s="114" t="inlineStr">
        <is>
          <t xml:space="preserve">Обещал</t>
        </is>
      </c>
      <c r="D185" s="114" t="inlineStr">
        <is>
          <t xml:space="preserve">Кр-99034163-2</t>
        </is>
      </c>
      <c r="E185" s="114" t="inlineStr">
        <is>
          <t xml:space="preserve">XOLMATOV BEKZOD NORTOJIYEVICH</t>
        </is>
      </c>
      <c r="F185" s="114" t="inlineStr">
        <is>
          <t xml:space="preserve">998910790909 SMS O’ZI, 998951755754 SMS UY, 998919012266 SMS DADASI, 998952757552 SMS UKASI,</t>
        </is>
      </c>
      <c r="G185" s="114" t="inlineStr">
        <is>
          <t xml:space="preserve">SURXONDARYO VILOYATI DENOV TUMANI ZARAFSHON  MFY FIDOKAR K’OCHASI 6- UY</t>
        </is>
      </c>
      <c r="H185" s="115">
        <v>13.0</v>
      </c>
      <c r="I185" s="115">
        <v>2331209.46</v>
      </c>
      <c r="K185" s="114" t="inlineStr">
        <is>
          <t xml:space="preserve">Va'da berdi | erte tolidi | 491</t>
        </is>
      </c>
    </row>
    <row r="186">
      <c r="A186" s="114" t="inlineStr">
        <is>
          <t xml:space="preserve">СУРХОНДАРЁ ВИЛОЯТИ</t>
        </is>
      </c>
      <c r="C186" s="114" t="inlineStr">
        <is>
          <t xml:space="preserve">Обещал</t>
        </is>
      </c>
      <c r="D186" s="114" t="inlineStr">
        <is>
          <t xml:space="preserve">Кр-99057464-1</t>
        </is>
      </c>
      <c r="E186" s="114" t="inlineStr">
        <is>
          <t xml:space="preserve">MUMINOV G’ULOM NORMURODOVICH</t>
        </is>
      </c>
      <c r="F186" s="114" t="inlineStr">
        <is>
          <t xml:space="preserve">998942650302 SMS UZI, 998937084577 SMS UY, 998940000686 SMS AKASI, 998771100683 SMS OILASI,</t>
        </is>
      </c>
      <c r="G186" s="114" t="inlineStr">
        <is>
          <t xml:space="preserve">SURXONDARYO VILOYATI DENOV TUMANI SOXIBKOR MFY USHOR 30-UY</t>
        </is>
      </c>
      <c r="H186" s="115">
        <v>8.0</v>
      </c>
      <c r="I186" s="115">
        <v>2219940.39</v>
      </c>
      <c r="K186" s="114" t="inlineStr">
        <is>
          <t xml:space="preserve">Va'da berdi | wu hafta juma kuni tolov qlad | 1455</t>
        </is>
      </c>
    </row>
    <row r="187">
      <c r="A187" s="114" t="inlineStr">
        <is>
          <t xml:space="preserve">СУРХОНДАРЁ ВИЛОЯТИ</t>
        </is>
      </c>
      <c r="C187" s="114" t="inlineStr">
        <is>
          <t xml:space="preserve">Обещал</t>
        </is>
      </c>
      <c r="D187" s="114" t="inlineStr">
        <is>
          <t xml:space="preserve">Кр-99043043-1</t>
        </is>
      </c>
      <c r="E187" s="114" t="inlineStr">
        <is>
          <t xml:space="preserve">BOYQULOV FIRDAVS ABDUVOXID O’G’LI</t>
        </is>
      </c>
      <c r="F187" s="114" t="inlineStr">
        <is>
          <t xml:space="preserve">998944361003 SMS O’ZI, 998991351177 SMS UY, 998996660094 SMS AKASI,</t>
        </is>
      </c>
      <c r="G187" s="114" t="inlineStr">
        <is>
          <t xml:space="preserve">Сурхандарьинская область, Денауский район, Хазарбоғ СИУ, Чим МСГ, ул. Гулистон, дом 6</t>
        </is>
      </c>
      <c r="H187" s="115">
        <v>8.0</v>
      </c>
      <c r="I187" s="115">
        <v>2017063.72</v>
      </c>
      <c r="K187" s="114" t="inlineStr">
        <is>
          <t xml:space="preserve">Va'da berdi | kyng xaftalar tolo qllad | 1186</t>
        </is>
      </c>
    </row>
    <row r="188">
      <c r="A188" s="114" t="inlineStr">
        <is>
          <t xml:space="preserve">СУРХОНДАРЁ ВИЛОЯТИ</t>
        </is>
      </c>
      <c r="C188" s="114" t="inlineStr">
        <is>
          <t xml:space="preserve">Обещал</t>
        </is>
      </c>
      <c r="D188" s="114" t="inlineStr">
        <is>
          <t xml:space="preserve">Кр-99040374-1</t>
        </is>
      </c>
      <c r="E188" s="114" t="inlineStr">
        <is>
          <t xml:space="preserve">KARSHIYEV TAJIMURAT PRIMOVICH</t>
        </is>
      </c>
      <c r="F188" s="114" t="inlineStr">
        <is>
          <t xml:space="preserve">998993876160 SMS OZI, 998997284700 SMS OGLI, 998991496886 SMS OGLI,</t>
        </is>
      </c>
      <c r="G188" s="114" t="inlineStr">
        <is>
          <t xml:space="preserve">SURXONDARYO VILOYATI QUMQO'RG'ON TUMANI DAVLATSOY MAXALLASI USTALAR KO'CHASI 26-UY</t>
        </is>
      </c>
      <c r="I188" s="115">
        <v>1996808.61</v>
      </c>
      <c r="K188" s="114" t="inlineStr">
        <is>
          <t xml:space="preserve">Va'da berdi | 1-2 kunda borb tolo qb kelad | 973</t>
        </is>
      </c>
    </row>
    <row r="189">
      <c r="A189" s="114" t="inlineStr">
        <is>
          <t xml:space="preserve">СУРХОНДАРЁ ВИЛОЯТИ</t>
        </is>
      </c>
      <c r="C189" s="114" t="inlineStr">
        <is>
          <t xml:space="preserve">Обещал</t>
        </is>
      </c>
      <c r="D189" s="114" t="inlineStr">
        <is>
          <t xml:space="preserve">Кр-99034974-1</t>
        </is>
      </c>
      <c r="E189" s="114" t="inlineStr">
        <is>
          <t xml:space="preserve">XUSHBAQOV MANSURBEK XUDAYBERDI O’G’LI</t>
        </is>
      </c>
      <c r="F189" s="114" t="inlineStr">
        <is>
          <t xml:space="preserve">998972427172 SMS OZI, 998500532519 SMS UY, 998884231373 SMS OILASI, 998903750890 SMS OZI,</t>
        </is>
      </c>
      <c r="G189" s="114" t="inlineStr">
        <is>
          <t xml:space="preserve">SURXONDARYO VILOYATI OLTINSOY TUMANI DUG’OBA QFY OLMAZOR MFY MARJON BULOQ KO’CHASI 59-UY</t>
        </is>
      </c>
      <c r="H189" s="115">
        <v>12.0</v>
      </c>
      <c r="I189" s="115">
        <v>1703401.11</v>
      </c>
      <c r="K189" s="114" t="inlineStr">
        <is>
          <t xml:space="preserve">Va'da berdi | 20 cilariga tolov qlaman dd | 537</t>
        </is>
      </c>
    </row>
    <row r="190">
      <c r="A190" s="114" t="inlineStr">
        <is>
          <t xml:space="preserve">СУРХОНДАРЁ ВИЛОЯТИ</t>
        </is>
      </c>
      <c r="C190" s="114" t="inlineStr">
        <is>
          <t xml:space="preserve">Обещал</t>
        </is>
      </c>
      <c r="D190" s="114" t="inlineStr">
        <is>
          <t xml:space="preserve">Кр-99037942-1</t>
        </is>
      </c>
      <c r="E190" s="114" t="inlineStr">
        <is>
          <t xml:space="preserve">YODGOROV XAMRO ESHONQULOVICH</t>
        </is>
      </c>
      <c r="F190" s="114" t="inlineStr">
        <is>
          <t xml:space="preserve">998919696012 SMS OZI, 998901201798 SMS UYI, 998991828111 SMS TULOVCHI UG`LI MUHRIDDIN, 998952435111 SMS ONASI,</t>
        </is>
      </c>
      <c r="G190" s="114" t="inlineStr">
        <is>
          <t xml:space="preserve">SURXONDARYO VILOYATI SARIOSIYO TUMANI SHAXRIOBOD MFY SOADATMAN 2-UY</t>
        </is>
      </c>
      <c r="I190" s="115">
        <v>1674909.81</v>
      </c>
      <c r="K190" s="114" t="inlineStr">
        <is>
          <t xml:space="preserve">Va'da berdi | 2-3 kunda tolo qlad | 734</t>
        </is>
      </c>
    </row>
    <row r="191">
      <c r="A191" s="114" t="inlineStr">
        <is>
          <t xml:space="preserve">СУРХОНДАРЁ ВИЛОЯТИ</t>
        </is>
      </c>
      <c r="C191" s="114" t="inlineStr">
        <is>
          <t xml:space="preserve">Обещал</t>
        </is>
      </c>
      <c r="D191" s="114" t="inlineStr">
        <is>
          <t xml:space="preserve">Кр-99040161-1</t>
        </is>
      </c>
      <c r="E191" s="114" t="inlineStr">
        <is>
          <t xml:space="preserve">JOVLIYEV ZOXID XURSANQUL O’G’LI</t>
        </is>
      </c>
      <c r="F191" s="114" t="inlineStr">
        <is>
          <t xml:space="preserve">998951578486 SMS OZI, 998942078486 SMS AYOLI, 998942000757 SMS ONASI,</t>
        </is>
      </c>
      <c r="G191" s="114" t="inlineStr">
        <is>
          <t xml:space="preserve">StJttХoNDARYO vlLoYAT IvlUZRABoT TUMAN oRlYAT MF'Y</t>
        </is>
      </c>
      <c r="H191" s="115">
        <v>8.0</v>
      </c>
      <c r="I191" s="115">
        <v>1599135.07</v>
      </c>
      <c r="K191" s="114" t="inlineStr">
        <is>
          <t xml:space="preserve">Va'da berdi | bugundan qomedi kecasi bosayam tawed | 947</t>
        </is>
      </c>
    </row>
    <row r="192">
      <c r="A192" s="114" t="inlineStr">
        <is>
          <t xml:space="preserve">СУРХОНДАРЁ ВИЛОЯТИ</t>
        </is>
      </c>
      <c r="C192" s="114" t="inlineStr">
        <is>
          <t xml:space="preserve">Обещал</t>
        </is>
      </c>
      <c r="D192" s="114" t="inlineStr">
        <is>
          <t xml:space="preserve">Кр-99035581-3</t>
        </is>
      </c>
      <c r="E192" s="114" t="inlineStr">
        <is>
          <t xml:space="preserve">SAYDALIYEV BAXTINUR BAXRIDDIN O’G’LI</t>
        </is>
      </c>
      <c r="F192" s="11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192" s="114" t="inlineStr">
        <is>
          <t xml:space="preserve">Сурхондарё вилояти Кизирик Тумани Работак МФЙ, Абдулла Қаххор 1 кучаси, 21...-уй</t>
        </is>
      </c>
      <c r="H192" s="115">
        <v>8.0</v>
      </c>
      <c r="I192" s="115">
        <v>1419181.65</v>
      </c>
      <c r="K192" s="114" t="inlineStr">
        <is>
          <t xml:space="preserve">Va'da berdi | bugun tolo qlad | 578</t>
        </is>
      </c>
    </row>
    <row r="193">
      <c r="A193" s="114" t="inlineStr">
        <is>
          <t xml:space="preserve">СУРХОНДАРЁ ВИЛОЯТИ</t>
        </is>
      </c>
      <c r="C193" s="114" t="inlineStr">
        <is>
          <t xml:space="preserve">Обещал</t>
        </is>
      </c>
      <c r="D193" s="114" t="inlineStr">
        <is>
          <t xml:space="preserve">Кр-99041909-2</t>
        </is>
      </c>
      <c r="E193" s="114" t="inlineStr">
        <is>
          <t xml:space="preserve">XURSANDOV IKROM NEMATULLO O’G’LI</t>
        </is>
      </c>
      <c r="F193" s="114" t="inlineStr">
        <is>
          <t xml:space="preserve">998885991414 SMS O’ZI, 998887642002 SMS SHERIGI, 998972424999 SMS UY,</t>
        </is>
      </c>
      <c r="G193" s="114" t="inlineStr">
        <is>
          <t xml:space="preserve">Сурхандарьинская область, Денауский район, Тасмасой МСГ, ул. Лимонзор-2 берк, дом 6</t>
        </is>
      </c>
      <c r="H193" s="115">
        <v>8.0</v>
      </c>
      <c r="I193" s="115">
        <v>1188955.34</v>
      </c>
      <c r="K193" s="114" t="inlineStr">
        <is>
          <t xml:space="preserve">Va'da berdi | bugun qisman tolo qlad erte oy indin qoganin qlad | 1142</t>
        </is>
      </c>
    </row>
    <row r="194">
      <c r="A194" s="114" t="inlineStr">
        <is>
          <t xml:space="preserve">СУРХОНДАРЁ ВИЛОЯТИ</t>
        </is>
      </c>
      <c r="C194" s="114" t="inlineStr">
        <is>
          <t xml:space="preserve">Обещал</t>
        </is>
      </c>
      <c r="D194" s="114" t="inlineStr">
        <is>
          <t xml:space="preserve">Кр-99035156-1</t>
        </is>
      </c>
      <c r="E194" s="114" t="inlineStr">
        <is>
          <t xml:space="preserve">ABDUYEV XODJAAKBAR KARIMOVICH</t>
        </is>
      </c>
      <c r="F194" s="114" t="inlineStr">
        <is>
          <t xml:space="preserve">998952371191 SMS O’ZI nonvoylik qiladi, 998976237477 SMS UY, 998337202515 SMS SHERIGI, 998991085695 SMS ISHXONA,</t>
        </is>
      </c>
      <c r="G194" s="114" t="inlineStr">
        <is>
          <t xml:space="preserve">SURXONDARYO VILOYATI DENOV TUMANI SINA QFY FAYZAOBOD MFY NAFIS 52-UY</t>
        </is>
      </c>
      <c r="H194" s="115">
        <v>5.0</v>
      </c>
      <c r="I194" s="115">
        <v>1078690.76</v>
      </c>
      <c r="K194" s="114" t="inlineStr">
        <is>
          <t xml:space="preserve">Va'da berdi | bugun qisman tolo qlad qoganin 3-4 kunda mayda mayda qb yopb qoyad | 553</t>
        </is>
      </c>
    </row>
    <row r="195">
      <c r="A195" s="114" t="inlineStr">
        <is>
          <t xml:space="preserve">СУРХОНДАРЁ ВИЛОЯТИ</t>
        </is>
      </c>
      <c r="C195" s="114" t="inlineStr">
        <is>
          <t xml:space="preserve">Обещал</t>
        </is>
      </c>
      <c r="D195" s="114" t="inlineStr">
        <is>
          <t xml:space="preserve">Кр-99041744-1</t>
        </is>
      </c>
      <c r="E195" s="114" t="inlineStr">
        <is>
          <t xml:space="preserve">KARIMOVA MADINA SOTTOR QIZI</t>
        </is>
      </c>
      <c r="F195" s="114" t="inlineStr">
        <is>
          <t xml:space="preserve">998975527101 SMS OZI, 998881927101 SMS UY, 999872010159 SMS OILASI, 998785510044 SMS UKASI, 998957737555 SMS ERI,</t>
        </is>
      </c>
      <c r="G195" s="114" t="inlineStr">
        <is>
          <t xml:space="preserve">SURXONDARYO VILOYATI DENOV TUMANI BUYUKIPAK YULI MFY I.KARIMOV 70-UY</t>
        </is>
      </c>
      <c r="H195" s="115">
        <v>8.0</v>
      </c>
      <c r="I195" s="115">
        <v>1018191.84</v>
      </c>
      <c r="K195" s="114" t="inlineStr">
        <is>
          <t xml:space="preserve">Va'da berdi | 2-3 kunda yopad | 1125</t>
        </is>
      </c>
    </row>
    <row r="196">
      <c r="A196" s="114" t="inlineStr">
        <is>
          <t xml:space="preserve">СУРХОНДАРЁ ВИЛОЯТИ</t>
        </is>
      </c>
      <c r="C196" s="114" t="inlineStr">
        <is>
          <t xml:space="preserve">Обещал</t>
        </is>
      </c>
      <c r="D196" s="114" t="inlineStr">
        <is>
          <t xml:space="preserve">Кр-99035839-2</t>
        </is>
      </c>
      <c r="E196" s="114" t="inlineStr">
        <is>
          <t xml:space="preserve">NAZAROV SOATMUROT BOBONAZAROVICH</t>
        </is>
      </c>
      <c r="F196" s="114" t="inlineStr">
        <is>
          <t xml:space="preserve">998904112878 SMS tulovchi quruvchi, 998915861956 SMS OZI, 998915103380 SMS UY, 998952790593 SMS OGLI,</t>
        </is>
      </c>
      <c r="G196" s="114" t="inlineStr">
        <is>
          <t xml:space="preserve">SURXONDARYO VILOYATI DENOV TUMANI XAYRABOD QFY PAXTAKURASH MFY SURXONDARYO KO'CHASI 22-UY</t>
        </is>
      </c>
      <c r="H196" s="115">
        <v>8.0</v>
      </c>
      <c r="I196" s="115">
        <v>679595.62</v>
      </c>
      <c r="K196" s="114" t="inlineStr">
        <is>
          <t xml:space="preserve">Va'da berdi | soatmurot aka bn gaplawdm oglm tolid wu xaftalarda dd | 601</t>
        </is>
      </c>
    </row>
    <row r="197">
      <c r="A197" s="114" t="inlineStr">
        <is>
          <t xml:space="preserve">СУРХОНДАРЁ ВИЛОЯТИ</t>
        </is>
      </c>
      <c r="C197" s="114" t="inlineStr">
        <is>
          <t xml:space="preserve">Обещал</t>
        </is>
      </c>
      <c r="D197" s="114" t="inlineStr">
        <is>
          <t xml:space="preserve">Кр-99041293-2</t>
        </is>
      </c>
      <c r="E197" s="114" t="inlineStr">
        <is>
          <t xml:space="preserve">MUZRAPOV OTABEK SAYDAXMAT O’G’LI</t>
        </is>
      </c>
      <c r="F197" s="114" t="inlineStr">
        <is>
          <t xml:space="preserve">998904944044 SMS O’ZI, 998915174919 SMS UKASI, 998958852122 SMS UY,</t>
        </is>
      </c>
      <c r="G197" s="114" t="inlineStr">
        <is>
          <t xml:space="preserve">ҚОРЛИҚ ҚФЙ, ҚОРЛИҚ ҚФЙ, ҚОРЛИҚ-1,  uy:34</t>
        </is>
      </c>
      <c r="H197" s="115">
        <v>8.0</v>
      </c>
      <c r="I197" s="115">
        <v>543388.92</v>
      </c>
      <c r="K197" s="114" t="inlineStr">
        <is>
          <t xml:space="preserve">Va'da berdi | erte uzogi indn tolo qlad | 1082</t>
        </is>
      </c>
    </row>
    <row r="198">
      <c r="A198" s="114" t="inlineStr">
        <is>
          <t xml:space="preserve">СУРХОНДАРЁ ВИЛОЯТИ</t>
        </is>
      </c>
      <c r="C198" s="114" t="inlineStr">
        <is>
          <t xml:space="preserve">Обещал</t>
        </is>
      </c>
      <c r="D198" s="114" t="inlineStr">
        <is>
          <t xml:space="preserve">Кр-99041744-2</t>
        </is>
      </c>
      <c r="E198" s="114" t="inlineStr">
        <is>
          <t xml:space="preserve">KARIMOVA MADINA SOTTOR QIZI</t>
        </is>
      </c>
      <c r="F198" s="114" t="inlineStr">
        <is>
          <t xml:space="preserve">998975527101 SMS OZI, 998881927101 SMS UY, 999872010159 SMS OILASI, 998785510044 SMS UKASI, 998957737555 SMS ERI,</t>
        </is>
      </c>
      <c r="G198" s="114" t="inlineStr">
        <is>
          <t xml:space="preserve">SURXONDARYO VILOYATI DENOV TUMANI BUYUKIPAK YULI MFY I.KARIMOV 70-UY</t>
        </is>
      </c>
      <c r="H198" s="115">
        <v>8.0</v>
      </c>
      <c r="I198" s="115">
        <v>528418.84</v>
      </c>
      <c r="K198" s="114" t="inlineStr">
        <is>
          <t xml:space="preserve">Va'da berdi | bugun yopilad | 1126</t>
        </is>
      </c>
    </row>
    <row r="199">
      <c r="A199" s="114" t="inlineStr">
        <is>
          <t xml:space="preserve">СУРХОНДАРЁ ВИЛОЯТИ</t>
        </is>
      </c>
      <c r="C199" s="114" t="inlineStr">
        <is>
          <t xml:space="preserve">Обещал</t>
        </is>
      </c>
      <c r="D199" s="114" t="inlineStr">
        <is>
          <t xml:space="preserve">Кр-99064054-1</t>
        </is>
      </c>
      <c r="E199" s="114" t="inlineStr">
        <is>
          <t xml:space="preserve">TILAKOV YASHNARBEK BEGALIYEVICH</t>
        </is>
      </c>
      <c r="F199" s="114" t="inlineStr">
        <is>
          <t xml:space="preserve">998770425002 TOG’ASI, 998954949000 O’ZI, 998957669000 AYOLI,</t>
        </is>
      </c>
      <c r="G199" s="114" t="inlineStr">
        <is>
          <t xml:space="preserve">RAYHON KO’CHASI 36-UY</t>
        </is>
      </c>
      <c r="H199" s="115">
        <v>8.0</v>
      </c>
      <c r="I199" s="115">
        <v>412804.58</v>
      </c>
      <c r="K199" s="114" t="inlineStr">
        <is>
          <t xml:space="preserve">Va'da berdi | 2 kunda | 1869</t>
        </is>
      </c>
    </row>
    <row r="200">
      <c r="A200" s="114" t="inlineStr">
        <is>
          <t xml:space="preserve">СУРХОНДАРЁ ВИЛОЯТИ</t>
        </is>
      </c>
      <c r="C200" s="114" t="inlineStr">
        <is>
          <t xml:space="preserve">Обещал</t>
        </is>
      </c>
      <c r="D200" s="114" t="inlineStr">
        <is>
          <t xml:space="preserve">Кр-99035122-4</t>
        </is>
      </c>
      <c r="E200" s="114" t="inlineStr">
        <is>
          <t xml:space="preserve">METTIYEVA MAYRAMXON QURBONOVNA</t>
        </is>
      </c>
      <c r="F200" s="114" t="inlineStr">
        <is>
          <t xml:space="preserve">998507288828 SMS O’ZI, 998881929086 SMS UY, 998919101784 SMS ERI, 998887289693 SMS QIZI,</t>
        </is>
      </c>
      <c r="G200" s="114" t="inlineStr">
        <is>
          <t xml:space="preserve">SURXONDARYO VILOYATI SHORCHI TUMANI GO’ZALLIK MFY BOSTON KO’CHASI 17-UY</t>
        </is>
      </c>
      <c r="H200" s="115">
        <v>8.0</v>
      </c>
      <c r="I200" s="115">
        <v>214812.8</v>
      </c>
      <c r="K200" s="114" t="inlineStr">
        <is>
          <t xml:space="preserve">Va'da berdi | yopildi | 548</t>
        </is>
      </c>
    </row>
    <row r="201">
      <c r="A201" s="116" t="inlineStr">
        <is>
          <t xml:space="preserve">ТОШКЕНТ ШАХРИ</t>
        </is>
      </c>
      <c r="C201" s="116" t="inlineStr">
        <is>
          <t xml:space="preserve">Обещал</t>
        </is>
      </c>
      <c r="D201" s="116" t="inlineStr">
        <is>
          <t xml:space="preserve">Кр-99063240-1</t>
        </is>
      </c>
      <c r="E201" s="116" t="inlineStr">
        <is>
          <t xml:space="preserve">BOZOROV FAZLIDDIN JUMAYEVICH</t>
        </is>
      </c>
      <c r="F201" s="116" t="inlineStr">
        <is>
          <t xml:space="preserve">998777923003 SMS DADASI (ISHXONASI), 998908073003 SMS ISHXONMASI, 998936998569 SMS ONASI, 998999162111 SMS OZI,</t>
        </is>
      </c>
      <c r="G201" s="116" t="inlineStr">
        <is>
          <t xml:space="preserve">TOSHKENT SHAHAR YANGIHAYOT TUMANI BINOKOR MFY SANGZOR KOCHASI 24-UY 19-XONADON</t>
        </is>
      </c>
      <c r="H201" s="117">
        <v>13.0</v>
      </c>
      <c r="I201" s="117">
        <v>11051842.25</v>
      </c>
      <c r="K201" s="116" t="inlineStr">
        <is>
          <t xml:space="preserve">Va'da berdi | 25chigacha</t>
        </is>
      </c>
    </row>
    <row r="202">
      <c r="A202" s="116" t="inlineStr">
        <is>
          <t xml:space="preserve">ТОШКЕНТ ШАХРИ</t>
        </is>
      </c>
      <c r="C202" s="116" t="inlineStr">
        <is>
          <t xml:space="preserve">Обещал</t>
        </is>
      </c>
      <c r="D202" s="116" t="inlineStr">
        <is>
          <t xml:space="preserve">Кр-99062773-2</t>
        </is>
      </c>
      <c r="E202" s="116" t="inlineStr">
        <is>
          <t xml:space="preserve">SADIKOV BAXROM FAXRIDDINOVICH</t>
        </is>
      </c>
      <c r="F202" s="116" t="inlineStr">
        <is>
          <t xml:space="preserve">998909379991 OZI, 998774447753 AYOLI, 998956856668 ONASI,</t>
        </is>
      </c>
      <c r="G202" s="116" t="inlineStr">
        <is>
          <t xml:space="preserve">TOSHKENT SHAHAR SIRG’ALI TUMANI ESKI JALOYIR MFY ILG’OR KO’CHASI 5-TOR,22-UY</t>
        </is>
      </c>
      <c r="H202" s="117">
        <v>11.0</v>
      </c>
      <c r="I202" s="117">
        <v>9274968.3</v>
      </c>
      <c r="K202" s="116" t="inlineStr">
        <is>
          <t xml:space="preserve">Va'da berdi | 1-2kunda to'lidi</t>
        </is>
      </c>
    </row>
    <row r="203">
      <c r="A203" s="116" t="inlineStr">
        <is>
          <t xml:space="preserve">ТОШКЕНТ ШАХРИ</t>
        </is>
      </c>
      <c r="C203" s="116" t="inlineStr">
        <is>
          <t xml:space="preserve">Обещал</t>
        </is>
      </c>
      <c r="D203" s="116" t="inlineStr">
        <is>
          <t xml:space="preserve">Кр-99063389-1</t>
        </is>
      </c>
      <c r="E203" s="116" t="inlineStr">
        <is>
          <t xml:space="preserve">RUSTAMOVA CHAROS ULUG’BEK QIZI</t>
        </is>
      </c>
      <c r="F203" s="116" t="inlineStr">
        <is>
          <t xml:space="preserve">998910059161 SMS OZI 2, 998977701773 SMS OZI, 998998334455 SMS AKASI,</t>
        </is>
      </c>
      <c r="G203" s="116" t="inlineStr">
        <is>
          <t xml:space="preserve">TOSHKENT SHAHRI XALQABOD MFY QO’YLIK 5 MAVZESI 51-UY 47-XONADON</t>
        </is>
      </c>
      <c r="H203" s="117">
        <v>8.0</v>
      </c>
      <c r="I203" s="117">
        <v>5782723.79</v>
      </c>
      <c r="K203" s="116" t="inlineStr">
        <is>
          <t xml:space="preserve">Va'da berdi | 5-10 kunda to'lidi</t>
        </is>
      </c>
    </row>
    <row r="204">
      <c r="A204" s="116" t="inlineStr">
        <is>
          <t xml:space="preserve">ТОШКЕНТ ШАХРИ</t>
        </is>
      </c>
      <c r="C204" s="116" t="inlineStr">
        <is>
          <t xml:space="preserve">Обещал</t>
        </is>
      </c>
      <c r="D204" s="116" t="inlineStr">
        <is>
          <t xml:space="preserve">Кр-99062609-1</t>
        </is>
      </c>
      <c r="E204" s="116" t="inlineStr">
        <is>
          <t xml:space="preserve">ABDURASHIDOV SHAHZOD ABDURASHID O’G’LI</t>
        </is>
      </c>
      <c r="F204" s="116" t="inlineStr">
        <is>
          <t xml:space="preserve">998774024744 SMS AYOLI, 998983097733 SMS OZI 2, 998994445444 SMS OZI,</t>
        </is>
      </c>
      <c r="G204" s="116" t="inlineStr">
        <is>
          <t xml:space="preserve">TOSHKENT SHAHAR YUNUSOBOD TUMANI XAKIKAT MFY YANGIQURGON PR 2 KUCHASI 41-UY</t>
        </is>
      </c>
      <c r="H204" s="117">
        <v>8.0</v>
      </c>
      <c r="I204" s="117">
        <v>5172516.46</v>
      </c>
      <c r="K204" s="116" t="inlineStr">
        <is>
          <t xml:space="preserve">Va'da berdi | bugun polni pagashenya</t>
        </is>
      </c>
    </row>
    <row r="205">
      <c r="A205" s="116" t="inlineStr">
        <is>
          <t xml:space="preserve">ТОШКЕНТ ШАХРИ</t>
        </is>
      </c>
      <c r="C205" s="116" t="inlineStr">
        <is>
          <t xml:space="preserve">Обещал</t>
        </is>
      </c>
      <c r="D205" s="116" t="inlineStr">
        <is>
          <t xml:space="preserve">Кр-99037759-1</t>
        </is>
      </c>
      <c r="E205" s="116" t="inlineStr">
        <is>
          <t xml:space="preserve">XOJIYEV MUZAFFAR SAYFIDDIN O’G’LI</t>
        </is>
      </c>
      <c r="F205" s="116" t="inlineStr">
        <is>
          <t xml:space="preserve">998970714411 SMS OZI ABU SAXIYDA SAVDO QILADI , 998977722257 SMS OZI 2., 998971590501 SMS AYOLI,</t>
        </is>
      </c>
      <c r="G205" s="116" t="inlineStr">
        <is>
          <t xml:space="preserve">TOSHKENT SHAHAR YANGIHAYOT TUMANI SERGELI 5-A MAVZESI 20-UY 57-XONADON</t>
        </is>
      </c>
      <c r="H205" s="117">
        <v>13.0</v>
      </c>
      <c r="I205" s="117">
        <v>4673849.7</v>
      </c>
      <c r="K205" s="116" t="inlineStr">
        <is>
          <t xml:space="preserve">Va'da berdi | 5-6kunda to'lidi</t>
        </is>
      </c>
    </row>
    <row r="206">
      <c r="A206" s="116" t="inlineStr">
        <is>
          <t xml:space="preserve">ТОШКЕНТ ШАХРИ</t>
        </is>
      </c>
      <c r="C206" s="116" t="inlineStr">
        <is>
          <t xml:space="preserve">Обещал</t>
        </is>
      </c>
      <c r="D206" s="116" t="inlineStr">
        <is>
          <t xml:space="preserve">Кр-99002859-4</t>
        </is>
      </c>
      <c r="E206" s="116" t="inlineStr">
        <is>
          <t xml:space="preserve">ERGASHOV MUZAFFAR MURATDJANOVICH</t>
        </is>
      </c>
      <c r="F206" s="116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206" s="116" t="inlineStr">
        <is>
          <t xml:space="preserve">TOSHKENT SHAHAR YUNUSOBOD TUMANI GOLLOLA 34-UY</t>
        </is>
      </c>
      <c r="H206" s="117">
        <v>1.0</v>
      </c>
      <c r="I206" s="117">
        <v>4585010.91</v>
      </c>
      <c r="K206" s="116" t="inlineStr">
        <is>
          <t xml:space="preserve">Va'da berdi | 25chigacha</t>
        </is>
      </c>
    </row>
    <row r="207">
      <c r="A207" s="116" t="inlineStr">
        <is>
          <t xml:space="preserve">ТОШКЕНТ ШАХРИ</t>
        </is>
      </c>
      <c r="C207" s="116" t="inlineStr">
        <is>
          <t xml:space="preserve">Обещал</t>
        </is>
      </c>
      <c r="D207" s="116" t="inlineStr">
        <is>
          <t xml:space="preserve">Кр-99038747-2</t>
        </is>
      </c>
      <c r="E207" s="116" t="inlineStr">
        <is>
          <t xml:space="preserve">AKBARALIYEV ABDUROZIQ RASHIDJON O’G’LI</t>
        </is>
      </c>
      <c r="F207" s="116" t="inlineStr">
        <is>
          <t xml:space="preserve">998901357889 SMS OZI, 998998006254 SMS DOSTI, 998950619903 SMS AKASI, +998901357889 Primary phone from road24,</t>
        </is>
      </c>
      <c r="G207" s="116" t="inlineStr">
        <is>
          <t xml:space="preserve">г. Ташкент, Сергелийский район, ул. Зиекор, 2 проезд, Бирдамлик МСГ, 44- Дом, -</t>
        </is>
      </c>
      <c r="H207" s="117">
        <v>12.0</v>
      </c>
      <c r="I207" s="117">
        <v>4109350.61</v>
      </c>
      <c r="K207" s="116" t="inlineStr">
        <is>
          <t xml:space="preserve">Va'da berdi | oy oxirigacha</t>
        </is>
      </c>
    </row>
    <row r="208">
      <c r="A208" s="116" t="inlineStr">
        <is>
          <t xml:space="preserve">ТОШКЕНТ ШАХРИ</t>
        </is>
      </c>
      <c r="C208" s="116" t="inlineStr">
        <is>
          <t xml:space="preserve">Обещал</t>
        </is>
      </c>
      <c r="D208" s="116" t="inlineStr">
        <is>
          <t xml:space="preserve">Кр-99039085-1</t>
        </is>
      </c>
      <c r="E208" s="116" t="inlineStr">
        <is>
          <t xml:space="preserve">ESHMAMATOV FAZLIDDIN BAXRIDDINOVICH</t>
        </is>
      </c>
      <c r="F208" s="116" t="inlineStr">
        <is>
          <t xml:space="preserve">998935543879 SMS O’ZI, 998907086163 SMS AYOLI, 998975001716 SMS O’RTOG’I, 998931936616 SMS AYOLI, 998932389151 dadasi shunga qilish kerak,</t>
        </is>
      </c>
      <c r="G208" s="116" t="inlineStr">
        <is>
          <t xml:space="preserve">TOSHKENT SHAHAR YUNUSOBOD TUMANI TURKISTON MFY 6 MAVZE 20-UY 11-XONADON </t>
        </is>
      </c>
      <c r="H208" s="117">
        <v>26.0</v>
      </c>
      <c r="I208" s="117">
        <v>3903408.74</v>
      </c>
      <c r="K208" s="116" t="inlineStr">
        <is>
          <t xml:space="preserve">Va'da berdi | dadasi bn gaplashtm</t>
        </is>
      </c>
    </row>
    <row r="209">
      <c r="A209" s="116" t="inlineStr">
        <is>
          <t xml:space="preserve">ТОШКЕНТ ШАХРИ</t>
        </is>
      </c>
      <c r="C209" s="116" t="inlineStr">
        <is>
          <t xml:space="preserve">Обещал</t>
        </is>
      </c>
      <c r="D209" s="116" t="inlineStr">
        <is>
          <t xml:space="preserve">Кр-99038673-2</t>
        </is>
      </c>
      <c r="E209" s="116" t="inlineStr">
        <is>
          <t xml:space="preserve">SHAMSIYEV DONIYOR BAXTIYAROVICH</t>
        </is>
      </c>
      <c r="F209" s="116" t="inlineStr">
        <is>
          <t xml:space="preserve">998981772720 SMS OZI, 998935362720 SMS OZI 2, 998901868135 SMS OTASI,</t>
        </is>
      </c>
      <c r="G209" s="116" t="inlineStr">
        <is>
          <t xml:space="preserve">TOSHKENT SHAHAR SIRG’ALI TUMANI MASSIV O’ZGARISH MOHIDIL 65-UY</t>
        </is>
      </c>
      <c r="H209" s="117">
        <v>8.0</v>
      </c>
      <c r="I209" s="117">
        <v>3506338.99</v>
      </c>
      <c r="K209" s="116" t="inlineStr">
        <is>
          <t xml:space="preserve">Va'da berdi | ertaga abet 2gacha to'lidi</t>
        </is>
      </c>
    </row>
    <row r="210">
      <c r="A210" s="116" t="inlineStr">
        <is>
          <t xml:space="preserve">ТОШКЕНТ ШАХРИ</t>
        </is>
      </c>
      <c r="C210" s="116" t="inlineStr">
        <is>
          <t xml:space="preserve">Обещал</t>
        </is>
      </c>
      <c r="D210" s="116" t="inlineStr">
        <is>
          <t xml:space="preserve">Кр-99063142-1</t>
        </is>
      </c>
      <c r="E210" s="116" t="inlineStr">
        <is>
          <t xml:space="preserve">YULDOSHEV ISLOMJON ISMATULLO O’G’LI</t>
        </is>
      </c>
      <c r="F210" s="116" t="inlineStr">
        <is>
          <t xml:space="preserve">998775505704 SMS OZI 2, 998912107885 SMS OZI, 998956361136 SMS ONASI,</t>
        </is>
      </c>
      <c r="G210" s="116" t="inlineStr">
        <is>
          <t xml:space="preserve">TOSHKENT SHAHAR SERGILI TUMANI SOFDIL MFY BIRLIK KOCHASI 1-UY 12-XONADON</t>
        </is>
      </c>
      <c r="H210" s="117">
        <v>8.0</v>
      </c>
      <c r="I210" s="117">
        <v>1851236.72</v>
      </c>
      <c r="K210" s="116" t="inlineStr">
        <is>
          <t xml:space="preserve">Va'da berdi | bugun kechgacha</t>
        </is>
      </c>
    </row>
    <row r="211">
      <c r="A211" s="116" t="inlineStr">
        <is>
          <t xml:space="preserve">ТОШКЕНТ ШАХРИ</t>
        </is>
      </c>
      <c r="C211" s="116" t="inlineStr">
        <is>
          <t xml:space="preserve">Обещал</t>
        </is>
      </c>
      <c r="D211" s="116" t="inlineStr">
        <is>
          <t xml:space="preserve">Кр-99037018-2</t>
        </is>
      </c>
      <c r="E211" s="116" t="inlineStr">
        <is>
          <t xml:space="preserve">MAKIBAYEV NURGALI GALIYEVICH</t>
        </is>
      </c>
      <c r="F211" s="116" t="inlineStr">
        <is>
          <t xml:space="preserve">998994416166 SMS O’ZI, 998909581919 SMS UKASI, 998990528753 SMS OSHNASI, 998900675004 SMS AYOLI,</t>
        </is>
      </c>
      <c r="G211" s="116" t="inlineStr">
        <is>
          <t xml:space="preserve">TOSHKENT SHAHAR YANGIHAYOT TUMANI CHORTOK MFY, CHORTOK KO’CHASI 34-UY</t>
        </is>
      </c>
      <c r="H211" s="117">
        <v>8.0</v>
      </c>
      <c r="I211" s="117">
        <v>935576.66</v>
      </c>
      <c r="K211" s="116" t="inlineStr">
        <is>
          <t xml:space="preserve">Va'da berdi | qisman to'ladi</t>
        </is>
      </c>
    </row>
    <row r="212">
      <c r="A212" s="116" t="inlineStr">
        <is>
          <t xml:space="preserve">ТОШКЕНТ ШАХРИ</t>
        </is>
      </c>
      <c r="C212" s="116" t="inlineStr">
        <is>
          <t xml:space="preserve">Обещал</t>
        </is>
      </c>
      <c r="D212" s="116" t="inlineStr">
        <is>
          <t xml:space="preserve">Кр-99063752-1</t>
        </is>
      </c>
      <c r="E212" s="116" t="inlineStr">
        <is>
          <t xml:space="preserve">AXUNJANOV DAVRON RUSTAMXONOVICH</t>
        </is>
      </c>
      <c r="F212" s="116" t="inlineStr">
        <is>
          <t xml:space="preserve">998950091651 SMS JIYANI, 998991536205 SMS UGLI, 998996150783 SMS UZI,</t>
        </is>
      </c>
      <c r="G212" s="116" t="inlineStr">
        <is>
          <t xml:space="preserve">UYSOLAR 2 UY</t>
        </is>
      </c>
      <c r="H212" s="117">
        <v>11.0</v>
      </c>
      <c r="I212" s="117">
        <v>794757.7</v>
      </c>
      <c r="K212" s="116" t="inlineStr">
        <is>
          <t xml:space="preserve">Va'da berdi | bugun kechgacha</t>
        </is>
      </c>
    </row>
    <row r="213">
      <c r="A213" s="116" t="inlineStr">
        <is>
          <t xml:space="preserve">ТОШКЕНТ ШАХРИ</t>
        </is>
      </c>
      <c r="C213" s="116" t="inlineStr">
        <is>
          <t xml:space="preserve">Обещал</t>
        </is>
      </c>
      <c r="D213" s="116" t="inlineStr">
        <is>
          <t xml:space="preserve">Кр-99063071-2</t>
        </is>
      </c>
      <c r="E213" s="116" t="inlineStr">
        <is>
          <t xml:space="preserve">ABDULLAYEVA SITORA BATIYOR QIZI</t>
        </is>
      </c>
      <c r="F213" s="116" t="inlineStr">
        <is>
          <t xml:space="preserve">998704875259 SMS OZI, 998776505259 SMS OANSI, 998900053763 SMS TOLOVCHI,</t>
        </is>
      </c>
      <c r="G213" s="116" t="inlineStr">
        <is>
          <t xml:space="preserve">TOSHKENT SHAHAR YASHNABOD TUMANI 4-AVIZASOZLAR KV NAVRUZOBOD MSG 11-DOM 17-KVARTIRA</t>
        </is>
      </c>
      <c r="H213" s="117">
        <v>8.0</v>
      </c>
      <c r="I213" s="117">
        <v>495970.74</v>
      </c>
      <c r="K213" s="116" t="inlineStr">
        <is>
          <t xml:space="preserve">Va'da berdi | oy oxirigacha</t>
        </is>
      </c>
    </row>
    <row r="214">
      <c r="A214" s="98" t="inlineStr">
        <is>
          <t xml:space="preserve">ФАРГОНА ВИЛОЯТИ</t>
        </is>
      </c>
      <c r="C214" s="98" t="inlineStr">
        <is>
          <t xml:space="preserve">Обещал</t>
        </is>
      </c>
      <c r="D214" s="98" t="inlineStr">
        <is>
          <t xml:space="preserve">Кр-99036941-2</t>
        </is>
      </c>
      <c r="E214" s="98" t="inlineStr">
        <is>
          <t xml:space="preserve">XAYITOV BAXODIR USMONOVICH</t>
        </is>
      </c>
      <c r="F214" s="98" t="inlineStr">
        <is>
          <t xml:space="preserve">998770063810 SMS OZI, 998905643888 SMS AYOLI, 998935141246 SMS OGLI, 998931513810 SMS OZI NEW , 998900633070 SMS AYOLI TOLOVCHI SHUNGA QILINSIN ,</t>
        </is>
      </c>
      <c r="G214" s="98" t="inlineStr">
        <is>
          <t xml:space="preserve">FARG’ONA VILOYATI UCHKO’PRIK TUMANI ZIG’IR MFY KATTA-TOL KO’CHASI 34-XONADON</t>
        </is>
      </c>
      <c r="H214" s="99">
        <v>21.0</v>
      </c>
      <c r="I214" s="99">
        <v>11070658.31</v>
      </c>
      <c r="K214" s="98" t="inlineStr">
        <is>
          <t xml:space="preserve">Va'da berdi | BUGUN AVANSI TUSHADI AYOLINI QOSHIB KECHROQA YOPADI EKAN | 4402509.64</t>
        </is>
      </c>
    </row>
    <row r="215">
      <c r="A215" s="98" t="inlineStr">
        <is>
          <t xml:space="preserve">ФАРГОНА ВИЛОЯТИ</t>
        </is>
      </c>
      <c r="C215" s="98" t="inlineStr">
        <is>
          <t xml:space="preserve">Обещал</t>
        </is>
      </c>
      <c r="D215" s="98" t="inlineStr">
        <is>
          <t xml:space="preserve">Кр-99034161-1</t>
        </is>
      </c>
      <c r="E215" s="98" t="inlineStr">
        <is>
          <t xml:space="preserve">G’OFUROV KOMILJON TOLIBJONOVICH</t>
        </is>
      </c>
      <c r="F215" s="98" t="inlineStr">
        <is>
          <t xml:space="preserve">998902912907 SMS Ozi, 998937248207 SMS Ayoli , 998937278207 SMS Ayoli , 998507770652  qizi tolovchi , 998947963335 UZI NEWWW,</t>
        </is>
      </c>
      <c r="G215" s="98" t="inlineStr">
        <is>
          <t xml:space="preserve">FARG’ONA VILOYATI BOG’DOD TUMANI BEKOBOD MFY XUMO KO’CHASI 118-XONADON</t>
        </is>
      </c>
      <c r="H215" s="99">
        <v>42.0</v>
      </c>
      <c r="I215" s="99">
        <v>10454336.1</v>
      </c>
      <c r="K215" s="98" t="inlineStr">
        <is>
          <t xml:space="preserve">Va'da berdi | 7 LARGA QAYTA ALOQA TOLOV QILADI EKAN | 5454000</t>
        </is>
      </c>
    </row>
    <row r="216">
      <c r="A216" s="98" t="inlineStr">
        <is>
          <t xml:space="preserve">ФАРГОНА ВИЛОЯТИ</t>
        </is>
      </c>
      <c r="C216" s="98" t="inlineStr">
        <is>
          <t xml:space="preserve">Обещал</t>
        </is>
      </c>
      <c r="D216" s="98" t="inlineStr">
        <is>
          <t xml:space="preserve">Кр-99040707-1</t>
        </is>
      </c>
      <c r="E216" s="98" t="inlineStr">
        <is>
          <t xml:space="preserve">KABILOVA DILOBA XAKIMOVNA</t>
        </is>
      </c>
      <c r="F216" s="98" t="inlineStr">
        <is>
          <t xml:space="preserve">+998999902233 SMS O’ZI, 998916716784 ERI, 998978828881 O’G’LI 2, 998988887881 O’G’LI,</t>
        </is>
      </c>
      <c r="G216" s="98" t="inlineStr">
        <is>
          <t xml:space="preserve">FARG’ONA VILOYATI FARG’ONA SHAHAR OYBEK MFY P.MAXMUD KO’CHASI 63-XONADON</t>
        </is>
      </c>
      <c r="H216" s="99">
        <v>8.0</v>
      </c>
      <c r="I216" s="99">
        <v>8784758.83</v>
      </c>
      <c r="K216" s="98" t="inlineStr">
        <is>
          <t xml:space="preserve">Va'da berdi | BALITSADA EKAN 20CHILARGA CHIQAMAN BALISHNI PULIMNI OLIB YOPIB BERAMAN DEDI | 2916666.03</t>
        </is>
      </c>
    </row>
    <row r="217">
      <c r="A217" s="98" t="inlineStr">
        <is>
          <t xml:space="preserve">ФАРГОНА ВИЛОЯТИ</t>
        </is>
      </c>
      <c r="C217" s="98" t="inlineStr">
        <is>
          <t xml:space="preserve">Обещал</t>
        </is>
      </c>
      <c r="D217" s="98" t="inlineStr">
        <is>
          <t xml:space="preserve">Кр-99044133-4</t>
        </is>
      </c>
      <c r="E217" s="98" t="inlineStr">
        <is>
          <t xml:space="preserve">BARATALIYEVA SHOIRAXON ALIMJANOVNA</t>
        </is>
      </c>
      <c r="F217" s="98" t="inlineStr">
        <is>
          <t xml:space="preserve">+998917441071 SMS O’ZI, 998701131117 O’G’LI 2, 998916880270 ERI, 998955670345 O’G’LI, 998200217110 OZI NEW,</t>
        </is>
      </c>
      <c r="G217" s="98" t="inlineStr">
        <is>
          <t xml:space="preserve">FARG’ONA VILOYATI BESHARIQ TUMANI NAVBAXOR MFY NAVBAXOR KO’CHASI 134-XONADON</t>
        </is>
      </c>
      <c r="H217" s="99">
        <v>8.0</v>
      </c>
      <c r="I217" s="99">
        <v>8408818.28</v>
      </c>
      <c r="K217" s="98" t="inlineStr">
        <is>
          <t xml:space="preserve">Va'da berdi | OGLI GA CHIQILADI TELARAMDAN RASIYADA EKAN | 2708333.02</t>
        </is>
      </c>
    </row>
    <row r="218">
      <c r="A218" s="98" t="inlineStr">
        <is>
          <t xml:space="preserve">ФАРГОНА ВИЛОЯТИ</t>
        </is>
      </c>
      <c r="C218" s="98" t="inlineStr">
        <is>
          <t xml:space="preserve">Обещал</t>
        </is>
      </c>
      <c r="D218" s="98" t="inlineStr">
        <is>
          <t xml:space="preserve">Кр-99041780-3</t>
        </is>
      </c>
      <c r="E218" s="98" t="inlineStr">
        <is>
          <t xml:space="preserve">XOSHIMOVA MUAZZAM SHERALIYEVNA</t>
        </is>
      </c>
      <c r="F218" s="98" t="inlineStr">
        <is>
          <t xml:space="preserve">+998908492233 SMS O’ZI, 998900782233 ERI 2, 998907622233 ERI, 998948755111 OPASI,</t>
        </is>
      </c>
      <c r="G218" s="98" t="inlineStr">
        <is>
          <t xml:space="preserve">FARG’ONA VILOYATI MARG’ILON SHAHAR TURON MFY YANGI FARG’ONA KO’CHASI 103-UY 32-XONADON</t>
        </is>
      </c>
      <c r="H218" s="99">
        <v>8.0</v>
      </c>
      <c r="I218" s="99">
        <v>7739491.53</v>
      </c>
      <c r="K218" s="98" t="inlineStr">
        <is>
          <t xml:space="preserve">Va'da berdi | ERI BITA JOYDEYDIM SHUNDSY CHIQIB QAYTARIB YUBORAMAN DEDI HARAMI ERTAGA PULIM KELADIGAN BOLDI ERTAGA ANIQ TOLAYMIZ DEYABDI | 2291666.41</t>
        </is>
      </c>
    </row>
    <row r="219">
      <c r="A219" s="98" t="inlineStr">
        <is>
          <t xml:space="preserve">ФАРГОНА ВИЛОЯТИ</t>
        </is>
      </c>
      <c r="C219" s="98" t="inlineStr">
        <is>
          <t xml:space="preserve">Обещал</t>
        </is>
      </c>
      <c r="D219" s="98" t="inlineStr">
        <is>
          <t xml:space="preserve">Кр-99039832-1</t>
        </is>
      </c>
      <c r="E219" s="98" t="inlineStr">
        <is>
          <t xml:space="preserve">USMANOV MUZAFFAR MUXAMEDOVICH</t>
        </is>
      </c>
      <c r="F219" s="98" t="inlineStr">
        <is>
          <t xml:space="preserve">998900552185 SMS OZI, 998910593282 SMS AYOLI, 998913241110 SMS UKASI, 998910596232 SMS OGLI,</t>
        </is>
      </c>
      <c r="G219" s="98" t="inlineStr">
        <is>
          <t xml:space="preserve">FARG’ONA VILOYATI QO’QON SHAHAR ISTIQBOL MFY ALISHER NAVOIY KO’CHASI 68-UY 15-XONADON</t>
        </is>
      </c>
      <c r="H219" s="99">
        <v>11.0</v>
      </c>
      <c r="I219" s="99">
        <v>7031688.15</v>
      </c>
      <c r="K219" s="98" t="inlineStr">
        <is>
          <t xml:space="preserve">Va'da berdi | PAYSHANBA KUNI KECHGACHA YOPIB BERADI BOLIB BOLI 5 LARGA QAYTA ALOQA | 2500000</t>
        </is>
      </c>
    </row>
    <row r="220">
      <c r="A220" s="98" t="inlineStr">
        <is>
          <t xml:space="preserve">ФАРГОНА ВИЛОЯТИ</t>
        </is>
      </c>
      <c r="C220" s="98" t="inlineStr">
        <is>
          <t xml:space="preserve">Обещал</t>
        </is>
      </c>
      <c r="D220" s="98" t="inlineStr">
        <is>
          <t xml:space="preserve">Кр-99062615-1</t>
        </is>
      </c>
      <c r="E220" s="98" t="inlineStr">
        <is>
          <t xml:space="preserve">XALMATOV ABDUMALIK AXMEDOVICH</t>
        </is>
      </c>
      <c r="F220" s="98" t="inlineStr">
        <is>
          <t xml:space="preserve">998904050850 ozi, 998912065878 ayoli, 998330277000 ogli, 998974191099 katta ogli ,</t>
        </is>
      </c>
      <c r="G220" s="98" t="inlineStr">
        <is>
          <t xml:space="preserve">Манзил: FARG’ONA VILOYATI FARG’ONA SHAHRI BEGLAR MFY BEGLAR KO’CHASI 18/20-UY</t>
        </is>
      </c>
      <c r="H220" s="99">
        <v>11.0</v>
      </c>
      <c r="I220" s="99">
        <v>6807996.64</v>
      </c>
      <c r="K220" s="98" t="inlineStr">
        <is>
          <t xml:space="preserve">Va'da berdi | 3,4 KUNDA YOPIB QOYISHADI HAARAKAT QILISHAYABDI DEDI AYOLI | 2500000</t>
        </is>
      </c>
    </row>
    <row r="221">
      <c r="A221" s="98" t="inlineStr">
        <is>
          <t xml:space="preserve">ФАРГОНА ВИЛОЯТИ</t>
        </is>
      </c>
      <c r="C221" s="98" t="inlineStr">
        <is>
          <t xml:space="preserve">Обещал</t>
        </is>
      </c>
      <c r="D221" s="98" t="inlineStr">
        <is>
          <t xml:space="preserve">Кр-99050433-2</t>
        </is>
      </c>
      <c r="E221" s="98" t="inlineStr">
        <is>
          <t xml:space="preserve">JALOLOVA UMIDAXON ALIYEVNA</t>
        </is>
      </c>
      <c r="F221" s="98" t="inlineStr">
        <is>
          <t xml:space="preserve">998500406904 O’G’LI, 998916567774 DADASI, 998916586904 O’G’LI, 998916591975 SMS O’ZI,</t>
        </is>
      </c>
      <c r="G221" s="98" t="inlineStr">
        <is>
          <t xml:space="preserve">FARG’ONA VILOYATI FARG’ONA TUMANI XONKIZ MFY SOY BO’YI KO’CHASI 98-UY</t>
        </is>
      </c>
      <c r="H221" s="99">
        <v>8.0</v>
      </c>
      <c r="I221" s="99">
        <v>6589875.6</v>
      </c>
      <c r="K221" s="98" t="inlineStr">
        <is>
          <t xml:space="preserve">Va'da berdi | JUMA KUNI 3LARGA QAYTA ALOQA TOLOV QILADI EKAN | 2083332.44</t>
        </is>
      </c>
    </row>
    <row r="222">
      <c r="A222" s="98" t="inlineStr">
        <is>
          <t xml:space="preserve">ФАРГОНА ВИЛОЯТИ</t>
        </is>
      </c>
      <c r="C222" s="98" t="inlineStr">
        <is>
          <t xml:space="preserve">Обещал</t>
        </is>
      </c>
      <c r="D222" s="98" t="inlineStr">
        <is>
          <t xml:space="preserve">Кр-99039797-1</t>
        </is>
      </c>
      <c r="E222" s="98" t="inlineStr">
        <is>
          <t xml:space="preserve">GAFOROV IKBOLJON UKTAMOVICH</t>
        </is>
      </c>
      <c r="F222" s="98" t="inlineStr">
        <is>
          <t xml:space="preserve">998903699953 SMS OZI, 998911081214 SMS AYOLI, 998916729177 SMS OMASI, 998918865940 SMS UY, 998505995135 SMS UZI NEW, 998905618936 OPASI HADEB BEZOVTA QILINMASIN ,</t>
        </is>
      </c>
      <c r="G222" s="98" t="inlineStr">
        <is>
          <t xml:space="preserve">FARG’ONA VILOYATI RISHTON TUMANI ISTIQBOL MFY ZARARIK KO’CHASI 26-UY</t>
        </is>
      </c>
      <c r="H222" s="99">
        <v>8.0</v>
      </c>
      <c r="I222" s="99">
        <v>5920744.68</v>
      </c>
      <c r="K222" s="98" t="inlineStr">
        <is>
          <t xml:space="preserve">Va'da berdi | BUGUN  AVANSI TUSHADI EKAN TUSHI SHI BILAN TOLAB QOYAMAN DEYABDI QOLGANINI 1,2 KUNDA QILIB BERAMAN DEYABDI | 2424000</t>
        </is>
      </c>
    </row>
    <row r="223">
      <c r="A223" s="98" t="inlineStr">
        <is>
          <t xml:space="preserve">ФАРГОНА ВИЛОЯТИ</t>
        </is>
      </c>
      <c r="C223" s="98" t="inlineStr">
        <is>
          <t xml:space="preserve">Обещал</t>
        </is>
      </c>
      <c r="D223" s="98" t="inlineStr">
        <is>
          <t xml:space="preserve">Кр-99035250-1</t>
        </is>
      </c>
      <c r="E223" s="98" t="inlineStr">
        <is>
          <t xml:space="preserve">SHOMATOVA ZAMIRA MUXAMMADOVNA</t>
        </is>
      </c>
      <c r="F223" s="98" t="inlineStr">
        <is>
          <t xml:space="preserve">998958407673 SMS O’ZI, 998908457660 SMS QIZI, 998931907077 SMS JIYANI,</t>
        </is>
      </c>
      <c r="G223" s="98" t="inlineStr">
        <is>
          <t xml:space="preserve">FARG’ONA VILOYATI FARG’ONA SHAHAR BARKAMOL MFY YANGI ASIR KO’CHASI 120-UY 52-XONADON</t>
        </is>
      </c>
      <c r="H223" s="99">
        <v>1.0</v>
      </c>
      <c r="I223" s="99">
        <v>5795399.52</v>
      </c>
      <c r="K223" s="98" t="inlineStr">
        <is>
          <t xml:space="preserve">Va'da berdi | 25 KUNI TOLAB QOYAMAN DEYABDI SAVDODAMAN TAVARGA BERIB YUBORGANMAN  HAMMA PULIMNI 20CHIDA TAVARIM KELADI KELISHI BILAN SOTIB 25 GACHA TOLAB QOYAMAN DEDI | 2244898</t>
        </is>
      </c>
    </row>
    <row r="224">
      <c r="A224" s="98" t="inlineStr">
        <is>
          <t xml:space="preserve">ФАРГОНА ВИЛОЯТИ</t>
        </is>
      </c>
      <c r="C224" s="98" t="inlineStr">
        <is>
          <t xml:space="preserve">Обещал</t>
        </is>
      </c>
      <c r="D224" s="98" t="inlineStr">
        <is>
          <t xml:space="preserve">Кр-99063127-1</t>
        </is>
      </c>
      <c r="E224" s="98" t="inlineStr">
        <is>
          <t xml:space="preserve">KENJAYEVA MATLUBA NUMONOVNA</t>
        </is>
      </c>
      <c r="F224" s="98" t="inlineStr">
        <is>
          <t xml:space="preserve">+998932767070 SMS O’ZI, 998772120060 SMS OPASI, 998907833515 UY, 998911176810 KELINI,</t>
        </is>
      </c>
      <c r="G224" s="98" t="inlineStr">
        <is>
          <t xml:space="preserve">FARG’ONA VILOYATI MARG’ILON SHAHAR MAORIF MFY JURAXON SULTONOV 235-UY</t>
        </is>
      </c>
      <c r="H224" s="99">
        <v>8.0</v>
      </c>
      <c r="I224" s="99">
        <v>5587347.97</v>
      </c>
      <c r="K224" s="98" t="inlineStr">
        <is>
          <t xml:space="preserve">Va'da berdi | NABIRASI KOTARDI KOCHAGA CHIQIB KETGANDI AYTAMAN QILIB YUBORADI DEDI | 1666666.04</t>
        </is>
      </c>
    </row>
    <row r="225">
      <c r="A225" s="98" t="inlineStr">
        <is>
          <t xml:space="preserve">ФАРГОНА ВИЛОЯТИ</t>
        </is>
      </c>
      <c r="C225" s="98" t="inlineStr">
        <is>
          <t xml:space="preserve">Обещал</t>
        </is>
      </c>
      <c r="D225" s="98" t="inlineStr">
        <is>
          <t xml:space="preserve">Кр-99034448-1</t>
        </is>
      </c>
      <c r="E225" s="98" t="inlineStr">
        <is>
          <t xml:space="preserve">ASHIROVA MIRA ABBASOVNA</t>
        </is>
      </c>
      <c r="F225" s="98" t="inlineStr">
        <is>
          <t xml:space="preserve">998916509967 SMS O’ZI, 998901621373 SMS O’G’LI, 998907844322 SMS O’G’LI, 998939773993 SMS JIYANI BEGONA,</t>
        </is>
      </c>
      <c r="G225" s="98" t="inlineStr">
        <is>
          <t xml:space="preserve">FARG’ONA VILOYATI FARG’ONA SHAHAR M.ULUG’BEK MFY AXMAD YASSAVIY 50-UY 11-XONADON</t>
        </is>
      </c>
      <c r="H225" s="99">
        <v>1.0</v>
      </c>
      <c r="I225" s="99">
        <v>5542479.42</v>
      </c>
      <c r="K225" s="98" t="inlineStr">
        <is>
          <t xml:space="preserve">Va'da berdi | UYIDA ISHLAYDI EKAN PULI YETMAYABDI EKAN JUMA KUNI TOLAB QOYADI EKAN | 3030000</t>
        </is>
      </c>
    </row>
    <row r="226">
      <c r="A226" s="98" t="inlineStr">
        <is>
          <t xml:space="preserve">ФАРГОНА ВИЛОЯТИ</t>
        </is>
      </c>
      <c r="C226" s="98" t="inlineStr">
        <is>
          <t xml:space="preserve">Обещал</t>
        </is>
      </c>
      <c r="D226" s="98" t="inlineStr">
        <is>
          <t xml:space="preserve">Кр-99053631-1</t>
        </is>
      </c>
      <c r="E226" s="98" t="inlineStr">
        <is>
          <t xml:space="preserve">ABDUKARIMOV AKMALJON TO’XTASINOVICH</t>
        </is>
      </c>
      <c r="F226" s="98" t="inlineStr">
        <is>
          <t xml:space="preserve">998916720698 SMS OZI, 998505752669 SMS UKASI, 998943940527 SMKS AYOLI, 998939806766 SMS AKASI,</t>
        </is>
      </c>
      <c r="G226" s="98" t="inlineStr">
        <is>
          <t xml:space="preserve">FARG’ONA VILOYATI FARG’ONA TUMANI GULSHAN MFY BARKAMOL KO’CHASI 93-XONADON</t>
        </is>
      </c>
      <c r="H226" s="99">
        <v>8.0</v>
      </c>
      <c r="I226" s="99">
        <v>5342083.05</v>
      </c>
      <c r="K226" s="98" t="inlineStr">
        <is>
          <t xml:space="preserve">Va'da berdi | BUGUN OYLIGI TUSHADI EKAN TUSHISHI BLAN TOLAB QYADI EKAN 941360809 | 1645372.74</t>
        </is>
      </c>
    </row>
    <row r="227">
      <c r="A227" s="98" t="inlineStr">
        <is>
          <t xml:space="preserve">ФАРГОНА ВИЛОЯТИ</t>
        </is>
      </c>
      <c r="C227" s="98" t="inlineStr">
        <is>
          <t xml:space="preserve">Обещал</t>
        </is>
      </c>
      <c r="D227" s="98" t="inlineStr">
        <is>
          <t xml:space="preserve">Кр-99040136-1</t>
        </is>
      </c>
      <c r="E227" s="98" t="inlineStr">
        <is>
          <t xml:space="preserve">MUXTARALIYEV ISRAIL ISMAILOVICH</t>
        </is>
      </c>
      <c r="F227" s="98" t="inlineStr">
        <is>
          <t xml:space="preserve">998505516167 SMS OZI, 998916565115 SMS OGLI 2, 998912062645 SMS AYOLI, 998903035115 SMS KELINI,</t>
        </is>
      </c>
      <c r="G227" s="98" t="inlineStr">
        <is>
          <t xml:space="preserve">FARG’ONA VILOYATI FARG’ONA SHAHAR MUSTAQILLIK MFY BELOVA KO’CHASI 103-UY</t>
        </is>
      </c>
      <c r="H227" s="99">
        <v>11.0</v>
      </c>
      <c r="I227" s="99">
        <v>5326094.04</v>
      </c>
      <c r="K227" s="98" t="inlineStr">
        <is>
          <t xml:space="preserve">Va'da berdi | PAYSHANBA KUNI KECHGACHA YOPIB BERADI EKAN SAVDOGAR AYOLI BUGUN PUL  YIGIB BOSHLASHADI | 3823529</t>
        </is>
      </c>
    </row>
    <row r="228">
      <c r="A228" s="98" t="inlineStr">
        <is>
          <t xml:space="preserve">ФАРГОНА ВИЛОЯТИ</t>
        </is>
      </c>
      <c r="C228" s="98" t="inlineStr">
        <is>
          <t xml:space="preserve">Обещал</t>
        </is>
      </c>
      <c r="D228" s="98" t="inlineStr">
        <is>
          <t xml:space="preserve">Кр-99040371-1</t>
        </is>
      </c>
      <c r="E228" s="98" t="inlineStr">
        <is>
          <t xml:space="preserve">FAYZULLAYEVA MUYASSARXON SAYDUMAROVNA</t>
        </is>
      </c>
      <c r="F228" s="98" t="inlineStr">
        <is>
          <t xml:space="preserve">998507161002 SMS OZI, 998945120202 SMS UY, 998330802006 SMS NEVARASI, 998936402057 SMS OGLI,</t>
        </is>
      </c>
      <c r="G228" s="98" t="inlineStr">
        <is>
          <t xml:space="preserve">FARG’ONA VILOYATI BUVAYDA TUMANI BACHQIR MFY GUZAR KO’CHASI 33-XONADON</t>
        </is>
      </c>
      <c r="H228" s="99">
        <v>8.0</v>
      </c>
      <c r="I228" s="99">
        <v>5242387.69</v>
      </c>
      <c r="K228" s="98" t="inlineStr">
        <is>
          <t xml:space="preserve">Va'da berdi | 18 KUNI 7LARGA QAYTA AOQA TOLOV QILADI EKAN RASIYADAN PULI KELADI | 2424000</t>
        </is>
      </c>
    </row>
    <row r="229">
      <c r="A229" s="98" t="inlineStr">
        <is>
          <t xml:space="preserve">ФАРГОНА ВИЛОЯТИ</t>
        </is>
      </c>
      <c r="C229" s="98" t="inlineStr">
        <is>
          <t xml:space="preserve">Обещал</t>
        </is>
      </c>
      <c r="D229" s="98" t="inlineStr">
        <is>
          <t xml:space="preserve">Кр-99037178-1</t>
        </is>
      </c>
      <c r="E229" s="98" t="inlineStr">
        <is>
          <t xml:space="preserve">NURULLAYEV XOKIMJON OBIDDINOVICH</t>
        </is>
      </c>
      <c r="F229" s="98" t="inlineStr">
        <is>
          <t xml:space="preserve">998972141971 SMS OZI, 998888141973 SMS AYOLI, 998903020279 SMS OGLI ABDULXAFIZ O'G'LI, 998905371938 SMS KELINI,</t>
        </is>
      </c>
      <c r="G229" s="98" t="inlineStr">
        <is>
          <t xml:space="preserve">FARG’ONA VILOYATI FARG’ONA SHAHAR NAFOSAT MFY XAZINA QASHAKAR KO’CHASI 224-UY</t>
        </is>
      </c>
      <c r="H229" s="99">
        <v>11.0</v>
      </c>
      <c r="I229" s="99">
        <v>5160220.75</v>
      </c>
      <c r="K229" s="98" t="inlineStr">
        <is>
          <t xml:space="preserve">Va'da berdi | 20CHIDA OYLIGINI OLADI OLISHI BILAN YOPADI XAR OY SHUNAQA TOLAYDI | 2258677.98</t>
        </is>
      </c>
    </row>
    <row r="230">
      <c r="A230" s="98" t="inlineStr">
        <is>
          <t xml:space="preserve">ФАРГОНА ВИЛОЯТИ</t>
        </is>
      </c>
      <c r="C230" s="98" t="inlineStr">
        <is>
          <t xml:space="preserve">Обещал</t>
        </is>
      </c>
      <c r="D230" s="98" t="inlineStr">
        <is>
          <t xml:space="preserve">Кр-99039992-1</t>
        </is>
      </c>
      <c r="E230" s="98" t="inlineStr">
        <is>
          <t xml:space="preserve">JO’RAYEVA MARXAMATOY TURG’UNOVNA</t>
        </is>
      </c>
      <c r="F230" s="98" t="inlineStr">
        <is>
          <t xml:space="preserve">998996905719 uzi, 998996029191 jiyani tolovchi , 998936979191 ugli,</t>
        </is>
      </c>
      <c r="G230" s="98" t="inlineStr">
        <is>
          <t xml:space="preserve">FARG’ONA VILOYATI UCHKO’PRIK TUMANI</t>
        </is>
      </c>
      <c r="H230" s="99">
        <v>8.0</v>
      </c>
      <c r="I230" s="99">
        <v>5110213.5</v>
      </c>
      <c r="K230" s="98" t="inlineStr">
        <is>
          <t xml:space="preserve">Va'da berdi | 15, 20CHIGACHA PUL KELADI DEDI KELISHI BILAN TOLAB QOYAMAN DEYABDI | 1667000</t>
        </is>
      </c>
    </row>
    <row r="231">
      <c r="A231" s="98" t="inlineStr">
        <is>
          <t xml:space="preserve">ФАРГОНА ВИЛОЯТИ</t>
        </is>
      </c>
      <c r="C231" s="98" t="inlineStr">
        <is>
          <t xml:space="preserve">Обещал</t>
        </is>
      </c>
      <c r="D231" s="98" t="inlineStr">
        <is>
          <t xml:space="preserve">Кр-99042084-2</t>
        </is>
      </c>
      <c r="E231" s="98" t="inlineStr">
        <is>
          <t xml:space="preserve">ARIPOV KURBONALI FARMANOVICH</t>
        </is>
      </c>
      <c r="F231" s="98" t="inlineStr">
        <is>
          <t xml:space="preserve">+998901666019 SMS O’ZI, 998909425347 AYOLI, 998911270930 KELINI, 998990064471 O’G’LI TO’LOVCHI,</t>
        </is>
      </c>
      <c r="G231" s="98" t="inlineStr">
        <is>
          <t xml:space="preserve">FARG’ONA VILOYATI QUVA TUMANI O’ZBEKISTON MFY BERUNIY KO’CHASI 138-XONADON</t>
        </is>
      </c>
      <c r="H231" s="99">
        <v>8.0</v>
      </c>
      <c r="I231" s="99">
        <v>4157383.06</v>
      </c>
      <c r="K231" s="98" t="inlineStr">
        <is>
          <t xml:space="preserve">Va'da berdi | 5 LARGA QAYTA ALOQA ERTAGA 4 LARGA QAYTA ALOQA TOLAYDI BUGUN PULI KELMAY QOLIBDI | 1818180.96</t>
        </is>
      </c>
    </row>
    <row r="232">
      <c r="A232" s="98" t="inlineStr">
        <is>
          <t xml:space="preserve">ФАРГОНА ВИЛОЯТИ</t>
        </is>
      </c>
      <c r="C232" s="98" t="inlineStr">
        <is>
          <t xml:space="preserve">Обещал</t>
        </is>
      </c>
      <c r="D232" s="98" t="inlineStr">
        <is>
          <t xml:space="preserve">Кр-99040890-1</t>
        </is>
      </c>
      <c r="E232" s="98" t="inlineStr">
        <is>
          <t xml:space="preserve">JAMOLOV ASILBEK XOLIQJON O’GLI</t>
        </is>
      </c>
      <c r="F232" s="98" t="inlineStr">
        <is>
          <t xml:space="preserve">998946588800 SMS OZI, 998990099303 SMS DOSTI, 998786494942 SMS DOSTI 2, 998706094543 SMS DOSTI 3, 998770043045 DOST TOLOVCHI ,</t>
        </is>
      </c>
      <c r="G232" s="98" t="inlineStr">
        <is>
          <t xml:space="preserve">TOSHKENT SHAHAR YASHNABOD TUMANI JARBOSHI MFY, A.SERIKBAEV (BUSH) KO’CHASI 20-UY,39-XONADON</t>
        </is>
      </c>
      <c r="H232" s="99">
        <v>13.0</v>
      </c>
      <c r="I232" s="99">
        <v>4025739.75</v>
      </c>
      <c r="K232" s="98" t="inlineStr">
        <is>
          <t xml:space="preserve">Va'da berdi | BUGUN KECHGACHA TOLAYDI EKAN | 1393593.84</t>
        </is>
      </c>
    </row>
    <row r="233">
      <c r="A233" s="98" t="inlineStr">
        <is>
          <t xml:space="preserve">ФАРГОНА ВИЛОЯТИ</t>
        </is>
      </c>
      <c r="C233" s="98" t="inlineStr">
        <is>
          <t xml:space="preserve">Обещал</t>
        </is>
      </c>
      <c r="D233" s="98" t="inlineStr">
        <is>
          <t xml:space="preserve">Кр-99052905-1</t>
        </is>
      </c>
      <c r="E233" s="98" t="inlineStr">
        <is>
          <t xml:space="preserve">KURBONOV SHUXRAT SHAXABIDINOVICH</t>
        </is>
      </c>
      <c r="F233" s="98" t="inlineStr">
        <is>
          <t xml:space="preserve">998700190989 SMS OZI, 998077556362 SMS OZI, 998884130035 SMS OGLI, 998901628776 SMS AYOLI,</t>
        </is>
      </c>
      <c r="G233" s="98" t="inlineStr">
        <is>
          <t xml:space="preserve">FARG’ONA VILOYATI TOSHLOQ TUMANI ZARKENT MFY QASHQARQISHLOQ KO’CHASI 101-XONADON</t>
        </is>
      </c>
      <c r="H233" s="99">
        <v>8.0</v>
      </c>
      <c r="I233" s="99">
        <v>4012591.75</v>
      </c>
      <c r="K233" s="98" t="inlineStr">
        <is>
          <t xml:space="preserve">Va'da berdi | BUGUN 3LARGA QAYTA ALOQA TOLOV QILADI EKAN  5 LARGA QAYTA ALOQA ERTAGA ABETLARGA QAYTA ALOQA TOLOV QILADI EKAN | 1318019.19</t>
        </is>
      </c>
    </row>
    <row r="234">
      <c r="A234" s="98" t="inlineStr">
        <is>
          <t xml:space="preserve">ФАРГОНА ВИЛОЯТИ</t>
        </is>
      </c>
      <c r="C234" s="98" t="inlineStr">
        <is>
          <t xml:space="preserve">Обещал</t>
        </is>
      </c>
      <c r="D234" s="98" t="inlineStr">
        <is>
          <t xml:space="preserve">Кр-99049118-2</t>
        </is>
      </c>
      <c r="E234" s="98" t="inlineStr">
        <is>
          <t xml:space="preserve">MAMATQULOV TOJIBOY RO’ZIYEVICH</t>
        </is>
      </c>
      <c r="F234" s="98" t="inlineStr">
        <is>
          <t xml:space="preserve">+998944948128 SMS O’ZI, 998931070281 O’G’LI 2, 998945532052 NEVARASI, 998970420281 O’G’LI, 998930612052 OZI NEW,</t>
        </is>
      </c>
      <c r="G234" s="98" t="inlineStr">
        <is>
          <t xml:space="preserve">FARG’ONA VILOYATI BESHARIQ TUMANI CHIMBOY MFY NAVRO’Z KO’CHASI 107-XONADON</t>
        </is>
      </c>
      <c r="H234" s="99">
        <v>8.0</v>
      </c>
      <c r="I234" s="99">
        <v>3989896.81</v>
      </c>
      <c r="K234" s="98" t="inlineStr">
        <is>
          <t xml:space="preserve">Va'da berdi | TASHKENTGA ISHGA KELAYABDI EKAN 3,4 LARDA PUL OLIB TOLAB QOYAMAN DEYABDI PASHANBA KUNI 3LARGA QAYTA ALOQA | 1249999.53</t>
        </is>
      </c>
    </row>
    <row r="235">
      <c r="A235" s="98" t="inlineStr">
        <is>
          <t xml:space="preserve">ФАРГОНА ВИЛОЯТИ</t>
        </is>
      </c>
      <c r="C235" s="98" t="inlineStr">
        <is>
          <t xml:space="preserve">Обещал</t>
        </is>
      </c>
      <c r="D235" s="98" t="inlineStr">
        <is>
          <t xml:space="preserve">Кр-99037171-1</t>
        </is>
      </c>
      <c r="E235" s="98" t="inlineStr">
        <is>
          <t xml:space="preserve">SHARABIDINOVA NUSRATXON ISMOILOVNA</t>
        </is>
      </c>
      <c r="F235" s="98" t="inlineStr">
        <is>
          <t xml:space="preserve">998911303102 SMS OZI, 998999810228 SMS O’G’LI, 998335755717 SMS  QIZI, 998335555717 SMS NEVARASI, 998889270228 OGLI TOLOVCHI ,</t>
        </is>
      </c>
      <c r="G235" s="98" t="inlineStr">
        <is>
          <t xml:space="preserve">FARG’ONA VILOYATI FARG’ONA SHAHAR KIMYOGARLAR MFY SO’LIM KO’CHASI 11/2-UY 18-XONADON</t>
        </is>
      </c>
      <c r="H235" s="99">
        <v>8.0</v>
      </c>
      <c r="I235" s="99">
        <v>3805092.72</v>
      </c>
      <c r="K235" s="98" t="inlineStr">
        <is>
          <t xml:space="preserve">Va'da berdi | KECHGACHA TOPIB TOLAB QOYAMAN DEYABDI | 1694008.64</t>
        </is>
      </c>
    </row>
    <row r="236">
      <c r="A236" s="98" t="inlineStr">
        <is>
          <t xml:space="preserve">ФАРГОНА ВИЛОЯТИ</t>
        </is>
      </c>
      <c r="C236" s="98" t="inlineStr">
        <is>
          <t xml:space="preserve">Обещал</t>
        </is>
      </c>
      <c r="D236" s="98" t="inlineStr">
        <is>
          <t xml:space="preserve">Кр-99033555-2</t>
        </is>
      </c>
      <c r="E236" s="98" t="inlineStr">
        <is>
          <t xml:space="preserve">AKBAROV IKROM MUXAMEDOVICH</t>
        </is>
      </c>
      <c r="F236" s="98" t="inlineStr">
        <is>
          <t xml:space="preserve">998902938949 SMS O’ZI, 998903438280 SMS AKASI, 998905652884 SMS AYOLI, 998905084464 SMS JIYANI,</t>
        </is>
      </c>
      <c r="G236" s="98" t="inlineStr">
        <is>
          <t xml:space="preserve">FARG’ONA VILOYATI QO’QON SHAHAR USTA BOZOR MFY PARPASHABOF KO’CHASI 209-XONADON</t>
        </is>
      </c>
      <c r="H236" s="99">
        <v>8.0</v>
      </c>
      <c r="I236" s="99">
        <v>3672642.7</v>
      </c>
      <c r="K236" s="98" t="inlineStr">
        <is>
          <t xml:space="preserve">Va'da berdi | 26,29 GACHA BOLGAN OROLIQDA QIRGIZISTONDAN PULI KELADI KELISHI BILAN YOPIB QOYADI EKAN | 965658.22</t>
        </is>
      </c>
    </row>
    <row r="237">
      <c r="A237" s="98" t="inlineStr">
        <is>
          <t xml:space="preserve">ФАРГОНА ВИЛОЯТИ</t>
        </is>
      </c>
      <c r="C237" s="98" t="inlineStr">
        <is>
          <t xml:space="preserve">Обещал</t>
        </is>
      </c>
      <c r="D237" s="98" t="inlineStr">
        <is>
          <t xml:space="preserve">Кр-99054960-1</t>
        </is>
      </c>
      <c r="E237" s="98" t="inlineStr">
        <is>
          <t xml:space="preserve">BEGALIYEV SARDORBEK MAMASODIK O’G’LI</t>
        </is>
      </c>
      <c r="F237" s="98" t="inlineStr">
        <is>
          <t xml:space="preserve">998936404050 SMS O'ZI, 998908425658 SMS AYOLI, 998931731278 SMS ONASI, 998903904042 SMS DADASI,</t>
        </is>
      </c>
      <c r="G237" s="98" t="inlineStr">
        <is>
          <t xml:space="preserve">FARG’ONA VILOYATI FARG’ONA SHAHAR BERUNIY MFY MARG’ILON KO’CHASI 24-B UY 2-XONADON</t>
        </is>
      </c>
      <c r="H237" s="99">
        <v>8.0</v>
      </c>
      <c r="I237" s="99">
        <v>3626604.39</v>
      </c>
      <c r="K237" s="98" t="inlineStr">
        <is>
          <t xml:space="preserve">Va'da berdi | BIR EKUNDA TOLASHADI DEDI DADASI | 1515000</t>
        </is>
      </c>
    </row>
    <row r="238">
      <c r="A238" s="98" t="inlineStr">
        <is>
          <t xml:space="preserve">ФАРГОНА ВИЛОЯТИ</t>
        </is>
      </c>
      <c r="C238" s="98" t="inlineStr">
        <is>
          <t xml:space="preserve">Обещал</t>
        </is>
      </c>
      <c r="D238" s="98" t="inlineStr">
        <is>
          <t xml:space="preserve">Кр-99039366-1</t>
        </is>
      </c>
      <c r="E238" s="98" t="inlineStr">
        <is>
          <t xml:space="preserve">JURAYEV INOMJON G’ULOMOVICH</t>
        </is>
      </c>
      <c r="F238" s="98" t="inlineStr">
        <is>
          <t xml:space="preserve">998912080108 QIZI, 998940740752 SMS O’ZI, 998949202737 QIZI 2, 998997546688 NABIRASI,</t>
        </is>
      </c>
      <c r="G238" s="98" t="inlineStr">
        <is>
          <t xml:space="preserve">FARG’ONA VILOYATI BUVAYDA TUMANI POSHSHOPIRIM MFY MUSTAQILLIK KO’CHASI 72-UY</t>
        </is>
      </c>
      <c r="H238" s="99">
        <v>8.0</v>
      </c>
      <c r="I238" s="99">
        <v>3096436.98</v>
      </c>
      <c r="K238" s="98" t="inlineStr">
        <is>
          <t xml:space="preserve">Va'da berdi | 20KUNI NABIRASI KELADI EKAN KELISHI BILAN YOPIB BERADI EKAN | 1041562.26</t>
        </is>
      </c>
    </row>
    <row r="239">
      <c r="A239" s="98" t="inlineStr">
        <is>
          <t xml:space="preserve">ФАРГОНА ВИЛОЯТИ</t>
        </is>
      </c>
      <c r="C239" s="98" t="inlineStr">
        <is>
          <t xml:space="preserve">Обещал</t>
        </is>
      </c>
      <c r="D239" s="98" t="inlineStr">
        <is>
          <t xml:space="preserve">Кр-99049204-1</t>
        </is>
      </c>
      <c r="E239" s="98" t="inlineStr">
        <is>
          <t xml:space="preserve">ISROILOVA NABIRAXON YUSUPJON QIZI</t>
        </is>
      </c>
      <c r="F239" s="98" t="inlineStr">
        <is>
          <t xml:space="preserve">998913970794 uzi, 998904068676 opasi, 998332042003 eri, 998903630794 ozi new,</t>
        </is>
      </c>
      <c r="G239" s="98" t="inlineStr">
        <is>
          <t xml:space="preserve">FARG’ONA VILOYATI QUVA TUMANI DEXQONOBOD MFY SHO’RMAXALLA KO’CHASI 268-UY</t>
        </is>
      </c>
      <c r="H239" s="99">
        <v>8.0</v>
      </c>
      <c r="I239" s="99">
        <v>2839125.77</v>
      </c>
      <c r="K239" s="98" t="inlineStr">
        <is>
          <t xml:space="preserve">Va'da berdi | 20CHIGA PULIM KELADI EKAN KELISHI BILAN TOLAB QOYAMAN DEDI | 937429.73</t>
        </is>
      </c>
    </row>
    <row r="240">
      <c r="A240" s="98" t="inlineStr">
        <is>
          <t xml:space="preserve">ФАРГОНА ВИЛОЯТИ</t>
        </is>
      </c>
      <c r="C240" s="98" t="inlineStr">
        <is>
          <t xml:space="preserve">Обещал</t>
        </is>
      </c>
      <c r="D240" s="98" t="inlineStr">
        <is>
          <t xml:space="preserve">Кр-99033385-2</t>
        </is>
      </c>
      <c r="E240" s="98" t="inlineStr">
        <is>
          <t xml:space="preserve">TOSHTEMIROV ULUG’JON NEMATJONOVICH</t>
        </is>
      </c>
      <c r="F240" s="98" t="inlineStr">
        <is>
          <t xml:space="preserve">998773017761 SMS O’ZI, 998907862235 SMS AYOLI, 998773072180 SMS O’G’LI, 998916537761 SMS AKASI, 998910429049 кизи,</t>
        </is>
      </c>
      <c r="G240" s="98" t="inlineStr">
        <is>
          <t xml:space="preserve">FARG'ONA VILOYATI FARG'ONA SHAXAR XO'JAMAG'IZ MFY ULUG'VOR KO'CHASI 528-UY</t>
        </is>
      </c>
      <c r="H240" s="99">
        <v>11.0</v>
      </c>
      <c r="I240" s="99">
        <v>2719125.3</v>
      </c>
      <c r="K240" s="98" t="inlineStr">
        <is>
          <t xml:space="preserve">Va'da berdi | ABETGACHA  TOLAB QOYADI EKAN QOLIDA DOLIR EKAN KECHQURUN 9,10NLARGA KASASINI YIGISHTIRIB TOLAB QOYADI EKAN | 1608932.34</t>
        </is>
      </c>
    </row>
    <row r="241">
      <c r="A241" s="98" t="inlineStr">
        <is>
          <t xml:space="preserve">ФАРГОНА ВИЛОЯТИ</t>
        </is>
      </c>
      <c r="C241" s="98" t="inlineStr">
        <is>
          <t xml:space="preserve">Обещал</t>
        </is>
      </c>
      <c r="D241" s="98" t="inlineStr">
        <is>
          <t xml:space="preserve">Кр-99040038-1</t>
        </is>
      </c>
      <c r="E241" s="98" t="inlineStr">
        <is>
          <t xml:space="preserve">KARIMOV TEMURBEK TURSUNALI O’G’LI</t>
        </is>
      </c>
      <c r="F241" s="98" t="inlineStr">
        <is>
          <t xml:space="preserve">998939833343 SMS OZI, 998916564748 SMS ONASI, 998330310616 SMS OPASI, 998319363322 SMS OPASI 2,</t>
        </is>
      </c>
      <c r="G241" s="98" t="inlineStr">
        <is>
          <t xml:space="preserve">FARG’ONA VILOYATI FARG’ONA SHAHAR 9-FARG’ONA MFY M-SHAYXZODA 38-XONADON</t>
        </is>
      </c>
      <c r="H241" s="99">
        <v>12.0</v>
      </c>
      <c r="I241" s="99">
        <v>2553496.29</v>
      </c>
      <c r="K241" s="98" t="inlineStr">
        <is>
          <t xml:space="preserve">Va'da berdi | ANOR BAKDA ISHLAYDI XAR OY OYNI OXIRIDA TOLAYDI EKAN | 941886.02</t>
        </is>
      </c>
    </row>
    <row r="242">
      <c r="A242" s="98" t="inlineStr">
        <is>
          <t xml:space="preserve">ФАРГОНА ВИЛОЯТИ</t>
        </is>
      </c>
      <c r="C242" s="98" t="inlineStr">
        <is>
          <t xml:space="preserve">Обещал</t>
        </is>
      </c>
      <c r="D242" s="98" t="inlineStr">
        <is>
          <t xml:space="preserve">Кр-99060349-2</t>
        </is>
      </c>
      <c r="E242" s="98" t="inlineStr">
        <is>
          <t xml:space="preserve">ISMOILOV BAHROMJON AXROR O’G’LI</t>
        </is>
      </c>
      <c r="F242" s="98" t="inlineStr">
        <is>
          <t xml:space="preserve">998999990044 узи,</t>
        </is>
      </c>
      <c r="G242" s="98" t="inlineStr">
        <is>
          <t xml:space="preserve">IIV 60010</t>
        </is>
      </c>
      <c r="H242" s="99">
        <v>8.0</v>
      </c>
      <c r="I242" s="99">
        <v>2544082.47</v>
      </c>
      <c r="K242" s="98" t="inlineStr">
        <is>
          <t xml:space="preserve">Va'da berdi | 1230490.19</t>
        </is>
      </c>
    </row>
    <row r="243">
      <c r="A243" s="98" t="inlineStr">
        <is>
          <t xml:space="preserve">ФАРГОНА ВИЛОЯТИ</t>
        </is>
      </c>
      <c r="C243" s="98" t="inlineStr">
        <is>
          <t xml:space="preserve">Обещал</t>
        </is>
      </c>
      <c r="D243" s="98" t="inlineStr">
        <is>
          <t xml:space="preserve">Кр-99063550-2</t>
        </is>
      </c>
      <c r="E243" s="98" t="inlineStr">
        <is>
          <t xml:space="preserve">HAJIYEVA IQBOLXON RAIMBERGANOVNA</t>
        </is>
      </c>
      <c r="F243" s="98" t="inlineStr">
        <is>
          <t xml:space="preserve">+998916740111 SMS O’ZI, 998905320111 ERI, 998911116755 QIZI, 998911310828 O’G’LI,</t>
        </is>
      </c>
      <c r="G243" s="98" t="inlineStr">
        <is>
          <t xml:space="preserve">FARG’ONA VILOYATI FARG’ONA SHAHAR A-JOMIY MFY A-JOMIY KO’CHASI 9-UY 11-XONADON</t>
        </is>
      </c>
      <c r="H243" s="99">
        <v>8.0</v>
      </c>
      <c r="I243" s="99">
        <v>2529304.0</v>
      </c>
      <c r="K243" s="98" t="inlineStr">
        <is>
          <t xml:space="preserve">Va'da berdi | BAKDA EKAN 5LARGA QAYTA ALOQA KIRIDITI CHIQIB QOLSA POLI PAGASHENA QILIB YUNBORADI EKAN | 1045546.95</t>
        </is>
      </c>
    </row>
    <row r="244">
      <c r="A244" s="98" t="inlineStr">
        <is>
          <t xml:space="preserve">ФАРГОНА ВИЛОЯТИ</t>
        </is>
      </c>
      <c r="C244" s="98" t="inlineStr">
        <is>
          <t xml:space="preserve">Обещал</t>
        </is>
      </c>
      <c r="D244" s="98" t="inlineStr">
        <is>
          <t xml:space="preserve">Кр-99034448-2</t>
        </is>
      </c>
      <c r="E244" s="98" t="inlineStr">
        <is>
          <t xml:space="preserve">ASHIROVA MIRA ABBASOVNA</t>
        </is>
      </c>
      <c r="F244" s="98" t="inlineStr">
        <is>
          <t xml:space="preserve">998916509967 SMS O’ZI, 998901621373 SMS O’G’LI, 998907844322 SMS O’G’LI, 998939773993 SMS JIYANI BEGONA,</t>
        </is>
      </c>
      <c r="G244" s="98" t="inlineStr">
        <is>
          <t xml:space="preserve">FARG’ONA VILOYATI FARG’ONA SHAHAR M.ULUG’BEK MFY AXMAD YASSAVIY 50-UY 11-XONADON</t>
        </is>
      </c>
      <c r="H244" s="99">
        <v>8.0</v>
      </c>
      <c r="I244" s="99">
        <v>2505334.45</v>
      </c>
      <c r="K244" s="98" t="inlineStr">
        <is>
          <t xml:space="preserve">Va'da berdi | UYIDA ISHLAYDI EKAN PULI YETMAYABDI EKAN JUMA KUNI TOLAB QOYADI EKAN | 909071.89</t>
        </is>
      </c>
    </row>
    <row r="245">
      <c r="A245" s="98" t="inlineStr">
        <is>
          <t xml:space="preserve">ФАРГОНА ВИЛОЯТИ</t>
        </is>
      </c>
      <c r="C245" s="98" t="inlineStr">
        <is>
          <t xml:space="preserve">Обещал</t>
        </is>
      </c>
      <c r="D245" s="98" t="inlineStr">
        <is>
          <t xml:space="preserve">Кр-99058893-1</t>
        </is>
      </c>
      <c r="E245" s="98" t="inlineStr">
        <is>
          <t xml:space="preserve">RAXMATOV MUXAMMADAZIMJON AXMADJON O’G’LI</t>
        </is>
      </c>
      <c r="F245" s="98" t="inlineStr">
        <is>
          <t xml:space="preserve">998911090005 узи, 998918820808 узи2, 998779700809 уй,</t>
        </is>
      </c>
      <c r="G245" s="98" t="inlineStr">
        <is>
          <t xml:space="preserve">FARG’ONA VILOYATI MARG’ILON SHAXRI YANGI HAYOT MFY S.OLLOYOR KUCHASI 260-UY</t>
        </is>
      </c>
      <c r="H245" s="99">
        <v>8.0</v>
      </c>
      <c r="I245" s="99">
        <v>2236698.73</v>
      </c>
      <c r="K245" s="98" t="inlineStr">
        <is>
          <t xml:space="preserve">Va'da berdi | 5 LARGA QAYTA ALOQA TOLOV QILADI EKAN | 1457275.73</t>
        </is>
      </c>
    </row>
    <row r="246">
      <c r="A246" s="98" t="inlineStr">
        <is>
          <t xml:space="preserve">ФАРГОНА ВИЛОЯТИ</t>
        </is>
      </c>
      <c r="C246" s="98" t="inlineStr">
        <is>
          <t xml:space="preserve">Обещал</t>
        </is>
      </c>
      <c r="D246" s="98" t="inlineStr">
        <is>
          <t xml:space="preserve">Кр-99062924-1</t>
        </is>
      </c>
      <c r="E246" s="98" t="inlineStr">
        <is>
          <t xml:space="preserve">BOBOYEV MUSINJON ABDILLAYEVICH</t>
        </is>
      </c>
      <c r="F246" s="98" t="inlineStr">
        <is>
          <t xml:space="preserve">+998902741096 SMS O’ZI, 998908373666 KELINI, 998916716616 O’G’LI 2, 998949021511 O’G’LI,</t>
        </is>
      </c>
      <c r="G246" s="98" t="inlineStr">
        <is>
          <t xml:space="preserve">FARG’ONA VILOYATI YOZYOVON TUMANI QOTORTOL MFY AHMAD KO’CHASI 72-UY</t>
        </is>
      </c>
      <c r="H246" s="99">
        <v>8.0</v>
      </c>
      <c r="I246" s="99">
        <v>2153319.56</v>
      </c>
      <c r="K246" s="98" t="inlineStr">
        <is>
          <t xml:space="preserve">Va'da berdi | JUMAKUNI  KECHGACHA TOLAB QOYADI EKAN ISHLAYTGAN JOYI PUL BERADI EKAN | 646192.61</t>
        </is>
      </c>
    </row>
    <row r="247">
      <c r="A247" s="98" t="inlineStr">
        <is>
          <t xml:space="preserve">ФАРГОНА ВИЛОЯТИ</t>
        </is>
      </c>
      <c r="C247" s="98" t="inlineStr">
        <is>
          <t xml:space="preserve">Обещал</t>
        </is>
      </c>
      <c r="D247" s="98" t="inlineStr">
        <is>
          <t xml:space="preserve">Кр-99036269-2</t>
        </is>
      </c>
      <c r="E247" s="98" t="inlineStr">
        <is>
          <t xml:space="preserve">TASHPULATOV AVAZJON AKRAMOVICH</t>
        </is>
      </c>
      <c r="F247" s="98" t="inlineStr">
        <is>
          <t xml:space="preserve">998911256909 SMS OZI, 998916797220 SMS OTASI, 998901792328 SMS AYOLI TOLOVCHI , 998911296260 SMS ONASI, +998911256909 Primary phone from road24,</t>
        </is>
      </c>
      <c r="G247" s="98" t="inlineStr">
        <is>
          <t xml:space="preserve">FARG’ONA VILOYATI TOSHLOQ TUMANI FURKAT MFY HUNARMANTLAR KO’CHASI 26-XONADON</t>
        </is>
      </c>
      <c r="H247" s="99">
        <v>8.0</v>
      </c>
      <c r="I247" s="99">
        <v>2152613.89</v>
      </c>
      <c r="K247" s="98" t="inlineStr">
        <is>
          <t xml:space="preserve">Va'da berdi | ERI RASIYADA PUL JONATISHI KERAK EKAN BUGUN ISHINI BOLIB BUGUN YOKI ERTAGA PUL CHIQARADI EKAN CHIQARISHI BILAN TOLAB QOYAMAN DEDI | 837717.91</t>
        </is>
      </c>
    </row>
    <row r="248">
      <c r="A248" s="98" t="inlineStr">
        <is>
          <t xml:space="preserve">ФАРГОНА ВИЛОЯТИ</t>
        </is>
      </c>
      <c r="C248" s="98" t="inlineStr">
        <is>
          <t xml:space="preserve">Обещал</t>
        </is>
      </c>
      <c r="D248" s="98" t="inlineStr">
        <is>
          <t xml:space="preserve">Кр-99036269-1</t>
        </is>
      </c>
      <c r="E248" s="98" t="inlineStr">
        <is>
          <t xml:space="preserve">TASHPULATOV AVAZJON AKRAMOVICH</t>
        </is>
      </c>
      <c r="F248" s="98" t="inlineStr">
        <is>
          <t xml:space="preserve">998911256909 SMS OZI, 998916797220 SMS OTASI, 998901792328 SMS AYOLI TOLOVCHI , 998911296260 SMS ONASI, +998911256909 Primary phone from road24,</t>
        </is>
      </c>
      <c r="G248" s="98" t="inlineStr">
        <is>
          <t xml:space="preserve">FARG’ONA VILOYATI TOSHLOQ TUMANI FURKAT MFY HUNARMANTLAR KO’CHASI 26-XONADON</t>
        </is>
      </c>
      <c r="I248" s="99">
        <v>2140681.13</v>
      </c>
      <c r="K248" s="98" t="inlineStr">
        <is>
          <t xml:space="preserve">Va'da berdi | ERI RASIYADA PUL JONATISHI KERAK EKAN BUGUN ISHINI BOLIB BUGUN YOKI ERTAGA PUL CHIQARADI EKAN CHIQARISHI BILAN TOLAB QOYAMAN DEDI | 0</t>
        </is>
      </c>
    </row>
    <row r="249">
      <c r="A249" s="98" t="inlineStr">
        <is>
          <t xml:space="preserve">ФАРГОНА ВИЛОЯТИ</t>
        </is>
      </c>
      <c r="C249" s="98" t="inlineStr">
        <is>
          <t xml:space="preserve">Обещал</t>
        </is>
      </c>
      <c r="D249" s="98" t="inlineStr">
        <is>
          <t xml:space="preserve">Кр-99034447-1</t>
        </is>
      </c>
      <c r="E249" s="98" t="inlineStr">
        <is>
          <t xml:space="preserve">NO’MONOV NIZOMBEK NE’MATULLO O’G’LI</t>
        </is>
      </c>
      <c r="F249" s="98" t="inlineStr">
        <is>
          <t xml:space="preserve">998916665626 SMS O’ZI, 998772805626 SMS AKASI, 998916765958 SMS UKASI, 998939763939 SMS SHERIGI, 998999855218 SMS new ozi , 998911274848 SMS OZI YENGI NOMERI ,</t>
        </is>
      </c>
      <c r="G249" s="98" t="inlineStr">
        <is>
          <t xml:space="preserve">FARG’ONA VILOYATI MARG’ILON SHAXAR NAVRUZ MFY ILXOM KO’CHASI 14-XONADON</t>
        </is>
      </c>
      <c r="H249" s="99">
        <v>1.0</v>
      </c>
      <c r="I249" s="99">
        <v>2033683.35</v>
      </c>
      <c r="K249" s="98" t="inlineStr">
        <is>
          <t xml:space="preserve">Va'da berdi | HARAMI USBET QILSAM BUGUN BOMASA ERTAGA TOLAB QOYAMAN DEYABDI | 1212000</t>
        </is>
      </c>
    </row>
    <row r="250">
      <c r="A250" s="98" t="inlineStr">
        <is>
          <t xml:space="preserve">ФАРГОНА ВИЛОЯТИ</t>
        </is>
      </c>
      <c r="C250" s="98" t="inlineStr">
        <is>
          <t xml:space="preserve">Обещал</t>
        </is>
      </c>
      <c r="D250" s="98" t="inlineStr">
        <is>
          <t xml:space="preserve">Кр-99049204-2</t>
        </is>
      </c>
      <c r="E250" s="98" t="inlineStr">
        <is>
          <t xml:space="preserve">ISROILOVA NABIRAXON YUSUPJON QIZI</t>
        </is>
      </c>
      <c r="F250" s="98" t="inlineStr">
        <is>
          <t xml:space="preserve">998913970794 uzi, 998904068676 opasi, 998332042003 eri, 998903630794 ozi new,</t>
        </is>
      </c>
      <c r="G250" s="98" t="inlineStr">
        <is>
          <t xml:space="preserve">FARG’ONA VILOYATI QUVA TUMANI DEXQONOBOD MFY SHO’RMAXALLA KO’CHASI 268-UY</t>
        </is>
      </c>
      <c r="H250" s="99">
        <v>8.0</v>
      </c>
      <c r="I250" s="99">
        <v>1992991.18</v>
      </c>
      <c r="K250" s="98" t="inlineStr">
        <is>
          <t xml:space="preserve">Va'da berdi | 20CHIGA PULIM KELADI EKAN KELISHI BILAN TOLAB QOYAMAN DEDI | 757575.56</t>
        </is>
      </c>
    </row>
    <row r="251">
      <c r="A251" s="98" t="inlineStr">
        <is>
          <t xml:space="preserve">ФАРГОНА ВИЛОЯТИ</t>
        </is>
      </c>
      <c r="C251" s="98" t="inlineStr">
        <is>
          <t xml:space="preserve">Обещал</t>
        </is>
      </c>
      <c r="D251" s="98" t="inlineStr">
        <is>
          <t xml:space="preserve">Кр-99042708-1</t>
        </is>
      </c>
      <c r="E251" s="98" t="inlineStr">
        <is>
          <t xml:space="preserve">ABDIRAXMANOV ABDIRAXIM XO’JAMOVICH</t>
        </is>
      </c>
      <c r="F251" s="98" t="inlineStr">
        <is>
          <t xml:space="preserve">+998911401560 SMS O’ZI, 998903615861 O’G’LI, 998930451331 KELINI, 998949710065 AYOLI,</t>
        </is>
      </c>
      <c r="G251" s="98" t="inlineStr">
        <is>
          <t xml:space="preserve">FARG’ONA VILOYATI BUVAYDA TUMANI OQQO’RG’N MFY ARCHAZOR KO’CHASI 7-UY</t>
        </is>
      </c>
      <c r="H251" s="99">
        <v>8.0</v>
      </c>
      <c r="I251" s="99">
        <v>1869282.32</v>
      </c>
      <c r="K251" s="98" t="inlineStr">
        <is>
          <t xml:space="preserve">Va'da berdi | ERTAGA  EBETLARGA QAYTA ALOQA TOLOV QILADI | 786437.67</t>
        </is>
      </c>
    </row>
    <row r="252">
      <c r="A252" s="98" t="inlineStr">
        <is>
          <t xml:space="preserve">ФАРГОНА ВИЛОЯТИ</t>
        </is>
      </c>
      <c r="C252" s="98" t="inlineStr">
        <is>
          <t xml:space="preserve">Обещал</t>
        </is>
      </c>
      <c r="D252" s="98" t="inlineStr">
        <is>
          <t xml:space="preserve">Кр-99063815-1</t>
        </is>
      </c>
      <c r="E252" s="98" t="inlineStr">
        <is>
          <t xml:space="preserve">O’RINXO’JAYEV SHERXON URAYIMJON O’G’LI</t>
        </is>
      </c>
      <c r="G252" s="98" t="inlineStr">
        <is>
          <t xml:space="preserve">BERUNIY MFY</t>
        </is>
      </c>
      <c r="H252" s="99">
        <v>8.0</v>
      </c>
      <c r="I252" s="99">
        <v>1861628.38</v>
      </c>
      <c r="K252" s="98" t="inlineStr">
        <is>
          <t xml:space="preserve">Va'da berdi | AYOLI BILAN GAPLASHILDI OZLARI QIRGIZISTONDA EKAN TELAGRAMDAN CHIQILADI | 756083.61</t>
        </is>
      </c>
    </row>
    <row r="253">
      <c r="A253" s="98" t="inlineStr">
        <is>
          <t xml:space="preserve">ФАРГОНА ВИЛОЯТИ</t>
        </is>
      </c>
      <c r="C253" s="98" t="inlineStr">
        <is>
          <t xml:space="preserve">Обещал</t>
        </is>
      </c>
      <c r="D253" s="98" t="inlineStr">
        <is>
          <t xml:space="preserve">Кр-99032078-3</t>
        </is>
      </c>
      <c r="E253" s="98" t="inlineStr">
        <is>
          <t xml:space="preserve">ABDULLAJONOV XOJIAKBAR OBIDJON O’G’LI</t>
        </is>
      </c>
      <c r="F253" s="98" t="inlineStr">
        <is>
          <t xml:space="preserve">998949997060 SMS O’ZI axrana bolib ishlid , 998947097060 SMS AYOLI, 998948129222 SMS AKASI, 998959709293 SMS KELINI, 998507138440 OZI NEW ,</t>
        </is>
      </c>
      <c r="G253" s="98" t="inlineStr">
        <is>
          <t xml:space="preserve">FARG’ONA VILOYATI FARG’ONA TUMANI MINDONOBOD MFY MADADKOR KO’CHASI 13-XONADON</t>
        </is>
      </c>
      <c r="H253" s="99">
        <v>8.0</v>
      </c>
      <c r="I253" s="99">
        <v>1797817.76</v>
      </c>
      <c r="K253" s="98" t="inlineStr">
        <is>
          <t xml:space="preserve">Va'da berdi | KUNI 170MIGA ISHLAYDI HARKUNI TOPKANINI TOLAYDI KILIKDAN | 1296416.31</t>
        </is>
      </c>
    </row>
    <row r="254">
      <c r="A254" s="98" t="inlineStr">
        <is>
          <t xml:space="preserve">ФАРГОНА ВИЛОЯТИ</t>
        </is>
      </c>
      <c r="C254" s="98" t="inlineStr">
        <is>
          <t xml:space="preserve">Обещал</t>
        </is>
      </c>
      <c r="D254" s="98" t="inlineStr">
        <is>
          <t xml:space="preserve">Кр-99035151-1</t>
        </is>
      </c>
      <c r="E254" s="98" t="inlineStr">
        <is>
          <t xml:space="preserve">NORMATOV ASILBEK SHUXRAT O’G’LI</t>
        </is>
      </c>
      <c r="F254" s="98" t="inlineStr">
        <is>
          <t xml:space="preserve">998507746919 SMS O’ZI, 998941682299 SMS ZALOGADETOL, 998991074040 SMS SHERIGI, 998972442020 SMS UKASI,</t>
        </is>
      </c>
      <c r="G254" s="98" t="inlineStr">
        <is>
          <t xml:space="preserve">FARG’ONA VILOYATI QUVA TUMANI O’ROQVOSHI MFY XAMDUSTLIK KO’CHASI 59-XONADON</t>
        </is>
      </c>
      <c r="H254" s="99">
        <v>6.0</v>
      </c>
      <c r="I254" s="99">
        <v>1665613.07</v>
      </c>
      <c r="K254" s="98" t="inlineStr">
        <is>
          <t xml:space="preserve">Va'da berdi | CHORSHANBA KUNI KECHGACHA POLI YOPADI EKAN PULI KELMAY QOLIBDI | 1510770.58</t>
        </is>
      </c>
    </row>
    <row r="255">
      <c r="A255" s="98" t="inlineStr">
        <is>
          <t xml:space="preserve">ФАРГОНА ВИЛОЯТИ</t>
        </is>
      </c>
      <c r="C255" s="98" t="inlineStr">
        <is>
          <t xml:space="preserve">Обещал</t>
        </is>
      </c>
      <c r="D255" s="98" t="inlineStr">
        <is>
          <t xml:space="preserve">Кр-99030462-1</t>
        </is>
      </c>
      <c r="E255" s="98" t="inlineStr">
        <is>
          <t xml:space="preserve">YIGITALIYEV TO’LQIN ERKINJONOVICH</t>
        </is>
      </c>
      <c r="F255" s="98" t="inlineStr">
        <is>
          <t xml:space="preserve">93-979-38-07 SMS  O'ZI, 93-973-50-05 SMS  UKASI, 93-535-84-40 SMS DADASI, 94-205-31-01  SMS AYOLI, 998932068870 sms ozi new, 998958784224 OZI NEW,</t>
        </is>
      </c>
      <c r="G255" s="98" t="inlineStr">
        <is>
          <t xml:space="preserve">FARG’ONA VILOYATI FARG’ONA TUMANI LANGAR MFY, TEPALIK KO’CHASI 55-UY</t>
        </is>
      </c>
      <c r="H255" s="99">
        <v>8.0</v>
      </c>
      <c r="I255" s="99">
        <v>1519463.61</v>
      </c>
      <c r="K255" s="98" t="inlineStr">
        <is>
          <t xml:space="preserve">Va'da berdi | HARAKATAMAN TOPISHIM BILAN TOLAB QOYAMAN DEYABDI | 909000</t>
        </is>
      </c>
    </row>
    <row r="256">
      <c r="A256" s="98" t="inlineStr">
        <is>
          <t xml:space="preserve">ФАРГОНА ВИЛОЯТИ</t>
        </is>
      </c>
      <c r="C256" s="98" t="inlineStr">
        <is>
          <t xml:space="preserve">Обещал</t>
        </is>
      </c>
      <c r="D256" s="98" t="inlineStr">
        <is>
          <t xml:space="preserve">Кр-99021043-3</t>
        </is>
      </c>
      <c r="E256" s="98" t="inlineStr">
        <is>
          <t xml:space="preserve">DJUMABAYEVA DILBARXON YIGITALIYEVNA</t>
        </is>
      </c>
      <c r="F256" s="98" t="inlineStr">
        <is>
          <t xml:space="preserve">99-615-34-49 SMS OZI , 99-604-38-93 SMS O'G'LI, 99-993-59-69 SMS O'G'LI 2, 91-119-68-11 SMS ERI , 998932544577 tolovchi ,</t>
        </is>
      </c>
      <c r="G256" s="98" t="inlineStr">
        <is>
          <t xml:space="preserve">FARG’ONA VILOYATI FARG’ONA TUMANI MINDONOBOD MFY O’ZBEKISTON OVOZI 133-XONADON</t>
        </is>
      </c>
      <c r="H256" s="99">
        <v>8.0</v>
      </c>
      <c r="I256" s="99">
        <v>1471708.75</v>
      </c>
      <c r="K256" s="98" t="inlineStr">
        <is>
          <t xml:space="preserve">Va'da berdi | 15 AVANSI TUSHADI EKAN BIRKUN ZADESHKASI BILAN 16KUNI KECHGACHA VADA QILAYABDI | 605581.96</t>
        </is>
      </c>
    </row>
    <row r="257">
      <c r="A257" s="98" t="inlineStr">
        <is>
          <t xml:space="preserve">ФАРГОНА ВИЛОЯТИ</t>
        </is>
      </c>
      <c r="C257" s="98" t="inlineStr">
        <is>
          <t xml:space="preserve">Обещал</t>
        </is>
      </c>
      <c r="D257" s="98" t="inlineStr">
        <is>
          <t xml:space="preserve">Кр-99030462-3</t>
        </is>
      </c>
      <c r="E257" s="98" t="inlineStr">
        <is>
          <t xml:space="preserve">YIGITALIYEV TO’LQIN ERKINJONOVICH</t>
        </is>
      </c>
      <c r="F257" s="98" t="inlineStr">
        <is>
          <t xml:space="preserve">93-979-38-07 SMS  O'ZI, 93-973-50-05 SMS  UKASI, 93-535-84-40 SMS DADASI, 94-205-31-01  SMS AYOLI, 998932068870 sms ozi new, 998958784224 OZI NEW,</t>
        </is>
      </c>
      <c r="G257" s="98" t="inlineStr">
        <is>
          <t xml:space="preserve">FARG’ONA VILOYATI FARG’ONA TUMANI LANGAR MFY, TEPALIK KO’CHASI 55-UY</t>
        </is>
      </c>
      <c r="H257" s="99">
        <v>8.0</v>
      </c>
      <c r="I257" s="99">
        <v>1313000.72</v>
      </c>
      <c r="K257" s="98" t="inlineStr">
        <is>
          <t xml:space="preserve">Va'da berdi | HARAKATAMAN TOPISHIM BILAN TOLAB QOYAMAN DEYABDI | 497637.9</t>
        </is>
      </c>
    </row>
    <row r="258">
      <c r="A258" s="98" t="inlineStr">
        <is>
          <t xml:space="preserve">ФАРГОНА ВИЛОЯТИ</t>
        </is>
      </c>
      <c r="C258" s="98" t="inlineStr">
        <is>
          <t xml:space="preserve">Обещал</t>
        </is>
      </c>
      <c r="D258" s="98" t="inlineStr">
        <is>
          <t xml:space="preserve">Кр-99030672-1</t>
        </is>
      </c>
      <c r="E258" s="98" t="inlineStr">
        <is>
          <t xml:space="preserve">ABDULLAYEV G’AYRATJON G’OLIB O’G’LI</t>
        </is>
      </c>
      <c r="F258" s="98" t="inlineStr">
        <is>
          <t xml:space="preserve">94-130-65-14  SMS O'ZI, 91-114-54-03  SMS XOLASI TULOVCHI, 93-736-18-38  SMS DADASI, 77-254-78-78  SMS TOG’ASI,</t>
        </is>
      </c>
      <c r="G258" s="98" t="inlineStr">
        <is>
          <t xml:space="preserve">FARG’ONA VILOYATI FARG’ONA SHAHAR MADATKOR MFY, YANGI SOY KO’CHASI 53A XONADON</t>
        </is>
      </c>
      <c r="H258" s="99">
        <v>1.0</v>
      </c>
      <c r="I258" s="99">
        <v>1231181.2</v>
      </c>
      <c r="K258" s="98" t="inlineStr">
        <is>
          <t xml:space="preserve">Va'da berdi | PALIKINIKADA EKAN CHIQAY QAYTARIB YUBORAMAN DEDI | 758000</t>
        </is>
      </c>
    </row>
    <row r="259">
      <c r="A259" s="98" t="inlineStr">
        <is>
          <t xml:space="preserve">ФАРГОНА ВИЛОЯТИ</t>
        </is>
      </c>
      <c r="C259" s="98" t="inlineStr">
        <is>
          <t xml:space="preserve">Обещал</t>
        </is>
      </c>
      <c r="D259" s="98" t="inlineStr">
        <is>
          <t xml:space="preserve">Кр-99062957-2</t>
        </is>
      </c>
      <c r="E259" s="98" t="inlineStr">
        <is>
          <t xml:space="preserve">ASHUROVA LOLAXON SOBIROVNA</t>
        </is>
      </c>
      <c r="F259" s="98" t="inlineStr">
        <is>
          <t xml:space="preserve">+998996427161 SMS O’ZI, 998908350007 QIZI, 998939881893 KELINI, 998947869896 O’ZI 2,</t>
        </is>
      </c>
      <c r="G259" s="98" t="inlineStr">
        <is>
          <t xml:space="preserve">FARG’ONA VILOYATI FARG’ONA SHAHAR ABDULLA QODIRIY MFY ABDULLA QODIRIY KO’CHASI 78-UY 1-XONADON</t>
        </is>
      </c>
      <c r="H259" s="99">
        <v>11.0</v>
      </c>
      <c r="I259" s="99">
        <v>1206047.28</v>
      </c>
      <c r="K259" s="98" t="inlineStr">
        <is>
          <t xml:space="preserve">Va'da berdi | QIZI TOLOVCHI BUGUN TOLAYDI  DEDI OZI | 373586.38</t>
        </is>
      </c>
    </row>
    <row r="260">
      <c r="A260" s="98" t="inlineStr">
        <is>
          <t xml:space="preserve">ФАРГОНА ВИЛОЯТИ</t>
        </is>
      </c>
      <c r="C260" s="98" t="inlineStr">
        <is>
          <t xml:space="preserve">Обещал</t>
        </is>
      </c>
      <c r="D260" s="98" t="inlineStr">
        <is>
          <t xml:space="preserve">Кр-99032078-4</t>
        </is>
      </c>
      <c r="E260" s="98" t="inlineStr">
        <is>
          <t xml:space="preserve">ABDULLAJONOV XOJIAKBAR OBIDJON O’G’LI</t>
        </is>
      </c>
      <c r="F260" s="98" t="inlineStr">
        <is>
          <t xml:space="preserve">998949997060 SMS O’ZI axrana bolib ishlid , 998947097060 SMS AYOLI, 998948129222 SMS AKASI, 998959709293 SMS KELINI, 998507138440 OZI NEW ,</t>
        </is>
      </c>
      <c r="G260" s="98" t="inlineStr">
        <is>
          <t xml:space="preserve">FARG’ONA VILOYATI FARG’ONA TUMANI MINDONOBOD MFY MADADKOR KO’CHASI 13-XONADON</t>
        </is>
      </c>
      <c r="H260" s="99">
        <v>8.0</v>
      </c>
      <c r="I260" s="99">
        <v>1180652.04</v>
      </c>
      <c r="K260" s="98" t="inlineStr">
        <is>
          <t xml:space="preserve">Va'da berdi | KUNI 170MIGA ISHLAYDI HARKUNI TOPKANINI TOLAYDI KILIKDAN | 656391.62</t>
        </is>
      </c>
    </row>
    <row r="261">
      <c r="A261" s="98" t="inlineStr">
        <is>
          <t xml:space="preserve">ФАРГОНА ВИЛОЯТИ</t>
        </is>
      </c>
      <c r="C261" s="98" t="inlineStr">
        <is>
          <t xml:space="preserve">Обещал</t>
        </is>
      </c>
      <c r="D261" s="98" t="inlineStr">
        <is>
          <t xml:space="preserve">Кр-99062910-2</t>
        </is>
      </c>
      <c r="E261" s="98" t="inlineStr">
        <is>
          <t xml:space="preserve">USMANOV TULKUN TOLIPOVICH</t>
        </is>
      </c>
      <c r="F261" s="98" t="inlineStr">
        <is>
          <t xml:space="preserve">998900409693 O’G’LI, 998902725478 JIYANI, 998916813005 SMS O’ZI, 998998090602 O’G’LI,</t>
        </is>
      </c>
      <c r="G261" s="98" t="inlineStr">
        <is>
          <t xml:space="preserve">FARG’ONA VILOYATI QO’SHTEPA TUMANI BALANDMASJID MFY NAVRO’Z KO’CHASI 454-UY</t>
        </is>
      </c>
      <c r="H261" s="99">
        <v>8.0</v>
      </c>
      <c r="I261" s="99">
        <v>776376.46</v>
      </c>
      <c r="K261" s="98" t="inlineStr">
        <is>
          <t xml:space="preserve">Va'da berdi | KECHROQA QAYTA ALOQA  ERTAGA ABETLARGA QAYTA ALOQA TOLOV QILADI EKAN | 234511.83</t>
        </is>
      </c>
    </row>
    <row r="262">
      <c r="A262" s="98" t="inlineStr">
        <is>
          <t xml:space="preserve">ФАРГОНА ВИЛОЯТИ</t>
        </is>
      </c>
      <c r="C262" s="98" t="inlineStr">
        <is>
          <t xml:space="preserve">Обещал</t>
        </is>
      </c>
      <c r="D262" s="98" t="inlineStr">
        <is>
          <t xml:space="preserve">Кр-99028710-3</t>
        </is>
      </c>
      <c r="E262" s="98" t="inlineStr">
        <is>
          <t xml:space="preserve">TOSHTANOV ULUGBEK ASHURALIYEVICH</t>
        </is>
      </c>
      <c r="F262" s="98" t="inlineStr">
        <is>
          <t xml:space="preserve">998887506611 SMS O’ZI, 998907823202 SMS O’G’LI, 998947929221 SMS UKASI, 998104722422 SMS O’G’LI,</t>
        </is>
      </c>
      <c r="G262" s="98" t="inlineStr">
        <is>
          <t xml:space="preserve">FARG’ONA VILOYATI QUVASOY SHAHAR PAKANA MFY YANGI ARIQ 205-XONADON</t>
        </is>
      </c>
      <c r="H262" s="99">
        <v>4.0</v>
      </c>
      <c r="I262" s="99">
        <v>729034.7</v>
      </c>
      <c r="K262" s="98" t="inlineStr">
        <is>
          <t xml:space="preserve">Va'da berdi | OGLIGA BERGAN NAQT HOZIR KILIK TOPIB TOLAB QOYADI EKAN 7 LARGA QAYTA ALOQA OGLI ISHDAN CHIQIB TOLAB QOYADI EKAN | 526634.84</t>
        </is>
      </c>
    </row>
    <row r="263">
      <c r="A263" s="98" t="inlineStr">
        <is>
          <t xml:space="preserve">ФАРГОНА ВИЛОЯТИ</t>
        </is>
      </c>
      <c r="C263" s="98" t="inlineStr">
        <is>
          <t xml:space="preserve">Обещал</t>
        </is>
      </c>
      <c r="D263" s="98" t="inlineStr">
        <is>
          <t xml:space="preserve">Кр-99033438-1</t>
        </is>
      </c>
      <c r="E263" s="98" t="inlineStr">
        <is>
          <t xml:space="preserve">TURDIMATOV SHERQO’ZI TURSINOVICH</t>
        </is>
      </c>
      <c r="F263" s="98" t="inlineStr">
        <is>
          <t xml:space="preserve">998903067862 SMS O’ZI, 998939634147 SMS TURMUSH O'RTOG'I, 998905889303 SMS KELNOYISI, 998943062882 SMS AKASI, 998903067862 SMS Tolvchi ozi ,</t>
        </is>
      </c>
      <c r="G263" s="98" t="inlineStr">
        <is>
          <t xml:space="preserve">FARG'ONA VILOYATI UCHKO'PRIK TUMANI SHEROBOD MFY 100- UY</t>
        </is>
      </c>
      <c r="H263" s="99">
        <v>4.0</v>
      </c>
      <c r="I263" s="99">
        <v>643085.68</v>
      </c>
      <c r="K263" s="98" t="inlineStr">
        <is>
          <t xml:space="preserve">Va'da berdi | AYOLI KOTARDI AYTAMAN TOLAYDI DEDI | 364363.73</t>
        </is>
      </c>
    </row>
    <row r="264">
      <c r="A264" s="100" t="inlineStr">
        <is>
          <t xml:space="preserve">ХОРАЗМ ВИЛОЯТИ</t>
        </is>
      </c>
      <c r="B264" s="100" t="inlineStr">
        <is>
          <t xml:space="preserve">BOSH OFIS</t>
        </is>
      </c>
      <c r="C264" s="100" t="inlineStr">
        <is>
          <t xml:space="preserve">Обещал</t>
        </is>
      </c>
      <c r="D264" s="100" t="inlineStr">
        <is>
          <t xml:space="preserve">Кр-99063153-1</t>
        </is>
      </c>
      <c r="E264" s="100" t="inlineStr">
        <is>
          <t xml:space="preserve">KALANDAROVA SANOBAR JUMABOYEVNA</t>
        </is>
      </c>
      <c r="F264" s="100" t="inlineStr">
        <is>
          <t xml:space="preserve">998946355502 SMS OZI, 998944016415 SMS ERI, 998931375502 SMS OGLI,</t>
        </is>
      </c>
      <c r="G264" s="100" t="inlineStr">
        <is>
          <t xml:space="preserve">FARG’ONA VILOYATI BOG’DOD TUMANI DASHT MFY ZULFIYA KO’CHASI 51-UY</t>
        </is>
      </c>
      <c r="H264" s="101">
        <v>11.0</v>
      </c>
      <c r="I264" s="101">
        <v>6889888.25</v>
      </c>
      <c r="K264" s="100" t="inlineStr">
        <is>
          <t xml:space="preserve">Va'da berdi | Fargonaga ketvotti tolov qilgani | 1721</t>
        </is>
      </c>
    </row>
    <row r="265">
      <c r="A265" s="100" t="inlineStr">
        <is>
          <t xml:space="preserve">ХОРАЗМ ВИЛОЯТИ</t>
        </is>
      </c>
      <c r="B265" s="100" t="inlineStr">
        <is>
          <t xml:space="preserve">BOSH OFIS</t>
        </is>
      </c>
      <c r="C265" s="100" t="inlineStr">
        <is>
          <t xml:space="preserve">Обещал</t>
        </is>
      </c>
      <c r="D265" s="100" t="inlineStr">
        <is>
          <t xml:space="preserve">Кр-99041015-2</t>
        </is>
      </c>
      <c r="E265" s="100" t="inlineStr">
        <is>
          <t xml:space="preserve">JUMANIYAZOVA YOQUTJON SHUXRAT QIZI</t>
        </is>
      </c>
      <c r="F265" s="100" t="inlineStr">
        <is>
          <t xml:space="preserve">+998951015544 SMS UZI, 998885146666 SMS ERI, 998999555544 SMS ERI,</t>
        </is>
      </c>
      <c r="G265" s="100" t="inlineStr">
        <is>
          <t xml:space="preserve">XORAZM VILOYATI URGANCH TUMANI QUMRABOD MFY PROEKTNAYA 181 MAVZESI 59-UY</t>
        </is>
      </c>
      <c r="H265" s="101">
        <v>12.0</v>
      </c>
      <c r="I265" s="101">
        <v>6829496.57</v>
      </c>
      <c r="K265" s="100" t="inlineStr">
        <is>
          <t xml:space="preserve">Va'da berdi | eri rassiyadan pul tashid | 1043</t>
        </is>
      </c>
    </row>
    <row r="266">
      <c r="A266" s="102" t="inlineStr">
        <is>
          <t xml:space="preserve">ХОРАЗМ ВИЛОЯТИ</t>
        </is>
      </c>
      <c r="B266" s="102" t="inlineStr">
        <is>
          <t xml:space="preserve">SUPER BRANCH</t>
        </is>
      </c>
      <c r="C266" s="102" t="inlineStr">
        <is>
          <t xml:space="preserve">Обещал</t>
        </is>
      </c>
      <c r="D266" s="102" t="inlineStr">
        <is>
          <t xml:space="preserve">Кр-99040398-2</t>
        </is>
      </c>
      <c r="E266" s="102" t="inlineStr">
        <is>
          <t xml:space="preserve">BOLTAYEV MUSA QURONBOYEVICH</t>
        </is>
      </c>
      <c r="F266" s="102" t="inlineStr">
        <is>
          <t xml:space="preserve">998500971976 SMS OZI, 998996853272 SMS OZI 2, 998992673111 SMS QIZI,</t>
        </is>
      </c>
      <c r="G266" s="102" t="inlineStr">
        <is>
          <t xml:space="preserve">XORAZM VILOYATI XONQA TUMANI G’AYRAT MFY G’AYRAT KUCHASI 46-UY</t>
        </is>
      </c>
      <c r="H266" s="103">
        <v>8.0</v>
      </c>
      <c r="I266" s="103">
        <v>6031851.37</v>
      </c>
      <c r="K266" s="102" t="inlineStr">
        <is>
          <t xml:space="preserve">Va'da berdi | pul tushishini kutvottti, ozi usta, bugun yo erta yopamaiz dd | 977</t>
        </is>
      </c>
    </row>
    <row r="267">
      <c r="A267" s="102" t="inlineStr">
        <is>
          <t xml:space="preserve">ХОРАЗМ ВИЛОЯТИ</t>
        </is>
      </c>
      <c r="B267" s="102" t="inlineStr">
        <is>
          <t xml:space="preserve">SUPER BRANCH</t>
        </is>
      </c>
      <c r="C267" s="102" t="inlineStr">
        <is>
          <t xml:space="preserve">Обещал</t>
        </is>
      </c>
      <c r="D267" s="102" t="inlineStr">
        <is>
          <t xml:space="preserve">Кр-99040257-1</t>
        </is>
      </c>
      <c r="E267" s="102" t="inlineStr">
        <is>
          <t xml:space="preserve">KURBANOV UMRBEK UKTAMBAYEVICH</t>
        </is>
      </c>
      <c r="F267" s="102" t="inlineStr">
        <is>
          <t xml:space="preserve">998995641564 SMS OZI, 998991280118 SMS XOTINI, 998952713164 SMS OZI, 998995753164 SMS ISH,</t>
        </is>
      </c>
      <c r="G267" s="102" t="inlineStr">
        <is>
          <t xml:space="preserve">XORAZM VILOYATI URGANCH TUMANI TADQIQOTCHILAR MAXALLASI MARDANOVOR KUCHASI 42 UY</t>
        </is>
      </c>
      <c r="H267" s="103">
        <v>8.0</v>
      </c>
      <c r="I267" s="103">
        <v>4614992.27</v>
      </c>
      <c r="K267" s="102" t="inlineStr">
        <is>
          <t xml:space="preserve">Va'da berdi | har kuni  maydalab bolib bolib tolid | 958</t>
        </is>
      </c>
    </row>
    <row r="268">
      <c r="A268" s="102" t="inlineStr">
        <is>
          <t xml:space="preserve">ХОРАЗМ ВИЛОЯТИ</t>
        </is>
      </c>
      <c r="B268" s="102" t="inlineStr">
        <is>
          <t xml:space="preserve">SUPER BRANCH</t>
        </is>
      </c>
      <c r="C268" s="102" t="inlineStr">
        <is>
          <t xml:space="preserve">Обещал</t>
        </is>
      </c>
      <c r="D268" s="102" t="inlineStr">
        <is>
          <t xml:space="preserve">Кр-99039789-1</t>
        </is>
      </c>
      <c r="E268" s="102" t="inlineStr">
        <is>
          <t xml:space="preserve">SAMANDAROV XAMIDJON OTAXONOVICH</t>
        </is>
      </c>
      <c r="F268" s="102" t="inlineStr">
        <is>
          <t xml:space="preserve">998992020025 SMS OGLI, 998991327264 SMS KELINI, 999893103800 SMS OOZI, 998991468050 SMS AYOLI,</t>
        </is>
      </c>
      <c r="G268" s="102" t="inlineStr">
        <is>
          <t xml:space="preserve">XORAZM VILOYATI YANGIARIQ TUMANI KATTABOG’ QFY KATTABOG’ MFY EZOZ KO’CHASI 21-UY</t>
        </is>
      </c>
      <c r="H268" s="103">
        <v>8.0</v>
      </c>
      <c r="I268" s="103">
        <v>4612066.13</v>
      </c>
      <c r="K268" s="102" t="inlineStr">
        <is>
          <t xml:space="preserve">Va'da berdi | ozi bilan gaplashdim bugn yopad ogli | 907</t>
        </is>
      </c>
    </row>
    <row r="269">
      <c r="A269" s="102" t="inlineStr">
        <is>
          <t xml:space="preserve">ХОРАЗМ ВИЛОЯТИ</t>
        </is>
      </c>
      <c r="B269" s="102" t="inlineStr">
        <is>
          <t xml:space="preserve">SUPER BRANCH</t>
        </is>
      </c>
      <c r="C269" s="102" t="inlineStr">
        <is>
          <t xml:space="preserve">Обещал</t>
        </is>
      </c>
      <c r="D269" s="102" t="inlineStr">
        <is>
          <t xml:space="preserve">Кр-99039471-1</t>
        </is>
      </c>
      <c r="E269" s="102" t="inlineStr">
        <is>
          <t xml:space="preserve">ABDULLAYEV ABDULLA OCHILOVICH</t>
        </is>
      </c>
      <c r="F269" s="102" t="inlineStr">
        <is>
          <t xml:space="preserve">998500874141 SMS OGLI, 998931311978 SMS OZI begona, 998949984155 SMS OGLI, 998948859669 SMS AYOLI,</t>
        </is>
      </c>
      <c r="G269" s="102" t="inlineStr">
        <is>
          <t xml:space="preserve">XORAZM VILOYATI XONQA TUMANI MANGULIK MFY NAVBAXOR KUCHASI 40-UY</t>
        </is>
      </c>
      <c r="H269" s="103">
        <v>6.0</v>
      </c>
      <c r="I269" s="103">
        <v>3882572.28</v>
      </c>
      <c r="K269" s="102" t="inlineStr">
        <is>
          <t xml:space="preserve">Va'da berdi | 1-2 kunda hammasi yopilad | 873</t>
        </is>
      </c>
    </row>
    <row r="270">
      <c r="A270" s="102" t="inlineStr">
        <is>
          <t xml:space="preserve">ХОРАЗМ ВИЛОЯТИ</t>
        </is>
      </c>
      <c r="B270" s="102" t="inlineStr">
        <is>
          <t xml:space="preserve">SUPER BRANCH</t>
        </is>
      </c>
      <c r="C270" s="102" t="inlineStr">
        <is>
          <t xml:space="preserve">Обещал</t>
        </is>
      </c>
      <c r="D270" s="102" t="inlineStr">
        <is>
          <t xml:space="preserve">Кр-99040646-1</t>
        </is>
      </c>
      <c r="E270" s="102" t="inlineStr">
        <is>
          <t xml:space="preserve">ALLABERGANOV AXMED IBROGIMOVICH</t>
        </is>
      </c>
      <c r="F270" s="102" t="inlineStr">
        <is>
          <t xml:space="preserve">998935289163 SMS OZI, 998500110088 SMS OGLI, 998860775752 SMS OGLI 2,</t>
        </is>
      </c>
      <c r="G270" s="102" t="inlineStr">
        <is>
          <t xml:space="preserve">XORAZM VILOYATI XIVA TUMANI PIRNAXOS MFY OKKABUTAR KO’CHASI 33-UY</t>
        </is>
      </c>
      <c r="H270" s="103">
        <v>8.0</v>
      </c>
      <c r="I270" s="103">
        <v>3620539.33</v>
      </c>
      <c r="K270" s="102" t="inlineStr">
        <is>
          <t xml:space="preserve">Va'da berdi | ogli bilan gaplashdim ertaga abetgacha tolaberad | 1002</t>
        </is>
      </c>
    </row>
    <row r="271">
      <c r="A271" s="102" t="inlineStr">
        <is>
          <t xml:space="preserve">ХОРАЗМ ВИЛОЯТИ</t>
        </is>
      </c>
      <c r="B271" s="102" t="inlineStr">
        <is>
          <t xml:space="preserve">SUPER BRANCH</t>
        </is>
      </c>
      <c r="C271" s="102" t="inlineStr">
        <is>
          <t xml:space="preserve">Обещал</t>
        </is>
      </c>
      <c r="D271" s="102" t="inlineStr">
        <is>
          <t xml:space="preserve">Кр-99039933-1</t>
        </is>
      </c>
      <c r="E271" s="102" t="inlineStr">
        <is>
          <t xml:space="preserve">ATAJANOV FAXRIDDIN RUZMETOVICH</t>
        </is>
      </c>
      <c r="F271" s="102" t="inlineStr">
        <is>
          <t xml:space="preserve">998918616267 SMS OZI, 998918573148 SMS AYOLI, 998915722424 SMS OGLI, 998339007270 SMS QIZI,</t>
        </is>
      </c>
      <c r="G271" s="102" t="inlineStr">
        <is>
          <t xml:space="preserve">XORAZM VILOYATI XIVA TUMANI CHANASHIK MFY DIYOR KO’CHASI 55-UY</t>
        </is>
      </c>
      <c r="H271" s="103">
        <v>8.0</v>
      </c>
      <c r="I271" s="103">
        <v>3525605.16</v>
      </c>
      <c r="K271" s="102" t="inlineStr">
        <is>
          <t xml:space="preserve">Va'da berdi | 5,30 da xotini oylik olad ushanda yopilad id dan | 921</t>
        </is>
      </c>
    </row>
    <row r="272">
      <c r="A272" s="102" t="inlineStr">
        <is>
          <t xml:space="preserve">ХОРАЗМ ВИЛОЯТИ</t>
        </is>
      </c>
      <c r="B272" s="102" t="inlineStr">
        <is>
          <t xml:space="preserve">SUPER BRANCH</t>
        </is>
      </c>
      <c r="C272" s="102" t="inlineStr">
        <is>
          <t xml:space="preserve">Обещал</t>
        </is>
      </c>
      <c r="D272" s="102" t="inlineStr">
        <is>
          <t xml:space="preserve">Кр-99040131-1</t>
        </is>
      </c>
      <c r="E272" s="102" t="inlineStr">
        <is>
          <t xml:space="preserve">YUSUPOV SHORIFJON ROMONBERGAN O’G’LI</t>
        </is>
      </c>
      <c r="F272" s="102" t="inlineStr">
        <is>
          <t xml:space="preserve">998999664447 SMS OZI, 998827744472 SMS AYOLI, 998956099999 SMS ISH,</t>
        </is>
      </c>
      <c r="G272" s="102" t="inlineStr">
        <is>
          <t xml:space="preserve">XORAZM VILOYATI URGANCH TUMANI BO’STON MFY MUQUMIY KUCHASI 113</t>
        </is>
      </c>
      <c r="H272" s="103">
        <v>8.0</v>
      </c>
      <c r="I272" s="103">
        <v>3520567.07</v>
      </c>
      <c r="K272" s="102" t="inlineStr">
        <is>
          <t xml:space="preserve">Va'da berdi | bugn kechgacha yopilad | 942</t>
        </is>
      </c>
    </row>
    <row r="273">
      <c r="A273" s="102" t="inlineStr">
        <is>
          <t xml:space="preserve">ХОРАЗМ ВИЛОЯТИ</t>
        </is>
      </c>
      <c r="B273" s="102" t="inlineStr">
        <is>
          <t xml:space="preserve">SUPER BRANCH</t>
        </is>
      </c>
      <c r="C273" s="102" t="inlineStr">
        <is>
          <t xml:space="preserve">Обещал</t>
        </is>
      </c>
      <c r="D273" s="102" t="inlineStr">
        <is>
          <t xml:space="preserve">Кр-99040349-1</t>
        </is>
      </c>
      <c r="E273" s="102" t="inlineStr">
        <is>
          <t xml:space="preserve">KARIMOV JAHONGIR SHAROFADDIN O’G’LI</t>
        </is>
      </c>
      <c r="F273" s="102" t="inlineStr">
        <is>
          <t xml:space="preserve">998507157955 SMS OZI, 998952298584 SMS AKASI, 998774088961 SMS OPASI,</t>
        </is>
      </c>
      <c r="G273" s="102" t="inlineStr">
        <is>
          <t xml:space="preserve">XORAZM VILOYATI BOG’OT TUMANI TONG YOG’DU KUCHASI 2 UY </t>
        </is>
      </c>
      <c r="H273" s="103">
        <v>8.0</v>
      </c>
      <c r="I273" s="103">
        <v>3493169.1</v>
      </c>
      <c r="K273" s="102" t="inlineStr">
        <is>
          <t xml:space="preserve">Va'da berdi | bugn yopad kartasiga pul tushishini kutvotti kutvotti | 966</t>
        </is>
      </c>
    </row>
    <row r="274">
      <c r="A274" s="102" t="inlineStr">
        <is>
          <t xml:space="preserve">ХОРАЗМ ВИЛОЯТИ</t>
        </is>
      </c>
      <c r="B274" s="102" t="inlineStr">
        <is>
          <t xml:space="preserve">SUPER BRANCH</t>
        </is>
      </c>
      <c r="C274" s="102" t="inlineStr">
        <is>
          <t xml:space="preserve">Обещал</t>
        </is>
      </c>
      <c r="D274" s="102" t="inlineStr">
        <is>
          <t xml:space="preserve">Кр-99041894-2</t>
        </is>
      </c>
      <c r="E274" s="102" t="inlineStr">
        <is>
          <t xml:space="preserve">SAIDOV ALISHER BOG’BEKOVICH</t>
        </is>
      </c>
      <c r="F274" s="102" t="inlineStr">
        <is>
          <t xml:space="preserve">+998942564444 SMS UZI, 998903344044 SMS UZI 2, 998904517757 SMS AYOLI,</t>
        </is>
      </c>
      <c r="G274" s="102" t="inlineStr">
        <is>
          <t xml:space="preserve">ХОРАЗМ ВИЛОЯТИ ХАЗОРАСП ТУМАНИ ЖАЛОЛАДДИН МАНГУБЕРДИ МФЙ ШАРОФ РАШИДОВ КУЧАСИ 79 УЙ</t>
        </is>
      </c>
      <c r="H274" s="103">
        <v>8.0</v>
      </c>
      <c r="I274" s="103">
        <v>3486445.33</v>
      </c>
      <c r="K274" s="102" t="inlineStr">
        <is>
          <t xml:space="preserve">Va'da berdi | ertaga yopad id dan | 1139</t>
        </is>
      </c>
    </row>
    <row r="275">
      <c r="A275" s="102" t="inlineStr">
        <is>
          <t xml:space="preserve">ХОРАЗМ ВИЛОЯТИ</t>
        </is>
      </c>
      <c r="B275" s="102" t="inlineStr">
        <is>
          <t xml:space="preserve">SUPER BRANCH</t>
        </is>
      </c>
      <c r="C275" s="102" t="inlineStr">
        <is>
          <t xml:space="preserve">Обещал</t>
        </is>
      </c>
      <c r="D275" s="102" t="inlineStr">
        <is>
          <t xml:space="preserve">Кр-99039439-2</t>
        </is>
      </c>
      <c r="E275" s="102" t="inlineStr">
        <is>
          <t xml:space="preserve">YUSUPOV UMRBEK ISMAILOVICH</t>
        </is>
      </c>
      <c r="F275" s="102" t="inlineStr">
        <is>
          <t xml:space="preserve">998957097606 SMS OZI, 998937113111 SMS OZI begona, 998994256205 SMS OGLI 2, 998958772474 SMS AYOLI,</t>
        </is>
      </c>
      <c r="G275" s="102" t="inlineStr">
        <is>
          <t xml:space="preserve">XORAZM VILOYATI URGANCH SHAHRI NAVRUZ MFY FIDOKORLAR KO’CHASI 59-UY</t>
        </is>
      </c>
      <c r="H275" s="103">
        <v>8.0</v>
      </c>
      <c r="I275" s="103">
        <v>2369574.84</v>
      </c>
      <c r="K275" s="102" t="inlineStr">
        <is>
          <t xml:space="preserve">Va'da berdi | bugun kechga yopad oyligini olib id dan urad | 867</t>
        </is>
      </c>
    </row>
    <row r="276">
      <c r="A276" s="102" t="inlineStr">
        <is>
          <t xml:space="preserve">ХОРАЗМ ВИЛОЯТИ</t>
        </is>
      </c>
      <c r="B276" s="102" t="inlineStr">
        <is>
          <t xml:space="preserve">SUPER BRANCH</t>
        </is>
      </c>
      <c r="C276" s="102" t="inlineStr">
        <is>
          <t xml:space="preserve">Обещал</t>
        </is>
      </c>
      <c r="D276" s="102" t="inlineStr">
        <is>
          <t xml:space="preserve">Кр-99040131-2</t>
        </is>
      </c>
      <c r="E276" s="102" t="inlineStr">
        <is>
          <t xml:space="preserve">YUSUPOV SHORIFJON ROMONBERGAN O’G’LI</t>
        </is>
      </c>
      <c r="F276" s="102" t="inlineStr">
        <is>
          <t xml:space="preserve">998999664447 SMS OZI, 998827744472 SMS AYOLI, 998956099999 SMS ISH,</t>
        </is>
      </c>
      <c r="G276" s="102" t="inlineStr">
        <is>
          <t xml:space="preserve">XORAZM VILOYATI URGANCH TUMANI BO’STON MFY MUQUMIY KUCHASI 113</t>
        </is>
      </c>
      <c r="H276" s="103">
        <v>8.0</v>
      </c>
      <c r="I276" s="103">
        <v>2343414.9</v>
      </c>
      <c r="K276" s="102" t="inlineStr">
        <is>
          <t xml:space="preserve">Va'da berdi | bugn kechgacha yopilad | 943</t>
        </is>
      </c>
    </row>
    <row r="277">
      <c r="A277" s="102" t="inlineStr">
        <is>
          <t xml:space="preserve">ХОРАЗМ ВИЛОЯТИ</t>
        </is>
      </c>
      <c r="B277" s="102" t="inlineStr">
        <is>
          <t xml:space="preserve">SUPER BRANCH</t>
        </is>
      </c>
      <c r="C277" s="102" t="inlineStr">
        <is>
          <t xml:space="preserve">Обещал</t>
        </is>
      </c>
      <c r="D277" s="102" t="inlineStr">
        <is>
          <t xml:space="preserve">Кр-99039612-1</t>
        </is>
      </c>
      <c r="E277" s="102" t="inlineStr">
        <is>
          <t xml:space="preserve">TAJIBAYEV AXMEDJON BAXTIYAROVICH</t>
        </is>
      </c>
      <c r="F277" s="102" t="inlineStr">
        <is>
          <t xml:space="preserve">998919173223 SMS OZI, 998919995557 SMS OGLI, 998997357575 SMS HAMKASBI, 998995419757 Katta og`li,</t>
        </is>
      </c>
      <c r="G277" s="102" t="inlineStr">
        <is>
          <t xml:space="preserve">XORAZM VILOYATI YANGIBOZOR TUMANI YUQORI BOSHQIRSHIX MFY YOG’DU KO’CHASI 38-UY</t>
        </is>
      </c>
      <c r="H277" s="103">
        <v>1.0</v>
      </c>
      <c r="I277" s="103">
        <v>2265228.26</v>
      </c>
      <c r="K277" s="102" t="inlineStr">
        <is>
          <t xml:space="preserve">Va'da berdi | fermer 1-2 kunda yopib berad | 894</t>
        </is>
      </c>
    </row>
    <row r="278">
      <c r="A278" s="102" t="inlineStr">
        <is>
          <t xml:space="preserve">ХОРАЗМ ВИЛОЯТИ</t>
        </is>
      </c>
      <c r="B278" s="102" t="inlineStr">
        <is>
          <t xml:space="preserve">SUPER BRANCH</t>
        </is>
      </c>
      <c r="C278" s="102" t="inlineStr">
        <is>
          <t xml:space="preserve">Обещал</t>
        </is>
      </c>
      <c r="D278" s="102" t="inlineStr">
        <is>
          <t xml:space="preserve">Кр-99039537-1</t>
        </is>
      </c>
      <c r="E278" s="102" t="inlineStr">
        <is>
          <t xml:space="preserve">JUMANAZAROVA SHAXNOZA ERKINBAYEVNA</t>
        </is>
      </c>
      <c r="F278" s="102" t="inlineStr">
        <is>
          <t xml:space="preserve">998948958980 SM SUZI, 998932001922 SMS SINGLISI, 998505768980 SMS ERI,</t>
        </is>
      </c>
      <c r="G278" s="102" t="inlineStr">
        <is>
          <t xml:space="preserve">XORAZM VILOYATI YANGIARIQ TUMANI UYG’UR MFY TOYXONA KUCHASI 41-UY</t>
        </is>
      </c>
      <c r="H278" s="103">
        <v>5.0</v>
      </c>
      <c r="I278" s="103">
        <v>2132916.3</v>
      </c>
      <c r="K278" s="102" t="inlineStr">
        <is>
          <t xml:space="preserve">Va'da berdi | 25-sanlarga eri Rassiyadan qaytvotti hammasini yopishmoqchi | 883</t>
        </is>
      </c>
    </row>
    <row r="279">
      <c r="A279" s="102" t="inlineStr">
        <is>
          <t xml:space="preserve">ХОРАЗМ ВИЛОЯТИ</t>
        </is>
      </c>
      <c r="B279" s="102" t="inlineStr">
        <is>
          <t xml:space="preserve">SUPER BRANCH</t>
        </is>
      </c>
      <c r="C279" s="102" t="inlineStr">
        <is>
          <t xml:space="preserve">Обещал</t>
        </is>
      </c>
      <c r="D279" s="102" t="inlineStr">
        <is>
          <t xml:space="preserve">Кр-99026626-1</t>
        </is>
      </c>
      <c r="E279" s="102" t="inlineStr">
        <is>
          <t xml:space="preserve">MATYAKUBOVA OLIYA SULTANOVNA</t>
        </is>
      </c>
      <c r="F279" s="102" t="inlineStr">
        <is>
          <t xml:space="preserve">998974569970 SMS O'ZI, 998976078717 SMS DILSHODA HAMKASBI, 998505722508 SMS O'G'LI, 998999692091 SMS QIZI,</t>
        </is>
      </c>
      <c r="G279" s="102" t="inlineStr">
        <is>
          <t xml:space="preserve">XORAZM VILOYATI QO’SHKO’PIR TUMANI XAYROBOD QFY XAYROBOD MFY MADANIYAT KO’CHASI 48-UY</t>
        </is>
      </c>
      <c r="H279" s="103">
        <v>11.0</v>
      </c>
      <c r="I279" s="103">
        <v>2121771.94</v>
      </c>
      <c r="K279" s="102" t="inlineStr">
        <is>
          <t xml:space="preserve">Va'da berdi | hozi qaytib ciqad | 183</t>
        </is>
      </c>
    </row>
    <row r="280">
      <c r="A280" s="102" t="inlineStr">
        <is>
          <t xml:space="preserve">ХОРАЗМ ВИЛОЯТИ</t>
        </is>
      </c>
      <c r="B280" s="102" t="inlineStr">
        <is>
          <t xml:space="preserve">SUPER BRANCH</t>
        </is>
      </c>
      <c r="C280" s="102" t="inlineStr">
        <is>
          <t xml:space="preserve">Обещал</t>
        </is>
      </c>
      <c r="D280" s="102" t="inlineStr">
        <is>
          <t xml:space="preserve">Кр-99035832-1</t>
        </is>
      </c>
      <c r="E280" s="102" t="inlineStr">
        <is>
          <t xml:space="preserve">PIRMETOVA SALAMAT RAXIMBAYEVNA</t>
        </is>
      </c>
      <c r="F280" s="102" t="inlineStr">
        <is>
          <t xml:space="preserve">998907192065 SMS OZI, 998919968119 SMS SINGLISI, 998912768610 SMS KELINI, 998912762622 SMS QIZI,</t>
        </is>
      </c>
      <c r="G280" s="102" t="inlineStr">
        <is>
          <t xml:space="preserve">XORAZM VILOYATI SHOVOT TUMANI ZAMONDOSH MFY NIZOMIY KUCHASI 14-UY</t>
        </is>
      </c>
      <c r="I280" s="103">
        <v>1631354.78</v>
      </c>
      <c r="K280" s="102" t="inlineStr">
        <is>
          <t xml:space="preserve">Va'da berdi | nevarasi qozogistondan tolaganmush | 598</t>
        </is>
      </c>
    </row>
    <row r="281">
      <c r="A281" s="102" t="inlineStr">
        <is>
          <t xml:space="preserve">ХОРАЗМ ВИЛОЯТИ</t>
        </is>
      </c>
      <c r="B281" s="102" t="inlineStr">
        <is>
          <t xml:space="preserve">SUPER BRANCH</t>
        </is>
      </c>
      <c r="C281" s="102" t="inlineStr">
        <is>
          <t xml:space="preserve">Обещал</t>
        </is>
      </c>
      <c r="D281" s="102" t="inlineStr">
        <is>
          <t xml:space="preserve">Кр-99038058-1</t>
        </is>
      </c>
      <c r="E281" s="102" t="inlineStr">
        <is>
          <t xml:space="preserve">UMIRZOQOVA MUKADDAM UMMATALIYEVNA</t>
        </is>
      </c>
      <c r="F281" s="102" t="inlineStr">
        <is>
          <t xml:space="preserve">998990534741 SMS OZI, 998952228676 SMS OZI 2, 998972026063 SMS QIZI , 998773112899 SMS QIZI 2,</t>
        </is>
      </c>
      <c r="G281" s="102" t="inlineStr">
        <is>
          <t xml:space="preserve">XORAZM VILOYATI QO’SHKO’PIR TUMANI GULZOR MFY OQ OLTIN KUCHASI 53-UY</t>
        </is>
      </c>
      <c r="H281" s="103">
        <v>1.0</v>
      </c>
      <c r="I281" s="103">
        <v>1417718.86</v>
      </c>
      <c r="K281" s="102" t="inlineStr">
        <is>
          <t xml:space="preserve">Va'da berdi | kotarmad tg dan gaplashdim 1-2 kunda yopad | 746</t>
        </is>
      </c>
    </row>
    <row r="282">
      <c r="A282" s="102" t="inlineStr">
        <is>
          <t xml:space="preserve">ХОРАЗМ ВИЛОЯТИ</t>
        </is>
      </c>
      <c r="B282" s="102" t="inlineStr">
        <is>
          <t xml:space="preserve">SUPER BRANCH</t>
        </is>
      </c>
      <c r="C282" s="102" t="inlineStr">
        <is>
          <t xml:space="preserve">Обещал</t>
        </is>
      </c>
      <c r="D282" s="102" t="inlineStr">
        <is>
          <t xml:space="preserve">Кр-99038730-1</t>
        </is>
      </c>
      <c r="E282" s="102" t="inlineStr">
        <is>
          <t xml:space="preserve">QURBONNIYOZOV ANVAR ARTIQBOYEVICH</t>
        </is>
      </c>
      <c r="F282" s="102" t="inlineStr">
        <is>
          <t xml:space="preserve">998938690525 SMS OZI, 998942312504 SMS OGLI, 998939480525 SMS XOTINI,</t>
        </is>
      </c>
      <c r="G282" s="102" t="inlineStr">
        <is>
          <t xml:space="preserve">XORAZM VILOYATI YANGIBOZOR TUMANI BOG’OLON MAXALLASI MARDLAR KUCHASI 24 UY</t>
        </is>
      </c>
      <c r="H282" s="103">
        <v>6.0</v>
      </c>
      <c r="I282" s="103">
        <v>1327072.1</v>
      </c>
      <c r="K282" s="102" t="inlineStr">
        <is>
          <t xml:space="preserve">Va'da berdi | qaytib chiqad | 799</t>
        </is>
      </c>
    </row>
    <row r="283">
      <c r="A283" s="102" t="inlineStr">
        <is>
          <t xml:space="preserve">ХОРАЗМ ВИЛОЯТИ</t>
        </is>
      </c>
      <c r="B283" s="102" t="inlineStr">
        <is>
          <t xml:space="preserve">SUPER BRANCH</t>
        </is>
      </c>
      <c r="C283" s="102" t="inlineStr">
        <is>
          <t xml:space="preserve">Обещал</t>
        </is>
      </c>
      <c r="D283" s="102" t="inlineStr">
        <is>
          <t xml:space="preserve">Кр-99028290-4</t>
        </is>
      </c>
      <c r="E283" s="102" t="inlineStr">
        <is>
          <t xml:space="preserve">TADJIYEV MASHHURBEK DANIYOR O’G’LI</t>
        </is>
      </c>
      <c r="F283" s="102" t="inlineStr">
        <is>
          <t xml:space="preserve">90-559-39-39 SMS OZI  choyxonada ishlid , 93-285-51-55  SMS DOST TOLOVCHI, 97-091-60-00  SMS DOSTI ,</t>
        </is>
      </c>
      <c r="G283" s="102" t="inlineStr">
        <is>
          <t xml:space="preserve">XORAZM VILOYATI XIVA TUMANI JURYON QFY DAVAK MFY NURJAMOL KO’CHASI 47-UY  </t>
        </is>
      </c>
      <c r="I283" s="103">
        <v>514339.16</v>
      </c>
      <c r="K283" s="102" t="inlineStr">
        <is>
          <t xml:space="preserve">Va'da berdi | bugun kechgacha yopad | 230</t>
        </is>
      </c>
    </row>
    <row r="284">
      <c r="A284" s="102" t="inlineStr">
        <is>
          <t xml:space="preserve">ХОРАЗМ ВИЛОЯТИ</t>
        </is>
      </c>
      <c r="B284" s="102" t="inlineStr">
        <is>
          <t xml:space="preserve">SUPER BRANCH</t>
        </is>
      </c>
      <c r="C284" s="102" t="inlineStr">
        <is>
          <t xml:space="preserve">Обещал</t>
        </is>
      </c>
      <c r="D284" s="102" t="inlineStr">
        <is>
          <t xml:space="preserve">Кр-99048302-1</t>
        </is>
      </c>
      <c r="E284" s="102" t="inlineStr">
        <is>
          <t xml:space="preserve">NURMATOV OG‘ABEK FAXRIDDIN O‘G‘LI</t>
        </is>
      </c>
      <c r="F284" s="102" t="inlineStr">
        <is>
          <t xml:space="preserve">+998919981626 Primary phone from road24, 998919981626 Primary phone from road24, 998905580815 SMS OTASI, 998910908909 SMS AKASI,</t>
        </is>
      </c>
      <c r="G284" s="102" t="inlineStr">
        <is>
          <t xml:space="preserve">Хорезмская область, Шаватский район, Каткалъа ССГ, Янги турмуш МСГ, ул. Бунёдкор, дом 33</t>
        </is>
      </c>
      <c r="I284" s="103">
        <v>149474.25</v>
      </c>
      <c r="K284" s="102" t="inlineStr">
        <is>
          <t xml:space="preserve">Va'da berdi | hozi tolid | 1276</t>
        </is>
      </c>
    </row>
    <row r="285">
      <c r="A285" s="104" t="inlineStr">
        <is>
          <t xml:space="preserve">ХОРАЗМ ВИЛОЯТИ</t>
        </is>
      </c>
      <c r="B285" s="104" t="inlineStr">
        <is>
          <t xml:space="preserve">Урганч филиали</t>
        </is>
      </c>
      <c r="C285" s="104" t="inlineStr">
        <is>
          <t xml:space="preserve">Обещал</t>
        </is>
      </c>
      <c r="D285" s="104" t="inlineStr">
        <is>
          <t xml:space="preserve">Кр-99040909-1</t>
        </is>
      </c>
      <c r="E285" s="104" t="inlineStr">
        <is>
          <t xml:space="preserve">OTAXONOV DIYORBEK ERGASH O’G’LI</t>
        </is>
      </c>
      <c r="F285" s="104" t="inlineStr">
        <is>
          <t xml:space="preserve">998970150686 SMS OTASI, 998954170093 SMS UZI (BEGONA), 998972392704 SMS AYOLI, 998976052704 SMS UZI, 998880939698 SMS UZI new,</t>
        </is>
      </c>
      <c r="G285" s="104" t="inlineStr">
        <is>
          <t xml:space="preserve">Маданият МФЙ, Мустақиллик кучаси, 37A-уй</t>
        </is>
      </c>
      <c r="H285" s="105">
        <v>13.0</v>
      </c>
      <c r="I285" s="105">
        <v>7544075.74</v>
      </c>
      <c r="K285" s="104" t="inlineStr">
        <is>
          <t xml:space="preserve">Va'da berdi | 2-3 kun da polni yopmoqchi | 1034</t>
        </is>
      </c>
    </row>
    <row r="286">
      <c r="A286" s="104" t="inlineStr">
        <is>
          <t xml:space="preserve">ХОРАЗМ ВИЛОЯТИ</t>
        </is>
      </c>
      <c r="B286" s="104" t="inlineStr">
        <is>
          <t xml:space="preserve">Урганч филиали</t>
        </is>
      </c>
      <c r="C286" s="104" t="inlineStr">
        <is>
          <t xml:space="preserve">Обещал</t>
        </is>
      </c>
      <c r="D286" s="104" t="inlineStr">
        <is>
          <t xml:space="preserve">Кр-99041193-1</t>
        </is>
      </c>
      <c r="E286" s="104" t="inlineStr">
        <is>
          <t xml:space="preserve">SAFAYEVA DURDUGUL DJABIYEVNA</t>
        </is>
      </c>
      <c r="F286" s="104" t="inlineStr">
        <is>
          <t xml:space="preserve">+998930566951 SMS TO’LOVCHI, 998905783265 SMS UZI, 998930499771 SMS O’GLI TO’LOVCHI 2, 998889523000 OZI,</t>
        </is>
      </c>
      <c r="G286" s="104" t="inlineStr">
        <is>
          <t xml:space="preserve">Hurriyat MFY, Diydor ko’chasi, 20-uy</t>
        </is>
      </c>
      <c r="H286" s="105">
        <v>8.0</v>
      </c>
      <c r="I286" s="105">
        <v>6305774.47</v>
      </c>
      <c r="K286" s="104" t="inlineStr">
        <is>
          <t xml:space="preserve">Va'da berdi | bugun kechga yoki ertaga ogli yopad | 1068</t>
        </is>
      </c>
    </row>
    <row r="287">
      <c r="A287" s="104" t="inlineStr">
        <is>
          <t xml:space="preserve">ХОРАЗМ ВИЛОЯТИ</t>
        </is>
      </c>
      <c r="B287" s="104" t="inlineStr">
        <is>
          <t xml:space="preserve">Урганч филиали</t>
        </is>
      </c>
      <c r="C287" s="104" t="inlineStr">
        <is>
          <t xml:space="preserve">Обещал</t>
        </is>
      </c>
      <c r="D287" s="104" t="inlineStr">
        <is>
          <t xml:space="preserve">Кр-99041822-1</t>
        </is>
      </c>
      <c r="E287" s="104" t="inlineStr">
        <is>
          <t xml:space="preserve">JABBAROV MUROD EGAMBERGANOVICH</t>
        </is>
      </c>
      <c r="F287" s="104" t="inlineStr">
        <is>
          <t xml:space="preserve">+998957673366 SMS UZI, 998953260676 SMS AYOLI, 998995263366 SMS O’G’LI, 998502305667 SMS OZI,</t>
        </is>
      </c>
      <c r="G287" s="104" t="inlineStr">
        <is>
          <t xml:space="preserve">Хорезмская область, Янгибазарский район, Уйғур ССГ, Хайват МСГ, ул. Хайват, дом 61</t>
        </is>
      </c>
      <c r="H287" s="105">
        <v>8.0</v>
      </c>
      <c r="I287" s="105">
        <v>5207931.42</v>
      </c>
      <c r="K287" s="104" t="inlineStr">
        <is>
          <t xml:space="preserve">Va'da berdi | bugn kechga yoki ertaga abetgacha yopad | 1131</t>
        </is>
      </c>
    </row>
    <row r="288">
      <c r="A288" s="104" t="inlineStr">
        <is>
          <t xml:space="preserve">ХОРАЗМ ВИЛОЯТИ</t>
        </is>
      </c>
      <c r="B288" s="104" t="inlineStr">
        <is>
          <t xml:space="preserve">Урганч филиали</t>
        </is>
      </c>
      <c r="C288" s="104" t="inlineStr">
        <is>
          <t xml:space="preserve">Обещал</t>
        </is>
      </c>
      <c r="D288" s="104" t="inlineStr">
        <is>
          <t xml:space="preserve">Кр-99032390-1</t>
        </is>
      </c>
      <c r="E288" s="104" t="inlineStr">
        <is>
          <t xml:space="preserve">YULDASHEV RAVSHAN MUXAMEDJANOVICH</t>
        </is>
      </c>
      <c r="F288" s="104" t="inlineStr">
        <is>
          <t xml:space="preserve">998932817070 SMS O’ZI, 998900778677 SMS O’G’LI, 998993477717 SMS begona,</t>
        </is>
      </c>
      <c r="G288" s="104" t="inlineStr">
        <is>
          <t xml:space="preserve">XORAZM VILOYATI URGANCH SHAHAR GUJUMZOR KUCHASI 2/2 UY 10 XONADON</t>
        </is>
      </c>
      <c r="H288" s="105">
        <v>8.0</v>
      </c>
      <c r="I288" s="105">
        <v>5181196.56</v>
      </c>
      <c r="K288" s="104" t="inlineStr">
        <is>
          <t xml:space="preserve">Va'da berdi | oilaviy nimadir bopqopti, muammosi borakan sh sabab tolov kuni kechikibdi, harakat qilib topib beraman dd 1-2 kunda | 394</t>
        </is>
      </c>
    </row>
    <row r="289">
      <c r="A289" s="104" t="inlineStr">
        <is>
          <t xml:space="preserve">ХОРАЗМ ВИЛОЯТИ</t>
        </is>
      </c>
      <c r="B289" s="104" t="inlineStr">
        <is>
          <t xml:space="preserve">Урганч филиали</t>
        </is>
      </c>
      <c r="C289" s="104" t="inlineStr">
        <is>
          <t xml:space="preserve">Обещал</t>
        </is>
      </c>
      <c r="D289" s="104" t="inlineStr">
        <is>
          <t xml:space="preserve">Кр-99041519-1</t>
        </is>
      </c>
      <c r="E289" s="104" t="inlineStr">
        <is>
          <t xml:space="preserve">ATAYEV ERKINBAY BAYJANOVICH</t>
        </is>
      </c>
      <c r="F289" s="104" t="inlineStr">
        <is>
          <t xml:space="preserve">+998995705003 SMS UZI, 998914244747 SMS O’G’LI, 998955244747 SMS O’G’LI,</t>
        </is>
      </c>
      <c r="G289" s="104" t="inlineStr">
        <is>
          <t xml:space="preserve">ЭСКИ ҚИЁТ ҚФЙ, КУШЧИ КАТТАБОГ МФЙ, ПАЛВОН,  uy:18</t>
        </is>
      </c>
      <c r="H289" s="105">
        <v>8.0</v>
      </c>
      <c r="I289" s="105">
        <v>5102601.24</v>
      </c>
      <c r="K289" s="104" t="inlineStr">
        <is>
          <t xml:space="preserve">Va'da berdi | ertaga abetdan kegin pul tushad dd | 1108</t>
        </is>
      </c>
    </row>
    <row r="290">
      <c r="A290" s="104" t="inlineStr">
        <is>
          <t xml:space="preserve">ХОРАЗМ ВИЛОЯТИ</t>
        </is>
      </c>
      <c r="B290" s="104" t="inlineStr">
        <is>
          <t xml:space="preserve">Урганч филиали</t>
        </is>
      </c>
      <c r="C290" s="104" t="inlineStr">
        <is>
          <t xml:space="preserve">Обещал</t>
        </is>
      </c>
      <c r="D290" s="104" t="inlineStr">
        <is>
          <t xml:space="preserve">Кр-99031438-1</t>
        </is>
      </c>
      <c r="E290" s="104" t="inlineStr">
        <is>
          <t xml:space="preserve">MADRAXIMOVA SURAYYO URUSLANOVNA</t>
        </is>
      </c>
      <c r="F290" s="104" t="inlineStr">
        <is>
          <t xml:space="preserve">+998507375512 SMS UZI, 998900901911 SMS KELINI, 998918612201 SMS O’G’LI,</t>
        </is>
      </c>
      <c r="G290" s="104" t="inlineStr">
        <is>
          <t xml:space="preserve">ХОРАЗМ ВИЛОЯТИ УРГАНЧ ТУМАНИ Қумрабод МФЙ, Проектная 181 А мавзеси, 56V-уй</t>
        </is>
      </c>
      <c r="H290" s="105">
        <v>8.0</v>
      </c>
      <c r="I290" s="105">
        <v>5044129.88</v>
      </c>
      <c r="K290" s="104" t="inlineStr">
        <is>
          <t xml:space="preserve">Va'da berdi | qismman tolov qildi qolganin bugn kechgacha yopad | 353</t>
        </is>
      </c>
    </row>
    <row r="291">
      <c r="A291" s="104" t="inlineStr">
        <is>
          <t xml:space="preserve">ХОРАЗМ ВИЛОЯТИ</t>
        </is>
      </c>
      <c r="B291" s="104" t="inlineStr">
        <is>
          <t xml:space="preserve">Урганч филиали</t>
        </is>
      </c>
      <c r="C291" s="104" t="inlineStr">
        <is>
          <t xml:space="preserve">Обещал</t>
        </is>
      </c>
      <c r="D291" s="104" t="inlineStr">
        <is>
          <t xml:space="preserve">Кр-99040754-1</t>
        </is>
      </c>
      <c r="E291" s="104" t="inlineStr">
        <is>
          <t xml:space="preserve">AXMEDOV UMIDJON MASHARIPOVICH</t>
        </is>
      </c>
      <c r="F291" s="104" t="inlineStr">
        <is>
          <t xml:space="preserve">+998774168402 SMS UZI, 998887900082 SMS AKASI, 998943197880 SMS OPASI,</t>
        </is>
      </c>
      <c r="G291" s="104" t="inlineStr">
        <is>
          <t xml:space="preserve">Янги боғ МФЙ, Тинчлик кучаси, 30-уй</t>
        </is>
      </c>
      <c r="H291" s="105">
        <v>8.0</v>
      </c>
      <c r="I291" s="105">
        <v>5042458.04</v>
      </c>
      <c r="K291" s="104" t="inlineStr">
        <is>
          <t xml:space="preserve">Va'da berdi | opasi bilan gaplashdim ertaga tolid ukam ddd | 1015</t>
        </is>
      </c>
    </row>
    <row r="292">
      <c r="A292" s="104" t="inlineStr">
        <is>
          <t xml:space="preserve">ХОРАЗМ ВИЛОЯТИ</t>
        </is>
      </c>
      <c r="B292" s="104" t="inlineStr">
        <is>
          <t xml:space="preserve">Урганч филиали</t>
        </is>
      </c>
      <c r="C292" s="104" t="inlineStr">
        <is>
          <t xml:space="preserve">Обещал</t>
        </is>
      </c>
      <c r="D292" s="104" t="inlineStr">
        <is>
          <t xml:space="preserve">Кр-99034208-1</t>
        </is>
      </c>
      <c r="E292" s="104" t="inlineStr">
        <is>
          <t xml:space="preserve">NORBOYEV NURBEK SHUXRAT O’G’LI</t>
        </is>
      </c>
      <c r="F292" s="104" t="inlineStr">
        <is>
          <t xml:space="preserve">998991710010 SMS OZI, 998999616062 SMS UKASI, 998995071515 SMS AKASI, 998994461983 SMS DOSTI, 998991220010 SMS OTASI,</t>
        </is>
      </c>
      <c r="G292" s="104" t="inlineStr">
        <is>
          <t xml:space="preserve">XORAZM VILOYATI SHOVOT TUMANI GULZOR KUCHASI 20-UY</t>
        </is>
      </c>
      <c r="H292" s="105">
        <v>8.0</v>
      </c>
      <c r="I292" s="105">
        <v>4836487.15</v>
      </c>
      <c r="K292" s="104" t="inlineStr">
        <is>
          <t xml:space="preserve">Va'da berdi | 1-2 kunda tolov qilib berad | 497</t>
        </is>
      </c>
    </row>
    <row r="293">
      <c r="A293" s="104" t="inlineStr">
        <is>
          <t xml:space="preserve">ХОРАЗМ ВИЛОЯТИ</t>
        </is>
      </c>
      <c r="B293" s="104" t="inlineStr">
        <is>
          <t xml:space="preserve">Урганч филиали</t>
        </is>
      </c>
      <c r="C293" s="104" t="inlineStr">
        <is>
          <t xml:space="preserve">Обещал</t>
        </is>
      </c>
      <c r="D293" s="104" t="inlineStr">
        <is>
          <t xml:space="preserve">Кр-99022857-3</t>
        </is>
      </c>
      <c r="E293" s="104" t="inlineStr">
        <is>
          <t xml:space="preserve">JUMANIYOZOV OLIMBOY BAXODIR O’G’LI</t>
        </is>
      </c>
      <c r="F293" s="104" t="inlineStr">
        <is>
          <t xml:space="preserve">88-513-14-00 SMS UZI, 88-456-22-88 SMS OTASI, 93-753-72-88 SMS OTASI, 88-364-57-97 SMS OPASI,</t>
        </is>
      </c>
      <c r="G293" s="104" t="inlineStr">
        <is>
          <t xml:space="preserve">XORAZM VILOYATI YANGIARIQ TUMANI QARMISH QISHLOQI SHIXBOG’I MAXALLASI SHIXBOG’I KUCHASI 104 UY</t>
        </is>
      </c>
      <c r="H293" s="105">
        <v>4.0</v>
      </c>
      <c r="I293" s="105">
        <v>4502319.07</v>
      </c>
      <c r="K293" s="104" t="inlineStr">
        <is>
          <t xml:space="preserve">Va'da berdi | 996207272 maqsud tolovchisi bilan gaplashdim 1-2 kun dvotti | 135</t>
        </is>
      </c>
    </row>
    <row r="294">
      <c r="A294" s="104" t="inlineStr">
        <is>
          <t xml:space="preserve">ХОРАЗМ ВИЛОЯТИ</t>
        </is>
      </c>
      <c r="B294" s="104" t="inlineStr">
        <is>
          <t xml:space="preserve">Урганч филиали</t>
        </is>
      </c>
      <c r="C294" s="104" t="inlineStr">
        <is>
          <t xml:space="preserve">Обещал</t>
        </is>
      </c>
      <c r="D294" s="104" t="inlineStr">
        <is>
          <t xml:space="preserve">Кр-99040991-1</t>
        </is>
      </c>
      <c r="E294" s="104" t="inlineStr">
        <is>
          <t xml:space="preserve">YULDASHEV ABDURAUF ERGASHEVICH</t>
        </is>
      </c>
      <c r="F294" s="104" t="inlineStr">
        <is>
          <t xml:space="preserve">+998990911604 SMS UZI, 998904355651 SMS ONASI, 998907751279 SMS OTASI,</t>
        </is>
      </c>
      <c r="G294" s="104" t="inlineStr">
        <is>
          <t xml:space="preserve">Хорезмская область, Багатский район, Кулонкорабог ССГ, Кулонкорабог МСГ, ул. Кулоллар, дом 92</t>
        </is>
      </c>
      <c r="H294" s="105">
        <v>13.0</v>
      </c>
      <c r="I294" s="105">
        <v>4218177.33</v>
      </c>
      <c r="K294" s="104" t="inlineStr">
        <is>
          <t xml:space="preserve">Va'da berdi | qisman tolov qildi qolgani bugn kechga yoki ertaga abetgacha | 1041</t>
        </is>
      </c>
    </row>
    <row r="295">
      <c r="A295" s="104" t="inlineStr">
        <is>
          <t xml:space="preserve">ХОРАЗМ ВИЛОЯТИ</t>
        </is>
      </c>
      <c r="B295" s="104" t="inlineStr">
        <is>
          <t xml:space="preserve">Урганч филиали</t>
        </is>
      </c>
      <c r="C295" s="104" t="inlineStr">
        <is>
          <t xml:space="preserve">Обещал</t>
        </is>
      </c>
      <c r="D295" s="104" t="inlineStr">
        <is>
          <t xml:space="preserve">Кр-99047894-1</t>
        </is>
      </c>
      <c r="E295" s="104" t="inlineStr">
        <is>
          <t xml:space="preserve">AMINOV AKROM AZAMAT O’G’LI</t>
        </is>
      </c>
      <c r="F295" s="104" t="inlineStr">
        <is>
          <t xml:space="preserve">+998773180700 SMS UZI, 998919947770 SMS AMAKISI, 998935642717 SMS UKASI,</t>
        </is>
      </c>
      <c r="G295" s="104" t="inlineStr">
        <is>
          <t xml:space="preserve">ХОРАЗМ ВИЛОЯТИ УРГАНЧ ТУМАНИ Бўстон МФЙ, А.Темур кучаси, 59-уй</t>
        </is>
      </c>
      <c r="H295" s="105">
        <v>8.0</v>
      </c>
      <c r="I295" s="105">
        <v>3879129.11</v>
      </c>
      <c r="K295" s="104" t="inlineStr">
        <is>
          <t xml:space="preserve">Va'da berdi | 1-2 kunda yopib berad | 1270</t>
        </is>
      </c>
    </row>
    <row r="296">
      <c r="A296" s="104" t="inlineStr">
        <is>
          <t xml:space="preserve">ХОРАЗМ ВИЛОЯТИ</t>
        </is>
      </c>
      <c r="B296" s="104" t="inlineStr">
        <is>
          <t xml:space="preserve">Урганч филиали</t>
        </is>
      </c>
      <c r="C296" s="104" t="inlineStr">
        <is>
          <t xml:space="preserve">Обещал</t>
        </is>
      </c>
      <c r="D296" s="104" t="inlineStr">
        <is>
          <t xml:space="preserve">Кр-99040465-1</t>
        </is>
      </c>
      <c r="E296" s="104" t="inlineStr">
        <is>
          <t xml:space="preserve">AVAZMETOV FURQAT OTAXON O’G’LI</t>
        </is>
      </c>
      <c r="F296" s="104" t="inlineStr">
        <is>
          <t xml:space="preserve">+998937586161 SMS UZI, 998337586161 SMS AYOLI, 998337900202 SMS UZI 2 begona, 998930921161 SMS UKASI, 998942369696 SMS AKASI JURAT,</t>
        </is>
      </c>
      <c r="G296" s="104" t="inlineStr">
        <is>
          <t xml:space="preserve">ГУЛОБОД ҚФЙ, КЎНҒИРОТ МФЙ, СОГЛОМ ТУРМУШ КЎЧАСИ,  uy:58</t>
        </is>
      </c>
      <c r="H296" s="105">
        <v>8.0</v>
      </c>
      <c r="I296" s="105">
        <v>3775571.04</v>
      </c>
      <c r="K296" s="104" t="inlineStr">
        <is>
          <t xml:space="preserve">Va'da berdi | akasi bilan gaplashdimetib qoyaman dd | 982</t>
        </is>
      </c>
    </row>
    <row r="297">
      <c r="A297" s="104" t="inlineStr">
        <is>
          <t xml:space="preserve">ХОРАЗМ ВИЛОЯТИ</t>
        </is>
      </c>
      <c r="B297" s="104" t="inlineStr">
        <is>
          <t xml:space="preserve">Урганч филиали</t>
        </is>
      </c>
      <c r="C297" s="104" t="inlineStr">
        <is>
          <t xml:space="preserve">Обещал</t>
        </is>
      </c>
      <c r="D297" s="104" t="inlineStr">
        <is>
          <t xml:space="preserve">Кр-99013487-3</t>
        </is>
      </c>
      <c r="E297" s="104" t="inlineStr">
        <is>
          <t xml:space="preserve">QURBONBOYEV JAVOHIR QUVONDIQ O’G’LI</t>
        </is>
      </c>
      <c r="F297" s="104" t="inlineStr">
        <is>
          <t xml:space="preserve">97-451-67-68 SMS UZI , 97-361-00-11  sms AKASI TULOVCHI 
 , 99-352-72-22  sms ADASI , 97-791-91-41  sms OYISI , 998976010011 SMS UZI 2,</t>
        </is>
      </c>
      <c r="G297" s="104" t="inlineStr">
        <is>
          <t xml:space="preserve">Хорезмская область, Ханкинский район, Хонка ГСГ, Эхтиром МСГ, ул. Олмазор, дом 28</t>
        </is>
      </c>
      <c r="H297" s="105">
        <v>8.0</v>
      </c>
      <c r="I297" s="105">
        <v>3435630.19</v>
      </c>
      <c r="K297" s="104" t="inlineStr">
        <is>
          <t xml:space="preserve">Va'da berdi | bugn abetdan kegin tolid | 59</t>
        </is>
      </c>
    </row>
    <row r="298">
      <c r="A298" s="104" t="inlineStr">
        <is>
          <t xml:space="preserve">ХОРАЗМ ВИЛОЯТИ</t>
        </is>
      </c>
      <c r="B298" s="104" t="inlineStr">
        <is>
          <t xml:space="preserve">Урганч филиали</t>
        </is>
      </c>
      <c r="C298" s="104" t="inlineStr">
        <is>
          <t xml:space="preserve">Обещал</t>
        </is>
      </c>
      <c r="D298" s="104" t="inlineStr">
        <is>
          <t xml:space="preserve">Кр-99030607-1</t>
        </is>
      </c>
      <c r="E298" s="104" t="inlineStr">
        <is>
          <t xml:space="preserve">DUSHAMOV AZAMAT QO’SHCHANOVICH</t>
        </is>
      </c>
      <c r="F298" s="104" t="inlineStr">
        <is>
          <t xml:space="preserve">95-780-18-58  SMS O’ZI, 95-641-02-88  SMS O’G’LI, 99-291-50-10  SMS AYOLI, 99-538-13-04 SMS , 998772832202 SMS tolovchi ogli new bic ,</t>
        </is>
      </c>
      <c r="G298" s="104" t="inlineStr">
        <is>
          <t xml:space="preserve">QO’SHKO’PIR TUMANI BAXORISTON MFY OYBEK KUCHASI 49-UY</t>
        </is>
      </c>
      <c r="H298" s="105">
        <v>1.0</v>
      </c>
      <c r="I298" s="105">
        <v>3335915.75</v>
      </c>
      <c r="K298" s="104" t="inlineStr">
        <is>
          <t xml:space="preserve">Va'da berdi | abetdan kegin filialga borib yopad | 317</t>
        </is>
      </c>
    </row>
    <row r="299">
      <c r="A299" s="104" t="inlineStr">
        <is>
          <t xml:space="preserve">ХОРАЗМ ВИЛОЯТИ</t>
        </is>
      </c>
      <c r="B299" s="104" t="inlineStr">
        <is>
          <t xml:space="preserve">Урганч филиали</t>
        </is>
      </c>
      <c r="C299" s="104" t="inlineStr">
        <is>
          <t xml:space="preserve">Обещал</t>
        </is>
      </c>
      <c r="D299" s="104" t="inlineStr">
        <is>
          <t xml:space="preserve">Кр-99030554-1</t>
        </is>
      </c>
      <c r="E299" s="104" t="inlineStr">
        <is>
          <t xml:space="preserve">XO’SINOV XAYRULLA ODILBEK O’G’LI</t>
        </is>
      </c>
      <c r="F299" s="104" t="inlineStr">
        <is>
          <t xml:space="preserve">94-863-64-66 SMS O’ZI, 93-308-64-66 SMS AYOLI(begona), 998930438330 SMS ONASI, 998935187910 SMS OTASI, 998992305824 akasi,</t>
        </is>
      </c>
      <c r="G299" s="104" t="inlineStr">
        <is>
          <t xml:space="preserve">XORAZM VILOYATI XONQA TUMANI OXUNBOBOYEV QFY ISTIQLOL MFYDO’STLIK 185-UY</t>
        </is>
      </c>
      <c r="H299" s="105">
        <v>7.0</v>
      </c>
      <c r="I299" s="105">
        <v>3291485.95</v>
      </c>
      <c r="K299" s="104" t="inlineStr">
        <is>
          <t xml:space="preserve">Va'da berdi | 1-2 kunda tolaberamiz dd | 313</t>
        </is>
      </c>
    </row>
    <row r="300">
      <c r="A300" s="104" t="inlineStr">
        <is>
          <t xml:space="preserve">ХОРАЗМ ВИЛОЯТИ</t>
        </is>
      </c>
      <c r="B300" s="104" t="inlineStr">
        <is>
          <t xml:space="preserve">Урганч филиали</t>
        </is>
      </c>
      <c r="C300" s="104" t="inlineStr">
        <is>
          <t xml:space="preserve">Обещал</t>
        </is>
      </c>
      <c r="D300" s="104" t="inlineStr">
        <is>
          <t xml:space="preserve">Кр-99032261-1</t>
        </is>
      </c>
      <c r="E300" s="104" t="inlineStr">
        <is>
          <t xml:space="preserve">QALANDAROV MUNIS IKROMBOYEVICH</t>
        </is>
      </c>
      <c r="F300" s="104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300" s="104" t="inlineStr">
        <is>
          <t xml:space="preserve">XORAZM VILOYATI BO’GOT TUMANI XUNARMAND MFY O’ZBEKISTON KELAJAGI KUCHASI 17-UY</t>
        </is>
      </c>
      <c r="H300" s="105">
        <v>12.0</v>
      </c>
      <c r="I300" s="105">
        <v>2800844.32</v>
      </c>
      <c r="K300" s="104" t="inlineStr">
        <is>
          <t xml:space="preserve">Va'da berdi | ozi rassiyada, adasi bilan gaplashib turibman, 19-sanalarga oylik olib jonatarkan | 384</t>
        </is>
      </c>
    </row>
    <row r="301">
      <c r="A301" s="104" t="inlineStr">
        <is>
          <t xml:space="preserve">ХОРАЗМ ВИЛОЯТИ</t>
        </is>
      </c>
      <c r="B301" s="104" t="inlineStr">
        <is>
          <t xml:space="preserve">Урганч филиали</t>
        </is>
      </c>
      <c r="C301" s="104" t="inlineStr">
        <is>
          <t xml:space="preserve">Обещал</t>
        </is>
      </c>
      <c r="D301" s="104" t="inlineStr">
        <is>
          <t xml:space="preserve">Кр-99041377-1</t>
        </is>
      </c>
      <c r="E301" s="104" t="inlineStr">
        <is>
          <t xml:space="preserve">JUMADURDIYEV BEKTEMIR XAJIYEVICH</t>
        </is>
      </c>
      <c r="F301" s="104" t="inlineStr">
        <is>
          <t xml:space="preserve">998885461411 SMS UZI, 998975133428 SMS ONASI, 998975136424 SMS POCHCHASI,</t>
        </is>
      </c>
      <c r="G301" s="104" t="inlineStr">
        <is>
          <t xml:space="preserve">ҒАЛАБА ҚФЙ, ОБОД МФЙ, ОБОД  КЎЧАСИ,  uy:22</t>
        </is>
      </c>
      <c r="H301" s="105">
        <v>8.0</v>
      </c>
      <c r="I301" s="105">
        <v>2242286.39</v>
      </c>
      <c r="K301" s="104" t="inlineStr">
        <is>
          <t xml:space="preserve">Va'da berdi | 20-sanadan kegin oylik olad ozi usta | 1096</t>
        </is>
      </c>
    </row>
    <row r="302">
      <c r="A302" s="104" t="inlineStr">
        <is>
          <t xml:space="preserve">ХОРАЗМ ВИЛОЯТИ</t>
        </is>
      </c>
      <c r="B302" s="104" t="inlineStr">
        <is>
          <t xml:space="preserve">Урганч филиали</t>
        </is>
      </c>
      <c r="C302" s="104" t="inlineStr">
        <is>
          <t xml:space="preserve">Обещал</t>
        </is>
      </c>
      <c r="D302" s="104" t="inlineStr">
        <is>
          <t xml:space="preserve">Кр-99041136-2</t>
        </is>
      </c>
      <c r="E302" s="104" t="inlineStr">
        <is>
          <t xml:space="preserve">EGAMBERGANOV ALISHER BAXTIYOROVICH</t>
        </is>
      </c>
      <c r="F302" s="104" t="inlineStr">
        <is>
          <t xml:space="preserve">+998948435557 SMS UZI, 998914255457 SMS AYOLI,</t>
        </is>
      </c>
      <c r="G302" s="104" t="inlineStr">
        <is>
          <t xml:space="preserve">Уйшин МФЙ, Зиёлилар кучаси, 7-уй</t>
        </is>
      </c>
      <c r="H302" s="105">
        <v>8.0</v>
      </c>
      <c r="I302" s="105">
        <v>1799494.22</v>
      </c>
      <c r="K302" s="104" t="inlineStr">
        <is>
          <t xml:space="preserve">Va'da berdi | ertaga tolaberad | 1058</t>
        </is>
      </c>
    </row>
    <row r="303">
      <c r="A303" s="104" t="inlineStr">
        <is>
          <t xml:space="preserve">ХОРАЗМ ВИЛОЯТИ</t>
        </is>
      </c>
      <c r="B303" s="104" t="inlineStr">
        <is>
          <t xml:space="preserve">Урганч филиали</t>
        </is>
      </c>
      <c r="C303" s="104" t="inlineStr">
        <is>
          <t xml:space="preserve">Обещал</t>
        </is>
      </c>
      <c r="D303" s="104" t="inlineStr">
        <is>
          <t xml:space="preserve">Кр-99032052-1</t>
        </is>
      </c>
      <c r="E303" s="104" t="inlineStr">
        <is>
          <t xml:space="preserve">BOLTABAYEV ABBOSBEK ANVARBEK O’G’LI</t>
        </is>
      </c>
      <c r="F303" s="104" t="inlineStr">
        <is>
          <t xml:space="preserve">998992874544 SMS O’ZI malyarkada ishlidi, 998335170097 SMS O’ZI 2, 998338860076 SMS OTASI, 998992354544 SMS AYOLI,</t>
        </is>
      </c>
      <c r="G303" s="104" t="inlineStr">
        <is>
          <t xml:space="preserve">XORAZM VILOYATI URGANCH TUMANI OXUNBOBOYEV QFY YUQORI JIRMIZ MFY BIRDAMLIK KUCHASI 3-UY</t>
        </is>
      </c>
      <c r="I303" s="105">
        <v>1595644.57</v>
      </c>
      <c r="K303" s="104" t="inlineStr">
        <is>
          <t xml:space="preserve">Va'da berdi | qisman tolov qildi. Qolgani bugn kechgacha | 380</t>
        </is>
      </c>
    </row>
    <row r="304">
      <c r="A304" s="104" t="inlineStr">
        <is>
          <t xml:space="preserve">ХОРАЗМ ВИЛОЯТИ</t>
        </is>
      </c>
      <c r="B304" s="104" t="inlineStr">
        <is>
          <t xml:space="preserve">Урганч филиали</t>
        </is>
      </c>
      <c r="C304" s="104" t="inlineStr">
        <is>
          <t xml:space="preserve">Обещал</t>
        </is>
      </c>
      <c r="D304" s="104" t="inlineStr">
        <is>
          <t xml:space="preserve">Кр-99040644-2</t>
        </is>
      </c>
      <c r="E304" s="104" t="inlineStr">
        <is>
          <t xml:space="preserve">AVEZOV MAXMUD RUSTAMOVICH</t>
        </is>
      </c>
      <c r="F304" s="104" t="inlineStr">
        <is>
          <t xml:space="preserve">+998770620060 SMS UZI, 998941181977 SMS AYOLI 2, 998959110060 SMS AYOLI,</t>
        </is>
      </c>
      <c r="G304" s="104" t="inlineStr">
        <is>
          <t xml:space="preserve">Хорезмская область, Хазараспский район, Янгибозор ССГ, Алоқали кўл МСГ, ул. Заминдор, дом 109</t>
        </is>
      </c>
      <c r="H304" s="105">
        <v>8.0</v>
      </c>
      <c r="I304" s="105">
        <v>1561321.88</v>
      </c>
      <c r="K304" s="104" t="inlineStr">
        <is>
          <t xml:space="preserve">Va'da berdi | bugun qisman tolov qilad ayoli | 1001</t>
        </is>
      </c>
    </row>
    <row r="305">
      <c r="A305" s="104" t="inlineStr">
        <is>
          <t xml:space="preserve">ХОРАЗМ ВИЛОЯТИ</t>
        </is>
      </c>
      <c r="B305" s="104" t="inlineStr">
        <is>
          <t xml:space="preserve">Урганч филиали</t>
        </is>
      </c>
      <c r="C305" s="104" t="inlineStr">
        <is>
          <t xml:space="preserve">Обещал</t>
        </is>
      </c>
      <c r="D305" s="104" t="inlineStr">
        <is>
          <t xml:space="preserve">Кр-99030615-1</t>
        </is>
      </c>
      <c r="E305" s="104" t="inlineStr">
        <is>
          <t xml:space="preserve">XUDAYBERGANOV MADYAR ALIMOVICH</t>
        </is>
      </c>
      <c r="F305" s="104" t="inlineStr">
        <is>
          <t xml:space="preserve">91-426-02-50  SMS O’ZI, 91-999-40-40  SMS AYOLI, 90-430-44-61  SMS O’G’LI, 95-771-44-61  SMS QIZI,</t>
        </is>
      </c>
      <c r="G305" s="104" t="inlineStr">
        <is>
          <t xml:space="preserve">XORAZM VILOYATI URGANCH TUMANI BO’STON MFY NAVOI KUCHASI 5-UY</t>
        </is>
      </c>
      <c r="H305" s="105">
        <v>4.0</v>
      </c>
      <c r="I305" s="105">
        <v>991734.17</v>
      </c>
      <c r="K305" s="104" t="inlineStr">
        <is>
          <t xml:space="preserve">Va'da berdi | bugun yopad abetdan kegin… qisman tolad | 320</t>
        </is>
      </c>
    </row>
    <row r="306">
      <c r="A306" s="104" t="inlineStr">
        <is>
          <t xml:space="preserve">ХОРАЗМ ВИЛОЯТИ</t>
        </is>
      </c>
      <c r="B306" s="104" t="inlineStr">
        <is>
          <t xml:space="preserve">Урганч филиали</t>
        </is>
      </c>
      <c r="C306" s="104" t="inlineStr">
        <is>
          <t xml:space="preserve">Обещал</t>
        </is>
      </c>
      <c r="D306" s="104" t="inlineStr">
        <is>
          <t xml:space="preserve">Кр-99031403-1</t>
        </is>
      </c>
      <c r="E306" s="104" t="inlineStr">
        <is>
          <t xml:space="preserve">SHARIFOV UMRBEK XASANOVICH</t>
        </is>
      </c>
      <c r="F306" s="104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306" s="104" t="inlineStr">
        <is>
          <t xml:space="preserve">XORAZM VILOYATI AL-XORAZMIY MFY SAMARQAND KUCHA 134-UY</t>
        </is>
      </c>
      <c r="H306" s="105">
        <v>13.0</v>
      </c>
      <c r="I306" s="105">
        <v>628268.48</v>
      </c>
      <c r="K306" s="104" t="inlineStr">
        <is>
          <t xml:space="preserve">Va'da berdi | bugun yopad | 351</t>
        </is>
      </c>
    </row>
    <row r="307">
      <c r="A307" s="104" t="inlineStr">
        <is>
          <t xml:space="preserve">ХОРАЗМ ВИЛОЯТИ</t>
        </is>
      </c>
      <c r="B307" s="104" t="inlineStr">
        <is>
          <t xml:space="preserve">Урганч филиали</t>
        </is>
      </c>
      <c r="C307" s="104" t="inlineStr">
        <is>
          <t xml:space="preserve">Обещал</t>
        </is>
      </c>
      <c r="D307" s="104" t="inlineStr">
        <is>
          <t xml:space="preserve">Кр-99030417-3</t>
        </is>
      </c>
      <c r="E307" s="104" t="inlineStr">
        <is>
          <t xml:space="preserve">ROZIMBETOV XAMDAM BAXADIROVICH</t>
        </is>
      </c>
      <c r="F307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307" s="104" t="inlineStr">
        <is>
          <t xml:space="preserve">ХОРАЗМ ВИЛОЯТИ УРГАНЧ Ш., МАШЪАЛ МФЙ, 176КВАРТАЛ,  uy:241</t>
        </is>
      </c>
      <c r="H307" s="105">
        <v>13.0</v>
      </c>
      <c r="I307" s="105">
        <v>278045.01</v>
      </c>
      <c r="K307" s="104" t="inlineStr">
        <is>
          <t xml:space="preserve">Va'da berdi | bugn kechqurun ogli tolavorad | 307</t>
        </is>
      </c>
    </row>
  </sheetData>
  <autoFilter ref="A2:K307"/>
  <hyperlinks>
    <hyperlink ref="A1" location="'Ввод'!A1" tooltip="Вернуться в отчёт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K81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БУХОРО ВИЛОЯТИ</t>
        </is>
      </c>
      <c r="C3" s="98" t="inlineStr">
        <is>
          <t xml:space="preserve">Дозвон</t>
        </is>
      </c>
      <c r="D3" s="98" t="inlineStr">
        <is>
          <t xml:space="preserve">Кр-99063147-1</t>
        </is>
      </c>
      <c r="E3" s="98" t="inlineStr">
        <is>
          <t xml:space="preserve">YUSUPOV TALGAT RAVILEVICH</t>
        </is>
      </c>
      <c r="F3" s="98" t="inlineStr">
        <is>
          <t xml:space="preserve">+998934589950 SMS O’ZI, 998504052350 SMS AYOLI, 998936202480 SMS QIZI, 998936560151 SMS ONASI,</t>
        </is>
      </c>
      <c r="G3" s="98" t="inlineStr">
        <is>
          <t xml:space="preserve">5-СОН ГАФУР ГУЛОМ НОМЛИ МФЙ, ИФТИХОР КУЧАСИ,  32-UY</t>
        </is>
      </c>
      <c r="H3" s="99">
        <v>8.0</v>
      </c>
      <c r="I3" s="99">
        <v>8437576.39</v>
      </c>
      <c r="J3" s="99">
        <v>8437576.39</v>
      </c>
      <c r="K3" s="98" t="inlineStr">
        <is>
          <t xml:space="preserve">To'ladi</t>
        </is>
      </c>
    </row>
    <row r="4">
      <c r="A4" s="98" t="inlineStr">
        <is>
          <t xml:space="preserve">БУХОРО ВИЛОЯТИ</t>
        </is>
      </c>
      <c r="C4" s="98" t="inlineStr">
        <is>
          <t xml:space="preserve">Дозвон</t>
        </is>
      </c>
      <c r="D4" s="98" t="inlineStr">
        <is>
          <t xml:space="preserve">Кр-99038186-1</t>
        </is>
      </c>
      <c r="E4" s="98" t="inlineStr">
        <is>
          <t xml:space="preserve">SA’DULLAYEVA ROXILLA SADULLO QIZI</t>
        </is>
      </c>
      <c r="F4" s="98" t="inlineStr">
        <is>
          <t xml:space="preserve">998933094290 SMS OZI, 998993803457 SMS QUDASI, 998990943457 SMS SINGLISI,</t>
        </is>
      </c>
      <c r="G4" s="98" t="inlineStr">
        <is>
          <t xml:space="preserve">BUXORO VILOYATI BUXORO TUMANI, QALQO QISHLOG'I, 4-MUYILISH, 8-UY </t>
        </is>
      </c>
      <c r="H4" s="99">
        <v>1.0</v>
      </c>
      <c r="I4" s="99">
        <v>7600197.61</v>
      </c>
      <c r="J4" s="99">
        <v>7600197.61</v>
      </c>
      <c r="K4" s="98" t="inlineStr">
        <is>
          <t xml:space="preserve">To'ladi</t>
        </is>
      </c>
    </row>
    <row r="5">
      <c r="A5" s="98" t="inlineStr">
        <is>
          <t xml:space="preserve">БУХОРО ВИЛОЯТИ</t>
        </is>
      </c>
      <c r="C5" s="98" t="inlineStr">
        <is>
          <t xml:space="preserve">Дозвон</t>
        </is>
      </c>
      <c r="D5" s="98" t="inlineStr">
        <is>
          <t xml:space="preserve">Кр-99040789-2</t>
        </is>
      </c>
      <c r="E5" s="98" t="inlineStr">
        <is>
          <t xml:space="preserve">DJURAYEVA SHAXINABONU ERKIN QIZI</t>
        </is>
      </c>
      <c r="F5" s="98" t="inlineStr">
        <is>
          <t xml:space="preserve">+998882100226 SMS O’ZI, 998772011384 SMS ONASI, 998991035070 SMS OTASI, 998997982977 SMS ZALAGADATEL,</t>
        </is>
      </c>
      <c r="G5" s="98" t="inlineStr">
        <is>
          <t xml:space="preserve">Уртачул МФЙ, Урта-Чул қишлоғи, 26-уй</t>
        </is>
      </c>
      <c r="H5" s="99">
        <v>8.0</v>
      </c>
      <c r="I5" s="99">
        <v>3150032.52</v>
      </c>
      <c r="J5" s="99">
        <v>3150032.52</v>
      </c>
      <c r="K5" s="98" t="inlineStr">
        <is>
          <t xml:space="preserve">To'ladi</t>
        </is>
      </c>
    </row>
    <row r="6">
      <c r="A6" s="98" t="inlineStr">
        <is>
          <t xml:space="preserve">БУХОРО ВИЛОЯТИ</t>
        </is>
      </c>
      <c r="C6" s="98" t="inlineStr">
        <is>
          <t xml:space="preserve">Объезд</t>
        </is>
      </c>
      <c r="D6" s="98" t="inlineStr">
        <is>
          <t xml:space="preserve">Кр-99027688-2</t>
        </is>
      </c>
      <c r="E6" s="98" t="inlineStr">
        <is>
          <t xml:space="preserve">HUSENOV BARNO HASANOVICH</t>
        </is>
      </c>
      <c r="F6" s="98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6" s="98" t="inlineStr">
        <is>
          <t xml:space="preserve">АРАБХОНА МФЙ, АРАБХОНА,</t>
        </is>
      </c>
      <c r="H6" s="99">
        <v>8.0</v>
      </c>
      <c r="I6" s="99">
        <v>2968080.06</v>
      </c>
      <c r="J6" s="99">
        <v>2968080.06</v>
      </c>
      <c r="K6" s="98" t="inlineStr">
        <is>
          <t xml:space="preserve">Uyiga borildi - to'ladi</t>
        </is>
      </c>
    </row>
    <row r="7">
      <c r="A7" s="98" t="inlineStr">
        <is>
          <t xml:space="preserve">БУХОРО ВИЛОЯТИ</t>
        </is>
      </c>
      <c r="C7" s="98" t="inlineStr">
        <is>
          <t xml:space="preserve">Дозвон</t>
        </is>
      </c>
      <c r="D7" s="98" t="inlineStr">
        <is>
          <t xml:space="preserve">Кр-99062944-1</t>
        </is>
      </c>
      <c r="E7" s="98" t="inlineStr">
        <is>
          <t xml:space="preserve">SAMIYEV DOSTONBEK TAVAKKALZODA</t>
        </is>
      </c>
      <c r="F7" s="98" t="inlineStr">
        <is>
          <t xml:space="preserve">+998882814800 SMS O’ZI, 998505068777 SMS UKASI, 998883064800 SMS UKASI, 998883440311 SMS ONASI,</t>
        </is>
      </c>
      <c r="G7" s="98" t="inlineStr">
        <is>
          <t xml:space="preserve">BUXORO VILOYATI SHOFIRKON TUMANI G’ULOMTE MFY G’ULOMTE QISHLOG’I</t>
        </is>
      </c>
      <c r="H7" s="99">
        <v>8.0</v>
      </c>
      <c r="I7" s="99">
        <v>2105616.6</v>
      </c>
      <c r="J7" s="99">
        <v>2105616.6</v>
      </c>
      <c r="K7" s="98" t="inlineStr">
        <is>
          <t xml:space="preserve">To'ladi | filialga naxt tolangan</t>
        </is>
      </c>
    </row>
    <row r="8">
      <c r="A8" s="98" t="inlineStr">
        <is>
          <t xml:space="preserve">БУХОРО ВИЛОЯТИ</t>
        </is>
      </c>
      <c r="C8" s="98" t="inlineStr">
        <is>
          <t xml:space="preserve">Дозвон</t>
        </is>
      </c>
      <c r="D8" s="98" t="inlineStr">
        <is>
          <t xml:space="preserve">Кр-99040456-1</t>
        </is>
      </c>
      <c r="E8" s="98" t="inlineStr">
        <is>
          <t xml:space="preserve">TEMIROV NODIRBEK G’OLIBJON OG’LI</t>
        </is>
      </c>
      <c r="F8" s="98" t="inlineStr">
        <is>
          <t xml:space="preserve">998902981307 SMS OZI, 998995556077 SMS AMAKISI, 998918381398 SMS OTASI, 998906110811 SMS ONASI,</t>
        </is>
      </c>
      <c r="G8" s="98" t="inlineStr">
        <is>
          <t xml:space="preserve">BUXORO VILOYATI G'IJDUVON TUMANI ZARANGARI MFY, BO'LAKIYON QISHLOG'I 36-UY </t>
        </is>
      </c>
      <c r="H8" s="99">
        <v>8.0</v>
      </c>
      <c r="I8" s="99">
        <v>1432784.75</v>
      </c>
      <c r="J8" s="99">
        <v>1432784.75</v>
      </c>
      <c r="K8" s="98" t="inlineStr">
        <is>
          <t xml:space="preserve">To'ladi | filialga</t>
        </is>
      </c>
    </row>
    <row r="9">
      <c r="A9" s="98" t="inlineStr">
        <is>
          <t xml:space="preserve">БУХОРО ВИЛОЯТИ</t>
        </is>
      </c>
      <c r="C9" s="98" t="inlineStr">
        <is>
          <t xml:space="preserve">Дозвон</t>
        </is>
      </c>
      <c r="D9" s="98" t="inlineStr">
        <is>
          <t xml:space="preserve">Кр-99049403-1</t>
        </is>
      </c>
      <c r="E9" s="98" t="inlineStr">
        <is>
          <t xml:space="preserve">NAVRO’ZOV AZIZBEK HAYDAROVICH</t>
        </is>
      </c>
      <c r="F9" s="98" t="inlineStr">
        <is>
          <t xml:space="preserve">+998882827877 SMS O’ZI, 998914030464 SMS ONASI, 998936515100 SMS AKASI, 998973056003 SMS AKASI,</t>
        </is>
      </c>
      <c r="G9" s="98" t="inlineStr">
        <is>
          <t xml:space="preserve">BUXORO VILOYATI BUXORO TUMANI RABOTAK MFY YANGIOBOD KO’CHASI 118-UY</t>
        </is>
      </c>
      <c r="H9" s="99">
        <v>8.0</v>
      </c>
      <c r="I9" s="99">
        <v>1118758.28</v>
      </c>
      <c r="J9" s="99">
        <v>1118758.28</v>
      </c>
      <c r="K9" s="98" t="inlineStr">
        <is>
          <t xml:space="preserve">To'ladi</t>
        </is>
      </c>
    </row>
    <row r="10">
      <c r="A10" s="98" t="inlineStr">
        <is>
          <t xml:space="preserve">БУХОРО ВИЛОЯТИ</t>
        </is>
      </c>
      <c r="C10" s="98" t="inlineStr">
        <is>
          <t xml:space="preserve">Дозвон</t>
        </is>
      </c>
      <c r="D10" s="98" t="inlineStr">
        <is>
          <t xml:space="preserve">Кр-99057614-1</t>
        </is>
      </c>
      <c r="E10" s="98" t="inlineStr">
        <is>
          <t xml:space="preserve">RASULOV XAKIM RO’ZIYEVICH</t>
        </is>
      </c>
      <c r="F10" s="98" t="inlineStr">
        <is>
          <t xml:space="preserve">998914413241 SMS UZI, 998943434898 SMS UGLI, 998914158714 SMS TURMUSH O'RTOG'I, 998919256826 ozi2,</t>
        </is>
      </c>
      <c r="G10" s="98" t="inlineStr">
        <is>
          <t xml:space="preserve">NAVOIY VILOYATI,KOMNIMEX TUMANI,YUKSALISH MFY,CHORDARA QISHLOG'I,37 UY</t>
        </is>
      </c>
      <c r="H10" s="99">
        <v>8.0</v>
      </c>
      <c r="I10" s="99">
        <v>1007128.85</v>
      </c>
      <c r="J10" s="99">
        <v>1007128.85</v>
      </c>
      <c r="K10" s="98" t="inlineStr">
        <is>
          <t xml:space="preserve">To'ladi</t>
        </is>
      </c>
    </row>
    <row r="11">
      <c r="A11" s="98" t="inlineStr">
        <is>
          <t xml:space="preserve">БУХОРО ВИЛОЯТИ</t>
        </is>
      </c>
      <c r="C11" s="98" t="inlineStr">
        <is>
          <t xml:space="preserve">Дозвон</t>
        </is>
      </c>
      <c r="D11" s="98" t="inlineStr">
        <is>
          <t xml:space="preserve">Кр-99035271-1</t>
        </is>
      </c>
      <c r="E11" s="98" t="inlineStr">
        <is>
          <t xml:space="preserve">ERGASHEV MADAT MAXMUDOVICH</t>
        </is>
      </c>
      <c r="F11" s="98" t="inlineStr">
        <is>
          <t xml:space="preserve">998951410082 SMS O’ZI begona, 998883078283 SMS AYOLI, 998939756160 SMS ONASI, 998880830140 SMS UY, 998882854888 узи, 998879650920 кизи,</t>
        </is>
      </c>
      <c r="G11" s="98" t="inlineStr">
        <is>
          <t xml:space="preserve">BUXORO VILOYATI SHOFIRKON TUMANI, XO'JA ORIF MFY, XO'JA ORIF KO'CHASI, 201-UY </t>
        </is>
      </c>
      <c r="H11" s="99">
        <v>1.0</v>
      </c>
      <c r="I11" s="99">
        <v>54.48</v>
      </c>
      <c r="J11" s="99">
        <v>54.48</v>
      </c>
      <c r="K11" s="98" t="inlineStr">
        <is>
          <t xml:space="preserve">To'ladi</t>
        </is>
      </c>
    </row>
    <row r="12">
      <c r="A12" s="100" t="inlineStr">
        <is>
          <t xml:space="preserve">ЖИЗЗАХ ВИЛОЯТИ</t>
        </is>
      </c>
      <c r="C12" s="100" t="inlineStr">
        <is>
          <t xml:space="preserve">Объезд</t>
        </is>
      </c>
      <c r="D12" s="100" t="inlineStr">
        <is>
          <t xml:space="preserve">Кр-99036112-1</t>
        </is>
      </c>
      <c r="E12" s="100" t="inlineStr">
        <is>
          <t xml:space="preserve">O’TASHEV RAVSHAN BOXTIYOR O’G’LI</t>
        </is>
      </c>
      <c r="F12" s="100" t="inlineStr">
        <is>
          <t xml:space="preserve">998991037766 SMS OZI, 998946525295 SMS AKA TOLOVCHI, 998946738436 SMS AYOLI TOLOVCHI, 998944973835 SMS AYOLI, 998958735995 SMS TOLOVCHI,</t>
        </is>
      </c>
      <c r="G12" s="100" t="inlineStr">
        <is>
          <t xml:space="preserve">JIZZAX VILOYATI MIRZACHUL TUMANI PAXTAZOR SHFY BUNYODKOR KUCHASI 38-UY 2-XONADON </t>
        </is>
      </c>
      <c r="H12" s="101">
        <v>42.0</v>
      </c>
      <c r="I12" s="101">
        <v>6829564.88</v>
      </c>
      <c r="J12" s="101">
        <v>6829564.88</v>
      </c>
      <c r="K12" s="100" t="inlineStr">
        <is>
          <t xml:space="preserve">Uyiga borildi - to'ladi | mowin olingan</t>
        </is>
      </c>
    </row>
    <row r="13">
      <c r="A13" s="100" t="inlineStr">
        <is>
          <t xml:space="preserve">ЖИЗЗАХ ВИЛОЯТИ</t>
        </is>
      </c>
      <c r="C13" s="100" t="inlineStr">
        <is>
          <t xml:space="preserve">Дозвон</t>
        </is>
      </c>
      <c r="D13" s="100" t="inlineStr">
        <is>
          <t xml:space="preserve">Кр-99028616-4</t>
        </is>
      </c>
      <c r="E13" s="100" t="inlineStr">
        <is>
          <t xml:space="preserve">MALLAYEV SHUXRAT BOSIMOVICH</t>
        </is>
      </c>
      <c r="F13" s="100" t="inlineStr">
        <is>
          <t xml:space="preserve">93-301-00-66 SMS O'ZI, 93-301-07-54 SMS AYOLI, 93-301-06-96 SMS SIN, 99-245-90-99 SMS SIN 2, 998945450550 Eldor  ogli , 998992169079 tulovchi, 998997563446 tulovchi,</t>
        </is>
      </c>
      <c r="G13" s="100" t="inlineStr">
        <is>
          <t xml:space="preserve">JIZZAX VILOYATI JIZZAX TUMANI QANGLI MFY TARAQLI KUCHASI 13-UY</t>
        </is>
      </c>
      <c r="H13" s="101">
        <v>8.0</v>
      </c>
      <c r="I13" s="101">
        <v>6576640.74</v>
      </c>
      <c r="J13" s="101">
        <v>6576640.74</v>
      </c>
      <c r="K13" s="100" t="inlineStr">
        <is>
          <t xml:space="preserve">To'ladi</t>
        </is>
      </c>
    </row>
    <row r="14">
      <c r="A14" s="100" t="inlineStr">
        <is>
          <t xml:space="preserve">ЖИЗЗАХ ВИЛОЯТИ</t>
        </is>
      </c>
      <c r="C14" s="100" t="inlineStr">
        <is>
          <t xml:space="preserve">Дозвон</t>
        </is>
      </c>
      <c r="D14" s="100" t="inlineStr">
        <is>
          <t xml:space="preserve">Кр-99033288-1</t>
        </is>
      </c>
      <c r="E14" s="100" t="inlineStr">
        <is>
          <t xml:space="preserve">KENJAYEVA MUHABBAT XOLQUZIYEVNA</t>
        </is>
      </c>
      <c r="F14" s="100" t="inlineStr">
        <is>
          <t xml:space="preserve">998995277527 SMS O’ZI, 998932993392 SMS QIZI, 990982993399 SMS KUYOVI,</t>
        </is>
      </c>
      <c r="G14" s="100" t="inlineStr">
        <is>
          <t xml:space="preserve">JIZZAX VILOYATI SH RASHIDOV TUMANI QAHRAMON MFY TURKISTON KUCHASI 42-UY </t>
        </is>
      </c>
      <c r="H14" s="101">
        <v>11.0</v>
      </c>
      <c r="I14" s="101">
        <v>4835015.52</v>
      </c>
      <c r="J14" s="101">
        <v>4835015.52</v>
      </c>
      <c r="K14" s="100" t="inlineStr">
        <is>
          <t xml:space="preserve">To'ladi</t>
        </is>
      </c>
    </row>
    <row r="15">
      <c r="A15" s="100" t="inlineStr">
        <is>
          <t xml:space="preserve">ЖИЗЗАХ ВИЛОЯТИ</t>
        </is>
      </c>
      <c r="C15" s="100" t="inlineStr">
        <is>
          <t xml:space="preserve">Дозвон</t>
        </is>
      </c>
      <c r="D15" s="100" t="inlineStr">
        <is>
          <t xml:space="preserve">Кр-99040359-1</t>
        </is>
      </c>
      <c r="E15" s="100" t="inlineStr">
        <is>
          <t xml:space="preserve">KOMOLJONOV IXTIYOR BAXTIYOROVICH</t>
        </is>
      </c>
      <c r="F15" s="100" t="inlineStr">
        <is>
          <t xml:space="preserve">998999434941 SMS OZI, 998194149412 SMS OZI2, 998901828688 SMS AYOLI,</t>
        </is>
      </c>
      <c r="G15" s="100" t="inlineStr">
        <is>
          <t xml:space="preserve">JIZZAX VILOYATI JIZZAX TUMANI ZIYOKOR MFY ABDUQAHHOR KUCHASI 42-UY </t>
        </is>
      </c>
      <c r="H15" s="101">
        <v>8.0</v>
      </c>
      <c r="I15" s="101">
        <v>4215460.21</v>
      </c>
      <c r="J15" s="101">
        <v>4215460.21</v>
      </c>
      <c r="K15" s="100" t="inlineStr">
        <is>
          <t xml:space="preserve">To'ladi</t>
        </is>
      </c>
    </row>
    <row r="16">
      <c r="A16" s="100" t="inlineStr">
        <is>
          <t xml:space="preserve">ЖИЗЗАХ ВИЛОЯТИ</t>
        </is>
      </c>
      <c r="C16" s="100" t="inlineStr">
        <is>
          <t xml:space="preserve">Дозвон</t>
        </is>
      </c>
      <c r="D16" s="100" t="inlineStr">
        <is>
          <t xml:space="preserve">Кр-99039305-1</t>
        </is>
      </c>
      <c r="E16" s="100" t="inlineStr">
        <is>
          <t xml:space="preserve">G’ANIYEV LAZIZ G’ULOM O’G’LI</t>
        </is>
      </c>
      <c r="F16" s="100" t="inlineStr">
        <is>
          <t xml:space="preserve">998952401313 SMS OZI, 998975682026 SMS ONASI, 998915682026 SMS DADASI, 998950895353 SMS UKASI,</t>
        </is>
      </c>
      <c r="G16" s="100" t="inlineStr">
        <is>
          <t xml:space="preserve">JIZZAX VILOYATI SH.RASHIDOV TUMANI SOVUNGARLIK MFY MAROQAND KUCHASI 52-UY </t>
        </is>
      </c>
      <c r="H16" s="101">
        <v>13.0</v>
      </c>
      <c r="I16" s="101">
        <v>2861348.66</v>
      </c>
      <c r="J16" s="101">
        <v>2861348.66</v>
      </c>
      <c r="K16" s="100" t="inlineStr">
        <is>
          <t xml:space="preserve">To'ladi</t>
        </is>
      </c>
    </row>
    <row r="17">
      <c r="A17" s="100" t="inlineStr">
        <is>
          <t xml:space="preserve">ЖИЗЗАХ ВИЛОЯТИ</t>
        </is>
      </c>
      <c r="C17" s="100" t="inlineStr">
        <is>
          <t xml:space="preserve">Дозвон</t>
        </is>
      </c>
      <c r="D17" s="100" t="inlineStr">
        <is>
          <t xml:space="preserve">Кр-99033588-1</t>
        </is>
      </c>
      <c r="E17" s="100" t="inlineStr">
        <is>
          <t xml:space="preserve">ESHQULOV ANVAR AXMATOVICH</t>
        </is>
      </c>
      <c r="F17" s="100" t="inlineStr">
        <is>
          <t xml:space="preserve">998915647757 SMS O’ZI, 999830732622 SMS O’ZI 2, 998933028868 SMS AYOLI, 998991682525 SMS SINGLI,</t>
        </is>
      </c>
      <c r="G17" s="100" t="inlineStr">
        <is>
          <t xml:space="preserve">JIZZAX VILOYATI JIZZAX SHAHRI ZARGARLIK MFY 12-UY 5 XONADON </t>
        </is>
      </c>
      <c r="H17" s="101">
        <v>1.0</v>
      </c>
      <c r="I17" s="101">
        <v>2141957.35</v>
      </c>
      <c r="J17" s="101">
        <v>2141957.35</v>
      </c>
      <c r="K17" s="100" t="inlineStr">
        <is>
          <t xml:space="preserve">To'ladi</t>
        </is>
      </c>
    </row>
    <row r="18">
      <c r="A18" s="100" t="inlineStr">
        <is>
          <t xml:space="preserve">ЖИЗЗАХ ВИЛОЯТИ</t>
        </is>
      </c>
      <c r="C18" s="100" t="inlineStr">
        <is>
          <t xml:space="preserve">Дозвон</t>
        </is>
      </c>
      <c r="D18" s="100" t="inlineStr">
        <is>
          <t xml:space="preserve">Кр-99023067-3</t>
        </is>
      </c>
      <c r="E18" s="100" t="inlineStr">
        <is>
          <t xml:space="preserve">XURSANOV ODIL OLIM O’G’LI</t>
        </is>
      </c>
      <c r="F18" s="100" t="inlineStr">
        <is>
          <t xml:space="preserve">88-025-41-14  SMS O’ZI, 94-567-66-44 SMS UKASI, 97-648-97-07  SMS UY, 99-046-56-79  SMS AKASI, 998934385777 SMS UKASI, 998773344114 New ozi,</t>
        </is>
      </c>
      <c r="G18" s="100" t="inlineStr">
        <is>
          <t xml:space="preserve">JIZZZAX VILOYATI ZAFAROBOD TUMANI LOLAZOR QFY X.OLIMJON KUCHASI 1/2-XONADON</t>
        </is>
      </c>
      <c r="H18" s="101">
        <v>13.0</v>
      </c>
      <c r="I18" s="101">
        <v>1985508.2</v>
      </c>
      <c r="J18" s="101">
        <v>1985508.2</v>
      </c>
      <c r="K18" s="100" t="inlineStr">
        <is>
          <t xml:space="preserve">To'ladi</t>
        </is>
      </c>
    </row>
    <row r="19">
      <c r="A19" s="100" t="inlineStr">
        <is>
          <t xml:space="preserve">ЖИЗЗАХ ВИЛОЯТИ</t>
        </is>
      </c>
      <c r="C19" s="100" t="inlineStr">
        <is>
          <t xml:space="preserve">Дозвон</t>
        </is>
      </c>
      <c r="D19" s="100" t="inlineStr">
        <is>
          <t xml:space="preserve">Кр-99062952-1</t>
        </is>
      </c>
      <c r="E19" s="100" t="inlineStr">
        <is>
          <t xml:space="preserve">OCHILOVA DILFUZA URALBOYEVNA</t>
        </is>
      </c>
      <c r="F19" s="100" t="inlineStr">
        <is>
          <t xml:space="preserve">998931755565 O’G’LI, 998942217575 ERI,</t>
        </is>
      </c>
      <c r="G19" s="100" t="inlineStr">
        <is>
          <t xml:space="preserve">Дустлик МФЙ, Сарой кучаси, 24-уй</t>
        </is>
      </c>
      <c r="H19" s="101">
        <v>8.0</v>
      </c>
      <c r="I19" s="101">
        <v>1753023.22</v>
      </c>
      <c r="J19" s="101">
        <v>1753023.22</v>
      </c>
      <c r="K19" s="100" t="inlineStr">
        <is>
          <t xml:space="preserve">To'ladi</t>
        </is>
      </c>
    </row>
    <row r="20">
      <c r="A20" s="100" t="inlineStr">
        <is>
          <t xml:space="preserve">ЖИЗЗАХ ВИЛОЯТИ</t>
        </is>
      </c>
      <c r="C20" s="100" t="inlineStr">
        <is>
          <t xml:space="preserve">Дозвон</t>
        </is>
      </c>
      <c r="D20" s="100" t="inlineStr">
        <is>
          <t xml:space="preserve">Кр-99013156-3</t>
        </is>
      </c>
      <c r="E20" s="100" t="inlineStr">
        <is>
          <t xml:space="preserve">XOLDAROV BAXTIYOR ALIM O’G’LI</t>
        </is>
      </c>
      <c r="F20" s="100" t="inlineStr">
        <is>
          <t xml:space="preserve">998933552200 SMS UZI, 998937015455 SMS AYOLI, 998952810022 SMS UZI 2, 998993272200 SMS BEGONA, 998773652200 SMS BAXTIYOR NEW,</t>
        </is>
      </c>
      <c r="G20" s="100" t="inlineStr">
        <is>
          <t xml:space="preserve">JIZZAX VILOYATI PAXTAKOR TUMANI MINGCHINOR QFY PANG’AT QISHLOG’I MANAVIYAT KUCHASI 1-UY</t>
        </is>
      </c>
      <c r="H20" s="101">
        <v>5.0</v>
      </c>
      <c r="I20" s="101">
        <v>1732593.68</v>
      </c>
      <c r="J20" s="101">
        <v>1732593.68</v>
      </c>
      <c r="K20" s="100" t="inlineStr">
        <is>
          <t xml:space="preserve">To'ladi</t>
        </is>
      </c>
    </row>
    <row r="21">
      <c r="A21" s="100" t="inlineStr">
        <is>
          <t xml:space="preserve">ЖИЗЗАХ ВИЛОЯТИ</t>
        </is>
      </c>
      <c r="C21" s="100" t="inlineStr">
        <is>
          <t xml:space="preserve">Дозвон</t>
        </is>
      </c>
      <c r="D21" s="100" t="inlineStr">
        <is>
          <t xml:space="preserve">Кр-99046629-4</t>
        </is>
      </c>
      <c r="E21" s="100" t="inlineStr">
        <is>
          <t xml:space="preserve">UMAROV VAXOB VALIYEVICH</t>
        </is>
      </c>
      <c r="F21" s="100" t="inlineStr">
        <is>
          <t xml:space="preserve">+998904908890 SMS, 998940358890 SMS, 998999968799 SMS, 998993662364 SMS,</t>
        </is>
      </c>
      <c r="G21" s="100" t="inlineStr">
        <is>
          <t xml:space="preserve">Джизакская область, Джизак г., Хамзаобод, Ойбек, дом 23</t>
        </is>
      </c>
      <c r="H21" s="101">
        <v>8.0</v>
      </c>
      <c r="I21" s="101">
        <v>1437770.97</v>
      </c>
      <c r="J21" s="101">
        <v>1437770.97</v>
      </c>
      <c r="K21" s="100" t="inlineStr">
        <is>
          <t xml:space="preserve">To'ladi</t>
        </is>
      </c>
    </row>
    <row r="22">
      <c r="A22" s="100" t="inlineStr">
        <is>
          <t xml:space="preserve">ЖИЗЗАХ ВИЛОЯТИ</t>
        </is>
      </c>
      <c r="C22" s="100" t="inlineStr">
        <is>
          <t xml:space="preserve">Дозвон</t>
        </is>
      </c>
      <c r="D22" s="100" t="inlineStr">
        <is>
          <t xml:space="preserve">Кр-99013156-2</t>
        </is>
      </c>
      <c r="E22" s="100" t="inlineStr">
        <is>
          <t xml:space="preserve">XOLDAROV BAXTIYOR ALIM O’G’LI</t>
        </is>
      </c>
      <c r="F22" s="100" t="inlineStr">
        <is>
          <t xml:space="preserve">998933552200 SMS UZI, 998937015455 SMS AYOLI, 998952810022 SMS UZI 2, 998993272200 SMS BEGONA, 998773652200 SMS BAXTIYOR NEW,</t>
        </is>
      </c>
      <c r="G22" s="100" t="inlineStr">
        <is>
          <t xml:space="preserve">JIZZAX VILOYATI PAXTAKOR TUMANI MINGCHINOR QFY PANG’AT QISHLOG’I MANAVIYAT KUCHASI 1-UY</t>
        </is>
      </c>
      <c r="H22" s="101">
        <v>6.0</v>
      </c>
      <c r="I22" s="101">
        <v>1330322.85</v>
      </c>
      <c r="J22" s="101">
        <v>1330322.85</v>
      </c>
      <c r="K22" s="100" t="inlineStr">
        <is>
          <t xml:space="preserve">To'ladi</t>
        </is>
      </c>
    </row>
    <row r="23">
      <c r="A23" s="100" t="inlineStr">
        <is>
          <t xml:space="preserve">ЖИЗЗАХ ВИЛОЯТИ</t>
        </is>
      </c>
      <c r="C23" s="100" t="inlineStr">
        <is>
          <t xml:space="preserve">Дозвон</t>
        </is>
      </c>
      <c r="D23" s="100" t="inlineStr">
        <is>
          <t xml:space="preserve">Кр-99040359-2</t>
        </is>
      </c>
      <c r="E23" s="100" t="inlineStr">
        <is>
          <t xml:space="preserve">KOMOLJONOV IXTIYOR BAXTIYOROVICH</t>
        </is>
      </c>
      <c r="F23" s="100" t="inlineStr">
        <is>
          <t xml:space="preserve">998999434941 SMS OZI, 998194149412 SMS OZI2, 998901828688 SMS AYOLI,</t>
        </is>
      </c>
      <c r="G23" s="100" t="inlineStr">
        <is>
          <t xml:space="preserve">JIZZAX VILOYATI JIZZAX TUMANI ZIYOKOR MFY ABDUQAHHOR KUCHASI 42-UY </t>
        </is>
      </c>
      <c r="H23" s="101">
        <v>8.0</v>
      </c>
      <c r="I23" s="101">
        <v>1117075.27</v>
      </c>
      <c r="J23" s="101">
        <v>1117075.27</v>
      </c>
      <c r="K23" s="100" t="inlineStr">
        <is>
          <t xml:space="preserve">To'ladi</t>
        </is>
      </c>
    </row>
    <row r="24">
      <c r="A24" s="100" t="inlineStr">
        <is>
          <t xml:space="preserve">ЖИЗЗАХ ВИЛОЯТИ</t>
        </is>
      </c>
      <c r="C24" s="100" t="inlineStr">
        <is>
          <t xml:space="preserve">Дозвон</t>
        </is>
      </c>
      <c r="D24" s="100" t="inlineStr">
        <is>
          <t xml:space="preserve">Кр-99046629-1</t>
        </is>
      </c>
      <c r="E24" s="100" t="inlineStr">
        <is>
          <t xml:space="preserve">UMAROV VAXOB VALIYEVICH</t>
        </is>
      </c>
      <c r="F24" s="100" t="inlineStr">
        <is>
          <t xml:space="preserve">+998904908890 SMS, 998940358890 SMS, 998999968799 SMS, 998993662364 SMS,</t>
        </is>
      </c>
      <c r="G24" s="100" t="inlineStr">
        <is>
          <t xml:space="preserve">Джизакская область, Джизак г., Хамзаобод, Ойбек, дом 23</t>
        </is>
      </c>
      <c r="H24" s="101">
        <v>8.0</v>
      </c>
      <c r="I24" s="101">
        <v>1009358.79</v>
      </c>
      <c r="J24" s="101">
        <v>1009358.79</v>
      </c>
      <c r="K24" s="100" t="inlineStr">
        <is>
          <t xml:space="preserve">To'ladi</t>
        </is>
      </c>
    </row>
    <row r="25">
      <c r="A25" s="100" t="inlineStr">
        <is>
          <t xml:space="preserve">ЖИЗЗАХ ВИЛОЯТИ</t>
        </is>
      </c>
      <c r="C25" s="100" t="inlineStr">
        <is>
          <t xml:space="preserve">Дозвон</t>
        </is>
      </c>
      <c r="D25" s="100" t="inlineStr">
        <is>
          <t xml:space="preserve">Кр-99028616-3</t>
        </is>
      </c>
      <c r="E25" s="100" t="inlineStr">
        <is>
          <t xml:space="preserve">MALLAYEV SHUXRAT BOSIMOVICH</t>
        </is>
      </c>
      <c r="F25" s="100" t="inlineStr">
        <is>
          <t xml:space="preserve">93-301-00-66 SMS O'ZI, 93-301-07-54 SMS AYOLI, 93-301-06-96 SMS SIN, 99-245-90-99 SMS SIN 2, 998945450550 Eldor  ogli , 998992169079 tulovchi, 998997563446 tulovchi,</t>
        </is>
      </c>
      <c r="G25" s="100" t="inlineStr">
        <is>
          <t xml:space="preserve">JIZZAX VILOYATI JIZZAX TUMANI QANGLI MFY TARAQLI KUCHASI 13-UY</t>
        </is>
      </c>
      <c r="I25" s="101">
        <v>574655.15</v>
      </c>
      <c r="J25" s="101">
        <v>574655.15</v>
      </c>
      <c r="K25" s="100" t="inlineStr">
        <is>
          <t xml:space="preserve">To'ladi</t>
        </is>
      </c>
    </row>
    <row r="26">
      <c r="A26" s="100" t="inlineStr">
        <is>
          <t xml:space="preserve">ЖИЗЗАХ ВИЛОЯТИ</t>
        </is>
      </c>
      <c r="C26" s="100" t="inlineStr">
        <is>
          <t xml:space="preserve">Дозвон</t>
        </is>
      </c>
      <c r="D26" s="100" t="inlineStr">
        <is>
          <t xml:space="preserve">Кр-99045776-1</t>
        </is>
      </c>
      <c r="E26" s="100" t="inlineStr">
        <is>
          <t xml:space="preserve">USMONOV ZUXRIDDIN MUXTOROVICH</t>
        </is>
      </c>
      <c r="F26" s="100" t="inlineStr">
        <is>
          <t xml:space="preserve">998943454563 SMS, 998976411165 SMS, 998979951965 SMS,</t>
        </is>
      </c>
      <c r="G26" s="100" t="inlineStr">
        <is>
          <t xml:space="preserve">JIZZAX VILOYATI DUSTLIK TUMANI QAXRAMON MFY GOLIBLAR KUCHASI 18-UY</t>
        </is>
      </c>
      <c r="I26" s="101">
        <v>302318.5</v>
      </c>
      <c r="J26" s="101">
        <v>302318.5</v>
      </c>
      <c r="K26" s="100" t="inlineStr">
        <is>
          <t xml:space="preserve">To'ladi</t>
        </is>
      </c>
    </row>
    <row r="27">
      <c r="A27" s="100" t="inlineStr">
        <is>
          <t xml:space="preserve">ЖИЗЗАХ ВИЛОЯТИ</t>
        </is>
      </c>
      <c r="C27" s="100" t="inlineStr">
        <is>
          <t xml:space="preserve">Дозвон</t>
        </is>
      </c>
      <c r="D27" s="100" t="inlineStr">
        <is>
          <t xml:space="preserve">Кр-99033705-2</t>
        </is>
      </c>
      <c r="E27" s="100" t="inlineStr">
        <is>
          <t xml:space="preserve">ABDIYEV IBRAIM RAXMONOVICH</t>
        </is>
      </c>
      <c r="F27" s="100" t="inlineStr">
        <is>
          <t xml:space="preserve">998937753867 SMS O’ZI, 998937723867 SMS AYOLI, 998931210076 SMS UKASI, 998948762276 SMS OVSINI,</t>
        </is>
      </c>
      <c r="G27" s="100" t="inlineStr">
        <is>
          <t xml:space="preserve">JIZZAX VILOYATI ZAFAROBOD TUMANI UZUN QFY MUSTAQILLIK KUCHASI 24-UY </t>
        </is>
      </c>
      <c r="H27" s="101">
        <v>8.0</v>
      </c>
      <c r="I27" s="101">
        <v>57382.22</v>
      </c>
      <c r="J27" s="101">
        <v>57382.22</v>
      </c>
      <c r="K27" s="100" t="inlineStr">
        <is>
          <t xml:space="preserve">To'ladi</t>
        </is>
      </c>
    </row>
    <row r="28">
      <c r="A28" s="102" t="inlineStr">
        <is>
          <t xml:space="preserve">КАШКАДАРЁ ВИЛОЯТИ</t>
        </is>
      </c>
      <c r="B28" s="102" t="inlineStr">
        <is>
          <t xml:space="preserve">SUPER BRANCH</t>
        </is>
      </c>
      <c r="C28" s="102" t="inlineStr">
        <is>
          <t xml:space="preserve">Объезд</t>
        </is>
      </c>
      <c r="D28" s="102" t="inlineStr">
        <is>
          <t xml:space="preserve">Кр-99041785-1</t>
        </is>
      </c>
      <c r="E28" s="102" t="inlineStr">
        <is>
          <t xml:space="preserve">ABDIRAXMONOV USMON FARMON O’G’LI</t>
        </is>
      </c>
      <c r="F28" s="102" t="inlineStr">
        <is>
          <t xml:space="preserve">998997194818 SMS OZI, 998919101910 SMS DOSTI, 998930724818 SMS UYI,</t>
        </is>
      </c>
      <c r="G28" s="102" t="inlineStr">
        <is>
          <t xml:space="preserve">QASHQADARYO VILOYATI QARSHI TUMANI ROVOT MFY S.NASAFIY KO’CHASI 85-UY</t>
        </is>
      </c>
      <c r="H28" s="103">
        <v>8.0</v>
      </c>
      <c r="I28" s="103">
        <v>4260208.17</v>
      </c>
      <c r="J28" s="103">
        <v>4260208.17</v>
      </c>
      <c r="K28" s="102" t="inlineStr">
        <is>
          <t xml:space="preserve">Uyiga borildi - to'ladi</t>
        </is>
      </c>
    </row>
    <row r="29">
      <c r="A29" s="102" t="inlineStr">
        <is>
          <t xml:space="preserve">КАШКАДАРЁ ВИЛОЯТИ</t>
        </is>
      </c>
      <c r="B29" s="102" t="inlineStr">
        <is>
          <t xml:space="preserve">SUPER BRANCH</t>
        </is>
      </c>
      <c r="C29" s="102" t="inlineStr">
        <is>
          <t xml:space="preserve">Объезд</t>
        </is>
      </c>
      <c r="D29" s="102" t="inlineStr">
        <is>
          <t xml:space="preserve">Кр-99062619-1</t>
        </is>
      </c>
      <c r="E29" s="102" t="inlineStr">
        <is>
          <t xml:space="preserve">QURBANOV BAXODIR JURAYEVICH</t>
        </is>
      </c>
      <c r="F29" s="102" t="inlineStr">
        <is>
          <t xml:space="preserve">998940074848 узи, 998908819989 аели, 998913206851 дадаси, 998919624032 онаси,</t>
        </is>
      </c>
      <c r="G29" s="102" t="inlineStr">
        <is>
          <t xml:space="preserve">QASHQADARYO VILOYATI MUBORAK TUMANI BOBUR MFY BOBUR KUCHASI 1-UY 27-XONADON</t>
        </is>
      </c>
      <c r="H29" s="103">
        <v>8.0</v>
      </c>
      <c r="I29" s="103">
        <v>2852315.93</v>
      </c>
      <c r="J29" s="103">
        <v>2852315.93</v>
      </c>
      <c r="K29" s="102" t="inlineStr">
        <is>
          <t xml:space="preserve">Uyiga borildi - to'ladi</t>
        </is>
      </c>
    </row>
    <row r="30">
      <c r="A30" s="102" t="inlineStr">
        <is>
          <t xml:space="preserve">КАШКАДАРЁ ВИЛОЯТИ</t>
        </is>
      </c>
      <c r="B30" s="102" t="inlineStr">
        <is>
          <t xml:space="preserve">SUPER BRANCH</t>
        </is>
      </c>
      <c r="C30" s="102" t="inlineStr">
        <is>
          <t xml:space="preserve">Дозвон</t>
        </is>
      </c>
      <c r="D30" s="102" t="inlineStr">
        <is>
          <t xml:space="preserve">Кр-99036546-1</t>
        </is>
      </c>
      <c r="E30" s="102" t="inlineStr">
        <is>
          <t xml:space="preserve">YULDASHEV RUSTAM QURBONAZAR O’G’LI</t>
        </is>
      </c>
      <c r="F30" s="102" t="inlineStr">
        <is>
          <t xml:space="preserve">998976711771 SMS OZI, 998987770193 SMS OZI 2, 998904252808 SMS OILASI , 998880062055 SMS AKASI ,</t>
        </is>
      </c>
      <c r="G30" s="102" t="inlineStr">
        <is>
          <t xml:space="preserve">QASHQADARYO VILOYATI G’UZOR TUMANI ERKIN KUCHASI 27-UY</t>
        </is>
      </c>
      <c r="I30" s="103">
        <v>971135.03</v>
      </c>
      <c r="J30" s="103">
        <v>971135.03</v>
      </c>
      <c r="K30" s="102" t="inlineStr">
        <is>
          <t xml:space="preserve">To'ladi</t>
        </is>
      </c>
    </row>
    <row r="31">
      <c r="A31" s="102" t="inlineStr">
        <is>
          <t xml:space="preserve">КАШКАДАРЁ ВИЛОЯТИ</t>
        </is>
      </c>
      <c r="B31" s="102" t="inlineStr">
        <is>
          <t xml:space="preserve">SUPER BRANCH</t>
        </is>
      </c>
      <c r="C31" s="102" t="inlineStr">
        <is>
          <t xml:space="preserve">Дозвон</t>
        </is>
      </c>
      <c r="D31" s="102" t="inlineStr">
        <is>
          <t xml:space="preserve">Кр-99060392-1</t>
        </is>
      </c>
      <c r="E31" s="102" t="inlineStr">
        <is>
          <t xml:space="preserve">RO’ZIYEV JASURBEK ABDURASULOVICH</t>
        </is>
      </c>
      <c r="F31" s="102" t="inlineStr">
        <is>
          <t xml:space="preserve">998881132930 узи, 998990742930 онаси, 998990762930 отаси, 998995652930 акаси,</t>
        </is>
      </c>
      <c r="G31" s="102" t="inlineStr">
        <is>
          <t xml:space="preserve">QASHQADARYO VILOYATI KASBI TUMANI NAZARTEPA MFY NAZARTEPA KUCHASI 12-UY  42-MAKTAB</t>
        </is>
      </c>
      <c r="H31" s="103">
        <v>8.0</v>
      </c>
      <c r="I31" s="103">
        <v>60492.42</v>
      </c>
      <c r="J31" s="103">
        <v>60492.42</v>
      </c>
      <c r="K31" s="102" t="inlineStr">
        <is>
          <t xml:space="preserve">To'ladi</t>
        </is>
      </c>
    </row>
    <row r="32">
      <c r="A32" s="102" t="inlineStr">
        <is>
          <t xml:space="preserve">КАШКАДАРЁ ВИЛОЯТИ</t>
        </is>
      </c>
      <c r="B32" s="102" t="inlineStr">
        <is>
          <t xml:space="preserve">SUPER BRANCH</t>
        </is>
      </c>
      <c r="C32" s="102" t="inlineStr">
        <is>
          <t xml:space="preserve">Объезд</t>
        </is>
      </c>
      <c r="D32" s="102" t="inlineStr">
        <is>
          <t xml:space="preserve">Кр-99034450-3</t>
        </is>
      </c>
      <c r="E32" s="102" t="inlineStr">
        <is>
          <t xml:space="preserve">MAHMATQOBILOV ELBEK PULAT O’G’LI</t>
        </is>
      </c>
      <c r="F32" s="102" t="inlineStr">
        <is>
          <t xml:space="preserve">998957714245 SMS O’ZI, 998505882555 SMS DO’STI, 998934943260 SMS AYOLI, 998958830199 SMS OTASI,</t>
        </is>
      </c>
      <c r="G32" s="102" t="inlineStr">
        <is>
          <t xml:space="preserve">ЧАМБИЛ МФЙ, ОКЧОВА,  uy:83.</t>
        </is>
      </c>
      <c r="H32" s="103">
        <v>8.0</v>
      </c>
      <c r="I32" s="103">
        <v>21815.95</v>
      </c>
      <c r="J32" s="103">
        <v>21815.95</v>
      </c>
      <c r="K32" s="102" t="inlineStr">
        <is>
          <t xml:space="preserve">Uyiga borildi - to'ladi</t>
        </is>
      </c>
    </row>
    <row r="33">
      <c r="A33" s="104" t="inlineStr">
        <is>
          <t xml:space="preserve">КАШКАДАРЁ ВИЛОЯТИ</t>
        </is>
      </c>
      <c r="B33" s="104" t="inlineStr">
        <is>
          <t xml:space="preserve">Қарши филиали</t>
        </is>
      </c>
      <c r="C33" s="104" t="inlineStr">
        <is>
          <t xml:space="preserve">Дозвон</t>
        </is>
      </c>
      <c r="D33" s="104" t="inlineStr">
        <is>
          <t xml:space="preserve">Кр-99036280-4</t>
        </is>
      </c>
      <c r="E33" s="104" t="inlineStr">
        <is>
          <t xml:space="preserve">DJURAYEV URAL NORTULAYEVICH</t>
        </is>
      </c>
      <c r="F33" s="104" t="inlineStr">
        <is>
          <t xml:space="preserve">998973133705 SMS OZI, 998886389305 SMS AYOLI, 998882214343 SMS AKASI, 998970706311 SMS UKASI,</t>
        </is>
      </c>
      <c r="G33" s="104" t="inlineStr">
        <is>
          <t xml:space="preserve">КАШКАДАРЁ ВИЛОЯТИ КОСОН ТУМАНИ Эсабой МФЙ Эсабой кучаси 11 уй</t>
        </is>
      </c>
      <c r="H33" s="105">
        <v>8.0</v>
      </c>
      <c r="I33" s="105">
        <v>3169494.35</v>
      </c>
      <c r="J33" s="105">
        <v>3169494.35</v>
      </c>
      <c r="K33" s="104" t="inlineStr">
        <is>
          <t xml:space="preserve">To'ladi</t>
        </is>
      </c>
    </row>
    <row r="34">
      <c r="A34" s="104" t="inlineStr">
        <is>
          <t xml:space="preserve">КАШКАДАРЁ ВИЛОЯТИ</t>
        </is>
      </c>
      <c r="B34" s="104" t="inlineStr">
        <is>
          <t xml:space="preserve">Қарши филиали</t>
        </is>
      </c>
      <c r="C34" s="104" t="inlineStr">
        <is>
          <t xml:space="preserve">Объезд</t>
        </is>
      </c>
      <c r="D34" s="104" t="inlineStr">
        <is>
          <t xml:space="preserve">Кр-99029105-1</t>
        </is>
      </c>
      <c r="E34" s="104" t="inlineStr">
        <is>
          <t xml:space="preserve">MAHMUDOV OLIM OTAQULOVICH</t>
        </is>
      </c>
      <c r="F34" s="104" t="inlineStr">
        <is>
          <t xml:space="preserve">95-178-02-25 SMS OZI TULOVCHISI, 99-152-62-55 SMS ONASI, 97-803-97-77  SMS AYOLI, 97-743-33-66 SMS ZALOGADATEL, 98-366-82-72 SMS ZALOGADATEL, 998777420100 UZI NEWW,</t>
        </is>
      </c>
      <c r="G34" s="104" t="inlineStr">
        <is>
          <t xml:space="preserve">QASHQADARYO VILOYATI QARSHI TUMANI CHAROG'ON QFY 33-UY</t>
        </is>
      </c>
      <c r="H34" s="105">
        <v>12.0</v>
      </c>
      <c r="I34" s="105">
        <v>1223525.66</v>
      </c>
      <c r="J34" s="105">
        <v>1223525.66</v>
      </c>
      <c r="K34" s="104" t="inlineStr">
        <is>
          <t xml:space="preserve">Uyiga borildi - to'ladi</t>
        </is>
      </c>
    </row>
    <row r="35">
      <c r="A35" s="104" t="inlineStr">
        <is>
          <t xml:space="preserve">КАШКАДАРЁ ВИЛОЯТИ</t>
        </is>
      </c>
      <c r="B35" s="104" t="inlineStr">
        <is>
          <t xml:space="preserve">Қарши филиали</t>
        </is>
      </c>
      <c r="C35" s="104" t="inlineStr">
        <is>
          <t xml:space="preserve">Дозвон</t>
        </is>
      </c>
      <c r="D35" s="104" t="inlineStr">
        <is>
          <t xml:space="preserve">Кр-99063664-1</t>
        </is>
      </c>
      <c r="E35" s="104" t="inlineStr">
        <is>
          <t xml:space="preserve">SULTONOV BAHRIDDIN MURODILLOYEVICH</t>
        </is>
      </c>
      <c r="F35" s="104" t="inlineStr">
        <is>
          <t xml:space="preserve">+998872130901 SMS O'GLI, 998952201072 SMS, 998992596974 SMS,</t>
        </is>
      </c>
      <c r="G35" s="104" t="inlineStr">
        <is>
          <t xml:space="preserve">КАШКАДАРЁ ВИЛОЯТИ МИРИШКОР ТУМАНИ ЯНГИ МИРИШКОР МФЙ УЗБЕКИСТОН КУЧАСИ 149 УЙ</t>
        </is>
      </c>
      <c r="H35" s="105">
        <v>8.0</v>
      </c>
      <c r="I35" s="105">
        <v>397730.59</v>
      </c>
      <c r="J35" s="105">
        <v>397730.59</v>
      </c>
      <c r="K35" s="104" t="inlineStr">
        <is>
          <t xml:space="preserve">To'ladi</t>
        </is>
      </c>
    </row>
    <row r="36">
      <c r="A36" s="106" t="inlineStr">
        <is>
          <t xml:space="preserve">КОРАКАЛПОГИСТОН РЕСПУБЛИКАСИ</t>
        </is>
      </c>
      <c r="C36" s="106" t="inlineStr">
        <is>
          <t xml:space="preserve">Дозвон</t>
        </is>
      </c>
      <c r="D36" s="106" t="inlineStr">
        <is>
          <t xml:space="preserve">Кр-99041972-1</t>
        </is>
      </c>
      <c r="E36" s="106" t="inlineStr">
        <is>
          <t xml:space="preserve">TORENIYAZOV IKLASBAY PISHENOVICH</t>
        </is>
      </c>
      <c r="F36" s="106" t="inlineStr">
        <is>
          <t xml:space="preserve">+998907017280 OZI, 998904201880 OYALI, 998992005100 OGLI,</t>
        </is>
      </c>
      <c r="G36" s="106" t="inlineStr">
        <is>
          <t xml:space="preserve">Республика Каракалпакстан, Ходжейлийский район, Бунёдкор МФЙ, ул. Касип-ауыл, дом 34</t>
        </is>
      </c>
      <c r="H36" s="107">
        <v>8.0</v>
      </c>
      <c r="I36" s="107">
        <v>4267388.77</v>
      </c>
      <c r="J36" s="107">
        <v>4267388.77</v>
      </c>
      <c r="K36" s="106" t="inlineStr">
        <is>
          <t xml:space="preserve">20KUNI OYLIGIMDAN TO'LEMAN DEDI QISMAN TO'LADILA  XOTINI BN GAPLASHDIM JUDA QO'POL EKAN MOLDE GAPIRDI O'ZIYAM BEZNESMEN EKAN | 1149 | Uyiga borildi - va'da berdi</t>
        </is>
      </c>
    </row>
    <row r="37">
      <c r="A37" s="106" t="inlineStr">
        <is>
          <t xml:space="preserve">КОРАКАЛПОГИСТОН РЕСПУБЛИКАСИ</t>
        </is>
      </c>
      <c r="C37" s="106" t="inlineStr">
        <is>
          <t xml:space="preserve">Дозвон</t>
        </is>
      </c>
      <c r="D37" s="106" t="inlineStr">
        <is>
          <t xml:space="preserve">Кр-99042377-1</t>
        </is>
      </c>
      <c r="E37" s="106" t="inlineStr">
        <is>
          <t xml:space="preserve">DJEKSENBAEVA IRINA DJANBIRAEVNA</t>
        </is>
      </c>
      <c r="F37" s="106" t="inlineStr">
        <is>
          <t xml:space="preserve">998882145959 OZI, 998904244011 OGLI, 998919332729 QIZI,</t>
        </is>
      </c>
      <c r="G37" s="106" t="inlineStr">
        <is>
          <t xml:space="preserve">QARAQALPOGISTON RESPUBLIKASI NUKUS SHAHAR  Nauriz MFY, Minar ko’chasi, 8-uy</t>
        </is>
      </c>
      <c r="H37" s="107">
        <v>8.0</v>
      </c>
      <c r="I37" s="107">
        <v>4211268.31</v>
      </c>
      <c r="J37" s="107">
        <v>4211268.31</v>
      </c>
      <c r="K37" s="106" t="inlineStr">
        <is>
          <t xml:space="preserve">QISMAN TO'LADI 2-3 KUNDA YANA TASHLAYDI AJDANIYA TUSHDIM | 1163 | Va'da berdi</t>
        </is>
      </c>
    </row>
    <row r="38">
      <c r="A38" s="106" t="inlineStr">
        <is>
          <t xml:space="preserve">КОРАКАЛПОГИСТОН РЕСПУБЛИКАСИ</t>
        </is>
      </c>
      <c r="C38" s="106" t="inlineStr">
        <is>
          <t xml:space="preserve">Дозвон</t>
        </is>
      </c>
      <c r="D38" s="106" t="inlineStr">
        <is>
          <t xml:space="preserve">Кр-99039490-1</t>
        </is>
      </c>
      <c r="E38" s="106" t="inlineStr">
        <is>
          <t xml:space="preserve">SAFARBAYEV SUROJ ROZUMBAYEVICH</t>
        </is>
      </c>
      <c r="F38" s="106" t="inlineStr">
        <is>
          <t xml:space="preserve">998970834467 SMS OZI, 998770929111 SMS AYOLI, 998335387575 SMS DOSTI, 998919911936 SMS OZI 2, 998991193691 SMS OZI NEWW,</t>
        </is>
      </c>
      <c r="G38" s="106" t="inlineStr">
        <is>
          <t xml:space="preserve">QORAQALPOG’ISTON RESPUBLIKASI AMUDARYO TUMANI QIZILCHOLI MFY,YOSHLAR HIYOBONI 31-UY,32-XONADON</t>
        </is>
      </c>
      <c r="H38" s="107">
        <v>6.0</v>
      </c>
      <c r="I38" s="107">
        <v>2508202.81</v>
      </c>
      <c r="J38" s="107">
        <v>2508202.81</v>
      </c>
      <c r="K38" s="106" t="inlineStr">
        <is>
          <t xml:space="preserve">BU BUGUN QISMAN TO'LADILA | 877 | To'ladi</t>
        </is>
      </c>
    </row>
    <row r="39">
      <c r="A39" s="106" t="inlineStr">
        <is>
          <t xml:space="preserve">КОРАКАЛПОГИСТОН РЕСПУБЛИКАСИ</t>
        </is>
      </c>
      <c r="C39" s="106" t="inlineStr">
        <is>
          <t xml:space="preserve">Дозвон</t>
        </is>
      </c>
      <c r="D39" s="106" t="inlineStr">
        <is>
          <t xml:space="preserve">Кр-99060322-1</t>
        </is>
      </c>
      <c r="E39" s="106" t="inlineStr">
        <is>
          <t xml:space="preserve">SABUROV SAYLAUBAY KIPSHAKBAEVICH</t>
        </is>
      </c>
      <c r="F39" s="106" t="inlineStr">
        <is>
          <t xml:space="preserve">998912685577 SMS OZI, 998907017858 SMS AYOLI, 998994765545 SMS OGLI, 998935660520 SMS OGLI,</t>
        </is>
      </c>
      <c r="G39" s="106" t="inlineStr">
        <is>
          <t xml:space="preserve">QARAQALPOGISTON RES NUKUS TUMANI KIRANTOV OFY NURANIY KUSHASI 35 UY </t>
        </is>
      </c>
      <c r="H39" s="107">
        <v>8.0</v>
      </c>
      <c r="I39" s="107">
        <v>1239161.85</v>
      </c>
      <c r="J39" s="107">
        <v>1239161.85</v>
      </c>
      <c r="K39" s="106" t="inlineStr">
        <is>
          <t xml:space="preserve">to'ladi | 1517 | To'ladi</t>
        </is>
      </c>
    </row>
    <row r="40">
      <c r="A40" s="108" t="inlineStr">
        <is>
          <t xml:space="preserve">НАВОИЙ ВИЛОЯТИ</t>
        </is>
      </c>
      <c r="C40" s="108" t="inlineStr">
        <is>
          <t xml:space="preserve">Дозвон</t>
        </is>
      </c>
      <c r="D40" s="108" t="inlineStr">
        <is>
          <t xml:space="preserve">Кр-99063882-2</t>
        </is>
      </c>
      <c r="E40" s="108" t="inlineStr">
        <is>
          <t xml:space="preserve">TESHAYEV HOJIKURBON TO’XTAMURODOVICH</t>
        </is>
      </c>
      <c r="F40" s="108" t="inlineStr">
        <is>
          <t xml:space="preserve">998912525911 O’G’LI, 998914314545 O’ZI, 998991304500 UKASI,913314545</t>
        </is>
      </c>
      <c r="G40" s="108" t="inlineStr">
        <is>
          <t xml:space="preserve">RABOT QISHLOG’I 203 UY</t>
        </is>
      </c>
      <c r="H40" s="109">
        <v>8.0</v>
      </c>
      <c r="I40" s="109">
        <v>9516018.99</v>
      </c>
      <c r="J40" s="109">
        <v>9516018.99</v>
      </c>
      <c r="K40" s="108" t="inlineStr">
        <is>
          <t xml:space="preserve">To'ladi</t>
        </is>
      </c>
    </row>
    <row r="41">
      <c r="A41" s="108" t="inlineStr">
        <is>
          <t xml:space="preserve">НАВОИЙ ВИЛОЯТИ</t>
        </is>
      </c>
      <c r="C41" s="108" t="inlineStr">
        <is>
          <t xml:space="preserve">Дозвон</t>
        </is>
      </c>
      <c r="D41" s="108" t="inlineStr">
        <is>
          <t xml:space="preserve">Кр-99063878-2</t>
        </is>
      </c>
      <c r="E41" s="108" t="inlineStr">
        <is>
          <t xml:space="preserve">SANOQULOV JASUR SUVON O’G’LI</t>
        </is>
      </c>
      <c r="F41" s="108" t="inlineStr">
        <is>
          <t xml:space="preserve">998777612272 O’ZI, 998991642772 AYOLI, 998993753426 O’G’LI,</t>
        </is>
      </c>
      <c r="G41" s="108" t="inlineStr">
        <is>
          <t xml:space="preserve">NAVOIY VILOYATI NAVBAHOR TUMANI ARABXONA MFY ARABXONA SHOX KO’CHASI 200 UY</t>
        </is>
      </c>
      <c r="H41" s="109">
        <v>8.0</v>
      </c>
      <c r="I41" s="109">
        <v>5452116.25</v>
      </c>
      <c r="J41" s="109">
        <v>5452116.25</v>
      </c>
      <c r="K41" s="108" t="inlineStr">
        <is>
          <t xml:space="preserve">To'ladi | bugun tolidi</t>
        </is>
      </c>
    </row>
    <row r="42">
      <c r="A42" s="108" t="inlineStr">
        <is>
          <t xml:space="preserve">НАВОИЙ ВИЛОЯТИ</t>
        </is>
      </c>
      <c r="C42" s="108" t="inlineStr">
        <is>
          <t xml:space="preserve">Дозвон</t>
        </is>
      </c>
      <c r="D42" s="108" t="inlineStr">
        <is>
          <t xml:space="preserve">Кр-99040301-1</t>
        </is>
      </c>
      <c r="E42" s="108" t="inlineStr">
        <is>
          <t xml:space="preserve">SHARIPOV SHERZOD NABIYEVICH</t>
        </is>
      </c>
      <c r="F42" s="108" t="inlineStr">
        <is>
          <t xml:space="preserve">998913302929 SMS OZI, 998912510707 SMS AKASI, 998901253625 SMS OTASI, 998121007702 SMS OZI 2,</t>
        </is>
      </c>
      <c r="G42" s="108" t="inlineStr">
        <is>
          <t xml:space="preserve">NAVOIY VILOYATI,QIZILTEPA TUMANI,RABOT MFY, MANZILOBOD KO’CHASI, 127 UY</t>
        </is>
      </c>
      <c r="H42" s="109">
        <v>8.0</v>
      </c>
      <c r="I42" s="109">
        <v>5026680.12</v>
      </c>
      <c r="J42" s="109">
        <v>5026680.12</v>
      </c>
      <c r="K42" s="108" t="inlineStr">
        <is>
          <t xml:space="preserve">To'ladi | tolandi</t>
        </is>
      </c>
    </row>
    <row r="43">
      <c r="A43" s="108" t="inlineStr">
        <is>
          <t xml:space="preserve">НАВОИЙ ВИЛОЯТИ</t>
        </is>
      </c>
      <c r="C43" s="108" t="inlineStr">
        <is>
          <t xml:space="preserve">Дозвон</t>
        </is>
      </c>
      <c r="D43" s="108" t="inlineStr">
        <is>
          <t xml:space="preserve">Кр-99064038-1</t>
        </is>
      </c>
      <c r="E43" s="108" t="inlineStr">
        <is>
          <t xml:space="preserve">SANAKULOVA MALOXAT ISOMITDINOVNA</t>
        </is>
      </c>
      <c r="F43" s="108" t="inlineStr">
        <is>
          <t xml:space="preserve">998937590414 O’ZI, 998937771430 O’G’LI,</t>
        </is>
      </c>
      <c r="G43" s="108" t="inlineStr">
        <is>
          <t xml:space="preserve">ZARGAR KO’CHASI 32 UY</t>
        </is>
      </c>
      <c r="H43" s="109">
        <v>8.0</v>
      </c>
      <c r="I43" s="109">
        <v>1089191.68</v>
      </c>
      <c r="J43" s="109">
        <v>1089191.68</v>
      </c>
      <c r="K43" s="108" t="inlineStr">
        <is>
          <t xml:space="preserve">To'ladi | qisman ertaga qoganini tolidi</t>
        </is>
      </c>
    </row>
    <row r="44">
      <c r="A44" s="108" t="inlineStr">
        <is>
          <t xml:space="preserve">НАВОИЙ ВИЛОЯТИ</t>
        </is>
      </c>
      <c r="C44" s="108" t="inlineStr">
        <is>
          <t xml:space="preserve">Дозвон</t>
        </is>
      </c>
      <c r="D44" s="108" t="inlineStr">
        <is>
          <t xml:space="preserve">Кр-99063138-1</t>
        </is>
      </c>
      <c r="E44" s="108" t="inlineStr">
        <is>
          <t xml:space="preserve">KARIMOV ILHOMJON IKRAMOVICH</t>
        </is>
      </c>
      <c r="F44" s="108" t="inlineStr">
        <is>
          <t xml:space="preserve">998931482717 AYOLI, 998934389278 OG’LI,</t>
        </is>
      </c>
      <c r="G44" s="108" t="inlineStr">
        <is>
          <t xml:space="preserve">Кармана кучаси 117 уй</t>
        </is>
      </c>
      <c r="H44" s="109">
        <v>8.0</v>
      </c>
      <c r="I44" s="109">
        <v>117592.87</v>
      </c>
      <c r="J44" s="109">
        <v>117592.87</v>
      </c>
      <c r="K44" s="108" t="inlineStr">
        <is>
          <t xml:space="preserve">To'ladi</t>
        </is>
      </c>
    </row>
    <row r="45">
      <c r="A45" s="108" t="inlineStr">
        <is>
          <t xml:space="preserve">НАВОИЙ ВИЛОЯТИ</t>
        </is>
      </c>
      <c r="C45" s="108" t="inlineStr">
        <is>
          <t xml:space="preserve">Дозвон</t>
        </is>
      </c>
      <c r="D45" s="108" t="inlineStr">
        <is>
          <t xml:space="preserve">Кр-99036692-1</t>
        </is>
      </c>
      <c r="E45" s="108" t="inlineStr">
        <is>
          <t xml:space="preserve">SHODIYEVA FERUZA G’AFFOROVNA</t>
        </is>
      </c>
      <c r="F45" s="108" t="inlineStr">
        <is>
          <t xml:space="preserve">998919901871 SMS OZI, 998931793787 SMS JIYANI faqat shunga qilinsin shu xal qiladi,</t>
        </is>
      </c>
      <c r="G45" s="108" t="inlineStr">
        <is>
          <t xml:space="preserve">NAVOIY VILOYATI QIZILTEPA TUMANI A.NAVOIY MFY O'ZBEKISTON SHOX KO'CHASI 13-UY 14-XONADON</t>
        </is>
      </c>
      <c r="H45" s="109">
        <v>1.0</v>
      </c>
      <c r="I45" s="109">
        <v>28423.81</v>
      </c>
      <c r="J45" s="109">
        <v>28423.81</v>
      </c>
      <c r="K45" s="108" t="inlineStr">
        <is>
          <t xml:space="preserve">To'ladi | ozim yoptirdim\</t>
        </is>
      </c>
    </row>
    <row r="46">
      <c r="A46" s="110" t="inlineStr">
        <is>
          <t xml:space="preserve">НАМАНГАН ВИЛОЯТИ</t>
        </is>
      </c>
      <c r="C46" s="110" t="inlineStr">
        <is>
          <t xml:space="preserve">Дозвон</t>
        </is>
      </c>
      <c r="D46" s="110" t="inlineStr">
        <is>
          <t xml:space="preserve">Кр-99063910-1</t>
        </is>
      </c>
      <c r="E46" s="110" t="inlineStr">
        <is>
          <t xml:space="preserve">QOZAQOVA AZIZAXON SOBITXANOVNA</t>
        </is>
      </c>
      <c r="F46" s="110" t="inlineStr">
        <is>
          <t xml:space="preserve">+998990775453 SMS O’ZI, 998934053116 SMS O’G’LI, 998934075455 SMS O’G’LI,</t>
        </is>
      </c>
      <c r="G46" s="110" t="inlineStr">
        <is>
          <t xml:space="preserve">НАМАНГАН ВИЛОЯТИ УЧҚЎРҒОН ТУМАНИ ТУРКИСТОН МФЙ ПАРВОЗ КЎЧАСИ 104 УЙ 1 КОРПУС 43 ХОНАДОН</t>
        </is>
      </c>
      <c r="H46" s="111">
        <v>8.0</v>
      </c>
      <c r="I46" s="111">
        <v>1832838.74</v>
      </c>
      <c r="J46" s="111">
        <v>1832838.74</v>
      </c>
      <c r="K46" s="110" t="inlineStr">
        <is>
          <t xml:space="preserve">To'ladi | yopildi</t>
        </is>
      </c>
    </row>
    <row r="47">
      <c r="A47" s="112" t="inlineStr">
        <is>
          <t xml:space="preserve">САМАРКАНД ВИЛОЯТИ</t>
        </is>
      </c>
      <c r="C47" s="112" t="inlineStr">
        <is>
          <t xml:space="preserve">Объезд</t>
        </is>
      </c>
      <c r="D47" s="112" t="inlineStr">
        <is>
          <t xml:space="preserve">Кр-99026954-6</t>
        </is>
      </c>
      <c r="E47" s="112" t="inlineStr">
        <is>
          <t xml:space="preserve">AXROROV MEXROJ MASHRAFOVICH</t>
        </is>
      </c>
      <c r="F47" s="112" t="inlineStr">
        <is>
          <t xml:space="preserve">99-783-00-20 SMS OZI tolovchi, 33-799-20-20 SMS UKASI, 91-702-64-03 SMS AYASI, 97-958-70-11 SMS AKASI, +998992719999 Primary phone from road24( БЕГОНА), 998992719999 Primary phone from road24( БЕГОНА),</t>
        </is>
      </c>
      <c r="G47" s="112" t="inlineStr">
        <is>
          <t xml:space="preserve">SAMARQAND VILOYATI SAMARQAND TUMANI QO’SHTAMG’ALI QFY JO’YISOY MFY</t>
        </is>
      </c>
      <c r="H47" s="113">
        <v>8.0</v>
      </c>
      <c r="I47" s="113">
        <v>5150210.36</v>
      </c>
      <c r="J47" s="113">
        <v>5150210.36</v>
      </c>
      <c r="K47" s="112" t="inlineStr">
        <is>
          <t xml:space="preserve">Uyiga borildi - to'ladi | yopildi</t>
        </is>
      </c>
    </row>
    <row r="48">
      <c r="A48" s="112" t="inlineStr">
        <is>
          <t xml:space="preserve">САМАРКАНД ВИЛОЯТИ</t>
        </is>
      </c>
      <c r="C48" s="112" t="inlineStr">
        <is>
          <t xml:space="preserve">Дозвон</t>
        </is>
      </c>
      <c r="D48" s="112" t="inlineStr">
        <is>
          <t xml:space="preserve">Кр-99062707-1</t>
        </is>
      </c>
      <c r="E48" s="112" t="inlineStr">
        <is>
          <t xml:space="preserve">HIMMATOV BAHODIRJON KOMILJON O’G’LI</t>
        </is>
      </c>
      <c r="F48" s="112" t="inlineStr">
        <is>
          <t xml:space="preserve">998933004133 SMS OZI, 998947512220 SMS AYOLI, 998503004173 SMS UKASI, 998944707407 SMS DADASI,</t>
        </is>
      </c>
      <c r="G48" s="112" t="inlineStr">
        <is>
          <t xml:space="preserve">SAMARQAND VILOYATI TAYLOQ TUMANI BOG'IZOG'ON MFY BOG'IZOG'ON QISHLOG'I </t>
        </is>
      </c>
      <c r="H48" s="113">
        <v>13.0</v>
      </c>
      <c r="I48" s="113">
        <v>4801208.75</v>
      </c>
      <c r="J48" s="113">
        <v>4801208.75</v>
      </c>
      <c r="K48" s="112" t="inlineStr">
        <is>
          <t xml:space="preserve">To'ladi | yopildi</t>
        </is>
      </c>
    </row>
    <row r="49">
      <c r="A49" s="112" t="inlineStr">
        <is>
          <t xml:space="preserve">САМАРКАНД ВИЛОЯТИ</t>
        </is>
      </c>
      <c r="C49" s="112" t="inlineStr">
        <is>
          <t xml:space="preserve">Объезд</t>
        </is>
      </c>
      <c r="D49" s="112" t="inlineStr">
        <is>
          <t xml:space="preserve">Кр-99038198-2</t>
        </is>
      </c>
      <c r="E49" s="112" t="inlineStr">
        <is>
          <t xml:space="preserve">ABDUVOXIDOVA MAVLYUDA TOLIBOVNA</t>
        </is>
      </c>
      <c r="F49" s="112" t="inlineStr">
        <is>
          <t xml:space="preserve">998902878483 SMS OZI, 998976156009 SMS ONASI, 998995514083 SMS SINGLISI, 998905059100 SMS YANGASI, +998902878483 SMS OZI,</t>
        </is>
      </c>
      <c r="G49" s="112" t="inlineStr">
        <is>
          <t xml:space="preserve">SAMARQAND VILOYATI PAYARIQ TUMANI JAVSHAR OTA MFY XIROSON KUCHASI 26-UY</t>
        </is>
      </c>
      <c r="H49" s="113">
        <v>8.0</v>
      </c>
      <c r="I49" s="113">
        <v>4146568.54</v>
      </c>
      <c r="J49" s="113">
        <v>4146568.54</v>
      </c>
      <c r="K49" s="112" t="inlineStr">
        <is>
          <t xml:space="preserve">Uyiga borildi - to'ladi | yopildi</t>
        </is>
      </c>
    </row>
    <row r="50">
      <c r="A50" s="112" t="inlineStr">
        <is>
          <t xml:space="preserve">САМАРКАНД ВИЛОЯТИ</t>
        </is>
      </c>
      <c r="C50" s="112" t="inlineStr">
        <is>
          <t xml:space="preserve">Объезд</t>
        </is>
      </c>
      <c r="D50" s="112" t="inlineStr">
        <is>
          <t xml:space="preserve">Кр-99040279-1</t>
        </is>
      </c>
      <c r="E50" s="112" t="inlineStr">
        <is>
          <t xml:space="preserve">PARDAYEV MUHAMMAD ISLOMJON O’G’LI</t>
        </is>
      </c>
      <c r="F50" s="112" t="inlineStr">
        <is>
          <t xml:space="preserve">998901030414 SMS OZI, 998915316369 SMS ZALOGATEL , 998906000208 SMS AKASI tulovchi,</t>
        </is>
      </c>
      <c r="G50" s="112" t="inlineStr">
        <is>
          <t xml:space="preserve">SAMARQAND VILOYATI PASTDARG'OM TUMANI QUYI DARG'OM MFY YOSHLAR KUCHASI 9-UY</t>
        </is>
      </c>
      <c r="H50" s="113">
        <v>8.0</v>
      </c>
      <c r="I50" s="113">
        <v>3306336.04</v>
      </c>
      <c r="J50" s="113">
        <v>3306336.04</v>
      </c>
      <c r="K50" s="112" t="inlineStr">
        <is>
          <t xml:space="preserve">Uyiga borildi - to'ladi | yopildi</t>
        </is>
      </c>
    </row>
    <row r="51">
      <c r="A51" s="112" t="inlineStr">
        <is>
          <t xml:space="preserve">САМАРКАНД ВИЛОЯТИ</t>
        </is>
      </c>
      <c r="C51" s="112" t="inlineStr">
        <is>
          <t xml:space="preserve">Объезд</t>
        </is>
      </c>
      <c r="D51" s="112" t="inlineStr">
        <is>
          <t xml:space="preserve">Кр-99012698-7</t>
        </is>
      </c>
      <c r="E51" s="112" t="inlineStr">
        <is>
          <t xml:space="preserve">XAYDAROVA MOXIRA ESANOVNA</t>
        </is>
      </c>
      <c r="F51" s="112" t="inlineStr">
        <is>
          <t xml:space="preserve">998954305444 SMS QIZI TOLOVCHI, 998885790746 SMS UZI, 998973948333 SMS QIZI, 97-223-07-46  SMS ERI, 998502206526 УЗИ МОХИРА, 998875010746 SMS OZI, 998889425455 SMS OZI 2,</t>
        </is>
      </c>
      <c r="G51" s="112" t="inlineStr">
        <is>
          <t xml:space="preserve">SAMARQAND VILOYATI SAMARQAND TUMANI OXALIK MFY OQ BUYRO QQ  19-UY</t>
        </is>
      </c>
      <c r="H51" s="113">
        <v>8.0</v>
      </c>
      <c r="I51" s="113">
        <v>2321085.44</v>
      </c>
      <c r="J51" s="113">
        <v>2321085.44</v>
      </c>
      <c r="K51" s="112" t="inlineStr">
        <is>
          <t xml:space="preserve">Uyiga borildi - to'ladi | yopildi</t>
        </is>
      </c>
    </row>
    <row r="52">
      <c r="A52" s="112" t="inlineStr">
        <is>
          <t xml:space="preserve">САМАРКАНД ВИЛОЯТИ</t>
        </is>
      </c>
      <c r="C52" s="112" t="inlineStr">
        <is>
          <t xml:space="preserve">Объезд</t>
        </is>
      </c>
      <c r="D52" s="112" t="inlineStr">
        <is>
          <t xml:space="preserve">Кр-99027921-1</t>
        </is>
      </c>
      <c r="E52" s="112" t="inlineStr">
        <is>
          <t xml:space="preserve">MIRASHIMOVA BASHORAT ORTIQOVNA</t>
        </is>
      </c>
      <c r="F52" s="112" t="inlineStr">
        <is>
          <t xml:space="preserve">97-915-12-67  SMS OZI, 97-926-65-85  SMS OGLI, 97-931-00-85  SMS KATTA OGLI, 97-405-24-91  SMS KELINI, 998994270066 ogli bic ,</t>
        </is>
      </c>
      <c r="G52" s="112" t="inlineStr">
        <is>
          <t xml:space="preserve">SAMARQAND VVILOYATI QO'SHROBOT TUMANI JO'SH OTA MFY JO'SH QFY</t>
        </is>
      </c>
      <c r="H52" s="113">
        <v>1.0</v>
      </c>
      <c r="I52" s="113">
        <v>2023323.43</v>
      </c>
      <c r="J52" s="113">
        <v>2023323.43</v>
      </c>
      <c r="K52" s="112" t="inlineStr">
        <is>
          <t xml:space="preserve">Uyiga borildi - to'ladi | yopildi</t>
        </is>
      </c>
    </row>
    <row r="53">
      <c r="A53" s="112" t="inlineStr">
        <is>
          <t xml:space="preserve">САМАРКАНД ВИЛОЯТИ</t>
        </is>
      </c>
      <c r="C53" s="112" t="inlineStr">
        <is>
          <t xml:space="preserve">Объезд</t>
        </is>
      </c>
      <c r="D53" s="112" t="inlineStr">
        <is>
          <t xml:space="preserve">Кр-99044880-1</t>
        </is>
      </c>
      <c r="E53" s="112" t="inlineStr">
        <is>
          <t xml:space="preserve">SHAMSUTDINOV ALIBEK AMRITDIN O’G’LI</t>
        </is>
      </c>
      <c r="F53" s="112" t="inlineStr">
        <is>
          <t xml:space="preserve">+998775030831 SMS OZI, 998889181101 SMS AKASI, 998915294327 SMS UYI, 998990840360 SMS APASI,</t>
        </is>
      </c>
      <c r="G53" s="112" t="inlineStr">
        <is>
          <t xml:space="preserve">SAMARQAND VILOYATI PASTDARG’OM TUMANI JAG’OLBOYLI MFY JAG’OLBOYLI KUCHASI 16-UY</t>
        </is>
      </c>
      <c r="H53" s="113">
        <v>8.0</v>
      </c>
      <c r="I53" s="113">
        <v>1401165.06</v>
      </c>
      <c r="J53" s="113">
        <v>1401165.06</v>
      </c>
      <c r="K53" s="112" t="inlineStr">
        <is>
          <t xml:space="preserve">Uyiga borildi - to'ladi | yopildui</t>
        </is>
      </c>
    </row>
    <row r="54">
      <c r="A54" s="112" t="inlineStr">
        <is>
          <t xml:space="preserve">САМАРКАНД ВИЛОЯТИ</t>
        </is>
      </c>
      <c r="C54" s="112" t="inlineStr">
        <is>
          <t xml:space="preserve">Дозвон</t>
        </is>
      </c>
      <c r="D54" s="112" t="inlineStr">
        <is>
          <t xml:space="preserve">Кр-99007936-13</t>
        </is>
      </c>
      <c r="E54" s="112" t="inlineStr">
        <is>
          <t xml:space="preserve">MAMASHARIPOV UTKIR MAMARZAYEVICH</t>
        </is>
      </c>
      <c r="F54" s="112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54" s="112" t="inlineStr">
        <is>
          <t xml:space="preserve">SAMARQAND VILOYATI OQDARYO TUMANI A.TEMUR MFY KALLAR QISHLOG’I</t>
        </is>
      </c>
      <c r="I54" s="113">
        <v>549955.94</v>
      </c>
      <c r="J54" s="113">
        <v>549955.94</v>
      </c>
      <c r="K54" s="112" t="inlineStr">
        <is>
          <t xml:space="preserve">To'ladi | yopildi</t>
        </is>
      </c>
    </row>
    <row r="55">
      <c r="A55" s="112" t="inlineStr">
        <is>
          <t xml:space="preserve">САМАРКАНД ВИЛОЯТИ</t>
        </is>
      </c>
      <c r="C55" s="112" t="inlineStr">
        <is>
          <t xml:space="preserve">Объезд</t>
        </is>
      </c>
      <c r="D55" s="112" t="inlineStr">
        <is>
          <t xml:space="preserve">Кр-99038439-2</t>
        </is>
      </c>
      <c r="E55" s="112" t="inlineStr">
        <is>
          <t xml:space="preserve">RAXMATOV ASILBEK OTABEK O’G’LI</t>
        </is>
      </c>
      <c r="F55" s="112" t="inlineStr">
        <is>
          <t xml:space="preserve">998931744999 SMS OZI, 998934977010 SMS UKASI, 998939111879 SMS DADASI, 998775171404 SMS UYI,</t>
        </is>
      </c>
      <c r="G55" s="112" t="inlineStr">
        <is>
          <t xml:space="preserve">SAMARQAND VILOYATI PAYARIQ TUMANI MADANIYAT MFY BAXMALSOY KUCHASI 171-UY</t>
        </is>
      </c>
      <c r="H55" s="113">
        <v>13.0</v>
      </c>
      <c r="I55" s="113">
        <v>342959.3</v>
      </c>
      <c r="J55" s="113">
        <v>342959.3</v>
      </c>
      <c r="K55" s="112" t="inlineStr">
        <is>
          <t xml:space="preserve">Uyiga borildi - to'ladi | yopildi</t>
        </is>
      </c>
    </row>
    <row r="56">
      <c r="A56" s="112" t="inlineStr">
        <is>
          <t xml:space="preserve">САМАРКАНД ВИЛОЯТИ</t>
        </is>
      </c>
      <c r="C56" s="112" t="inlineStr">
        <is>
          <t xml:space="preserve">Дозвон</t>
        </is>
      </c>
      <c r="D56" s="112" t="inlineStr">
        <is>
          <t xml:space="preserve">Кр-99062999-2</t>
        </is>
      </c>
      <c r="E56" s="112" t="inlineStr">
        <is>
          <t xml:space="preserve">KUDRATOV SODIKJON RIZAKULOVICH</t>
        </is>
      </c>
      <c r="F56" s="112" t="inlineStr">
        <is>
          <t xml:space="preserve">+998919757615 SMS OZI, 998774818491 SMS OZI 2, 998881117615 SMS AYOLI,</t>
        </is>
      </c>
      <c r="G56" s="112" t="inlineStr">
        <is>
          <t xml:space="preserve">SAMARQAND VILOYATI KATTAQO’RG’ON SHAHRI YAKKABOG’ MFY BOG’I DILKUSHOR KUCHASI 25-UY</t>
        </is>
      </c>
      <c r="H56" s="113">
        <v>8.0</v>
      </c>
      <c r="I56" s="113">
        <v>253449.63</v>
      </c>
      <c r="J56" s="113">
        <v>253449.63</v>
      </c>
      <c r="K56" s="112" t="inlineStr">
        <is>
          <t xml:space="preserve">To'ladi | yopildi</t>
        </is>
      </c>
    </row>
    <row r="57">
      <c r="A57" s="112" t="inlineStr">
        <is>
          <t xml:space="preserve">САМАРКАНД ВИЛОЯТИ</t>
        </is>
      </c>
      <c r="C57" s="112" t="inlineStr">
        <is>
          <t xml:space="preserve">Дозвон</t>
        </is>
      </c>
      <c r="D57" s="112" t="inlineStr">
        <is>
          <t xml:space="preserve">Кр-99062738-1</t>
        </is>
      </c>
      <c r="E57" s="112" t="inlineStr">
        <is>
          <t xml:space="preserve">RUZIYEV SUNATULLA SAFARALIYEVICH</t>
        </is>
      </c>
      <c r="F57" s="112" t="inlineStr">
        <is>
          <t xml:space="preserve">+998991126907 SMS OZI, 998993756907 SMS UYI, 998994228307 SMS SINGLISI,</t>
        </is>
      </c>
      <c r="G57" s="112" t="inlineStr">
        <is>
          <t xml:space="preserve">SAMARQAND VILOYATI NUROBOD TUMANI URTABUZ MFY TINCHLIK QISHLOG’I</t>
        </is>
      </c>
      <c r="H57" s="113">
        <v>13.0</v>
      </c>
      <c r="I57" s="113">
        <v>136542.15</v>
      </c>
      <c r="J57" s="113">
        <v>136542.15</v>
      </c>
      <c r="K57" s="112" t="inlineStr">
        <is>
          <t xml:space="preserve">To'ladi | yopildi</t>
        </is>
      </c>
    </row>
    <row r="58">
      <c r="A58" s="112" t="inlineStr">
        <is>
          <t xml:space="preserve">САМАРКАНД ВИЛОЯТИ</t>
        </is>
      </c>
      <c r="C58" s="112" t="inlineStr">
        <is>
          <t xml:space="preserve">Дозвон</t>
        </is>
      </c>
      <c r="D58" s="112" t="inlineStr">
        <is>
          <t xml:space="preserve">Кр-99063278-2</t>
        </is>
      </c>
      <c r="E58" s="112" t="inlineStr">
        <is>
          <t xml:space="preserve">ABDIQAYUMOV IBROHIM ZAYNIDDIN O’G’LI</t>
        </is>
      </c>
      <c r="F58" s="112" t="inlineStr">
        <is>
          <t xml:space="preserve">+998937202873 SMS OZI, 998500202086 SMS DADASI, 998915379123 SMS AYASI, 998915393006 SMS OZI 2,</t>
        </is>
      </c>
      <c r="G58" s="112" t="inlineStr">
        <is>
          <t xml:space="preserve">SAMARQAND VILOYATI PASTDARG’OM TUMANI KAMOLOT MAHALLASI</t>
        </is>
      </c>
      <c r="H58" s="113">
        <v>8.0</v>
      </c>
      <c r="I58" s="113">
        <v>76359.2</v>
      </c>
      <c r="J58" s="113">
        <v>76359.2</v>
      </c>
      <c r="K58" s="112" t="inlineStr">
        <is>
          <t xml:space="preserve">To'ladi | yopildi</t>
        </is>
      </c>
    </row>
    <row r="59">
      <c r="A59" s="114" t="inlineStr">
        <is>
          <t xml:space="preserve">СУРХОНДАРЁ ВИЛОЯТИ</t>
        </is>
      </c>
      <c r="C59" s="114" t="inlineStr">
        <is>
          <t xml:space="preserve">Объезд</t>
        </is>
      </c>
      <c r="D59" s="114" t="inlineStr">
        <is>
          <t xml:space="preserve">Кр-99027939-1</t>
        </is>
      </c>
      <c r="E59" s="114" t="inlineStr">
        <is>
          <t xml:space="preserve">TURAYEVA ADOLAT TOSHBOYEVNA</t>
        </is>
      </c>
      <c r="F59" s="114" t="inlineStr">
        <is>
          <t xml:space="preserve">91-078-04-96 SMS, 91-233-33-57 SMS UY, 91-575-71-70 SMS OILASI, 91-588-17-69 SMS O’ZI, 97-261-88-46 javlon aka javob degan, 998992184093 SMS O'ZI 2,</t>
        </is>
      </c>
      <c r="G59" s="114" t="inlineStr">
        <is>
          <t xml:space="preserve">SURXONDARYO VILOYATI UZUNSHO’RCHI TUMANI DO’STLIK  MFY HAMKOR KUCHASI 104-UY</t>
        </is>
      </c>
      <c r="H59" s="115">
        <v>1.0</v>
      </c>
      <c r="I59" s="115">
        <v>4226143.08</v>
      </c>
      <c r="J59" s="115">
        <v>4226143.08</v>
      </c>
      <c r="K59" s="114" t="inlineStr">
        <is>
          <t xml:space="preserve">Uyiga borildi - to'ladi | filialga tolad | 223</t>
        </is>
      </c>
    </row>
    <row r="60">
      <c r="A60" s="114" t="inlineStr">
        <is>
          <t xml:space="preserve">СУРХОНДАРЁ ВИЛОЯТИ</t>
        </is>
      </c>
      <c r="C60" s="114" t="inlineStr">
        <is>
          <t xml:space="preserve">Объезд</t>
        </is>
      </c>
      <c r="D60" s="114" t="inlineStr">
        <is>
          <t xml:space="preserve">Кр-99032593-1</t>
        </is>
      </c>
      <c r="E60" s="114" t="inlineStr">
        <is>
          <t xml:space="preserve">DAVLATOV FARXOD RAJABALIYEVICH</t>
        </is>
      </c>
      <c r="F60" s="114" t="inlineStr">
        <is>
          <t xml:space="preserve">998995882144 SMS O’ZI, 998954747270 SMS O’G’LI, 998995737252 SMS ONASI, 998990169073 SMS UY,</t>
        </is>
      </c>
      <c r="G60" s="114" t="inlineStr">
        <is>
          <t xml:space="preserve">SURXONDARYO VILOYATI DENOV TUMANI SEBZOR MFY MAKTAB KO’CHASI 15-UY</t>
        </is>
      </c>
      <c r="H60" s="115">
        <v>1.0</v>
      </c>
      <c r="I60" s="115">
        <v>1299053.19</v>
      </c>
      <c r="J60" s="115">
        <v>1299053.19</v>
      </c>
      <c r="K60" s="114" t="inlineStr">
        <is>
          <t xml:space="preserve">Uyiga borildi - to'ladi | toladi filialga | 404</t>
        </is>
      </c>
    </row>
    <row r="61">
      <c r="A61" s="114" t="inlineStr">
        <is>
          <t xml:space="preserve">СУРХОНДАРЁ ВИЛОЯТИ</t>
        </is>
      </c>
      <c r="C61" s="114" t="inlineStr">
        <is>
          <t xml:space="preserve">Объезд</t>
        </is>
      </c>
      <c r="D61" s="114" t="inlineStr">
        <is>
          <t xml:space="preserve">Кр-99057140-1</t>
        </is>
      </c>
      <c r="E61" s="114" t="inlineStr">
        <is>
          <t xml:space="preserve">XUSHBAQOVA ZEBINISO ABDUMALIK QIZI</t>
        </is>
      </c>
      <c r="F61" s="114" t="inlineStr">
        <is>
          <t xml:space="preserve">998932372417 OZI, 998937930462 ONASI, 998917259222 OGLI,</t>
        </is>
      </c>
      <c r="G61" s="114" t="inlineStr">
        <is>
          <t xml:space="preserve">SURXONDARYO VILOYAT TERMIZ SHAXAR BOG’ZOR MFY ZAVQIY KO’CHASI 24A-UY</t>
        </is>
      </c>
      <c r="H61" s="115">
        <v>8.0</v>
      </c>
      <c r="I61" s="115">
        <v>970609.56</v>
      </c>
      <c r="J61" s="115">
        <v>970609.56</v>
      </c>
      <c r="K61" s="114" t="inlineStr">
        <is>
          <t xml:space="preserve">Uyiga borildi - to'ladi | filialga toladi | 1416</t>
        </is>
      </c>
    </row>
    <row r="62">
      <c r="A62" s="114" t="inlineStr">
        <is>
          <t xml:space="preserve">СУРХОНДАРЁ ВИЛОЯТИ</t>
        </is>
      </c>
      <c r="C62" s="114" t="inlineStr">
        <is>
          <t xml:space="preserve">Дозвон</t>
        </is>
      </c>
      <c r="D62" s="114" t="inlineStr">
        <is>
          <t xml:space="preserve">Кр-99035855-1</t>
        </is>
      </c>
      <c r="E62" s="114" t="inlineStr">
        <is>
          <t xml:space="preserve">NAZAROVA SHOIRA BOZOR QIZI</t>
        </is>
      </c>
      <c r="F62" s="114" t="inlineStr">
        <is>
          <t xml:space="preserve">998936365511 SMS OZI, 998944168997 SMS UY, 998888505511 SMS OILASI, 998930454064 SMS OTASI,</t>
        </is>
      </c>
      <c r="G62" s="114" t="inlineStr">
        <is>
          <t xml:space="preserve">SURXONDARYO VILOYATI BOYSUN TUMANI  DASHTIG’OZ MFY SURXONDARYO KO’CHASI 22-UY</t>
        </is>
      </c>
      <c r="H62" s="115">
        <v>8.0</v>
      </c>
      <c r="I62" s="115">
        <v>21786.19</v>
      </c>
      <c r="J62" s="115">
        <v>21786.19</v>
      </c>
      <c r="K62" s="114" t="inlineStr">
        <is>
          <t xml:space="preserve">To'ladi | yopildi | 603</t>
        </is>
      </c>
    </row>
    <row r="63">
      <c r="A63" s="116" t="inlineStr">
        <is>
          <t xml:space="preserve">ТОШКЕНТ ШАХРИ</t>
        </is>
      </c>
      <c r="C63" s="116" t="inlineStr">
        <is>
          <t xml:space="preserve">Объезд</t>
        </is>
      </c>
      <c r="D63" s="116" t="inlineStr">
        <is>
          <t xml:space="preserve">Кр-99017842-6</t>
        </is>
      </c>
      <c r="E63" s="116" t="inlineStr">
        <is>
          <t xml:space="preserve">YAKUBJANOV ASADJON AXMADJANOVICH</t>
        </is>
      </c>
      <c r="F63" s="116" t="inlineStr">
        <is>
          <t xml:space="preserve">99-482-80-45  sms OZI, 97-715-15-83  sms AYOLI, 91-008-35-35  sms O'G'LI, 99-482-80-45  sms OZI,</t>
        </is>
      </c>
      <c r="G63" s="116" t="inlineStr">
        <is>
          <t xml:space="preserve">TOSHKENT SHAHRI SERGELI TUMANI</t>
        </is>
      </c>
      <c r="H63" s="117">
        <v>5.0</v>
      </c>
      <c r="I63" s="117">
        <v>4757650.27</v>
      </c>
      <c r="J63" s="117">
        <v>4757650.27</v>
      </c>
      <c r="K63" s="116" t="inlineStr">
        <is>
          <t xml:space="preserve">Uyiga borildi - to'ladi</t>
        </is>
      </c>
    </row>
    <row r="64">
      <c r="A64" s="116" t="inlineStr">
        <is>
          <t xml:space="preserve">ТОШКЕНТ ШАХРИ</t>
        </is>
      </c>
      <c r="C64" s="116" t="inlineStr">
        <is>
          <t xml:space="preserve">Объезд</t>
        </is>
      </c>
      <c r="D64" s="116" t="inlineStr">
        <is>
          <t xml:space="preserve">Кр-99063244-1</t>
        </is>
      </c>
      <c r="E64" s="116" t="inlineStr">
        <is>
          <t xml:space="preserve">QUDRATXODJAYEV BEHZOD SHUXRATOVICH</t>
        </is>
      </c>
      <c r="F64" s="116" t="inlineStr">
        <is>
          <t xml:space="preserve">998200001426 SMS OZI, 998997012006 SMS JIYANI, 998998604005 SMS OANSI,</t>
        </is>
      </c>
      <c r="G64" s="116" t="inlineStr">
        <is>
          <t xml:space="preserve">TOSHKENT SHAHAR YUNUSOBOD TUMANI O’LKAOBOD KOCHASI 4-UY</t>
        </is>
      </c>
      <c r="H64" s="117">
        <v>13.0</v>
      </c>
      <c r="I64" s="117">
        <v>3189339.16</v>
      </c>
      <c r="J64" s="117">
        <v>3189339.16</v>
      </c>
      <c r="K64" s="116" t="inlineStr">
        <is>
          <t xml:space="preserve">Uyiga borildi - to'ladi</t>
        </is>
      </c>
    </row>
    <row r="65">
      <c r="A65" s="116" t="inlineStr">
        <is>
          <t xml:space="preserve">ТОШКЕНТ ШАХРИ</t>
        </is>
      </c>
      <c r="C65" s="116" t="inlineStr">
        <is>
          <t xml:space="preserve">Объезд</t>
        </is>
      </c>
      <c r="D65" s="116" t="inlineStr">
        <is>
          <t xml:space="preserve">Кр-99044138-2</t>
        </is>
      </c>
      <c r="E65" s="116" t="inlineStr">
        <is>
          <t xml:space="preserve">ABDURASHIDOV ABDULAZIZ ABDULATIF O’G’LI</t>
        </is>
      </c>
      <c r="F65" s="116" t="inlineStr">
        <is>
          <t xml:space="preserve">998946236666 SMS OZI 2, 998946638777 SMS OZI, 998983664777 SMS UKASI,</t>
        </is>
      </c>
      <c r="G65" s="116" t="inlineStr">
        <is>
          <t xml:space="preserve">Oltin vodiy MFY, Samo 1-berk ko’chasi, 18-uy</t>
        </is>
      </c>
      <c r="H65" s="117">
        <v>8.0</v>
      </c>
      <c r="I65" s="117">
        <v>2828306.36</v>
      </c>
      <c r="J65" s="117">
        <v>2828306.36</v>
      </c>
      <c r="K65" s="116" t="inlineStr">
        <is>
          <t xml:space="preserve">Uyiga borildi - to'ladi</t>
        </is>
      </c>
    </row>
    <row r="66">
      <c r="A66" s="116" t="inlineStr">
        <is>
          <t xml:space="preserve">ТОШКЕНТ ШАХРИ</t>
        </is>
      </c>
      <c r="C66" s="116" t="inlineStr">
        <is>
          <t xml:space="preserve">Объезд</t>
        </is>
      </c>
      <c r="D66" s="116" t="inlineStr">
        <is>
          <t xml:space="preserve">Кр-99037634-2</t>
        </is>
      </c>
      <c r="E66" s="116" t="inlineStr">
        <is>
          <t xml:space="preserve">XUDOYBERGANOV DONIYOR TUYG’UN O’G’LI</t>
        </is>
      </c>
      <c r="F66" s="116" t="inlineStr">
        <is>
          <t xml:space="preserve">998946895455 SMS O’ZI, 998950051505 SMS DO’STI, 998900543915 SMS O’ZI, 998331775455 SMS UKASI,</t>
        </is>
      </c>
      <c r="G66" s="116" t="inlineStr">
        <is>
          <t xml:space="preserve">Бободехкон МФЙ, Хусайни, туп. 2 кучаси, 9-уй</t>
        </is>
      </c>
      <c r="H66" s="117">
        <v>8.0</v>
      </c>
      <c r="I66" s="117">
        <v>2516559.46</v>
      </c>
      <c r="J66" s="117">
        <v>2516559.46</v>
      </c>
      <c r="K66" s="116" t="inlineStr">
        <is>
          <t xml:space="preserve">Uyiga borildi - to'ladi</t>
        </is>
      </c>
    </row>
    <row r="67">
      <c r="A67" s="116" t="inlineStr">
        <is>
          <t xml:space="preserve">ТОШКЕНТ ШАХРИ</t>
        </is>
      </c>
      <c r="C67" s="116" t="inlineStr">
        <is>
          <t xml:space="preserve">Дозвон</t>
        </is>
      </c>
      <c r="D67" s="116" t="inlineStr">
        <is>
          <t xml:space="preserve">Кр-99004100-6</t>
        </is>
      </c>
      <c r="E67" s="116" t="inlineStr">
        <is>
          <t xml:space="preserve">G’ULOMOV NOZIMBEK SAIDMAXMUD O’G’LI</t>
        </is>
      </c>
      <c r="F67" s="116" t="inlineStr">
        <is>
          <t xml:space="preserve">77-010-68-63 SMS, 91-777-00-07 sms jiyani, 77-080-07-21 sms ortogi birga ishlidi, 98-707-02-71 sms akasi,</t>
        </is>
      </c>
      <c r="G67" s="116" t="inlineStr">
        <is>
          <t xml:space="preserve">TOSHKENT SHAHAR YASHNABOD TUMANI XOSIYATLI MFY 5 PROEZD XUSNOBOD KUCHASI 2/3 UY 29 XONADON</t>
        </is>
      </c>
      <c r="H67" s="117">
        <v>8.0</v>
      </c>
      <c r="I67" s="117">
        <v>2505136.45</v>
      </c>
      <c r="J67" s="117">
        <v>2505136.45</v>
      </c>
      <c r="K67" s="116" t="inlineStr">
        <is>
          <t xml:space="preserve">To'ladi</t>
        </is>
      </c>
    </row>
    <row r="68">
      <c r="A68" s="116" t="inlineStr">
        <is>
          <t xml:space="preserve">ТОШКЕНТ ШАХРИ</t>
        </is>
      </c>
      <c r="C68" s="116" t="inlineStr">
        <is>
          <t xml:space="preserve">Объезд</t>
        </is>
      </c>
      <c r="D68" s="116" t="inlineStr">
        <is>
          <t xml:space="preserve">Кр-99041437-1</t>
        </is>
      </c>
      <c r="E68" s="116" t="inlineStr">
        <is>
          <t xml:space="preserve">MUSAYEV NODIR TOXTASINOVICH</t>
        </is>
      </c>
      <c r="F68" s="116" t="inlineStr">
        <is>
          <t xml:space="preserve">+998974400425 SMS O’ZI, 998909391070 SMS DO’STI, 998909485772 SMS KENOYISI, 998950760939 SMS OKASI,</t>
        </is>
      </c>
      <c r="G68" s="116" t="inlineStr">
        <is>
          <t xml:space="preserve">ТОШКЕНТ ШАХРИ ЯШНОБОД ТУМАНИ БЕҲИЗОР МФЙ, ШОХСАНАМ КЎЧАСИ,  uy:104 (4-ХОНАДОН)</t>
        </is>
      </c>
      <c r="H68" s="117">
        <v>8.0</v>
      </c>
      <c r="I68" s="117">
        <v>1360281.32</v>
      </c>
      <c r="J68" s="117">
        <v>1360281.32</v>
      </c>
      <c r="K68" s="116" t="inlineStr">
        <is>
          <t xml:space="preserve">Uyiga borildi - to'ladi</t>
        </is>
      </c>
    </row>
    <row r="69">
      <c r="A69" s="98" t="inlineStr">
        <is>
          <t xml:space="preserve">ФАРГОНА ВИЛОЯТИ</t>
        </is>
      </c>
      <c r="C69" s="98" t="inlineStr">
        <is>
          <t xml:space="preserve">Объезд</t>
        </is>
      </c>
      <c r="D69" s="98" t="inlineStr">
        <is>
          <t xml:space="preserve">Кр-99062630-1</t>
        </is>
      </c>
      <c r="E69" s="98" t="inlineStr">
        <is>
          <t xml:space="preserve">XASANOV OTABEK AZIZJONOVICH</t>
        </is>
      </c>
      <c r="F69" s="98" t="inlineStr">
        <is>
          <t xml:space="preserve">998916577977 узи, 998911590079 угли, 998958290856 акаси, 998938820883 JIYANI TOLOVCHI ,</t>
        </is>
      </c>
      <c r="G69" s="98" t="inlineStr">
        <is>
          <t xml:space="preserve">OLTIARIQ TUMANI</t>
        </is>
      </c>
      <c r="H69" s="99">
        <v>11.0</v>
      </c>
      <c r="I69" s="99">
        <v>8538415.68</v>
      </c>
      <c r="J69" s="99">
        <v>2708333.0</v>
      </c>
      <c r="K69" s="98" t="inlineStr">
        <is>
          <t xml:space="preserve">Uyiga borildi - to'ladi | 2708333</t>
        </is>
      </c>
    </row>
    <row r="70">
      <c r="A70" s="98" t="inlineStr">
        <is>
          <t xml:space="preserve">ФАРГОНА ВИЛОЯТИ</t>
        </is>
      </c>
      <c r="C70" s="98" t="inlineStr">
        <is>
          <t xml:space="preserve">Объезд</t>
        </is>
      </c>
      <c r="D70" s="98" t="inlineStr">
        <is>
          <t xml:space="preserve">Кр-99063120-1</t>
        </is>
      </c>
      <c r="E70" s="98" t="inlineStr">
        <is>
          <t xml:space="preserve">ABDURAXIMOVA DURDONAXON SHAVKATJON QIZI</t>
        </is>
      </c>
      <c r="F70" s="98" t="inlineStr">
        <is>
          <t xml:space="preserve">998978123377 SMS OZI, 998952320043 SMS AYOLI, 998886616191 SMS TOGASI, 998932183388 SMS ERI,</t>
        </is>
      </c>
      <c r="G70" s="98" t="inlineStr">
        <is>
          <t xml:space="preserve">FARG’ONA VILOYATI QUVA TUMANI BO’STON MFY SALIM KO’CHASI 386-UY</t>
        </is>
      </c>
      <c r="H70" s="99">
        <v>8.0</v>
      </c>
      <c r="I70" s="99">
        <v>5350927.31</v>
      </c>
      <c r="J70" s="99">
        <v>1667000.0</v>
      </c>
      <c r="K70" s="98" t="inlineStr">
        <is>
          <t xml:space="preserve">Uyiga borildi - to'ladi | 1667000</t>
        </is>
      </c>
    </row>
    <row r="71">
      <c r="A71" s="98" t="inlineStr">
        <is>
          <t xml:space="preserve">ФАРГОНА ВИЛОЯТИ</t>
        </is>
      </c>
      <c r="C71" s="98" t="inlineStr">
        <is>
          <t xml:space="preserve">Объезд</t>
        </is>
      </c>
      <c r="D71" s="98" t="inlineStr">
        <is>
          <t xml:space="preserve">Кр-99027619-5</t>
        </is>
      </c>
      <c r="E71" s="98" t="inlineStr">
        <is>
          <t xml:space="preserve">RO’ZIBOYEV JASURBEK ABDUSATTOR O’G’LI</t>
        </is>
      </c>
      <c r="F71" s="98" t="inlineStr">
        <is>
          <t xml:space="preserve">77-009-11-61 SMS OZI, 94-010-90-40 SMS Ortogi BEKZOD begona, 99-763-91-92 SMS AKASI MUXRIDDIN, 998994998162 Oyisi(941210467),</t>
        </is>
      </c>
      <c r="G71" s="98" t="inlineStr">
        <is>
          <t xml:space="preserve">FARGONA VILOYATI BOG’DOD TUMANI MATQULOBOT QISHLOGI ISTIQLOL KOCHASI 234-UY</t>
        </is>
      </c>
      <c r="H71" s="99">
        <v>8.0</v>
      </c>
      <c r="I71" s="99">
        <v>1415091.25</v>
      </c>
      <c r="J71" s="99">
        <v>743217.0</v>
      </c>
      <c r="K71" s="98" t="inlineStr">
        <is>
          <t xml:space="preserve">Uyiga borildi - to'ladi | 743217.55</t>
        </is>
      </c>
    </row>
    <row r="72">
      <c r="A72" s="98" t="inlineStr">
        <is>
          <t xml:space="preserve">ФАРГОНА ВИЛОЯТИ</t>
        </is>
      </c>
      <c r="C72" s="98" t="inlineStr">
        <is>
          <t xml:space="preserve">Дозвон</t>
        </is>
      </c>
      <c r="D72" s="98" t="inlineStr">
        <is>
          <t xml:space="preserve">Кр-99039376-3</t>
        </is>
      </c>
      <c r="E72" s="98" t="inlineStr">
        <is>
          <t xml:space="preserve">MIRZAYEV DILSHODBEK BAXTIYOROVICH</t>
        </is>
      </c>
      <c r="F72" s="98" t="inlineStr">
        <is>
          <t xml:space="preserve">998507150417 SMS OZI, 998993216045 SMS OZI 2, 998916600164 SMS ONASI,</t>
        </is>
      </c>
      <c r="G72" s="98" t="inlineStr">
        <is>
          <t xml:space="preserve">FARG’ONA VILOYATI FARG’ONA SHAHAR OQ ARIQ MFY QO’TLUQ KO’CHASI 5-XONADON</t>
        </is>
      </c>
      <c r="H72" s="99">
        <v>8.0</v>
      </c>
      <c r="I72" s="99">
        <v>1245334.74</v>
      </c>
      <c r="J72" s="99">
        <v>260574.0</v>
      </c>
      <c r="K72" s="98" t="inlineStr">
        <is>
          <t xml:space="preserve">To'ladi | BUGUN BALISADAN CHIQADI EKAN CHIQIB HARAKAT QILIB YOPIB BERAMAN DEYABDI 5 LARGA QAYTA ALOQA TOLAB QOYADI EKAN | 260574.14</t>
        </is>
      </c>
    </row>
    <row r="73">
      <c r="A73" s="98" t="inlineStr">
        <is>
          <t xml:space="preserve">ФАРГОНА ВИЛОЯТИ</t>
        </is>
      </c>
      <c r="C73" s="98" t="inlineStr">
        <is>
          <t xml:space="preserve">Объезд</t>
        </is>
      </c>
      <c r="D73" s="98" t="inlineStr">
        <is>
          <t xml:space="preserve">Кр-99025845-2</t>
        </is>
      </c>
      <c r="E73" s="98" t="inlineStr">
        <is>
          <t xml:space="preserve">TO’YCHIYEV IKROMJON UMAROVICH</t>
        </is>
      </c>
      <c r="F73" s="98" t="inlineStr">
        <is>
          <t xml:space="preserve">99-796-56-34 SMS , 93-607-41-00 SMS AYOLI, 99-051-29-35 SMS OGLI DILYORBEK, 98-107-07-19 SMS OGLI,</t>
        </is>
      </c>
      <c r="G73" s="98" t="inlineStr">
        <is>
          <t xml:space="preserve">FARG’ONA VILOYATI  BUVAYDA TUMANI SHO'R QISHLOQ</t>
        </is>
      </c>
      <c r="H73" s="99">
        <v>13.0</v>
      </c>
      <c r="I73" s="99">
        <v>1159484.77</v>
      </c>
      <c r="J73" s="99">
        <v>567996.0</v>
      </c>
      <c r="K73" s="98" t="inlineStr">
        <is>
          <t xml:space="preserve">Uyiga borildi - to'ladi | OGLI TOLASHI KERAK EKAN BUGUN TOLAYDI DEYABDI | 567996.06</t>
        </is>
      </c>
    </row>
    <row r="74">
      <c r="A74" s="98" t="inlineStr">
        <is>
          <t xml:space="preserve">ФАРГОНА ВИЛОЯТИ</t>
        </is>
      </c>
      <c r="C74" s="98" t="inlineStr">
        <is>
          <t xml:space="preserve">Дозвон</t>
        </is>
      </c>
      <c r="D74" s="98" t="inlineStr">
        <is>
          <t xml:space="preserve">Кр-99028520-1</t>
        </is>
      </c>
      <c r="E74" s="98" t="inlineStr">
        <is>
          <t xml:space="preserve">TO’RAKELDIYEV SODIQJON NORALI O’G’LI</t>
        </is>
      </c>
      <c r="F74" s="98" t="inlineStr">
        <is>
          <t xml:space="preserve">94-833-02-02  SMS O'ZI, 50-881-13-13  SMS AKASI, 95-489-33-36  SMS DADASI, 91-670-67-69  SMS O'ROG'I,</t>
        </is>
      </c>
      <c r="G74" s="98" t="inlineStr">
        <is>
          <t xml:space="preserve">FARG’ONA VILOYATI FARGO’ONA SHAHAR SHODIYONA MFY TINIQSOY KO’CHASI 168-UY.</t>
        </is>
      </c>
      <c r="I74" s="99">
        <v>882630.38</v>
      </c>
      <c r="J74" s="99">
        <v>882630.38</v>
      </c>
      <c r="K74" s="98" t="inlineStr">
        <is>
          <t xml:space="preserve">To'ladi | 7 LARGA QAYTA ALOQA TOLOV QILADI EKAN AKASI | 0</t>
        </is>
      </c>
    </row>
    <row r="75">
      <c r="A75" s="98" t="inlineStr">
        <is>
          <t xml:space="preserve">ФАРГОНА ВИЛОЯТИ</t>
        </is>
      </c>
      <c r="C75" s="98" t="inlineStr">
        <is>
          <t xml:space="preserve">Дозвон</t>
        </is>
      </c>
      <c r="D75" s="98" t="inlineStr">
        <is>
          <t xml:space="preserve">Кр-99028581-4</t>
        </is>
      </c>
      <c r="E75" s="98" t="inlineStr">
        <is>
          <t xml:space="preserve">RUSTAMOVA CHINARA ABDRAXMANOVNA</t>
        </is>
      </c>
      <c r="F75" s="98" t="inlineStr">
        <is>
          <t xml:space="preserve">93-443-38-30  SMS O'ZI, 91-396-85-25  SMS ERI , 95-110-82-02  SMS OPASI , 50-772-85-87  SMS SINGLISI ,</t>
        </is>
      </c>
      <c r="G75" s="98" t="inlineStr">
        <is>
          <t xml:space="preserve">FARG’ONA VILOYATI FARG’ONA SHAHAR KIMYOGARLAR MFY, SO’LIM KO’CHASI 11/4-UY 18-XONADON</t>
        </is>
      </c>
      <c r="H75" s="99">
        <v>8.0</v>
      </c>
      <c r="I75" s="99">
        <v>777276.46</v>
      </c>
      <c r="J75" s="99">
        <v>358385.0</v>
      </c>
      <c r="K75" s="98" t="inlineStr">
        <is>
          <t xml:space="preserve">To'ladi | TOLAGAN FILAL ADASIB BOSHQA AYDIGA URGAN | 358385.15</t>
        </is>
      </c>
    </row>
    <row r="76">
      <c r="A76" s="98" t="inlineStr">
        <is>
          <t xml:space="preserve">ФАРГОНА ВИЛОЯТИ</t>
        </is>
      </c>
      <c r="C76" s="98" t="inlineStr">
        <is>
          <t xml:space="preserve">Объезд</t>
        </is>
      </c>
      <c r="D76" s="98" t="inlineStr">
        <is>
          <t xml:space="preserve">Кр-99041883-1</t>
        </is>
      </c>
      <c r="E76" s="98" t="inlineStr">
        <is>
          <t xml:space="preserve">UZAKOV ANVARJON MAKSIMOVICH</t>
        </is>
      </c>
      <c r="F76" s="98" t="inlineStr">
        <is>
          <t xml:space="preserve">+998993036357 SMS O’ZI, 998906326357 AYOLI, 998990097733 O’G’LI 2, 998991406357 O’G’LI,</t>
        </is>
      </c>
      <c r="G76" s="98" t="inlineStr">
        <is>
          <t xml:space="preserve">FARG’ONA VILOYATI OLTIARIQ TUMANI TINCHILIK MFY TADBIRKOR KO’CHASI 19-XONADON</t>
        </is>
      </c>
      <c r="H76" s="99">
        <v>8.0</v>
      </c>
      <c r="I76" s="99">
        <v>511789.26</v>
      </c>
      <c r="J76" s="99">
        <v>158652.0</v>
      </c>
      <c r="K76" s="98" t="inlineStr">
        <is>
          <t xml:space="preserve">Uyiga borildi - to'ladi | ERTAGA OGLI OZBEKISTONGA KIRADI EKAN ERTAGA KECHGACHA YOPIB QOYAMAN DEDI | 158652.49</t>
        </is>
      </c>
    </row>
    <row r="77">
      <c r="A77" s="100" t="inlineStr">
        <is>
          <t xml:space="preserve">ХОРАЗМ ВИЛОЯТИ</t>
        </is>
      </c>
      <c r="B77" s="100" t="inlineStr">
        <is>
          <t xml:space="preserve">SUPER BRANCH</t>
        </is>
      </c>
      <c r="C77" s="100" t="inlineStr">
        <is>
          <t xml:space="preserve">Дозвон</t>
        </is>
      </c>
      <c r="D77" s="100" t="inlineStr">
        <is>
          <t xml:space="preserve">Кр-99057449-1</t>
        </is>
      </c>
      <c r="E77" s="100" t="inlineStr">
        <is>
          <t xml:space="preserve">PALVANOV BAXRAM ATANAZAROVICH</t>
        </is>
      </c>
      <c r="F77" s="100" t="inlineStr">
        <is>
          <t xml:space="preserve">998914344383 SMS UZI, 998941030433 SMS UGLI, 998906497173 SMS KELINI, 998954264383 SMS ozi new,</t>
        </is>
      </c>
      <c r="G77" s="100" t="inlineStr">
        <is>
          <t xml:space="preserve">XORAZM VILOYATI XIVA TUMANI KALTAMINOR MFY DESHONKALA KO’CHASI 89A-UY</t>
        </is>
      </c>
      <c r="H77" s="101">
        <v>8.0</v>
      </c>
      <c r="I77" s="101">
        <v>1961175.52</v>
      </c>
      <c r="J77" s="101">
        <v>1961175.52</v>
      </c>
      <c r="K77" s="100" t="inlineStr">
        <is>
          <t xml:space="preserve">To'ladi | abetgacha yopad | 1450</t>
        </is>
      </c>
    </row>
    <row r="78">
      <c r="A78" s="102" t="inlineStr">
        <is>
          <t xml:space="preserve">ХОРАЗМ ВИЛОЯТИ</t>
        </is>
      </c>
      <c r="B78" s="102" t="inlineStr">
        <is>
          <t xml:space="preserve">Урганч филиали</t>
        </is>
      </c>
      <c r="C78" s="102" t="inlineStr">
        <is>
          <t xml:space="preserve">Дозвон</t>
        </is>
      </c>
      <c r="D78" s="102" t="inlineStr">
        <is>
          <t xml:space="preserve">Кр-99063321-2</t>
        </is>
      </c>
      <c r="E78" s="102" t="inlineStr">
        <is>
          <t xml:space="preserve">RAXIMOVA GUZAL ALISHEROVNA</t>
        </is>
      </c>
      <c r="F78" s="102" t="inlineStr">
        <is>
          <t xml:space="preserve">+998975275555 SMS UZI, 998975165555 SMS ERI,</t>
        </is>
      </c>
      <c r="G78" s="102" t="inlineStr">
        <is>
          <t xml:space="preserve">ХОРАЗМ ВИЛОЯТИ УРГАНЧ Ш., ГУЛЗОР МФЙ, УРГАНЧ ШАХАР, ГУЛЗОР МФЙ, АЛ-БЕРУНИЙ,  uy:60А</t>
        </is>
      </c>
      <c r="H78" s="103">
        <v>8.0</v>
      </c>
      <c r="I78" s="103">
        <v>10737404.65</v>
      </c>
      <c r="J78" s="103">
        <v>10737404.65</v>
      </c>
      <c r="K78" s="102" t="inlineStr">
        <is>
          <t xml:space="preserve">To'ladi | eri bugun abetgacha yopad | 1747</t>
        </is>
      </c>
    </row>
    <row r="79">
      <c r="A79" s="102" t="inlineStr">
        <is>
          <t xml:space="preserve">ХОРАЗМ ВИЛОЯТИ</t>
        </is>
      </c>
      <c r="B79" s="102" t="inlineStr">
        <is>
          <t xml:space="preserve">Урганч филиали</t>
        </is>
      </c>
      <c r="C79" s="102" t="inlineStr">
        <is>
          <t xml:space="preserve">Дозвон</t>
        </is>
      </c>
      <c r="D79" s="102" t="inlineStr">
        <is>
          <t xml:space="preserve">Кр-99032959-2</t>
        </is>
      </c>
      <c r="E79" s="102" t="inlineStr">
        <is>
          <t xml:space="preserve">ATADJANOVA MALIKA ABDULLAYEVNA</t>
        </is>
      </c>
      <c r="F79" s="102" t="inlineStr">
        <is>
          <t xml:space="preserve">998914208844 SMS O’ZI, 998771625158 SMS JIYANI, 998918667040 SMS SINGLISI, +998914208844 SMS UZI,</t>
        </is>
      </c>
      <c r="G79" s="102" t="inlineStr">
        <is>
          <t xml:space="preserve">ХОРАЗМ ВИЛОЯТИ УРГАНЧ ШАХРИ Янгихаёт МФЙ, Фирдавсий,4 тор кўчаси, 131-уй</t>
        </is>
      </c>
      <c r="H79" s="103">
        <v>8.0</v>
      </c>
      <c r="I79" s="103">
        <v>2802027.56</v>
      </c>
      <c r="J79" s="103">
        <v>2802027.56</v>
      </c>
      <c r="K79" s="102" t="inlineStr">
        <is>
          <t xml:space="preserve">To'ladi | Abetdan kegin yopad | 416</t>
        </is>
      </c>
    </row>
    <row r="80">
      <c r="A80" s="102" t="inlineStr">
        <is>
          <t xml:space="preserve">ХОРАЗМ ВИЛОЯТИ</t>
        </is>
      </c>
      <c r="B80" s="102" t="inlineStr">
        <is>
          <t xml:space="preserve">Урганч филиали</t>
        </is>
      </c>
      <c r="C80" s="102" t="inlineStr">
        <is>
          <t xml:space="preserve">Дозвон</t>
        </is>
      </c>
      <c r="D80" s="102" t="inlineStr">
        <is>
          <t xml:space="preserve">Кр-99045798-1</t>
        </is>
      </c>
      <c r="E80" s="102" t="inlineStr">
        <is>
          <t xml:space="preserve">TAJIMURATOV FARXOD ISMOYILOVICH</t>
        </is>
      </c>
      <c r="F80" s="102" t="inlineStr">
        <is>
          <t xml:space="preserve">+998948952627 SMS UZI, 998914292627 SMS AYOLI, 998955512040 SMS UKASI,</t>
        </is>
      </c>
      <c r="G80" s="102" t="inlineStr">
        <is>
          <t xml:space="preserve">Тандирчи МФЙ, Олмазор кучаси, 26/1-уй</t>
        </is>
      </c>
      <c r="H80" s="103">
        <v>8.0</v>
      </c>
      <c r="I80" s="103">
        <v>1206858.39</v>
      </c>
      <c r="J80" s="103">
        <v>1206858.39</v>
      </c>
      <c r="K80" s="102" t="inlineStr">
        <is>
          <t xml:space="preserve">To'ladi | filialga ketvotti tolov qilgani | 1231</t>
        </is>
      </c>
    </row>
    <row r="81">
      <c r="A81" s="102" t="inlineStr">
        <is>
          <t xml:space="preserve">ХОРАЗМ ВИЛОЯТИ</t>
        </is>
      </c>
      <c r="B81" s="102" t="inlineStr">
        <is>
          <t xml:space="preserve">Урганч филиали</t>
        </is>
      </c>
      <c r="C81" s="102" t="inlineStr">
        <is>
          <t xml:space="preserve">Дозвон</t>
        </is>
      </c>
      <c r="D81" s="102" t="inlineStr">
        <is>
          <t xml:space="preserve">Кр-99027378-2</t>
        </is>
      </c>
      <c r="E81" s="102" t="inlineStr">
        <is>
          <t xml:space="preserve">RUZMETOVA DILNOZA OTANAZAROVNA</t>
        </is>
      </c>
      <c r="F81" s="102" t="inlineStr">
        <is>
          <t xml:space="preserve">97-792-65-55 SMS TULOVCHI, 97-458-65-12 SMS ONASI, 97-221-52-99 SMS,</t>
        </is>
      </c>
      <c r="G81" s="102" t="inlineStr">
        <is>
          <t xml:space="preserve">ХОРАЗМ ВИЛОЯТИ УРГАНЧ ТУМАНИ ҒАЛАБА ҚФЙ, ОБОД МФЙ, ЧЕВАРЛАР КЎЧАСИ,  uy:31</t>
        </is>
      </c>
      <c r="H81" s="103">
        <v>8.0</v>
      </c>
      <c r="I81" s="103">
        <v>374858.49</v>
      </c>
      <c r="J81" s="103">
        <v>374858.49</v>
      </c>
      <c r="K81" s="102" t="inlineStr">
        <is>
          <t xml:space="preserve">To'ladi | ogli abetgacha tolid | 198</t>
        </is>
      </c>
    </row>
  </sheetData>
  <autoFilter ref="A2:K81"/>
  <hyperlinks>
    <hyperlink ref="A1" location="'Ввод'!A1" tooltip="Вернуться в отчёт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K1453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C3" s="98" t="inlineStr">
        <is>
          <t xml:space="preserve">Недозвон</t>
        </is>
      </c>
      <c r="D3" s="98" t="inlineStr">
        <is>
          <t xml:space="preserve">Кр-99050899-1</t>
        </is>
      </c>
      <c r="E3" s="98" t="inlineStr">
        <is>
          <t xml:space="preserve">ERGASHOV ELYORBEK NE’MATJONOVICH</t>
        </is>
      </c>
      <c r="F3" s="98" t="inlineStr">
        <is>
          <t xml:space="preserve">998774544221 SMS OZI, 998902062924 SMS AYOLI, 998022181812 SMS OZI, 998902533553 SMS AKASI,</t>
        </is>
      </c>
      <c r="G3" s="98" t="inlineStr">
        <is>
          <t xml:space="preserve">ANDIJON VILOYATI BO’Z TUMANI GUZAR MFY, O’ZBEKISTON  KO’CHASI 489-UY</t>
        </is>
      </c>
      <c r="H3" s="99">
        <v>102.0</v>
      </c>
      <c r="I3" s="99">
        <v>28770098.77</v>
      </c>
    </row>
    <row r="4">
      <c r="A4" s="98" t="inlineStr">
        <is>
          <t xml:space="preserve">АНДИЖОН ВИЛОЯТИ</t>
        </is>
      </c>
      <c r="C4" s="98" t="inlineStr">
        <is>
          <t xml:space="preserve">Недозвон</t>
        </is>
      </c>
      <c r="D4" s="98" t="inlineStr">
        <is>
          <t xml:space="preserve">Кр-99059626-1</t>
        </is>
      </c>
      <c r="E4" s="98" t="inlineStr">
        <is>
          <t xml:space="preserve">ABDURAXMONOVA MANZURAXON IBRAGIMDJONOVNA</t>
        </is>
      </c>
      <c r="F4" s="98" t="inlineStr">
        <is>
          <t xml:space="preserve">998972041812 SMS OZI, 998910530105 SMS OGLI, 998502108587 SMS QIZI, 998883838387 SMS KELINI,</t>
        </is>
      </c>
      <c r="G4" s="98" t="inlineStr">
        <is>
          <t xml:space="preserve">ANDIJON VILOYATI ASAKA TUMANI CHEK MFY XAMDO’STLIK KO’CHASI 157-UY</t>
        </is>
      </c>
      <c r="H4" s="99">
        <v>41.0</v>
      </c>
      <c r="I4" s="99">
        <v>17366846.06</v>
      </c>
    </row>
    <row r="5">
      <c r="A5" s="98" t="inlineStr">
        <is>
          <t xml:space="preserve">АНДИЖОН ВИЛОЯТИ</t>
        </is>
      </c>
      <c r="C5" s="98" t="inlineStr">
        <is>
          <t xml:space="preserve">Недозвон</t>
        </is>
      </c>
      <c r="D5" s="98" t="inlineStr">
        <is>
          <t xml:space="preserve">Кр-99062885-1</t>
        </is>
      </c>
      <c r="E5" s="98" t="inlineStr">
        <is>
          <t xml:space="preserve">KASIMXODJAYEV ABDUXALIL ABDUMAJITOVICH</t>
        </is>
      </c>
      <c r="F5" s="98" t="inlineStr">
        <is>
          <t xml:space="preserve">+998916208060 SMS O’ZI, 998914781293 SMS AYOLI, 998916028060 SMS UY, 998976208060 SMS O’ZI2,</t>
        </is>
      </c>
      <c r="G5" s="98" t="inlineStr">
        <is>
          <t xml:space="preserve">ANDIJON VILOYATI  ANDIJON SHAHAR MAYDONBOZOR MFY YAXSHI KO’CHASI 61/59-UY</t>
        </is>
      </c>
      <c r="H5" s="99">
        <v>8.0</v>
      </c>
      <c r="I5" s="99">
        <v>10101384.15</v>
      </c>
    </row>
    <row r="6">
      <c r="A6" s="98" t="inlineStr">
        <is>
          <t xml:space="preserve">АНДИЖОН ВИЛОЯТИ</t>
        </is>
      </c>
      <c r="C6" s="98" t="inlineStr">
        <is>
          <t xml:space="preserve">Недозвон</t>
        </is>
      </c>
      <c r="D6" s="98" t="inlineStr">
        <is>
          <t xml:space="preserve">Кр-99057085-1</t>
        </is>
      </c>
      <c r="E6" s="98" t="inlineStr">
        <is>
          <t xml:space="preserve">YULDASHEVA NILUFAR KAMILOVNA</t>
        </is>
      </c>
      <c r="F6" s="98" t="inlineStr">
        <is>
          <t xml:space="preserve">998872557757 SMS OZI, 998982700122 SMS OGLI, 998772581112 SMS QIZI, 998882331807 SMS JIYANI,</t>
        </is>
      </c>
      <c r="G6" s="98" t="inlineStr">
        <is>
          <t xml:space="preserve">ANDIJON VILOYATI ANDIJON TUMANI ZANGIBOBO MFY PORLOQ KO’CHASI 306-UY</t>
        </is>
      </c>
      <c r="H6" s="99">
        <v>11.0</v>
      </c>
      <c r="I6" s="99">
        <v>9656867.5</v>
      </c>
    </row>
    <row r="7">
      <c r="A7" s="98" t="inlineStr">
        <is>
          <t xml:space="preserve">АНДИЖОН ВИЛОЯТИ</t>
        </is>
      </c>
      <c r="C7" s="98" t="inlineStr">
        <is>
          <t xml:space="preserve">Недозвон</t>
        </is>
      </c>
      <c r="D7" s="98" t="inlineStr">
        <is>
          <t xml:space="preserve">Кр-99062881-1</t>
        </is>
      </c>
      <c r="E7" s="98" t="inlineStr">
        <is>
          <t xml:space="preserve">DJALILOVA SAXIBAXON XAMIDJANOVNA</t>
        </is>
      </c>
      <c r="F7" s="98" t="inlineStr">
        <is>
          <t xml:space="preserve">+998945131961 SMS O’ZI, 998933171152 SMS KELINI, 998934373105 SMS XO’JAYNI, 998998439222 SMS O’G’LI,</t>
        </is>
      </c>
      <c r="G7" s="98" t="inlineStr">
        <is>
          <t xml:space="preserve">ANDIJON VILOYATI   OLTINKO’L TUMANI ITTIFOQ MFY QO’RG’ONCHA KO’CH ASI 32-UY</t>
        </is>
      </c>
      <c r="H7" s="99">
        <v>8.0</v>
      </c>
      <c r="I7" s="99">
        <v>9190772.34</v>
      </c>
    </row>
    <row r="8">
      <c r="A8" s="98" t="inlineStr">
        <is>
          <t xml:space="preserve">АНДИЖОН ВИЛОЯТИ</t>
        </is>
      </c>
      <c r="C8" s="98" t="inlineStr">
        <is>
          <t xml:space="preserve">Недозвон</t>
        </is>
      </c>
      <c r="D8" s="98" t="inlineStr">
        <is>
          <t xml:space="preserve">Кр-99060389-1</t>
        </is>
      </c>
      <c r="E8" s="98" t="inlineStr">
        <is>
          <t xml:space="preserve">SULTANOVA XAMIDA ULJABEKOVNA</t>
        </is>
      </c>
      <c r="F8" s="98" t="inlineStr">
        <is>
          <t xml:space="preserve">+998934141584 SMS O’ZI, 998973243443 SMS KELINI, 998979753443 SMS O’G’LI, 998993200858 SMS XO’JAYNI,</t>
        </is>
      </c>
      <c r="G8" s="98" t="inlineStr">
        <is>
          <t xml:space="preserve">Andijon viloyati Andijon shahar Sadoqat MFY Fuzuliy ko’chasi 49-uy</t>
        </is>
      </c>
      <c r="H8" s="99">
        <v>8.0</v>
      </c>
      <c r="I8" s="99">
        <v>8869357.65</v>
      </c>
    </row>
    <row r="9">
      <c r="A9" s="98" t="inlineStr">
        <is>
          <t xml:space="preserve">АНДИЖОН ВИЛОЯТИ</t>
        </is>
      </c>
      <c r="C9" s="98" t="inlineStr">
        <is>
          <t xml:space="preserve">Недозвон</t>
        </is>
      </c>
      <c r="D9" s="98" t="inlineStr">
        <is>
          <t xml:space="preserve">Кр-99050886-1</t>
        </is>
      </c>
      <c r="E9" s="98" t="inlineStr">
        <is>
          <t xml:space="preserve">SULAYMANOV DILMUROD ABDUMALIKOVICH</t>
        </is>
      </c>
      <c r="F9" s="98" t="inlineStr">
        <is>
          <t xml:space="preserve">+998940074404 SMS O’ZI, 998773277467 SMS QIZI, 998934143383 SMS AYOLI,</t>
        </is>
      </c>
      <c r="G9" s="98" t="inlineStr">
        <is>
          <t xml:space="preserve">ANDIJON VILOYATI   IZBOSKAN TUMANI OBOD MFY UZUN KO’CHA 275-UY</t>
        </is>
      </c>
      <c r="H9" s="99">
        <v>8.0</v>
      </c>
      <c r="I9" s="99">
        <v>8838174.31</v>
      </c>
    </row>
    <row r="10">
      <c r="A10" s="98" t="inlineStr">
        <is>
          <t xml:space="preserve">АНДИЖОН ВИЛОЯТИ</t>
        </is>
      </c>
      <c r="C10" s="98" t="inlineStr">
        <is>
          <t xml:space="preserve">Недозвон</t>
        </is>
      </c>
      <c r="D10" s="98" t="inlineStr">
        <is>
          <t xml:space="preserve">Кр-99058759-1</t>
        </is>
      </c>
      <c r="E10" s="98" t="inlineStr">
        <is>
          <t xml:space="preserve">RAXMANOV DILSHODBEK TO’XTASINOVICH</t>
        </is>
      </c>
      <c r="F10" s="98" t="inlineStr">
        <is>
          <t xml:space="preserve">998889930005 SMS OZI, 998955173700 SMS AYOLI, 998979970184 SMS UKASI, 998949300052 SMS OZI 2,</t>
        </is>
      </c>
      <c r="G10" s="98" t="inlineStr">
        <is>
          <t xml:space="preserve">ANDIJON VILOYATI QO’RG’ONTEPA TUMANI DEXQONCHEK MFY ERKIN IJOD KO’CHASI 74-UY</t>
        </is>
      </c>
      <c r="H10" s="99">
        <v>11.0</v>
      </c>
      <c r="I10" s="99">
        <v>8397917.95</v>
      </c>
    </row>
    <row r="11">
      <c r="A11" s="98" t="inlineStr">
        <is>
          <t xml:space="preserve">АНДИЖОН ВИЛОЯТИ</t>
        </is>
      </c>
      <c r="C11" s="98" t="inlineStr">
        <is>
          <t xml:space="preserve">Недозвон</t>
        </is>
      </c>
      <c r="D11" s="98" t="inlineStr">
        <is>
          <t xml:space="preserve">Кр-99033455-2</t>
        </is>
      </c>
      <c r="E11" s="98" t="inlineStr">
        <is>
          <t xml:space="preserve">ABDULAZIZOV NOZIMJON NASIBJONOVICH</t>
        </is>
      </c>
      <c r="F11" s="98" t="inlineStr">
        <is>
          <t xml:space="preserve">998934104844 SMS O’ZI, 998000048002 SMS O’ZI 2, 998932544648 SMS AYOLI, 998936913859 SMS XAMKASBI, 998948770475 SMS otasi new ,</t>
        </is>
      </c>
      <c r="G11" s="98" t="inlineStr">
        <is>
          <t xml:space="preserve">ANDIJON VILOYATI PAXTAOBOD TUMANI MA’RIFAT MFY,MA’RIFAT KO’CHASI 47-UY</t>
        </is>
      </c>
      <c r="H11" s="99">
        <v>4.0</v>
      </c>
      <c r="I11" s="99">
        <v>8231629.93</v>
      </c>
    </row>
    <row r="12">
      <c r="A12" s="98" t="inlineStr">
        <is>
          <t xml:space="preserve">АНДИЖОН ВИЛОЯТИ</t>
        </is>
      </c>
      <c r="C12" s="98" t="inlineStr">
        <is>
          <t xml:space="preserve">Недозвон</t>
        </is>
      </c>
      <c r="D12" s="98" t="inlineStr">
        <is>
          <t xml:space="preserve">Кр-99047889-1</t>
        </is>
      </c>
      <c r="E12" s="98" t="inlineStr">
        <is>
          <t xml:space="preserve">SHIRMATOV MUXAMMADOZOD QODIRALI O’G’LI</t>
        </is>
      </c>
      <c r="F12" s="98" t="inlineStr">
        <is>
          <t xml:space="preserve">+998911715500 SMS O’ZI, 998772495500 SMS OG’LI, 998972225500 SMS UY, 998998173300 SMS NEVARASI,</t>
        </is>
      </c>
      <c r="G12" s="98" t="inlineStr">
        <is>
          <t xml:space="preserve">ANDIJON VILOYATI ANDIJON SHAHAR ISTIQLOL MFY OBOD 1-TOR KO’CHASI 5-UY</t>
        </is>
      </c>
      <c r="H12" s="99">
        <v>11.0</v>
      </c>
      <c r="I12" s="99">
        <v>8200041.15</v>
      </c>
    </row>
    <row r="13">
      <c r="A13" s="98" t="inlineStr">
        <is>
          <t xml:space="preserve">АНДИЖОН ВИЛОЯТИ</t>
        </is>
      </c>
      <c r="C13" s="98" t="inlineStr">
        <is>
          <t xml:space="preserve">Недозвон</t>
        </is>
      </c>
      <c r="D13" s="98" t="inlineStr">
        <is>
          <t xml:space="preserve">Кр-99063424-2</t>
        </is>
      </c>
      <c r="E13" s="98" t="inlineStr">
        <is>
          <t xml:space="preserve">TURSUNOV RAXMATILLO IKRAMJANOVICH</t>
        </is>
      </c>
      <c r="F13" s="98" t="inlineStr">
        <is>
          <t xml:space="preserve">998702250075 SMS OZI, 998886020075 SMS UKASI2, 998889248080 SMS AYOLI, 998970711009 SMS UKASI,</t>
        </is>
      </c>
      <c r="G13" s="98" t="inlineStr">
        <is>
          <t xml:space="preserve">ANDIJON VILOYATI QO’RG’ONTEPA TUMANI</t>
        </is>
      </c>
      <c r="H13" s="99">
        <v>8.0</v>
      </c>
      <c r="I13" s="99">
        <v>7746590.85</v>
      </c>
    </row>
    <row r="14">
      <c r="A14" s="98" t="inlineStr">
        <is>
          <t xml:space="preserve">АНДИЖОН ВИЛОЯТИ</t>
        </is>
      </c>
      <c r="C14" s="98" t="inlineStr">
        <is>
          <t xml:space="preserve">Недозвон</t>
        </is>
      </c>
      <c r="D14" s="98" t="inlineStr">
        <is>
          <t xml:space="preserve">Кр-99058489-1</t>
        </is>
      </c>
      <c r="E14" s="98" t="inlineStr">
        <is>
          <t xml:space="preserve">UZOQOVA IRODA IBROYIMJONOVNA</t>
        </is>
      </c>
      <c r="F14" s="98" t="inlineStr">
        <is>
          <t xml:space="preserve">998976388885 SMS OZI, 998882215555 SMS XOJAYINI, 998366944492 SMS OZI 2,</t>
        </is>
      </c>
      <c r="G14" s="98" t="inlineStr">
        <is>
          <t xml:space="preserve">ANDIJON VILOYATI ANDIJON TUMANI CHEM MFY ZARQAYNAR KO’CHASI 18-UY</t>
        </is>
      </c>
      <c r="H14" s="99">
        <v>11.0</v>
      </c>
      <c r="I14" s="99">
        <v>7667856.69</v>
      </c>
    </row>
    <row r="15">
      <c r="A15" s="98" t="inlineStr">
        <is>
          <t xml:space="preserve">АНДИЖОН ВИЛОЯТИ</t>
        </is>
      </c>
      <c r="C15" s="98" t="inlineStr">
        <is>
          <t xml:space="preserve">Недозвон</t>
        </is>
      </c>
      <c r="D15" s="98" t="inlineStr">
        <is>
          <t xml:space="preserve">Кр-99061048-1</t>
        </is>
      </c>
      <c r="E15" s="98" t="inlineStr">
        <is>
          <t xml:space="preserve">ORIFJANOV NODIRBEK OMANJANOVICH</t>
        </is>
      </c>
      <c r="F15" s="98" t="inlineStr">
        <is>
          <t xml:space="preserve">998916841884 uzi, 998335177797 ayoli, 998944870903 onasi,</t>
        </is>
      </c>
      <c r="G15" s="98" t="inlineStr">
        <is>
          <t xml:space="preserve">ANDIJON VILOYATI QO’RG’ONTEPA TUMANI SAVAY YANGI BO’STON MFY BARKAMOL KO’CHASI 58-UY</t>
        </is>
      </c>
      <c r="H15" s="99">
        <v>11.0</v>
      </c>
      <c r="I15" s="99">
        <v>7663815.82</v>
      </c>
    </row>
    <row r="16">
      <c r="A16" s="98" t="inlineStr">
        <is>
          <t xml:space="preserve">АНДИЖОН ВИЛОЯТИ</t>
        </is>
      </c>
      <c r="C16" s="98" t="inlineStr">
        <is>
          <t xml:space="preserve">Недозвон</t>
        </is>
      </c>
      <c r="D16" s="98" t="inlineStr">
        <is>
          <t xml:space="preserve">Кр-99061572-1</t>
        </is>
      </c>
      <c r="E16" s="98" t="inlineStr">
        <is>
          <t xml:space="preserve">AXMEDOV  JAVOHIRBEK TOJIDIN O’G’LI</t>
        </is>
      </c>
      <c r="F16" s="98" t="inlineStr">
        <is>
          <t xml:space="preserve">998907726810 узи, 998910676800 аели, 998882357585 укаси, 998974054333 укаси,</t>
        </is>
      </c>
      <c r="G16" s="98" t="inlineStr">
        <is>
          <t xml:space="preserve">ANDIJON VILOYATI ANDIJON TUMANI NURAFSHON MFY YANGI TURMUSH KO’CHASI 69A-UY</t>
        </is>
      </c>
      <c r="H16" s="99">
        <v>11.0</v>
      </c>
      <c r="I16" s="99">
        <v>7662619.42</v>
      </c>
    </row>
    <row r="17">
      <c r="A17" s="98" t="inlineStr">
        <is>
          <t xml:space="preserve">АНДИЖОН ВИЛОЯТИ</t>
        </is>
      </c>
      <c r="C17" s="98" t="inlineStr">
        <is>
          <t xml:space="preserve">Недозвон</t>
        </is>
      </c>
      <c r="D17" s="98" t="inlineStr">
        <is>
          <t xml:space="preserve">Кр-99063020-2</t>
        </is>
      </c>
      <c r="E17" s="98" t="inlineStr">
        <is>
          <t xml:space="preserve">XALIMOV ILXOMJON DJALILOVICH</t>
        </is>
      </c>
      <c r="F17" s="98" t="inlineStr">
        <is>
          <t xml:space="preserve">998979950022 OZI, 998941030105 ONASI, 998945616463 JIYANI, 998993478909 KELINI,</t>
        </is>
      </c>
      <c r="G17" s="98" t="inlineStr">
        <is>
          <t xml:space="preserve">ANDIJON VILOYATI ASAKA TUMANI BOBUR MFY KARVONSAROY KO’CHASI 135 UY</t>
        </is>
      </c>
      <c r="H17" s="99">
        <v>11.0</v>
      </c>
      <c r="I17" s="99">
        <v>7649580.09</v>
      </c>
    </row>
    <row r="18">
      <c r="A18" s="98" t="inlineStr">
        <is>
          <t xml:space="preserve">АНДИЖОН ВИЛОЯТИ</t>
        </is>
      </c>
      <c r="C18" s="98" t="inlineStr">
        <is>
          <t xml:space="preserve">Недозвон</t>
        </is>
      </c>
      <c r="D18" s="98" t="inlineStr">
        <is>
          <t xml:space="preserve">Кр-99063922-3</t>
        </is>
      </c>
      <c r="E18" s="98" t="inlineStr">
        <is>
          <t xml:space="preserve">RUZIYEVA RANO KABILOVNA</t>
        </is>
      </c>
      <c r="F18" s="98" t="inlineStr">
        <is>
          <t xml:space="preserve">+998905437075 SMS O’ZI, 998902597075 SMS UY, 998906257691 SMS OPASI, 998921519222 SMS QIZI,</t>
        </is>
      </c>
      <c r="G18" s="98" t="inlineStr">
        <is>
          <t xml:space="preserve">ANDIJON VILOYATI ANDIJON SHAHAR O’ZBEGIM MFY, A. MUSAYE KO’CHASI 4-UY 31-XONADON</t>
        </is>
      </c>
      <c r="H18" s="99">
        <v>8.0</v>
      </c>
      <c r="I18" s="99">
        <v>7245350.33</v>
      </c>
    </row>
    <row r="19">
      <c r="A19" s="98" t="inlineStr">
        <is>
          <t xml:space="preserve">АНДИЖОН ВИЛОЯТИ</t>
        </is>
      </c>
      <c r="C19" s="98" t="inlineStr">
        <is>
          <t xml:space="preserve">Недозвон</t>
        </is>
      </c>
      <c r="D19" s="98" t="inlineStr">
        <is>
          <t xml:space="preserve">Кр-99062998-1</t>
        </is>
      </c>
      <c r="E19" s="98" t="inlineStr">
        <is>
          <t xml:space="preserve">TURDIMAMATOV ERKINJON ABDUMANNABOVICH</t>
        </is>
      </c>
      <c r="F19" s="98" t="inlineStr">
        <is>
          <t xml:space="preserve">+998880040107 SMS O’ZI, 998884772717 SMS O’G’LI, 998914870066 SMS AYOLI, 998941068585 SMS QIZI,</t>
        </is>
      </c>
      <c r="G19" s="98" t="inlineStr">
        <is>
          <t xml:space="preserve">ANDIJON VILOYATI BO’STON TUMANI MADANIYAT MFY, TINCHLIK  KO’CHASI 3-UY</t>
        </is>
      </c>
      <c r="H19" s="99">
        <v>8.0</v>
      </c>
      <c r="I19" s="99">
        <v>6883914.2</v>
      </c>
    </row>
    <row r="20">
      <c r="A20" s="98" t="inlineStr">
        <is>
          <t xml:space="preserve">АНДИЖОН ВИЛОЯТИ</t>
        </is>
      </c>
      <c r="C20" s="98" t="inlineStr">
        <is>
          <t xml:space="preserve">Недозвон</t>
        </is>
      </c>
      <c r="D20" s="98" t="inlineStr">
        <is>
          <t xml:space="preserve">Кр-99039306-1</t>
        </is>
      </c>
      <c r="E20" s="98" t="inlineStr">
        <is>
          <t xml:space="preserve">ODILJONOV ABDULAZIZ UMIDJON O’G’LI</t>
        </is>
      </c>
      <c r="F20" s="98" t="inlineStr">
        <is>
          <t xml:space="preserve">998934153932 SMS OZI, 998937810042 SMS ONASI, 998937810094 SMS OTASI, 998941051030 SMS AKASI,</t>
        </is>
      </c>
      <c r="G20" s="98" t="inlineStr">
        <is>
          <t xml:space="preserve">ANDIJON VILOYATI ANDIJON SHAHAR  DALVARZIN MFY A.ASHUROV 3-TOR KO’CHASI 4-UY </t>
        </is>
      </c>
      <c r="H20" s="99">
        <v>12.0</v>
      </c>
      <c r="I20" s="99">
        <v>6853149.05</v>
      </c>
    </row>
    <row r="21">
      <c r="A21" s="98" t="inlineStr">
        <is>
          <t xml:space="preserve">АНДИЖОН ВИЛОЯТИ</t>
        </is>
      </c>
      <c r="C21" s="98" t="inlineStr">
        <is>
          <t xml:space="preserve">Недозвон</t>
        </is>
      </c>
      <c r="D21" s="98" t="inlineStr">
        <is>
          <t xml:space="preserve">Кр-99024542-1</t>
        </is>
      </c>
      <c r="E21" s="98" t="inlineStr">
        <is>
          <t xml:space="preserve">XALMATOV ADIL PAZILOVICH</t>
        </is>
      </c>
      <c r="F21" s="98" t="inlineStr">
        <is>
          <t xml:space="preserve">77-123-13-10 SMS OZI, 98-707-22-92 SMS OZI, 90-541-13-18 SMS OZI, 998880072292 УГЛИ шохрух,</t>
        </is>
      </c>
      <c r="G21" s="98" t="inlineStr">
        <is>
          <t xml:space="preserve">ANDIJON VILOYATI ANDIJON SHAHAR ISLOMOBOD MFY 7-TOR MUXITDINOV 21-UY</t>
        </is>
      </c>
      <c r="H21" s="99">
        <v>6.0</v>
      </c>
      <c r="I21" s="99">
        <v>6493123.81</v>
      </c>
    </row>
    <row r="22">
      <c r="A22" s="98" t="inlineStr">
        <is>
          <t xml:space="preserve">АНДИЖОН ВИЛОЯТИ</t>
        </is>
      </c>
      <c r="C22" s="98" t="inlineStr">
        <is>
          <t xml:space="preserve">Недозвон</t>
        </is>
      </c>
      <c r="D22" s="98" t="inlineStr">
        <is>
          <t xml:space="preserve">Кр-99029251-1</t>
        </is>
      </c>
      <c r="E22" s="98" t="inlineStr">
        <is>
          <t xml:space="preserve">XAKIMOV DOSTONBEK INOMJON O’G’LI</t>
        </is>
      </c>
      <c r="F22" s="98" t="inlineStr">
        <is>
          <t xml:space="preserve">998999212231 SMS uzi new raqami, 998933989897 SMS begana tanimidi!, 998903703633 SMS,</t>
        </is>
      </c>
      <c r="G22" s="98" t="inlineStr">
        <is>
          <t xml:space="preserve">ANDIJON VILOYATI ANDIJON TUMAN</t>
        </is>
      </c>
      <c r="H22" s="99">
        <v>7.0</v>
      </c>
      <c r="I22" s="99">
        <v>6445656.18</v>
      </c>
    </row>
    <row r="23">
      <c r="A23" s="98" t="inlineStr">
        <is>
          <t xml:space="preserve">АНДИЖОН ВИЛОЯТИ</t>
        </is>
      </c>
      <c r="C23" s="98" t="inlineStr">
        <is>
          <t xml:space="preserve">Недозвон</t>
        </is>
      </c>
      <c r="D23" s="98" t="inlineStr">
        <is>
          <t xml:space="preserve">Кр-99033808-2</t>
        </is>
      </c>
      <c r="E23" s="98" t="inlineStr">
        <is>
          <t xml:space="preserve">NASIRDINOV MANOPJON PATTAYEVICH</t>
        </is>
      </c>
      <c r="F23" s="98" t="inlineStr">
        <is>
          <t xml:space="preserve">998931053080 SMS O’ZI meva sotadi , 998900000000 SMS, +998916126328 SMS O’ZI, 998916031864 SMS O’ZI2, 998943877760 SMS O’G’LI,</t>
        </is>
      </c>
      <c r="G23" s="98" t="inlineStr">
        <is>
          <t xml:space="preserve">ANDIJON VILOYATI ANDIJON TUMANI GUMBAZ MFY  SHODIYONA KO’CHASI 65-UY</t>
        </is>
      </c>
      <c r="H23" s="99">
        <v>8.0</v>
      </c>
      <c r="I23" s="99">
        <v>6373374.34</v>
      </c>
    </row>
    <row r="24">
      <c r="A24" s="98" t="inlineStr">
        <is>
          <t xml:space="preserve">АНДИЖОН ВИЛОЯТИ</t>
        </is>
      </c>
      <c r="C24" s="98" t="inlineStr">
        <is>
          <t xml:space="preserve">Недозвон</t>
        </is>
      </c>
      <c r="D24" s="98" t="inlineStr">
        <is>
          <t xml:space="preserve">Кр-99062903-1</t>
        </is>
      </c>
      <c r="E24" s="98" t="inlineStr">
        <is>
          <t xml:space="preserve">BAZARBAYEV ISMOILJON IBRAXIMOVICH</t>
        </is>
      </c>
      <c r="F24" s="98" t="inlineStr">
        <is>
          <t xml:space="preserve">+998902581505 SMS O’ZI, 998774300260 SMS AYOLI, 998932477040 SMS UY, 998943338444 SMS O’ZI 2,</t>
        </is>
      </c>
      <c r="G24" s="98" t="inlineStr">
        <is>
          <t xml:space="preserve">ANDIJON VILOYATI   ANDIJON SHAHAR XAMDO’STLIK MFY IFTIXOR KO’CHASI 64-UY</t>
        </is>
      </c>
      <c r="H24" s="99">
        <v>8.0</v>
      </c>
      <c r="I24" s="99">
        <v>6368963.76</v>
      </c>
    </row>
    <row r="25">
      <c r="A25" s="98" t="inlineStr">
        <is>
          <t xml:space="preserve">АНДИЖОН ВИЛОЯТИ</t>
        </is>
      </c>
      <c r="C25" s="98" t="inlineStr">
        <is>
          <t xml:space="preserve">Недозвон</t>
        </is>
      </c>
      <c r="D25" s="98" t="inlineStr">
        <is>
          <t xml:space="preserve">Кр-99057460-1</t>
        </is>
      </c>
      <c r="E25" s="98" t="inlineStr">
        <is>
          <t xml:space="preserve">ONORBOY O’G’LI PULATJON XXX</t>
        </is>
      </c>
      <c r="F25" s="98" t="inlineStr">
        <is>
          <t xml:space="preserve">998953135155 SMS UZI, 998954616995 SMS AYOLI, 998902025254 SMS AKASI, 998772639874 SMS OPASI,</t>
        </is>
      </c>
      <c r="G25" s="98" t="inlineStr">
        <is>
          <t xml:space="preserve">ANDIJON VILOYATI QO’RG’ONTEPA TUMANI DARDOK, NAVOIY MFY YANGI OBOD KO’CHASI 334-UY</t>
        </is>
      </c>
      <c r="H25" s="99">
        <v>8.0</v>
      </c>
      <c r="I25" s="99">
        <v>6352498.87</v>
      </c>
    </row>
    <row r="26">
      <c r="A26" s="98" t="inlineStr">
        <is>
          <t xml:space="preserve">АНДИЖОН ВИЛОЯТИ</t>
        </is>
      </c>
      <c r="C26" s="98" t="inlineStr">
        <is>
          <t xml:space="preserve">Недозвон</t>
        </is>
      </c>
      <c r="D26" s="98" t="inlineStr">
        <is>
          <t xml:space="preserve">Кр-99061829-1</t>
        </is>
      </c>
      <c r="E26" s="98" t="inlineStr">
        <is>
          <t xml:space="preserve">JO’RAYEV BAXTIYAR BAZAROVICH</t>
        </is>
      </c>
      <c r="F26" s="98" t="inlineStr">
        <is>
          <t xml:space="preserve">998994380553 ozi, 998944172190 ayoli, 998500450753 ogli,</t>
        </is>
      </c>
      <c r="G26" s="98" t="inlineStr">
        <is>
          <t xml:space="preserve">Манзил: ANDIJON VILOYATI ASAKA TUMANI FAROVON MFY UZUN KO’CHASI 64-UY</t>
        </is>
      </c>
      <c r="H26" s="99">
        <v>8.0</v>
      </c>
      <c r="I26" s="99">
        <v>6297040.54</v>
      </c>
    </row>
    <row r="27">
      <c r="A27" s="98" t="inlineStr">
        <is>
          <t xml:space="preserve">АНДИЖОН ВИЛОЯТИ</t>
        </is>
      </c>
      <c r="C27" s="98" t="inlineStr">
        <is>
          <t xml:space="preserve">Недозвон</t>
        </is>
      </c>
      <c r="D27" s="98" t="inlineStr">
        <is>
          <t xml:space="preserve">Кр-99041556-1</t>
        </is>
      </c>
      <c r="E27" s="98" t="inlineStr">
        <is>
          <t xml:space="preserve">OTAKO’ZIYEV XAMIDILLO ZOKIROVICH</t>
        </is>
      </c>
      <c r="F27" s="98" t="inlineStr">
        <is>
          <t xml:space="preserve">+998932417333 SMS OZI, 998700138053 QIZI, 998934466605 AYOLI, 998950751927 QIZI 2,</t>
        </is>
      </c>
      <c r="G27" s="98" t="inlineStr">
        <is>
          <t xml:space="preserve">ЁЛГИЗБОГ-2 МФЙ, ЁЛГИЗБОГ-2 КЎЧАСИ,  72 uy:Р/С</t>
        </is>
      </c>
      <c r="H27" s="99">
        <v>8.0</v>
      </c>
      <c r="I27" s="99">
        <v>6282622.35</v>
      </c>
    </row>
    <row r="28">
      <c r="A28" s="98" t="inlineStr">
        <is>
          <t xml:space="preserve">АНДИЖОН ВИЛОЯТИ</t>
        </is>
      </c>
      <c r="C28" s="98" t="inlineStr">
        <is>
          <t xml:space="preserve">Недозвон</t>
        </is>
      </c>
      <c r="D28" s="98" t="inlineStr">
        <is>
          <t xml:space="preserve">Кр-99050885-1</t>
        </is>
      </c>
      <c r="E28" s="98" t="inlineStr">
        <is>
          <t xml:space="preserve">TAYLAKOVA MA’MURAXON NEMATJANOVNA</t>
        </is>
      </c>
      <c r="F28" s="98" t="inlineStr">
        <is>
          <t xml:space="preserve">998501951880 SMS OZI, 998941173187 SMS UAKSI, 998936318477 SMS SINGLISI, 998970174417 SMS KELINI,</t>
        </is>
      </c>
      <c r="G28" s="98" t="inlineStr">
        <is>
          <t xml:space="preserve">ANDIJON VILOYATI ANDIJON SHAHAR BUNYODKOR MFY QO’SH ARIQ DAXASI 46-UY  31-XONADON</t>
        </is>
      </c>
      <c r="H28" s="99">
        <v>8.0</v>
      </c>
      <c r="I28" s="99">
        <v>6239807.46</v>
      </c>
    </row>
    <row r="29">
      <c r="A29" s="98" t="inlineStr">
        <is>
          <t xml:space="preserve">АНДИЖОН ВИЛОЯТИ</t>
        </is>
      </c>
      <c r="C29" s="98" t="inlineStr">
        <is>
          <t xml:space="preserve">Недозвон</t>
        </is>
      </c>
      <c r="D29" s="98" t="inlineStr">
        <is>
          <t xml:space="preserve">Кр-99063433-1</t>
        </is>
      </c>
      <c r="E29" s="98" t="inlineStr">
        <is>
          <t xml:space="preserve">MAMIROV SHAVKATBEK BURIBAYEVICH</t>
        </is>
      </c>
      <c r="F29" s="98" t="inlineStr">
        <is>
          <t xml:space="preserve">+998914753616 SMS O’ZI, 998774111767 SMS AYOLI, 998902076067 SMS KELINI, 998905536067 SMS O’G’LI,</t>
        </is>
      </c>
      <c r="G29" s="98" t="inlineStr">
        <is>
          <t xml:space="preserve">ANDIJON VILOYATI ANDIJON TUMANI TOSHLOQ  MFY, MIRZA  KO’CHASI 798-UY</t>
        </is>
      </c>
      <c r="H29" s="99">
        <v>8.0</v>
      </c>
      <c r="I29" s="99">
        <v>6220594.72</v>
      </c>
    </row>
    <row r="30">
      <c r="A30" s="98" t="inlineStr">
        <is>
          <t xml:space="preserve">АНДИЖОН ВИЛОЯТИ</t>
        </is>
      </c>
      <c r="C30" s="98" t="inlineStr">
        <is>
          <t xml:space="preserve">Недозвон</t>
        </is>
      </c>
      <c r="D30" s="98" t="inlineStr">
        <is>
          <t xml:space="preserve">Кр-99039487-1</t>
        </is>
      </c>
      <c r="E30" s="98" t="inlineStr">
        <is>
          <t xml:space="preserve">USMANOV RAXMANALI XXX</t>
        </is>
      </c>
      <c r="F30" s="98" t="inlineStr">
        <is>
          <t xml:space="preserve">998507778257 SMS OZI, 998949595701 SMS AYOLI, 998330880202 SMS OGLI, 998505081800 SMS KELINI,</t>
        </is>
      </c>
      <c r="G30" s="98" t="inlineStr">
        <is>
          <t xml:space="preserve">ANDIJON VILOYATI JALOLQUDUQ TUMANI OLMAZOR MFY OTASHKALB KO’CHASI 26-UY </t>
        </is>
      </c>
      <c r="H30" s="99">
        <v>5.0</v>
      </c>
      <c r="I30" s="99">
        <v>5857544.15</v>
      </c>
    </row>
    <row r="31">
      <c r="A31" s="98" t="inlineStr">
        <is>
          <t xml:space="preserve">АНДИЖОН ВИЛОЯТИ</t>
        </is>
      </c>
      <c r="C31" s="98" t="inlineStr">
        <is>
          <t xml:space="preserve">Недозвон</t>
        </is>
      </c>
      <c r="D31" s="98" t="inlineStr">
        <is>
          <t xml:space="preserve">Кр-99044950-1</t>
        </is>
      </c>
      <c r="E31" s="98" t="inlineStr">
        <is>
          <t xml:space="preserve">MAMAYUNUSOV SOBIRJON YUSUPOVICH</t>
        </is>
      </c>
      <c r="F31" s="98" t="inlineStr">
        <is>
          <t xml:space="preserve">+998903831002 SMS O’ZI, 998500448004 SMS O’ZI2, 998902202308 SMS QIZI, 998910697782 SMS XO’JAYNI,</t>
        </is>
      </c>
      <c r="G31" s="98" t="inlineStr">
        <is>
          <t xml:space="preserve">АНДИЖОН ВИЛОЯТИ МАРХАМАТ ТУМАНИ ГУЛИСТОН МФЙ, ФИДОКОР КЎЧАСИ,  uy:Р/С</t>
        </is>
      </c>
      <c r="H31" s="99">
        <v>11.0</v>
      </c>
      <c r="I31" s="99">
        <v>5770526.34</v>
      </c>
    </row>
    <row r="32">
      <c r="A32" s="98" t="inlineStr">
        <is>
          <t xml:space="preserve">АНДИЖОН ВИЛОЯТИ</t>
        </is>
      </c>
      <c r="C32" s="98" t="inlineStr">
        <is>
          <t xml:space="preserve">Недозвон</t>
        </is>
      </c>
      <c r="D32" s="98" t="inlineStr">
        <is>
          <t xml:space="preserve">Кр-99061813-1</t>
        </is>
      </c>
      <c r="E32" s="98" t="inlineStr">
        <is>
          <t xml:space="preserve">AXMEDOVA LOLAXON XASANOVNA</t>
        </is>
      </c>
      <c r="F32" s="98" t="inlineStr">
        <is>
          <t xml:space="preserve">998939680860 узи, 998948093111 угли, 998772093139 угли, 998990300805 угли,</t>
        </is>
      </c>
      <c r="G32" s="98" t="inlineStr">
        <is>
          <t xml:space="preserve">ANDIJON VILOYATI IZBOSKAN TUMANI CHEKYO MFY ABU ALI IBN SINO KO’CHASI 27-UY</t>
        </is>
      </c>
      <c r="H32" s="99">
        <v>8.0</v>
      </c>
      <c r="I32" s="99">
        <v>5711837.99</v>
      </c>
    </row>
    <row r="33">
      <c r="A33" s="98" t="inlineStr">
        <is>
          <t xml:space="preserve">АНДИЖОН ВИЛОЯТИ</t>
        </is>
      </c>
      <c r="C33" s="98" t="inlineStr">
        <is>
          <t xml:space="preserve">Недозвон</t>
        </is>
      </c>
      <c r="D33" s="98" t="inlineStr">
        <is>
          <t xml:space="preserve">Кр-99033504-1</t>
        </is>
      </c>
      <c r="E33" s="98" t="inlineStr">
        <is>
          <t xml:space="preserve">NIYAZOV XAYBATULLA BURXANOVICH</t>
        </is>
      </c>
      <c r="F33" s="98" t="inlineStr">
        <is>
          <t xml:space="preserve">998979926505 SMS OZI, 998501881794 SMS O'G'LI, 998951679511 SMS KELINI, 998507199794 SMS QIZI,</t>
        </is>
      </c>
      <c r="G33" s="98" t="inlineStr">
        <is>
          <t xml:space="preserve">ANDIJON VILOYATI ASAKA TUMANI QADRIYAT MFY HUMO KO’CHASI 39-UY 28- XONADON</t>
        </is>
      </c>
      <c r="H33" s="99">
        <v>8.0</v>
      </c>
      <c r="I33" s="99">
        <v>5636154.08</v>
      </c>
    </row>
    <row r="34">
      <c r="A34" s="98" t="inlineStr">
        <is>
          <t xml:space="preserve">АНДИЖОН ВИЛОЯТИ</t>
        </is>
      </c>
      <c r="C34" s="98" t="inlineStr">
        <is>
          <t xml:space="preserve">Недозвон</t>
        </is>
      </c>
      <c r="D34" s="98" t="inlineStr">
        <is>
          <t xml:space="preserve">Кр-99041217-1</t>
        </is>
      </c>
      <c r="E34" s="98" t="inlineStr">
        <is>
          <t xml:space="preserve">MAMATQULOVA ARAPAT ABDIRASHIDOVNA</t>
        </is>
      </c>
      <c r="F34" s="98" t="inlineStr">
        <is>
          <t xml:space="preserve">998951010159 SMS O’ZI, 998940898185 SMS O’G’LI, 998959020123 SMS KELINI, 998998018591 SMS UYI,</t>
        </is>
      </c>
      <c r="G34" s="98" t="inlineStr">
        <is>
          <t xml:space="preserve">ANDIJON VILOYATI IZBOSKAN TUMANI BOTIROBOD MFY, SAXOVAT  KO’CHASI 62-UY</t>
        </is>
      </c>
      <c r="H34" s="99">
        <v>8.0</v>
      </c>
      <c r="I34" s="99">
        <v>5629166.29</v>
      </c>
    </row>
    <row r="35">
      <c r="A35" s="98" t="inlineStr">
        <is>
          <t xml:space="preserve">АНДИЖОН ВИЛОЯТИ</t>
        </is>
      </c>
      <c r="C35" s="98" t="inlineStr">
        <is>
          <t xml:space="preserve">Недозвон</t>
        </is>
      </c>
      <c r="D35" s="98" t="inlineStr">
        <is>
          <t xml:space="preserve">Кр-99049616-1</t>
        </is>
      </c>
      <c r="E35" s="98" t="inlineStr">
        <is>
          <t xml:space="preserve">DAVIDOV MAMIRJON NEMATJONOVICH</t>
        </is>
      </c>
      <c r="F35" s="98" t="inlineStr">
        <is>
          <t xml:space="preserve">998883672747 OZI,</t>
        </is>
      </c>
      <c r="G35" s="98" t="inlineStr">
        <is>
          <t xml:space="preserve">IIV3411</t>
        </is>
      </c>
      <c r="H35" s="99">
        <v>8.0</v>
      </c>
      <c r="I35" s="99">
        <v>5512839.89</v>
      </c>
    </row>
    <row r="36">
      <c r="A36" s="98" t="inlineStr">
        <is>
          <t xml:space="preserve">АНДИЖОН ВИЛОЯТИ</t>
        </is>
      </c>
      <c r="C36" s="98" t="inlineStr">
        <is>
          <t xml:space="preserve">Недозвон</t>
        </is>
      </c>
      <c r="D36" s="98" t="inlineStr">
        <is>
          <t xml:space="preserve">Кр-99063505-1</t>
        </is>
      </c>
      <c r="E36" s="98" t="inlineStr">
        <is>
          <t xml:space="preserve">QORABOYEV XURSANBEK XXX</t>
        </is>
      </c>
      <c r="F36" s="98" t="inlineStr">
        <is>
          <t xml:space="preserve">+998950760759 SMS O’ZI, 998937805535 SMS QIZI, 998947861300 SMS O’G’LI, 998948630360 SMS AYOLI, 998932428771 SMS Tolovchi Azamat ,</t>
        </is>
      </c>
      <c r="G36" s="98" t="inlineStr">
        <is>
          <t xml:space="preserve">ANDIJON VILOYATI   ASAKA TUMANI NAMUNA BO’STON  MFY QIPCHOQ KO’CHASI  53-UY</t>
        </is>
      </c>
      <c r="H36" s="99">
        <v>8.0</v>
      </c>
      <c r="I36" s="99">
        <v>5340987.86</v>
      </c>
    </row>
    <row r="37">
      <c r="A37" s="98" t="inlineStr">
        <is>
          <t xml:space="preserve">АНДИЖОН ВИЛОЯТИ</t>
        </is>
      </c>
      <c r="C37" s="98" t="inlineStr">
        <is>
          <t xml:space="preserve">Недозвон</t>
        </is>
      </c>
      <c r="D37" s="98" t="inlineStr">
        <is>
          <t xml:space="preserve">Кр-99052625-1</t>
        </is>
      </c>
      <c r="E37" s="98" t="inlineStr">
        <is>
          <t xml:space="preserve">SHAMATOVA MAXMUDAXON UMIDJON QIZI</t>
        </is>
      </c>
      <c r="F37" s="98" t="inlineStr">
        <is>
          <t xml:space="preserve">998916120121 SMS OZI, 998885937444 SMS ONASI, 998889680010 SMS OTASI, 998907585855 SMS OPASI,</t>
        </is>
      </c>
      <c r="G37" s="98" t="inlineStr">
        <is>
          <t xml:space="preserve">ANDIJON VILOYATI ANDIJON TUMANI SADDATAGI MFY CHEK KO’CHASI 87-UY</t>
        </is>
      </c>
      <c r="H37" s="99">
        <v>8.0</v>
      </c>
      <c r="I37" s="99">
        <v>5088860.37</v>
      </c>
    </row>
    <row r="38">
      <c r="A38" s="98" t="inlineStr">
        <is>
          <t xml:space="preserve">АНДИЖОН ВИЛОЯТИ</t>
        </is>
      </c>
      <c r="C38" s="98" t="inlineStr">
        <is>
          <t xml:space="preserve">Недозвон</t>
        </is>
      </c>
      <c r="D38" s="98" t="inlineStr">
        <is>
          <t xml:space="preserve">Кр-99057627-1</t>
        </is>
      </c>
      <c r="E38" s="98" t="inlineStr">
        <is>
          <t xml:space="preserve">ABDUGANIYEVA MATLUBAXON XXX</t>
        </is>
      </c>
      <c r="F38" s="98" t="inlineStr">
        <is>
          <t xml:space="preserve">998911757604 SMS OZI, 998902011084 SMS OGLI, 998910611084 SMS KELIMI, 998907620065 SMS QUDASI,</t>
        </is>
      </c>
      <c r="G38" s="98" t="inlineStr">
        <is>
          <t xml:space="preserve">ANDIJON VILOYATI ANDIJON SHAHAR QORATUT MFY 5-KICHIK NOXIYA KO’CHASI 17-UY, 78-XONADON</t>
        </is>
      </c>
      <c r="H38" s="99">
        <v>11.0</v>
      </c>
      <c r="I38" s="99">
        <v>5086724.6</v>
      </c>
    </row>
    <row r="39">
      <c r="A39" s="98" t="inlineStr">
        <is>
          <t xml:space="preserve">АНДИЖОН ВИЛОЯТИ</t>
        </is>
      </c>
      <c r="C39" s="98" t="inlineStr">
        <is>
          <t xml:space="preserve">Недозвон</t>
        </is>
      </c>
      <c r="D39" s="98" t="inlineStr">
        <is>
          <t xml:space="preserve">Кр-99034299-2</t>
        </is>
      </c>
      <c r="E39" s="98" t="inlineStr">
        <is>
          <t xml:space="preserve">MAMADALIYEVA ZUXRAXON BAXROMOVNA</t>
        </is>
      </c>
      <c r="F39" s="98" t="inlineStr">
        <is>
          <t xml:space="preserve">998979939062 SMS TOLOVCHI, 998889990036 SMS OGLI, 998889991060 SMS OGLI, 998999722052 SMS OZI,</t>
        </is>
      </c>
      <c r="G39" s="98" t="inlineStr">
        <is>
          <t xml:space="preserve">ANDIJON VILOYATI ASAKA TUMANI CHEK MFY, FARG’ONA KATTA YO’LI KO’CHASI </t>
        </is>
      </c>
      <c r="H39" s="99">
        <v>8.0</v>
      </c>
      <c r="I39" s="99">
        <v>5084574.48</v>
      </c>
    </row>
    <row r="40">
      <c r="A40" s="98" t="inlineStr">
        <is>
          <t xml:space="preserve">АНДИЖОН ВИЛОЯТИ</t>
        </is>
      </c>
      <c r="C40" s="98" t="inlineStr">
        <is>
          <t xml:space="preserve">Недозвон</t>
        </is>
      </c>
      <c r="D40" s="98" t="inlineStr">
        <is>
          <t xml:space="preserve">Кр-99057367-1</t>
        </is>
      </c>
      <c r="E40" s="98" t="inlineStr">
        <is>
          <t xml:space="preserve">ERGASHEVA DILBARXON XXX</t>
        </is>
      </c>
      <c r="F40" s="98" t="inlineStr">
        <is>
          <t xml:space="preserve">998955529082 SMS O’ZI TO’LOVCHI, 998935483685 SMS AYOLI, 998950107819 SMS OGLI, 998914993298 SMS QIZI,</t>
        </is>
      </c>
      <c r="G40" s="98" t="inlineStr">
        <is>
          <t xml:space="preserve">ANDIJON VILOYATI BULOQBOSHI TUMANI UCHKO’CHA  MFY PESHQADAM KO’CHASI 6-UY</t>
        </is>
      </c>
      <c r="H40" s="99">
        <v>8.0</v>
      </c>
      <c r="I40" s="99">
        <v>5082347.25</v>
      </c>
    </row>
    <row r="41">
      <c r="A41" s="98" t="inlineStr">
        <is>
          <t xml:space="preserve">АНДИЖОН ВИЛОЯТИ</t>
        </is>
      </c>
      <c r="C41" s="98" t="inlineStr">
        <is>
          <t xml:space="preserve">Недозвон</t>
        </is>
      </c>
      <c r="D41" s="98" t="inlineStr">
        <is>
          <t xml:space="preserve">Кр-99062778-2</t>
        </is>
      </c>
      <c r="E41" s="98" t="inlineStr">
        <is>
          <t xml:space="preserve">SODIQOV KOMOLDIN USMONOVICH</t>
        </is>
      </c>
      <c r="F41" s="98" t="inlineStr">
        <is>
          <t xml:space="preserve">+998979727278 SMS O’G’LI TO’LOVCHI, 998772987278 SMS AYOLI, 998930657161 SMS O’ZI, 998947060694 SMS QIZI,</t>
        </is>
      </c>
      <c r="G41" s="98" t="inlineStr">
        <is>
          <t xml:space="preserve">ANDIJON VILOYATI  OLTINKO’L TUMANI TEMIRXO’JA MFY TEMIRXO’JA KO’CHASI 638-UY</t>
        </is>
      </c>
      <c r="H41" s="99">
        <v>8.0</v>
      </c>
      <c r="I41" s="99">
        <v>5074830.18</v>
      </c>
    </row>
    <row r="42">
      <c r="A42" s="98" t="inlineStr">
        <is>
          <t xml:space="preserve">АНДИЖОН ВИЛОЯТИ</t>
        </is>
      </c>
      <c r="C42" s="98" t="inlineStr">
        <is>
          <t xml:space="preserve">Недозвон</t>
        </is>
      </c>
      <c r="D42" s="98" t="inlineStr">
        <is>
          <t xml:space="preserve">Кр-99034252-1</t>
        </is>
      </c>
      <c r="E42" s="98" t="inlineStr">
        <is>
          <t xml:space="preserve">ESONOV RAVSHAN XOLDAROVICH</t>
        </is>
      </c>
      <c r="F42" s="98" t="inlineStr">
        <is>
          <t xml:space="preserve">998501043170 SMS O’ZI, 998887711099 SMS AYOLI, 998990891219 SMS JIYANI, 998979817500 SMS  I  OZI EKAN ,</t>
        </is>
      </c>
      <c r="G42" s="98" t="inlineStr">
        <is>
          <t xml:space="preserve">ANDIJON VILOYATI SHAXRIXON TUMANI NAYNAVO MFY QORABO’YIN 2 KO’CHASI 39-UY</t>
        </is>
      </c>
      <c r="H42" s="99">
        <v>8.0</v>
      </c>
      <c r="I42" s="99">
        <v>5074787.7</v>
      </c>
    </row>
    <row r="43">
      <c r="A43" s="98" t="inlineStr">
        <is>
          <t xml:space="preserve">АНДИЖОН ВИЛОЯТИ</t>
        </is>
      </c>
      <c r="C43" s="98" t="inlineStr">
        <is>
          <t xml:space="preserve">Недозвон</t>
        </is>
      </c>
      <c r="D43" s="98" t="inlineStr">
        <is>
          <t xml:space="preserve">Кр-99063242-1</t>
        </is>
      </c>
      <c r="E43" s="98" t="inlineStr">
        <is>
          <t xml:space="preserve">ZULUNOV ILXOMJON INOMJONOVICH</t>
        </is>
      </c>
      <c r="F43" s="98" t="inlineStr">
        <is>
          <t xml:space="preserve">998938761212 SMS O’G’LI, 998939761212 SMS O’ZI, 998975811212 SMS AYOLI, 998979821212 SMS O’ZI,</t>
        </is>
      </c>
      <c r="G43" s="98" t="inlineStr">
        <is>
          <t xml:space="preserve">ANDIJON VILOYATI  ANDIJON TUMANI QUM KO’CHA MFY, QUM KO’CHA   KO’CHASI 42-UY</t>
        </is>
      </c>
      <c r="H43" s="99">
        <v>13.0</v>
      </c>
      <c r="I43" s="99">
        <v>5036512.91</v>
      </c>
    </row>
    <row r="44">
      <c r="A44" s="98" t="inlineStr">
        <is>
          <t xml:space="preserve">АНДИЖОН ВИЛОЯТИ</t>
        </is>
      </c>
      <c r="C44" s="98" t="inlineStr">
        <is>
          <t xml:space="preserve">Недозвон</t>
        </is>
      </c>
      <c r="D44" s="98" t="inlineStr">
        <is>
          <t xml:space="preserve">Кр-99063311-2</t>
        </is>
      </c>
      <c r="E44" s="98" t="inlineStr">
        <is>
          <t xml:space="preserve">MAHKAMOVA MAVLUDA QORATOYEVNA</t>
        </is>
      </c>
      <c r="F44" s="98" t="inlineStr">
        <is>
          <t xml:space="preserve">+998907574245 SMS O’ZI, 998931041313 SMS JIYANI, 998937834245 SMS O’ZI2, 998949998375 SMS OPASI,</t>
        </is>
      </c>
      <c r="G44" s="98" t="inlineStr">
        <is>
          <t xml:space="preserve">ANDIJON VILOYATI IZBOSKAN TUMANI YUQORI MFY DAMBA  KO’CHASI 10-UY</t>
        </is>
      </c>
      <c r="H44" s="99">
        <v>8.0</v>
      </c>
      <c r="I44" s="99">
        <v>5033553.69</v>
      </c>
    </row>
    <row r="45">
      <c r="A45" s="98" t="inlineStr">
        <is>
          <t xml:space="preserve">АНДИЖОН ВИЛОЯТИ</t>
        </is>
      </c>
      <c r="C45" s="98" t="inlineStr">
        <is>
          <t xml:space="preserve">Недозвон</t>
        </is>
      </c>
      <c r="D45" s="98" t="inlineStr">
        <is>
          <t xml:space="preserve">Кр-99060311-1</t>
        </is>
      </c>
      <c r="E45" s="98" t="inlineStr">
        <is>
          <t xml:space="preserve">TURSUNALIYEVA XAYITXON MARIPJON QIZI</t>
        </is>
      </c>
      <c r="F45" s="98" t="inlineStr">
        <is>
          <t xml:space="preserve">998940628884 узи, 998936112423 синглиси, 998934012272 кизи, 998501854188 угли,</t>
        </is>
      </c>
      <c r="G45" s="98" t="inlineStr">
        <is>
          <t xml:space="preserve">ANDIJON VILOYATI</t>
        </is>
      </c>
      <c r="H45" s="99">
        <v>8.0</v>
      </c>
      <c r="I45" s="99">
        <v>4995015.73</v>
      </c>
    </row>
    <row r="46">
      <c r="A46" s="98" t="inlineStr">
        <is>
          <t xml:space="preserve">АНДИЖОН ВИЛОЯТИ</t>
        </is>
      </c>
      <c r="C46" s="98" t="inlineStr">
        <is>
          <t xml:space="preserve">Недозвон</t>
        </is>
      </c>
      <c r="D46" s="98" t="inlineStr">
        <is>
          <t xml:space="preserve">Кр-99063371-1</t>
        </is>
      </c>
      <c r="E46" s="98" t="inlineStr">
        <is>
          <t xml:space="preserve">MANSUROVA MUKADDAMXON ASHURALIYEVNA</t>
        </is>
      </c>
      <c r="F46" s="98" t="inlineStr">
        <is>
          <t xml:space="preserve">+998914860919 SMS O’ZI, 998507065046 SMS KELINI, 998884720998 SMS O’G’LI, 998970993737 SMS O’G’LI,</t>
        </is>
      </c>
      <c r="G46" s="98" t="inlineStr">
        <is>
          <t xml:space="preserve">ANDIJON VILOYATI  ANDIJON SHAHAR JUMABOZOR  MFY SOY KO’CHASI  20-UY</t>
        </is>
      </c>
      <c r="H46" s="99">
        <v>8.0</v>
      </c>
      <c r="I46" s="99">
        <v>4987376.04</v>
      </c>
    </row>
    <row r="47">
      <c r="A47" s="98" t="inlineStr">
        <is>
          <t xml:space="preserve">АНДИЖОН ВИЛОЯТИ</t>
        </is>
      </c>
      <c r="C47" s="98" t="inlineStr">
        <is>
          <t xml:space="preserve">Недозвон</t>
        </is>
      </c>
      <c r="D47" s="98" t="inlineStr">
        <is>
          <t xml:space="preserve">Кр-99038794-1</t>
        </is>
      </c>
      <c r="E47" s="98" t="inlineStr">
        <is>
          <t xml:space="preserve">TOSHXO’JAYEV FAZLIDDIN ZOKIRJON O’G’LI</t>
        </is>
      </c>
      <c r="F47" s="98" t="inlineStr">
        <is>
          <t xml:space="preserve">998903807010 SMS OZI, 998916197010 SMS AYOLI, 998954779770 SMS ONASI ОГАЙНИСИНИ НОМЕРИ , 998505114440 SMS AKASI бегона ,</t>
        </is>
      </c>
      <c r="G47" s="98" t="inlineStr">
        <is>
          <t xml:space="preserve">ANDIJON VILOYATI ANDIJON SHAXAR ISLOMOBOD  MFY, MIRPO’STIN KO’CHASI 40 B-UY  31-XONADON</t>
        </is>
      </c>
      <c r="H47" s="99">
        <v>57.0</v>
      </c>
      <c r="I47" s="99">
        <v>4942321.34</v>
      </c>
    </row>
    <row r="48">
      <c r="A48" s="98" t="inlineStr">
        <is>
          <t xml:space="preserve">АНДИЖОН ВИЛОЯТИ</t>
        </is>
      </c>
      <c r="C48" s="98" t="inlineStr">
        <is>
          <t xml:space="preserve">Недозвон</t>
        </is>
      </c>
      <c r="D48" s="98" t="inlineStr">
        <is>
          <t xml:space="preserve">Кр-99039938-1</t>
        </is>
      </c>
      <c r="E48" s="98" t="inlineStr">
        <is>
          <t xml:space="preserve">YULDASHEV RAFIK PAZILOVICH</t>
        </is>
      </c>
      <c r="F48" s="98" t="inlineStr">
        <is>
          <t xml:space="preserve">998777547848 SMS OZI  zargarlik agentligida yurist bolib iwlid , 998888380020 SMS QIZI, 998905459367 SMS ONASI, 998903808282 SMS AKASI,</t>
        </is>
      </c>
      <c r="G48" s="98" t="inlineStr">
        <is>
          <t xml:space="preserve">ANDIJON VILOYATI ANDIJON SHAXAR YAXSHI MFY, KOLXOZCHI  KO’CHASI 38-UY</t>
        </is>
      </c>
      <c r="H48" s="99">
        <v>8.0</v>
      </c>
      <c r="I48" s="99">
        <v>4846974.36</v>
      </c>
    </row>
    <row r="49">
      <c r="A49" s="98" t="inlineStr">
        <is>
          <t xml:space="preserve">АНДИЖОН ВИЛОЯТИ</t>
        </is>
      </c>
      <c r="C49" s="98" t="inlineStr">
        <is>
          <t xml:space="preserve">Недозвон</t>
        </is>
      </c>
      <c r="D49" s="98" t="inlineStr">
        <is>
          <t xml:space="preserve">Кр-99046576-1</t>
        </is>
      </c>
      <c r="E49" s="98" t="inlineStr">
        <is>
          <t xml:space="preserve">MAMADALIYEV SANJAR MURATOVICH</t>
        </is>
      </c>
      <c r="F49" s="98" t="inlineStr">
        <is>
          <t xml:space="preserve">+998945966091 SMS O’ZI, 998901474044 SMS QO’SHNISI ISLOMBEK, 998938061719 SMS AYOLI, 998952319791 SMS UKASI,</t>
        </is>
      </c>
      <c r="G49" s="98" t="inlineStr">
        <is>
          <t xml:space="preserve">Andijon viloyati Xo’jaobod tumani Quvvatmurod MFY Yangi xayot ko’chasi 115-uy</t>
        </is>
      </c>
      <c r="H49" s="99">
        <v>8.0</v>
      </c>
      <c r="I49" s="99">
        <v>4685361.36</v>
      </c>
    </row>
    <row r="50">
      <c r="A50" s="98" t="inlineStr">
        <is>
          <t xml:space="preserve">АНДИЖОН ВИЛОЯТИ</t>
        </is>
      </c>
      <c r="C50" s="98" t="inlineStr">
        <is>
          <t xml:space="preserve">Недозвон</t>
        </is>
      </c>
      <c r="D50" s="98" t="inlineStr">
        <is>
          <t xml:space="preserve">Кр-99045554-1</t>
        </is>
      </c>
      <c r="E50" s="98" t="inlineStr">
        <is>
          <t xml:space="preserve">G’OFUROV ABDULLAJON OMONOVICH</t>
        </is>
      </c>
      <c r="F50" s="98" t="inlineStr">
        <is>
          <t xml:space="preserve">998934395830 SMS TO’LOVCHI, 998939735040 SMS AYYOLI, 998941060696 SMS O’ZI, 998944395830 SMS TO’LOVCHI,</t>
        </is>
      </c>
      <c r="G50" s="98" t="inlineStr">
        <is>
          <t xml:space="preserve">Сегаза МФЙ, Сегаза кучаси, 109-уй</t>
        </is>
      </c>
      <c r="H50" s="99">
        <v>12.0</v>
      </c>
      <c r="I50" s="99">
        <v>4467892.56</v>
      </c>
    </row>
    <row r="51">
      <c r="A51" s="98" t="inlineStr">
        <is>
          <t xml:space="preserve">АНДИЖОН ВИЛОЯТИ</t>
        </is>
      </c>
      <c r="C51" s="98" t="inlineStr">
        <is>
          <t xml:space="preserve">Недозвон</t>
        </is>
      </c>
      <c r="D51" s="98" t="inlineStr">
        <is>
          <t xml:space="preserve">Кр-99041941-1</t>
        </is>
      </c>
      <c r="E51" s="98" t="inlineStr">
        <is>
          <t xml:space="preserve">DAMINOV UMIDJON OMADJON O’G’LI</t>
        </is>
      </c>
      <c r="F51" s="98" t="inlineStr">
        <is>
          <t xml:space="preserve">+998942579577 SMS O’ZI, 998700811712 SMS DADASI, 998934125332 SMS ONASI, 998979407999 SMS AKASI,</t>
        </is>
      </c>
      <c r="G51" s="98" t="inlineStr">
        <is>
          <t xml:space="preserve">Сой МФЙ, Оби хаёт кучаси, 30-уй</t>
        </is>
      </c>
      <c r="H51" s="99">
        <v>8.0</v>
      </c>
      <c r="I51" s="99">
        <v>4466748.01</v>
      </c>
    </row>
    <row r="52">
      <c r="A52" s="98" t="inlineStr">
        <is>
          <t xml:space="preserve">АНДИЖОН ВИЛОЯТИ</t>
        </is>
      </c>
      <c r="C52" s="98" t="inlineStr">
        <is>
          <t xml:space="preserve">Недозвон</t>
        </is>
      </c>
      <c r="D52" s="98" t="inlineStr">
        <is>
          <t xml:space="preserve">Кр-99056908-1</t>
        </is>
      </c>
      <c r="E52" s="98" t="inlineStr">
        <is>
          <t xml:space="preserve">ERKINOV MUHAMMADBILOL TO’LQINBOY O’G’LI</t>
        </is>
      </c>
      <c r="F52" s="98" t="inlineStr">
        <is>
          <t xml:space="preserve">998958783737 SMS OZI, 998706027002 SSMS OZI , 998959297262 SMS OZI 2,</t>
        </is>
      </c>
      <c r="G52" s="98" t="inlineStr">
        <is>
          <t xml:space="preserve">ANDIJON VILOYATI ASAKA TUMANI FIDOKOR MFY TINCHLIK 7-UY</t>
        </is>
      </c>
      <c r="H52" s="99">
        <v>8.0</v>
      </c>
      <c r="I52" s="99">
        <v>4429592.19</v>
      </c>
    </row>
    <row r="53">
      <c r="A53" s="98" t="inlineStr">
        <is>
          <t xml:space="preserve">АНДИЖОН ВИЛОЯТИ</t>
        </is>
      </c>
      <c r="C53" s="98" t="inlineStr">
        <is>
          <t xml:space="preserve">Недозвон</t>
        </is>
      </c>
      <c r="D53" s="98" t="inlineStr">
        <is>
          <t xml:space="preserve">Кр-99040471-1</t>
        </is>
      </c>
      <c r="E53" s="98" t="inlineStr">
        <is>
          <t xml:space="preserve">ABDULLAYEVA FERUZAXON RAPIKOVNA</t>
        </is>
      </c>
      <c r="F53" s="98" t="inlineStr">
        <is>
          <t xml:space="preserve">998958551476 SMS OZI,</t>
        </is>
      </c>
      <c r="G53" s="98" t="inlineStr">
        <is>
          <t xml:space="preserve">ANDIJON VILOYATI XO’JAOBOD TUMANI KO’PRIKBOSHI MFY, KO’CHAK  KO’CHASI 64-UY</t>
        </is>
      </c>
      <c r="H53" s="99">
        <v>8.0</v>
      </c>
      <c r="I53" s="99">
        <v>4428212.52</v>
      </c>
    </row>
    <row r="54">
      <c r="A54" s="98" t="inlineStr">
        <is>
          <t xml:space="preserve">АНДИЖОН ВИЛОЯТИ</t>
        </is>
      </c>
      <c r="C54" s="98" t="inlineStr">
        <is>
          <t xml:space="preserve">Недозвон</t>
        </is>
      </c>
      <c r="D54" s="98" t="inlineStr">
        <is>
          <t xml:space="preserve">Кр-99040327-1</t>
        </is>
      </c>
      <c r="E54" s="98" t="inlineStr">
        <is>
          <t xml:space="preserve">KADIROVA MALIKAXAN XXX</t>
        </is>
      </c>
      <c r="F54" s="98" t="inlineStr">
        <is>
          <t xml:space="preserve">998914926951 SMS OZI, 998905428587 SMS OGLI, 998905738535 SMS KELINI, 998914840656 SMS OGLI,</t>
        </is>
      </c>
      <c r="G54" s="98" t="inlineStr">
        <is>
          <t xml:space="preserve">ANDIJON VILOYATI ANDIJON SHAXAR UYG’UROBOD MFY, UYG’UROBOD  KO’CHASI 69A-UY</t>
        </is>
      </c>
      <c r="H54" s="99">
        <v>8.0</v>
      </c>
      <c r="I54" s="99">
        <v>4427326.12</v>
      </c>
    </row>
    <row r="55">
      <c r="A55" s="98" t="inlineStr">
        <is>
          <t xml:space="preserve">АНДИЖОН ВИЛОЯТИ</t>
        </is>
      </c>
      <c r="C55" s="98" t="inlineStr">
        <is>
          <t xml:space="preserve">Недозвон</t>
        </is>
      </c>
      <c r="D55" s="98" t="inlineStr">
        <is>
          <t xml:space="preserve">Кр-99041175-1</t>
        </is>
      </c>
      <c r="E55" s="98" t="inlineStr">
        <is>
          <t xml:space="preserve">PARPIYEV MUXAMMADRASUL MO’MINJON O’G’LI</t>
        </is>
      </c>
      <c r="F55" s="98" t="inlineStr">
        <is>
          <t xml:space="preserve">998700493848 SMS OZI   , 998910673069 SMS ONASI oyoq kiyim  tikib sotadi ishlab chiqarish sex bor  , 998906265646 SMS OTASI, 998916066699 SMS QOSHNISI,</t>
        </is>
      </c>
      <c r="G55" s="98" t="inlineStr">
        <is>
          <t xml:space="preserve">ANDIJON VILOYATI ANDIJON SHAHAR QALANDARXONA MFY  M. SAIDOV  KO’CHASI 96-UY</t>
        </is>
      </c>
      <c r="H55" s="99">
        <v>5.0</v>
      </c>
      <c r="I55" s="99">
        <v>4423710.4</v>
      </c>
    </row>
    <row r="56">
      <c r="A56" s="98" t="inlineStr">
        <is>
          <t xml:space="preserve">АНДИЖОН ВИЛОЯТИ</t>
        </is>
      </c>
      <c r="C56" s="98" t="inlineStr">
        <is>
          <t xml:space="preserve">Недозвон</t>
        </is>
      </c>
      <c r="D56" s="98" t="inlineStr">
        <is>
          <t xml:space="preserve">Кр-99054551-1</t>
        </is>
      </c>
      <c r="E56" s="98" t="inlineStr">
        <is>
          <t xml:space="preserve">BADALOV ANVAR QAMALOVICH</t>
        </is>
      </c>
      <c r="F56" s="98" t="inlineStr">
        <is>
          <t xml:space="preserve">998959116333 SMS OZI, 998996446624 SMS UKASI, 998958384047 SMS AYOLI, 998507262580 SMS OGLI,</t>
        </is>
      </c>
      <c r="G56" s="98" t="inlineStr">
        <is>
          <t xml:space="preserve">ANDIJON VILOYATI XO’JAOBOD TUMANI YUKSALISH MFY YANGI CHEK KO’CHASI 85-UY</t>
        </is>
      </c>
      <c r="H56" s="99">
        <v>8.0</v>
      </c>
      <c r="I56" s="99">
        <v>4386538.42</v>
      </c>
    </row>
    <row r="57">
      <c r="A57" s="98" t="inlineStr">
        <is>
          <t xml:space="preserve">АНДИЖОН ВИЛОЯТИ</t>
        </is>
      </c>
      <c r="C57" s="98" t="inlineStr">
        <is>
          <t xml:space="preserve">Недозвон</t>
        </is>
      </c>
      <c r="D57" s="98" t="inlineStr">
        <is>
          <t xml:space="preserve">Кр-99041352-1</t>
        </is>
      </c>
      <c r="E57" s="98" t="inlineStr">
        <is>
          <t xml:space="preserve">AXMEDOVA UMIDA XOSHIMOVNA</t>
        </is>
      </c>
      <c r="F57" s="98" t="inlineStr">
        <is>
          <t xml:space="preserve">998950163403 SMS OZI, 998200102787 SMS QIZI, 998907602802 SMS OGLI, 998905287820 SMS KELINI,</t>
        </is>
      </c>
      <c r="G57" s="98" t="inlineStr">
        <is>
          <t xml:space="preserve">ANDIJON VILOYATI BALOQCHI TUMANI BOTIR MFY, D. TOJIBOYEV KO’CHASI 15-UY</t>
        </is>
      </c>
      <c r="H57" s="99">
        <v>8.0</v>
      </c>
      <c r="I57" s="99">
        <v>4130789.87</v>
      </c>
    </row>
    <row r="58">
      <c r="A58" s="98" t="inlineStr">
        <is>
          <t xml:space="preserve">АНДИЖОН ВИЛОЯТИ</t>
        </is>
      </c>
      <c r="C58" s="98" t="inlineStr">
        <is>
          <t xml:space="preserve">Недозвон</t>
        </is>
      </c>
      <c r="D58" s="98" t="inlineStr">
        <is>
          <t xml:space="preserve">Кр-99039500-1</t>
        </is>
      </c>
      <c r="E58" s="98" t="inlineStr">
        <is>
          <t xml:space="preserve">MIRZATOV BAXROMJON YILTIROVICH</t>
        </is>
      </c>
      <c r="F58" s="98" t="inlineStr">
        <is>
          <t xml:space="preserve">998993251059 SMS OZI, 998999069572 SMS AYOLI, 998701233767 SMS OGLI, 998773462002 SMS OGLI2,</t>
        </is>
      </c>
      <c r="G58" s="98" t="inlineStr">
        <is>
          <t xml:space="preserve">ANDIJON VILOYATI  BALIQCHI TUMANI AVESTO MFY, QO’RG’ONCHA KO’CHASI 131-UY</t>
        </is>
      </c>
      <c r="H58" s="99">
        <v>1.0</v>
      </c>
      <c r="I58" s="99">
        <v>4050460.35</v>
      </c>
    </row>
    <row r="59">
      <c r="A59" s="98" t="inlineStr">
        <is>
          <t xml:space="preserve">АНДИЖОН ВИЛОЯТИ</t>
        </is>
      </c>
      <c r="C59" s="98" t="inlineStr">
        <is>
          <t xml:space="preserve">Недозвон</t>
        </is>
      </c>
      <c r="D59" s="98" t="inlineStr">
        <is>
          <t xml:space="preserve">Кр-99029097-1</t>
        </is>
      </c>
      <c r="E59" s="98" t="inlineStr">
        <is>
          <t xml:space="preserve">MAVLANOVA MUXAYYOXON KAXARDJANOVNA</t>
        </is>
      </c>
      <c r="F59" s="98" t="inlineStr">
        <is>
          <t xml:space="preserve">95-988-30-07  SMS TO’LOVCHI, 90-766-61-62  SMS AYOLI, 99-340-57-54  SMS O’G’LI, 90-763-53-23-  SMS O’G’LI, 998772484980 SMS opasi  tolovchi new,</t>
        </is>
      </c>
      <c r="G59" s="98" t="inlineStr">
        <is>
          <t xml:space="preserve">ANDIJON VILOYATI ANDIJON SHAHAR OBOD MFY LOYIXAVIY KO’CHASI 3B-UY</t>
        </is>
      </c>
      <c r="H59" s="99">
        <v>12.0</v>
      </c>
      <c r="I59" s="99">
        <v>3944212.09</v>
      </c>
    </row>
    <row r="60">
      <c r="A60" s="98" t="inlineStr">
        <is>
          <t xml:space="preserve">АНДИЖОН ВИЛОЯТИ</t>
        </is>
      </c>
      <c r="C60" s="98" t="inlineStr">
        <is>
          <t xml:space="preserve">Недозвон</t>
        </is>
      </c>
      <c r="D60" s="98" t="inlineStr">
        <is>
          <t xml:space="preserve">Кр-99031082-1</t>
        </is>
      </c>
      <c r="E60" s="98" t="inlineStr">
        <is>
          <t xml:space="preserve">DJURAYEV SHUKURMURAT ABDUMALIKOVICH</t>
        </is>
      </c>
      <c r="F60" s="98" t="inlineStr">
        <is>
          <t xml:space="preserve">998770107727 SMS O’ZI, 998932102925 SMS ONASI, 998903851705 SMS AYOLI, 998902113221 SMS JIYANI, 998914777147 ozi new,</t>
        </is>
      </c>
      <c r="G60" s="98" t="inlineStr">
        <is>
          <t xml:space="preserve">ANDIJON VILOYATI JALOLQUDUQ TUMANI BOZORBOSHI MFY X.OLIMJONOV KO’CHASI 5-UY </t>
        </is>
      </c>
      <c r="H60" s="99">
        <v>4.0</v>
      </c>
      <c r="I60" s="99">
        <v>3884190.72</v>
      </c>
    </row>
    <row r="61">
      <c r="A61" s="98" t="inlineStr">
        <is>
          <t xml:space="preserve">АНДИЖОН ВИЛОЯТИ</t>
        </is>
      </c>
      <c r="C61" s="98" t="inlineStr">
        <is>
          <t xml:space="preserve">Недозвон</t>
        </is>
      </c>
      <c r="D61" s="98" t="inlineStr">
        <is>
          <t xml:space="preserve">Кр-99031869-1</t>
        </is>
      </c>
      <c r="E61" s="98" t="inlineStr">
        <is>
          <t xml:space="preserve">YULCHIYEVA MOHLAROYIM G’ULOMJON QIZI</t>
        </is>
      </c>
      <c r="F61" s="98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61" s="98" t="inlineStr">
        <is>
          <t xml:space="preserve">ANDIJON VILOYATI SHAXRIXON TUMANI CHO’JA MFY CHO’JA KO’CHASI 71-UY</t>
        </is>
      </c>
      <c r="H61" s="99">
        <v>1.0</v>
      </c>
      <c r="I61" s="99">
        <v>3865365.78</v>
      </c>
    </row>
    <row r="62">
      <c r="A62" s="98" t="inlineStr">
        <is>
          <t xml:space="preserve">АНДИЖОН ВИЛОЯТИ</t>
        </is>
      </c>
      <c r="C62" s="98" t="inlineStr">
        <is>
          <t xml:space="preserve">Недозвон</t>
        </is>
      </c>
      <c r="D62" s="98" t="inlineStr">
        <is>
          <t xml:space="preserve">Кр-99039783-1</t>
        </is>
      </c>
      <c r="E62" s="98" t="inlineStr">
        <is>
          <t xml:space="preserve">NORKULOV ALISHER BAXTIYOROVICH</t>
        </is>
      </c>
      <c r="F62" s="98" t="inlineStr">
        <is>
          <t xml:space="preserve">998914754708 SMS OZI, 998937823777 SMS DOSTI, 998906110086 SMS TANISHI, 998902050050 SMS TOLOVCHI,</t>
        </is>
      </c>
      <c r="G62" s="98" t="inlineStr">
        <is>
          <t xml:space="preserve">ANDIJON VILOYATI ANDIJON TUMANI TERAKTAGI MFY OTALIQBOY KO’CHASI 15</t>
        </is>
      </c>
      <c r="H62" s="99">
        <v>8.0</v>
      </c>
      <c r="I62" s="99">
        <v>3842893.59</v>
      </c>
    </row>
    <row r="63">
      <c r="A63" s="98" t="inlineStr">
        <is>
          <t xml:space="preserve">АНДИЖОН ВИЛОЯТИ</t>
        </is>
      </c>
      <c r="C63" s="98" t="inlineStr">
        <is>
          <t xml:space="preserve">Недозвон</t>
        </is>
      </c>
      <c r="D63" s="98" t="inlineStr">
        <is>
          <t xml:space="preserve">Кр-99004638-1</t>
        </is>
      </c>
      <c r="E63" s="98" t="inlineStr">
        <is>
          <t xml:space="preserve">KIMSANOV ALIMARDON DILSHOD O’G’LI</t>
        </is>
      </c>
      <c r="F63" s="98" t="inlineStr">
        <is>
          <t xml:space="preserve">998943870087 SMS OZI, 998992729515 SMS AYOLI Begona, 998947830087 SMS UY, 998772874929 SMS ONASI,</t>
        </is>
      </c>
      <c r="G63" s="98" t="inlineStr">
        <is>
          <t xml:space="preserve">ANDIJON VILOYATI PAXTAOBOD TUMANI UYG’UR QFY ZIYOLI MFY BOXOR KO’CHASI 53-UY </t>
        </is>
      </c>
      <c r="H63" s="99">
        <v>8.0</v>
      </c>
      <c r="I63" s="99">
        <v>3798245.55</v>
      </c>
    </row>
    <row r="64">
      <c r="A64" s="98" t="inlineStr">
        <is>
          <t xml:space="preserve">АНДИЖОН ВИЛОЯТИ</t>
        </is>
      </c>
      <c r="C64" s="98" t="inlineStr">
        <is>
          <t xml:space="preserve">Недозвон</t>
        </is>
      </c>
      <c r="D64" s="98" t="inlineStr">
        <is>
          <t xml:space="preserve">Кр-99039371-3</t>
        </is>
      </c>
      <c r="E64" s="98" t="inlineStr">
        <is>
          <t xml:space="preserve">ABDUPATTAYEV OMADJON AZIZBEK O’G’LI</t>
        </is>
      </c>
      <c r="F64" s="98" t="inlineStr">
        <is>
          <t xml:space="preserve">998932541941 sms ozi , 998917739907 sms akasi , 998770707025 sms qoshni, 998900299859 sms uy ,</t>
        </is>
      </c>
      <c r="G64" s="98" t="inlineStr">
        <is>
          <t xml:space="preserve">Андижанская область, Пахтаабадский район, Бобурмирзо МСГ, ул.  Бобурмирзо, дом 16</t>
        </is>
      </c>
      <c r="H64" s="99">
        <v>8.0</v>
      </c>
      <c r="I64" s="99">
        <v>3786673.16</v>
      </c>
    </row>
    <row r="65">
      <c r="A65" s="98" t="inlineStr">
        <is>
          <t xml:space="preserve">АНДИЖОН ВИЛОЯТИ</t>
        </is>
      </c>
      <c r="C65" s="98" t="inlineStr">
        <is>
          <t xml:space="preserve">Недозвон</t>
        </is>
      </c>
      <c r="D65" s="98" t="inlineStr">
        <is>
          <t xml:space="preserve">Кр-99043394-2</t>
        </is>
      </c>
      <c r="E65" s="98" t="inlineStr">
        <is>
          <t xml:space="preserve">SULEYMANOV AVAZBEK ALIMJANOVICH</t>
        </is>
      </c>
      <c r="F65" s="98" t="inlineStr">
        <is>
          <t xml:space="preserve">+998334923332 SMS O’ZI, 998914923332 SMS AYOLI, 998916192585 SMS QIZI, 998999772585 SMS QIZI,</t>
        </is>
      </c>
      <c r="G65" s="98" t="inlineStr">
        <is>
          <t xml:space="preserve">Навруз МФЙ, Узумбог,2 тор кўчаси, 170-уй, 1-хонадон</t>
        </is>
      </c>
      <c r="H65" s="99">
        <v>8.0</v>
      </c>
      <c r="I65" s="99">
        <v>3705381.83</v>
      </c>
    </row>
    <row r="66">
      <c r="A66" s="98" t="inlineStr">
        <is>
          <t xml:space="preserve">АНДИЖОН ВИЛОЯТИ</t>
        </is>
      </c>
      <c r="C66" s="98" t="inlineStr">
        <is>
          <t xml:space="preserve">Недозвон</t>
        </is>
      </c>
      <c r="D66" s="98" t="inlineStr">
        <is>
          <t xml:space="preserve">Кр-99035962-1</t>
        </is>
      </c>
      <c r="E66" s="98" t="inlineStr">
        <is>
          <t xml:space="preserve">ANVARBEKOV ABDULLAJON ZAFAR O’G’LI</t>
        </is>
      </c>
      <c r="F66" s="98" t="inlineStr">
        <is>
          <t xml:space="preserve">998339569160 SMS OZI, 998995780002 SMS ZALOGODATEL, 998931040022 SMS ZALOGODATEL (AYOLI), 998378501972 SMS OZI, 998995780002 SMS tolovchi bobur zalog egasi  qibray rovdda ishlid ,</t>
        </is>
      </c>
      <c r="G66" s="98" t="inlineStr">
        <is>
          <t xml:space="preserve">ANDIJON VILOYATI JALAQUDUQ TUMANI XAMZA MFY SADAF KO'CHASI 72-UY</t>
        </is>
      </c>
      <c r="H66" s="99">
        <v>1.0</v>
      </c>
      <c r="I66" s="99">
        <v>3566345.18</v>
      </c>
    </row>
    <row r="67">
      <c r="A67" s="98" t="inlineStr">
        <is>
          <t xml:space="preserve">АНДИЖОН ВИЛОЯТИ</t>
        </is>
      </c>
      <c r="C67" s="98" t="inlineStr">
        <is>
          <t xml:space="preserve">Недозвон</t>
        </is>
      </c>
      <c r="D67" s="98" t="inlineStr">
        <is>
          <t xml:space="preserve">Кр-99031802-1</t>
        </is>
      </c>
      <c r="E67" s="98" t="inlineStr">
        <is>
          <t xml:space="preserve">ASRANOV XURSHIDBEK PULATJON O’G’LI</t>
        </is>
      </c>
      <c r="F67" s="98" t="inlineStr">
        <is>
          <t xml:space="preserve">998888311117 SMS O’ZI, 998905403334 SMS ONASI, 998906247271 SMS AYOLI, 998160434332 SMS ONASI 2,</t>
        </is>
      </c>
      <c r="G67" s="98" t="inlineStr">
        <is>
          <t xml:space="preserve">ANDIJON VILOYATI ANDIJON SHAHAR DEXQONOBOD MFY M.SOLIYEV KO’CHASI 57-UY</t>
        </is>
      </c>
      <c r="H67" s="99">
        <v>1.0</v>
      </c>
      <c r="I67" s="99">
        <v>3526445.54</v>
      </c>
    </row>
    <row r="68">
      <c r="A68" s="98" t="inlineStr">
        <is>
          <t xml:space="preserve">АНДИЖОН ВИЛОЯТИ</t>
        </is>
      </c>
      <c r="C68" s="98" t="inlineStr">
        <is>
          <t xml:space="preserve">Недозвон</t>
        </is>
      </c>
      <c r="D68" s="98" t="inlineStr">
        <is>
          <t xml:space="preserve">Кр-99039745-4</t>
        </is>
      </c>
      <c r="E68" s="98" t="inlineStr">
        <is>
          <t xml:space="preserve">XALILOV AXRORBEK KARIMJON O’G’LI</t>
        </is>
      </c>
      <c r="F68" s="98" t="inlineStr">
        <is>
          <t xml:space="preserve">+998916089005 SMS O’ZI, 998916024344 SMS AKASI, 998940801700 SMS DO’STI,</t>
        </is>
      </c>
      <c r="G68" s="98" t="inlineStr">
        <is>
          <t xml:space="preserve">ОРС МФЙ, ОРС КЎЧАСИ,  uy:Р/С</t>
        </is>
      </c>
      <c r="H68" s="99">
        <v>8.0</v>
      </c>
      <c r="I68" s="99">
        <v>3498566.51</v>
      </c>
    </row>
    <row r="69">
      <c r="A69" s="98" t="inlineStr">
        <is>
          <t xml:space="preserve">АНДИЖОН ВИЛОЯТИ</t>
        </is>
      </c>
      <c r="C69" s="98" t="inlineStr">
        <is>
          <t xml:space="preserve">Недозвон</t>
        </is>
      </c>
      <c r="D69" s="98" t="inlineStr">
        <is>
          <t xml:space="preserve">Кр-99025777-1</t>
        </is>
      </c>
      <c r="E69" s="98" t="inlineStr">
        <is>
          <t xml:space="preserve">KALIKBAYEV BEGZAD KUTTIBEKOVICH</t>
        </is>
      </c>
      <c r="F69" s="98" t="inlineStr">
        <is>
          <t xml:space="preserve">998901728454 SMS OZI, 998907632123 SMS AYOLI, 998901738454 SMS OGLI,</t>
        </is>
      </c>
      <c r="G69" s="98" t="inlineStr">
        <is>
          <t xml:space="preserve">Ҳамкорлик МФЙ, Ўш кучаси, 212 д-уй, 28-хонадон</t>
        </is>
      </c>
      <c r="H69" s="99">
        <v>8.0</v>
      </c>
      <c r="I69" s="99">
        <v>3462718.74</v>
      </c>
    </row>
    <row r="70">
      <c r="A70" s="98" t="inlineStr">
        <is>
          <t xml:space="preserve">АНДИЖОН ВИЛОЯТИ</t>
        </is>
      </c>
      <c r="C70" s="98" t="inlineStr">
        <is>
          <t xml:space="preserve">Недозвон</t>
        </is>
      </c>
      <c r="D70" s="98" t="inlineStr">
        <is>
          <t xml:space="preserve">Кр-99029207-1</t>
        </is>
      </c>
      <c r="E70" s="98" t="inlineStr">
        <is>
          <t xml:space="preserve">SOBIROVA SADOQATOY RAXIMJON QIZI</t>
        </is>
      </c>
      <c r="F70" s="98" t="inlineStr">
        <is>
          <t xml:space="preserve">94-542-12-54  SMS TOLOVCHI, 93-849-22-52  SMS TOLOVCHI XOJAYINI tanmiman ddi , 94-282-31-32  TOLOVCHI ukasi , 95-022-11-55 TOLOVCHIS OGLI,</t>
        </is>
      </c>
      <c r="G70" s="98" t="inlineStr">
        <is>
          <t xml:space="preserve">ANDIJON VILOYATI PAXTAOBOD TUMANI AXILLIK MFY AXILLIK KO’CHASI 4-UY</t>
        </is>
      </c>
      <c r="H70" s="99">
        <v>8.0</v>
      </c>
      <c r="I70" s="99">
        <v>3416000.38</v>
      </c>
    </row>
    <row r="71">
      <c r="A71" s="98" t="inlineStr">
        <is>
          <t xml:space="preserve">АНДИЖОН ВИЛОЯТИ</t>
        </is>
      </c>
      <c r="C71" s="98" t="inlineStr">
        <is>
          <t xml:space="preserve">Недозвон</t>
        </is>
      </c>
      <c r="D71" s="98" t="inlineStr">
        <is>
          <t xml:space="preserve">Кр-99036011-1</t>
        </is>
      </c>
      <c r="E71" s="98" t="inlineStr">
        <is>
          <t xml:space="preserve"> ISMAILOV XAYOTULLO TASHMIRZAYEVICH</t>
        </is>
      </c>
      <c r="F71" s="98" t="inlineStr">
        <is>
          <t xml:space="preserve">998905440105 SMS O’ZI, 998906222203 SMS AYOLI, 998903845475 SMS DO’STI, 998949114502 SMS DO’STI2,</t>
        </is>
      </c>
      <c r="G71" s="98" t="inlineStr">
        <is>
          <t xml:space="preserve">ANDIJON VILOYATI ANDIJON SHAHAR BOBUR MFY TASHKILOT KO’CHASI 39-UY</t>
        </is>
      </c>
      <c r="H71" s="99">
        <v>1.0</v>
      </c>
      <c r="I71" s="99">
        <v>3407428.15</v>
      </c>
    </row>
    <row r="72">
      <c r="A72" s="98" t="inlineStr">
        <is>
          <t xml:space="preserve">АНДИЖОН ВИЛОЯТИ</t>
        </is>
      </c>
      <c r="C72" s="98" t="inlineStr">
        <is>
          <t xml:space="preserve">Недозвон</t>
        </is>
      </c>
      <c r="D72" s="98" t="inlineStr">
        <is>
          <t xml:space="preserve">Кр-99063628-1</t>
        </is>
      </c>
      <c r="E72" s="98" t="inlineStr">
        <is>
          <t xml:space="preserve">TASHMATOV XUSNUTDIN ODILJANOVICH</t>
        </is>
      </c>
      <c r="F72" s="98" t="inlineStr">
        <is>
          <t xml:space="preserve">998901705955 O’ZI,</t>
        </is>
      </c>
      <c r="G72" s="98" t="inlineStr">
        <is>
          <t xml:space="preserve">АНДИЖОН ВИЛОЯТИ АНДИЖОН ШАХAР АХМАД ЯССАВИЙ МФЙ ЛОЙИХАЛАШ КУЧАСИ 6-УЙ</t>
        </is>
      </c>
      <c r="H72" s="99">
        <v>8.0</v>
      </c>
      <c r="I72" s="99">
        <v>3405726.42</v>
      </c>
    </row>
    <row r="73">
      <c r="A73" s="98" t="inlineStr">
        <is>
          <t xml:space="preserve">АНДИЖОН ВИЛОЯТИ</t>
        </is>
      </c>
      <c r="C73" s="98" t="inlineStr">
        <is>
          <t xml:space="preserve">Недозвон</t>
        </is>
      </c>
      <c r="D73" s="98" t="inlineStr">
        <is>
          <t xml:space="preserve">Кр-99063310-1</t>
        </is>
      </c>
      <c r="E73" s="98" t="inlineStr">
        <is>
          <t xml:space="preserve">XASANOVA YODGORXON KOMILOVNA</t>
        </is>
      </c>
      <c r="F73" s="98" t="inlineStr">
        <is>
          <t xml:space="preserve">+998916041294 SMS O’ZI, 998902111294 SMS O’ZI2, 998905287775 SMS O’G’LI TO’LOVCHI, 998910656489 SMS QIZI,</t>
        </is>
      </c>
      <c r="G73" s="98" t="inlineStr">
        <is>
          <t xml:space="preserve">ANDIJON VILOYATI ANDIJON TUMANI JANNATMONAN MFY, YUKSALISH KO’CHASI 99-UY</t>
        </is>
      </c>
      <c r="H73" s="99">
        <v>8.0</v>
      </c>
      <c r="I73" s="99">
        <v>3280228.89</v>
      </c>
    </row>
    <row r="74">
      <c r="A74" s="98" t="inlineStr">
        <is>
          <t xml:space="preserve">АНДИЖОН ВИЛОЯТИ</t>
        </is>
      </c>
      <c r="C74" s="98" t="inlineStr">
        <is>
          <t xml:space="preserve">Недозвон</t>
        </is>
      </c>
      <c r="D74" s="98" t="inlineStr">
        <is>
          <t xml:space="preserve">Кр-99039772-1</t>
        </is>
      </c>
      <c r="E74" s="98" t="inlineStr">
        <is>
          <t xml:space="preserve">TO’RAYEVA TAMARA MUXTAROVNA</t>
        </is>
      </c>
      <c r="F74" s="98" t="inlineStr">
        <is>
          <t xml:space="preserve">998903890565 SMS OZI, 998881646162 SMS XOJAYINI, 998916061291 SMS QIZI, 998914841789 SMS QIZ 2,</t>
        </is>
      </c>
      <c r="G74" s="98" t="inlineStr">
        <is>
          <t xml:space="preserve">ANDIJON VILOYATI MARXAMAT TUMANI  BOBOXUROSON  MFY, BOBOXUROSON  KO’CHASI 18-UYI</t>
        </is>
      </c>
      <c r="H74" s="99">
        <v>8.0</v>
      </c>
      <c r="I74" s="99">
        <v>3206052.23</v>
      </c>
    </row>
    <row r="75">
      <c r="A75" s="98" t="inlineStr">
        <is>
          <t xml:space="preserve">АНДИЖОН ВИЛОЯТИ</t>
        </is>
      </c>
      <c r="C75" s="98" t="inlineStr">
        <is>
          <t xml:space="preserve">Недозвон</t>
        </is>
      </c>
      <c r="D75" s="98" t="inlineStr">
        <is>
          <t xml:space="preserve">Кр-99063829-1</t>
        </is>
      </c>
      <c r="E75" s="98" t="inlineStr">
        <is>
          <t xml:space="preserve">MIRZAYEV ABDULAZIZ RUSTAMOVICH</t>
        </is>
      </c>
      <c r="F75" s="98" t="inlineStr">
        <is>
          <t xml:space="preserve">998773674777 SMS ONASI, 998940207105 SMS UZI, 998970610099 SSM AKASI, 998990723095 SMS DOSTI,</t>
        </is>
      </c>
      <c r="G75" s="98" t="inlineStr">
        <is>
          <t xml:space="preserve">Quvvatmurod MFY, Dilkushod ko’chasi, 139-uy</t>
        </is>
      </c>
      <c r="H75" s="99">
        <v>1.0</v>
      </c>
      <c r="I75" s="99">
        <v>3201457.0</v>
      </c>
    </row>
    <row r="76">
      <c r="A76" s="98" t="inlineStr">
        <is>
          <t xml:space="preserve">АНДИЖОН ВИЛОЯТИ</t>
        </is>
      </c>
      <c r="C76" s="98" t="inlineStr">
        <is>
          <t xml:space="preserve">Недозвон</t>
        </is>
      </c>
      <c r="D76" s="98" t="inlineStr">
        <is>
          <t xml:space="preserve">Кр-99028511-2</t>
        </is>
      </c>
      <c r="E76" s="98" t="inlineStr">
        <is>
          <t xml:space="preserve">BOZAROVA GULXUMORXON NEMATJANOVNA</t>
        </is>
      </c>
      <c r="F76" s="98" t="inlineStr">
        <is>
          <t xml:space="preserve">95-819-02-83 SMS OZI, 95-866-95-07  SMS QIZ, 93-215-20-37 SMS AKASI, 93-373-23-87 S SMS SINGLISI,</t>
        </is>
      </c>
      <c r="G76" s="98" t="inlineStr">
        <is>
          <t xml:space="preserve">ANDIJON VILOYATI XO’JAOBOD TUMANI KO’PRIKBOSHI MFY KO’CHAK KO’CHASI 83-UY</t>
        </is>
      </c>
      <c r="H76" s="99">
        <v>6.0</v>
      </c>
      <c r="I76" s="99">
        <v>3185983.96</v>
      </c>
    </row>
    <row r="77">
      <c r="A77" s="98" t="inlineStr">
        <is>
          <t xml:space="preserve">АНДИЖОН ВИЛОЯТИ</t>
        </is>
      </c>
      <c r="C77" s="98" t="inlineStr">
        <is>
          <t xml:space="preserve">Недозвон</t>
        </is>
      </c>
      <c r="D77" s="98" t="inlineStr">
        <is>
          <t xml:space="preserve">Кр-99053363-1</t>
        </is>
      </c>
      <c r="E77" s="98" t="inlineStr">
        <is>
          <t xml:space="preserve">XAMRAQULOV FAYZULLO SARDORBEK O’G’LI</t>
        </is>
      </c>
      <c r="F77" s="98" t="inlineStr">
        <is>
          <t xml:space="preserve">998995135848 SMS OZI, 998916126009  SMS ZALOGATEL, 998914944999 SMS DADASI, 998889988055 SMS OSHNASI,</t>
        </is>
      </c>
      <c r="G77" s="98" t="inlineStr">
        <is>
          <t xml:space="preserve">ANDIJON VILOYATI ANDIJON SHAHAR DALVARZIN MFY, S. ZUNUNOVA  KO’CHASI 24 A-UY</t>
        </is>
      </c>
      <c r="H77" s="99">
        <v>8.0</v>
      </c>
      <c r="I77" s="99">
        <v>3153936.62</v>
      </c>
    </row>
    <row r="78">
      <c r="A78" s="98" t="inlineStr">
        <is>
          <t xml:space="preserve">АНДИЖОН ВИЛОЯТИ</t>
        </is>
      </c>
      <c r="C78" s="98" t="inlineStr">
        <is>
          <t xml:space="preserve">Недозвон</t>
        </is>
      </c>
      <c r="D78" s="98" t="inlineStr">
        <is>
          <t xml:space="preserve">Кр-99060327-1</t>
        </is>
      </c>
      <c r="E78" s="98" t="inlineStr">
        <is>
          <t xml:space="preserve">NURMUXAMMEDOV SARVARBEK NURMUXAMMAD O’G’LI</t>
        </is>
      </c>
      <c r="F78" s="98" t="inlineStr">
        <is>
          <t xml:space="preserve">998934480001 SMS OZI, 998909511113 SMS AYOLI, 998200111077 SMS QIZI, 998001110892 SMS OZI 2,</t>
        </is>
      </c>
      <c r="G78" s="98" t="inlineStr">
        <is>
          <t xml:space="preserve">ANDIJON VILOYATI OLTINKO’L TUMANI QO’SHTEPA MFY, C. ASHUROV  KO’CHASI 32-UY</t>
        </is>
      </c>
      <c r="H78" s="99">
        <v>11.0</v>
      </c>
      <c r="I78" s="99">
        <v>3145305.82</v>
      </c>
    </row>
    <row r="79">
      <c r="A79" s="98" t="inlineStr">
        <is>
          <t xml:space="preserve">АНДИЖОН ВИЛОЯТИ</t>
        </is>
      </c>
      <c r="C79" s="98" t="inlineStr">
        <is>
          <t xml:space="preserve">Недозвон</t>
        </is>
      </c>
      <c r="D79" s="98" t="inlineStr">
        <is>
          <t xml:space="preserve">Кр-99060327-2</t>
        </is>
      </c>
      <c r="E79" s="98" t="inlineStr">
        <is>
          <t xml:space="preserve">NURMUXAMMEDOV SARVARBEK NURMUXAMMAD O’G’LI</t>
        </is>
      </c>
      <c r="F79" s="98" t="inlineStr">
        <is>
          <t xml:space="preserve">998934480001 SMS OZI, 998909511113 SMS AYOLI, 998200111077 SMS QIZI, 998001110892 SMS OZI 2,</t>
        </is>
      </c>
      <c r="G79" s="98" t="inlineStr">
        <is>
          <t xml:space="preserve">ANDIJON VILOYATI OLTINKO’L TUMANI QO’SHTEPA MFY, C. ASHUROV  KO’CHASI 32-UY</t>
        </is>
      </c>
      <c r="H79" s="99">
        <v>8.0</v>
      </c>
      <c r="I79" s="99">
        <v>3136100.21</v>
      </c>
    </row>
    <row r="80">
      <c r="A80" s="98" t="inlineStr">
        <is>
          <t xml:space="preserve">АНДИЖОН ВИЛОЯТИ</t>
        </is>
      </c>
      <c r="C80" s="98" t="inlineStr">
        <is>
          <t xml:space="preserve">Недозвон</t>
        </is>
      </c>
      <c r="D80" s="98" t="inlineStr">
        <is>
          <t xml:space="preserve">Кр-99063139-1</t>
        </is>
      </c>
      <c r="E80" s="98" t="inlineStr">
        <is>
          <t xml:space="preserve">TURSUNOVA NILUFAR ODILOVNA</t>
        </is>
      </c>
      <c r="F80" s="98" t="inlineStr">
        <is>
          <t xml:space="preserve">998880602898 SMS O’G’LI, 998970606972 SMS OPASI, 998975818484 SMS O’Z, 998979777484 SMS O’ZI2,</t>
        </is>
      </c>
      <c r="G80" s="98" t="inlineStr">
        <is>
          <t xml:space="preserve">ANDIJON VILOYATI ANDIJON TUMANI QUMKO’CHA MFY, QUM KO’CHA   KO’CHASI 24-UY</t>
        </is>
      </c>
      <c r="H80" s="99">
        <v>8.0</v>
      </c>
      <c r="I80" s="99">
        <v>3135028.1</v>
      </c>
    </row>
    <row r="81">
      <c r="A81" s="98" t="inlineStr">
        <is>
          <t xml:space="preserve">АНДИЖОН ВИЛОЯТИ</t>
        </is>
      </c>
      <c r="C81" s="98" t="inlineStr">
        <is>
          <t xml:space="preserve">Недозвон</t>
        </is>
      </c>
      <c r="D81" s="98" t="inlineStr">
        <is>
          <t xml:space="preserve">Кр-99041712-1</t>
        </is>
      </c>
      <c r="E81" s="98" t="inlineStr">
        <is>
          <t xml:space="preserve">BAKIROVA SARVINOZ AVAZBEK QIZI</t>
        </is>
      </c>
      <c r="F81" s="98" t="inlineStr">
        <is>
          <t xml:space="preserve">998907689700 SMS OZI, 998914489748 SMS ONASI, 998932363330 SMS ERI, 998914974897 SMS DASI, +998907689700 Primary phone from road24,</t>
        </is>
      </c>
      <c r="G81" s="98" t="inlineStr">
        <is>
          <t xml:space="preserve">Кўктўнлик МФЙ, Куктунлик кучаси, 6-уй</t>
        </is>
      </c>
      <c r="H81" s="99">
        <v>8.0</v>
      </c>
      <c r="I81" s="99">
        <v>3117282.93</v>
      </c>
    </row>
    <row r="82">
      <c r="A82" s="98" t="inlineStr">
        <is>
          <t xml:space="preserve">АНДИЖОН ВИЛОЯТИ</t>
        </is>
      </c>
      <c r="C82" s="98" t="inlineStr">
        <is>
          <t xml:space="preserve">Недозвон</t>
        </is>
      </c>
      <c r="D82" s="98" t="inlineStr">
        <is>
          <t xml:space="preserve">Кр-99057410-1</t>
        </is>
      </c>
      <c r="E82" s="98" t="inlineStr">
        <is>
          <t xml:space="preserve">AXUNOV ZIYOYIDIN TURDIBAYEVICH</t>
        </is>
      </c>
      <c r="F82" s="98" t="inlineStr">
        <is>
          <t xml:space="preserve">998914969606 SMS  O’ZI TO’LOVCHI, 998921506804 SMS ONASI, 998932408189 SMS OPASI, 998912880295 SMS KELNOYISI,</t>
        </is>
      </c>
      <c r="G82" s="98" t="inlineStr">
        <is>
          <t xml:space="preserve">ANDIJON VILOYATI ASAKA TUMANI YUQORI BO’Z MFY YUQORI BO’Z  KO’CHASI 89-UY</t>
        </is>
      </c>
      <c r="H82" s="99">
        <v>8.0</v>
      </c>
      <c r="I82" s="99">
        <v>3115406.16</v>
      </c>
    </row>
    <row r="83">
      <c r="A83" s="98" t="inlineStr">
        <is>
          <t xml:space="preserve">АНДИЖОН ВИЛОЯТИ</t>
        </is>
      </c>
      <c r="C83" s="98" t="inlineStr">
        <is>
          <t xml:space="preserve">Недозвон</t>
        </is>
      </c>
      <c r="D83" s="98" t="inlineStr">
        <is>
          <t xml:space="preserve">Кр-99063233-1</t>
        </is>
      </c>
      <c r="E83" s="98" t="inlineStr">
        <is>
          <t xml:space="preserve">BOZAROV ILXOMJON XASANBAYEVICH</t>
        </is>
      </c>
      <c r="F83" s="98" t="inlineStr">
        <is>
          <t xml:space="preserve">998885478863 SMS AYOLI, 998885508800 SMS O’ZI2, 998889620062 SMS O’G’LI, 998914977722 SMS O’ZI,</t>
        </is>
      </c>
      <c r="G83" s="98" t="inlineStr">
        <is>
          <t xml:space="preserve">ANDIJON VILOYATI ANDIJON SHAHAR MIRPO’STIN MFY MAXFIRATXOJI KO’CHASI 1-TOR KO’CHASI 6-UY</t>
        </is>
      </c>
      <c r="H83" s="99">
        <v>8.0</v>
      </c>
      <c r="I83" s="99">
        <v>3110288.51</v>
      </c>
    </row>
    <row r="84">
      <c r="A84" s="98" t="inlineStr">
        <is>
          <t xml:space="preserve">АНДИЖОН ВИЛОЯТИ</t>
        </is>
      </c>
      <c r="C84" s="98" t="inlineStr">
        <is>
          <t xml:space="preserve">Недозвон</t>
        </is>
      </c>
      <c r="D84" s="98" t="inlineStr">
        <is>
          <t xml:space="preserve">Кр-99046070-1</t>
        </is>
      </c>
      <c r="E84" s="98" t="inlineStr">
        <is>
          <t xml:space="preserve">MADAMINOV UMIDILLO MANSURJON O’G’LI</t>
        </is>
      </c>
      <c r="F84" s="98" t="inlineStr">
        <is>
          <t xml:space="preserve">+998993039777 SMS O’ZI, 998950549306 SMS AYOLI, 998979959266 SMS UKASI, 998994069576 SMS ONASI,</t>
        </is>
      </c>
      <c r="G84" s="98" t="inlineStr">
        <is>
          <t xml:space="preserve">Andijon viloyati Paxtaobod tumani  Soybo’yi MFY Soybo’yi ko’chasi, 40-yu</t>
        </is>
      </c>
      <c r="H84" s="99">
        <v>8.0</v>
      </c>
      <c r="I84" s="99">
        <v>3066957.09</v>
      </c>
    </row>
    <row r="85">
      <c r="A85" s="98" t="inlineStr">
        <is>
          <t xml:space="preserve">АНДИЖОН ВИЛОЯТИ</t>
        </is>
      </c>
      <c r="C85" s="98" t="inlineStr">
        <is>
          <t xml:space="preserve">Недозвон</t>
        </is>
      </c>
      <c r="D85" s="98" t="inlineStr">
        <is>
          <t xml:space="preserve">Кр-99040384-2</t>
        </is>
      </c>
      <c r="E85" s="98" t="inlineStr">
        <is>
          <t xml:space="preserve">MUXAMMADJONOV XEKMATULLO AVAZBEK O’G’LI</t>
        </is>
      </c>
      <c r="F85" s="98" t="inlineStr">
        <is>
          <t xml:space="preserve">998902575202 sms ozi, 998934475357 SMS AYOLI, 998916047434 SMS UKASI, 998912111710 SMS AMAKISI,</t>
        </is>
      </c>
      <c r="G85" s="98" t="inlineStr">
        <is>
          <t xml:space="preserve">ҚЎШТЕПА МФЙ, ЧАМАНЗОР КЎЧАСИ,  uy:Р/С</t>
        </is>
      </c>
      <c r="H85" s="99">
        <v>8.0</v>
      </c>
      <c r="I85" s="99">
        <v>3029598.92</v>
      </c>
    </row>
    <row r="86">
      <c r="A86" s="98" t="inlineStr">
        <is>
          <t xml:space="preserve">АНДИЖОН ВИЛОЯТИ</t>
        </is>
      </c>
      <c r="C86" s="98" t="inlineStr">
        <is>
          <t xml:space="preserve">Недозвон</t>
        </is>
      </c>
      <c r="D86" s="98" t="inlineStr">
        <is>
          <t xml:space="preserve">Кр-99062620-1</t>
        </is>
      </c>
      <c r="E86" s="98" t="inlineStr">
        <is>
          <t xml:space="preserve">TURSUNOVA YORQINOY TOYIRJONOVNA</t>
        </is>
      </c>
      <c r="F86" s="98" t="inlineStr">
        <is>
          <t xml:space="preserve">998936072012 SMS OZI, 998936031220 SMS OGLI, 998889639939 SMS OGLI, 998500725253 SMS SINGLISI,</t>
        </is>
      </c>
      <c r="G86" s="98" t="inlineStr">
        <is>
          <t xml:space="preserve">ANDIJON VILOYATI XO’JAOBOD TUMANI MUSTAQILLIKNING 27 YILLIGI MFY BOBUR  KO’CHASI 116-UY</t>
        </is>
      </c>
      <c r="H86" s="99">
        <v>13.0</v>
      </c>
      <c r="I86" s="99">
        <v>2970480.57</v>
      </c>
    </row>
    <row r="87">
      <c r="A87" s="98" t="inlineStr">
        <is>
          <t xml:space="preserve">АНДИЖОН ВИЛОЯТИ</t>
        </is>
      </c>
      <c r="C87" s="98" t="inlineStr">
        <is>
          <t xml:space="preserve">Недозвон</t>
        </is>
      </c>
      <c r="D87" s="98" t="inlineStr">
        <is>
          <t xml:space="preserve">Кр-99039609-1</t>
        </is>
      </c>
      <c r="E87" s="98" t="inlineStr">
        <is>
          <t xml:space="preserve">TOJIDINOVA MUXARRAMXON KOBULOVNA</t>
        </is>
      </c>
      <c r="F87" s="98" t="inlineStr">
        <is>
          <t xml:space="preserve">998940331487 SMS OZI, 998950978615 SMS XOJAYINI, 998903870911 SMS OGLI, 998934168183 SMS AKASI,</t>
        </is>
      </c>
      <c r="G87" s="98" t="inlineStr">
        <is>
          <t xml:space="preserve">ANDIJON VILOYATI MARXAMAT TUMANI  MIRISHKOLAR MFY, DORBOZ KO’CHASI 45-UY</t>
        </is>
      </c>
      <c r="H87" s="99">
        <v>1.0</v>
      </c>
      <c r="I87" s="99">
        <v>2949211.13</v>
      </c>
    </row>
    <row r="88">
      <c r="A88" s="98" t="inlineStr">
        <is>
          <t xml:space="preserve">АНДИЖОН ВИЛОЯТИ</t>
        </is>
      </c>
      <c r="C88" s="98" t="inlineStr">
        <is>
          <t xml:space="preserve">Недозвон</t>
        </is>
      </c>
      <c r="D88" s="98" t="inlineStr">
        <is>
          <t xml:space="preserve">Кр-99038721-1</t>
        </is>
      </c>
      <c r="E88" s="98" t="inlineStr">
        <is>
          <t xml:space="preserve">KURBONOV SAIDJON SALIYEVICH</t>
        </is>
      </c>
      <c r="F88" s="98" t="inlineStr">
        <is>
          <t xml:space="preserve">998916008420 SMS OZI, 998943820582 SMS UYI, 998916003420 SMS OGLI, 998916185326 SMS ONASI,</t>
        </is>
      </c>
      <c r="G88" s="98" t="inlineStr">
        <is>
          <t xml:space="preserve">ANDIJON VILOYATI PAXTAOBOD TUMANI BOBUR MFY BOBURMIRZO KO’CHASI 53-UY</t>
        </is>
      </c>
      <c r="H88" s="99">
        <v>6.0</v>
      </c>
      <c r="I88" s="99">
        <v>2859581.44</v>
      </c>
    </row>
    <row r="89">
      <c r="A89" s="98" t="inlineStr">
        <is>
          <t xml:space="preserve">АНДИЖОН ВИЛОЯТИ</t>
        </is>
      </c>
      <c r="C89" s="98" t="inlineStr">
        <is>
          <t xml:space="preserve">Недозвон</t>
        </is>
      </c>
      <c r="D89" s="98" t="inlineStr">
        <is>
          <t xml:space="preserve">Кр-99031409-1</t>
        </is>
      </c>
      <c r="E89" s="98" t="inlineStr">
        <is>
          <t xml:space="preserve">DILMURODOV MANSURBEK DILMUROD O’G’LI</t>
        </is>
      </c>
      <c r="F89" s="98" t="inlineStr">
        <is>
          <t xml:space="preserve">91-611-00-86  SMS O’ZI, 91-490-57-74  SMS AYOLI, 93-782-37-77  SMS TO’LOVCHI, 90-205-00-50  SMS UKASI,</t>
        </is>
      </c>
      <c r="G89" s="98" t="inlineStr">
        <is>
          <t xml:space="preserve">ANDIJON VILOYATI XO’JAOBOD  TUMANI CHIM BULOQ MFY YANGI CHEK KO’CHASI 9-UY</t>
        </is>
      </c>
      <c r="H89" s="99">
        <v>13.0</v>
      </c>
      <c r="I89" s="99">
        <v>2851151.11</v>
      </c>
    </row>
    <row r="90">
      <c r="A90" s="98" t="inlineStr">
        <is>
          <t xml:space="preserve">АНДИЖОН ВИЛОЯТИ</t>
        </is>
      </c>
      <c r="C90" s="98" t="inlineStr">
        <is>
          <t xml:space="preserve">Недозвон</t>
        </is>
      </c>
      <c r="D90" s="98" t="inlineStr">
        <is>
          <t xml:space="preserve">Кр-99056916-1</t>
        </is>
      </c>
      <c r="E90" s="98" t="inlineStr">
        <is>
          <t xml:space="preserve">BO’RANOVA MARG’UBA TOXIROVNA</t>
        </is>
      </c>
      <c r="F90" s="98" t="inlineStr">
        <is>
          <t xml:space="preserve">998881102465 SMS OZI, 998939940815 SMS OGLI, 998880052564 SMS XOJAYINI, 998905422591 SMS QZI,</t>
        </is>
      </c>
      <c r="G90" s="98" t="inlineStr">
        <is>
          <t xml:space="preserve">ANDIJON VILOYATI QO’RG’ONTEPA TUMANI UCHQUN MFY OGOXLIK KO’CHASI 1-UY</t>
        </is>
      </c>
      <c r="H90" s="99">
        <v>8.0</v>
      </c>
      <c r="I90" s="99">
        <v>2804538.85</v>
      </c>
    </row>
    <row r="91">
      <c r="A91" s="98" t="inlineStr">
        <is>
          <t xml:space="preserve">АНДИЖОН ВИЛОЯТИ</t>
        </is>
      </c>
      <c r="C91" s="98" t="inlineStr">
        <is>
          <t xml:space="preserve">Недозвон</t>
        </is>
      </c>
      <c r="D91" s="98" t="inlineStr">
        <is>
          <t xml:space="preserve">Кр-99063829-2</t>
        </is>
      </c>
      <c r="E91" s="98" t="inlineStr">
        <is>
          <t xml:space="preserve">MIRZAYEV ABDULAZIZ RUSTAMOVICH</t>
        </is>
      </c>
      <c r="F91" s="98" t="inlineStr">
        <is>
          <t xml:space="preserve">998773674777 SMS ONASI, 998940207105 SMS UZI, 998970610099 SSM AKASI, 998990723095 SMS DOSTI,</t>
        </is>
      </c>
      <c r="G91" s="98" t="inlineStr">
        <is>
          <t xml:space="preserve">Quvvatmurod MFY, Dilkushod ko’chasi, 139-uy</t>
        </is>
      </c>
      <c r="H91" s="99">
        <v>1.0</v>
      </c>
      <c r="I91" s="99">
        <v>2561165.0</v>
      </c>
    </row>
    <row r="92">
      <c r="A92" s="98" t="inlineStr">
        <is>
          <t xml:space="preserve">АНДИЖОН ВИЛОЯТИ</t>
        </is>
      </c>
      <c r="C92" s="98" t="inlineStr">
        <is>
          <t xml:space="preserve">Недозвон</t>
        </is>
      </c>
      <c r="D92" s="98" t="inlineStr">
        <is>
          <t xml:space="preserve">Кр-99031844-1</t>
        </is>
      </c>
      <c r="E92" s="98" t="inlineStr">
        <is>
          <t xml:space="preserve">RO‘ZIMATOVA IRODAXON MAXMUDJON QIZI</t>
        </is>
      </c>
      <c r="F92" s="98" t="inlineStr">
        <is>
          <t xml:space="preserve">998998704010 SMS O’G’LI, 998995237684 SMS ONASI, 998907590874 SMS AKASI, 998951143737 SMS JIYANI,</t>
        </is>
      </c>
      <c r="G92" s="98" t="inlineStr">
        <is>
          <t xml:space="preserve">ANDIJON VILOYATI XO’JAOBOD TUMANI CHIMBULOQ MFY YANGI CHEK KO’CHASI 104-UY</t>
        </is>
      </c>
      <c r="H92" s="99">
        <v>1.0</v>
      </c>
      <c r="I92" s="99">
        <v>2547145.95</v>
      </c>
    </row>
    <row r="93">
      <c r="A93" s="98" t="inlineStr">
        <is>
          <t xml:space="preserve">АНДИЖОН ВИЛОЯТИ</t>
        </is>
      </c>
      <c r="C93" s="98" t="inlineStr">
        <is>
          <t xml:space="preserve">Недозвон</t>
        </is>
      </c>
      <c r="D93" s="98" t="inlineStr">
        <is>
          <t xml:space="preserve">Кр-99062971-1</t>
        </is>
      </c>
      <c r="E93" s="98" t="inlineStr">
        <is>
          <t xml:space="preserve">ABDULLAYEV O’TKIRBEK MAMASIDIKOVICH</t>
        </is>
      </c>
      <c r="F93" s="98" t="inlineStr">
        <is>
          <t xml:space="preserve">+998932333213 SMS O’ZI, 998507033213 SMS UY, 998931033213 SMS O’G’LI, 998946107010 SMS O’G’LI,</t>
        </is>
      </c>
      <c r="G93" s="98" t="inlineStr">
        <is>
          <t xml:space="preserve">ANDIJON VILOYATI  ANDIJON TUMANI CHEM MFY, GULSHAN  KO’CHASI 88-UY</t>
        </is>
      </c>
      <c r="H93" s="99">
        <v>8.0</v>
      </c>
      <c r="I93" s="99">
        <v>2537385.64</v>
      </c>
    </row>
    <row r="94">
      <c r="A94" s="98" t="inlineStr">
        <is>
          <t xml:space="preserve">АНДИЖОН ВИЛОЯТИ</t>
        </is>
      </c>
      <c r="C94" s="98" t="inlineStr">
        <is>
          <t xml:space="preserve">Недозвон</t>
        </is>
      </c>
      <c r="D94" s="98" t="inlineStr">
        <is>
          <t xml:space="preserve">Кр-99040747-1</t>
        </is>
      </c>
      <c r="E94" s="98" t="inlineStr">
        <is>
          <t xml:space="preserve">TEMIROV VOXIDJON XASANBOYEVICH</t>
        </is>
      </c>
      <c r="F94" s="98" t="inlineStr">
        <is>
          <t xml:space="preserve">998334941581 SMS OZI, 998958254383 SMS AYOLI, 998772592200 SMS OGLI, 998774292810 SMS QIZI,</t>
        </is>
      </c>
      <c r="G94" s="98" t="inlineStr">
        <is>
          <t xml:space="preserve">ANDIJON VILOYATI SHAXRIXON TUMANI QO’RG’ONCHA MFY,  QO’RG’ONCHA  KO’CHASI 43-UY</t>
        </is>
      </c>
      <c r="H94" s="99">
        <v>8.0</v>
      </c>
      <c r="I94" s="99">
        <v>2510879.39</v>
      </c>
    </row>
    <row r="95">
      <c r="A95" s="98" t="inlineStr">
        <is>
          <t xml:space="preserve">АНДИЖОН ВИЛОЯТИ</t>
        </is>
      </c>
      <c r="C95" s="98" t="inlineStr">
        <is>
          <t xml:space="preserve">Недозвон</t>
        </is>
      </c>
      <c r="D95" s="98" t="inlineStr">
        <is>
          <t xml:space="preserve">Кр-99031869-3</t>
        </is>
      </c>
      <c r="E95" s="98" t="inlineStr">
        <is>
          <t xml:space="preserve">YULCHIYEVA MOHLAROYIM G’ULOMJON QIZI</t>
        </is>
      </c>
      <c r="F95" s="98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95" s="98" t="inlineStr">
        <is>
          <t xml:space="preserve">ANDIJON VILOYATI SHAXRIXON TUMANI CHO’JA MFY CHO’JA KO’CHASI 71-UY</t>
        </is>
      </c>
      <c r="H95" s="99">
        <v>8.0</v>
      </c>
      <c r="I95" s="99">
        <v>2445441.6</v>
      </c>
    </row>
    <row r="96">
      <c r="A96" s="98" t="inlineStr">
        <is>
          <t xml:space="preserve">АНДИЖОН ВИЛОЯТИ</t>
        </is>
      </c>
      <c r="C96" s="98" t="inlineStr">
        <is>
          <t xml:space="preserve">Недозвон</t>
        </is>
      </c>
      <c r="D96" s="98" t="inlineStr">
        <is>
          <t xml:space="preserve">Кр-99040884-2</t>
        </is>
      </c>
      <c r="E96" s="98" t="inlineStr">
        <is>
          <t xml:space="preserve">ABDILAJONOV LATIPJON XXX</t>
        </is>
      </c>
      <c r="F96" s="98" t="inlineStr">
        <is>
          <t xml:space="preserve">+998950121049 SMS O’ZI, 998871087272 SMS O’G’LI, 998936770060 SMS NABIRASI, 998955801953 SMS AYOLI,</t>
        </is>
      </c>
      <c r="G96" s="98" t="inlineStr">
        <is>
          <t xml:space="preserve">ХЎЖАТЕПА МФЙ, МАШИНАСОЗЛАР КЎЧАСИ,  uy:Р/С</t>
        </is>
      </c>
      <c r="H96" s="99">
        <v>12.0</v>
      </c>
      <c r="I96" s="99">
        <v>2415292.37</v>
      </c>
    </row>
    <row r="97">
      <c r="A97" s="98" t="inlineStr">
        <is>
          <t xml:space="preserve">АНДИЖОН ВИЛОЯТИ</t>
        </is>
      </c>
      <c r="C97" s="98" t="inlineStr">
        <is>
          <t xml:space="preserve">Недозвон</t>
        </is>
      </c>
      <c r="D97" s="98" t="inlineStr">
        <is>
          <t xml:space="preserve">Кр-99041539-1</t>
        </is>
      </c>
      <c r="E97" s="98" t="inlineStr">
        <is>
          <t xml:space="preserve">SHERALIYEV SARDORBEK SODIQJON O’G’LI</t>
        </is>
      </c>
      <c r="F97" s="98" t="inlineStr">
        <is>
          <t xml:space="preserve">998914845776 SMS OZI, 998996325251 SMS AYOLI, 998992425251 SMS ONASI, +998914845776 Primary phone from road24, 998948642717 SMS O’ZI2,</t>
        </is>
      </c>
      <c r="G97" s="98" t="inlineStr">
        <is>
          <t xml:space="preserve">Андижон вилояти  Андижон шахар   Бунёдкор (9-сон) МФЙ, Қўш ариқ дахаси, 46-уй, 15-хонадон</t>
        </is>
      </c>
      <c r="H97" s="99">
        <v>8.0</v>
      </c>
      <c r="I97" s="99">
        <v>2356555.56</v>
      </c>
    </row>
    <row r="98">
      <c r="A98" s="98" t="inlineStr">
        <is>
          <t xml:space="preserve">АНДИЖОН ВИЛОЯТИ</t>
        </is>
      </c>
      <c r="C98" s="98" t="inlineStr">
        <is>
          <t xml:space="preserve">Недозвон</t>
        </is>
      </c>
      <c r="D98" s="98" t="inlineStr">
        <is>
          <t xml:space="preserve">Кр-99038704-1</t>
        </is>
      </c>
      <c r="E98" s="98" t="inlineStr">
        <is>
          <t xml:space="preserve">MAXKAMOV AXMADJON ADILJON O’G’LI</t>
        </is>
      </c>
      <c r="F98" s="98" t="inlineStr">
        <is>
          <t xml:space="preserve">998971692929 SMS OZI, 998902043292 SMS OZI 2, 998914876346 SMS ONASI, 998901436222 SMS ONASI 2,</t>
        </is>
      </c>
      <c r="G98" s="98" t="inlineStr">
        <is>
          <t xml:space="preserve">ANDIJON VILOYATI JALAQUDUQ TUMANI  JALAQUDUQ MFY BOG’YO’LI  KO’CHASI 54-UY </t>
        </is>
      </c>
      <c r="H98" s="99">
        <v>6.0</v>
      </c>
      <c r="I98" s="99">
        <v>2319753.4</v>
      </c>
    </row>
    <row r="99">
      <c r="A99" s="98" t="inlineStr">
        <is>
          <t xml:space="preserve">АНДИЖОН ВИЛОЯТИ</t>
        </is>
      </c>
      <c r="C99" s="98" t="inlineStr">
        <is>
          <t xml:space="preserve">Недозвон</t>
        </is>
      </c>
      <c r="D99" s="98" t="inlineStr">
        <is>
          <t xml:space="preserve">Кр-99027758-1</t>
        </is>
      </c>
      <c r="E99" s="98" t="inlineStr">
        <is>
          <t xml:space="preserve">TO’LANBOYEV DONIYORBEK BAXTIYORJON O’G’LI</t>
        </is>
      </c>
      <c r="F99" s="98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99" s="98" t="inlineStr">
        <is>
          <t xml:space="preserve">ANDIJON VILOYATI ANDIJON SHAHAR BOG’ISHAMOL MFY K. DJABBAROV KO’CHASI 5-UY</t>
        </is>
      </c>
      <c r="H99" s="99">
        <v>1.0</v>
      </c>
      <c r="I99" s="99">
        <v>2272339.07</v>
      </c>
    </row>
    <row r="100">
      <c r="A100" s="98" t="inlineStr">
        <is>
          <t xml:space="preserve">АНДИЖОН ВИЛОЯТИ</t>
        </is>
      </c>
      <c r="C100" s="98" t="inlineStr">
        <is>
          <t xml:space="preserve">Недозвон</t>
        </is>
      </c>
      <c r="D100" s="98" t="inlineStr">
        <is>
          <t xml:space="preserve">Кр-99009053-4</t>
        </is>
      </c>
      <c r="E100" s="98" t="inlineStr">
        <is>
          <t xml:space="preserve">AXMEDOV BEKZOD XAMID O’G’LI</t>
        </is>
      </c>
      <c r="F100" s="98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100" s="98" t="inlineStr">
        <is>
          <t xml:space="preserve">ANDIJON VILOYATI ANDIJON SHAHRI LERMONTOV KOCHASI 3 UY</t>
        </is>
      </c>
      <c r="H100" s="99">
        <v>12.0</v>
      </c>
      <c r="I100" s="99">
        <v>2146372.3</v>
      </c>
    </row>
    <row r="101">
      <c r="A101" s="98" t="inlineStr">
        <is>
          <t xml:space="preserve">АНДИЖОН ВИЛОЯТИ</t>
        </is>
      </c>
      <c r="C101" s="98" t="inlineStr">
        <is>
          <t xml:space="preserve">Недозвон</t>
        </is>
      </c>
      <c r="D101" s="98" t="inlineStr">
        <is>
          <t xml:space="preserve">Кр-99040988-1</t>
        </is>
      </c>
      <c r="E101" s="98" t="inlineStr">
        <is>
          <t xml:space="preserve">ISAQJONOV PAXLAVONJON XUSNIDDIN O’G’LI</t>
        </is>
      </c>
      <c r="F101" s="98" t="inlineStr">
        <is>
          <t xml:space="preserve">+998888008486 SMS O’ZI, 998770009233 SMS UKASI, 998991498699 SMS AYOLI,</t>
        </is>
      </c>
      <c r="G101" s="98" t="inlineStr">
        <is>
          <t xml:space="preserve">ТОПТИҚ МФЙ, ТОПТИҚ КЎЧАСИ,  uy:Р/С</t>
        </is>
      </c>
      <c r="H101" s="99">
        <v>13.0</v>
      </c>
      <c r="I101" s="99">
        <v>2072426.59</v>
      </c>
    </row>
    <row r="102">
      <c r="A102" s="98" t="inlineStr">
        <is>
          <t xml:space="preserve">АНДИЖОН ВИЛОЯТИ</t>
        </is>
      </c>
      <c r="C102" s="98" t="inlineStr">
        <is>
          <t xml:space="preserve">Недозвон</t>
        </is>
      </c>
      <c r="D102" s="98" t="inlineStr">
        <is>
          <t xml:space="preserve">Кр-99037318-1</t>
        </is>
      </c>
      <c r="E102" s="98" t="inlineStr">
        <is>
          <t xml:space="preserve">ERGASHEV TOXIRJON SABIROVICH</t>
        </is>
      </c>
      <c r="F102" s="98" t="inlineStr">
        <is>
          <t xml:space="preserve">998934113945 SMS OZI, 998938790014 SMS OGLI, 998936868464 SMS AYOLI, 998935450939 SMS OGLI, 998943330510 SMS OGLI 2,</t>
        </is>
      </c>
      <c r="G102" s="98" t="inlineStr">
        <is>
          <t xml:space="preserve">ANDIJON VILOYATI ANDIJON  TUMANI BEKOBOD MFY BEKOBOD KO’CHASI 99-UY </t>
        </is>
      </c>
      <c r="H102" s="99">
        <v>5.0</v>
      </c>
      <c r="I102" s="99">
        <v>2060580.62</v>
      </c>
    </row>
    <row r="103">
      <c r="A103" s="98" t="inlineStr">
        <is>
          <t xml:space="preserve">АНДИЖОН ВИЛОЯТИ</t>
        </is>
      </c>
      <c r="C103" s="98" t="inlineStr">
        <is>
          <t xml:space="preserve">Недозвон</t>
        </is>
      </c>
      <c r="D103" s="98" t="inlineStr">
        <is>
          <t xml:space="preserve">Кр-99040647-1</t>
        </is>
      </c>
      <c r="E103" s="98" t="inlineStr">
        <is>
          <t xml:space="preserve">AKBAROV RAVSHANBEK XXX</t>
        </is>
      </c>
      <c r="F103" s="98" t="inlineStr">
        <is>
          <t xml:space="preserve">998996161058 SMS OZI, 998935511517 SMS AYOLI, 998942157201 SMS QIZI, 998992306087 SMS OGLI, +998996161058 SMS O’ZI,</t>
        </is>
      </c>
      <c r="G103" s="98" t="inlineStr">
        <is>
          <t xml:space="preserve">ANDIJON VILOYATI OLTINKO’L TUMANI AYRONCHI MFY, AYRONCHI  KO’CHASI 856-UY</t>
        </is>
      </c>
      <c r="H103" s="99">
        <v>8.0</v>
      </c>
      <c r="I103" s="99">
        <v>1956751.31</v>
      </c>
    </row>
    <row r="104">
      <c r="A104" s="98" t="inlineStr">
        <is>
          <t xml:space="preserve">АНДИЖОН ВИЛОЯТИ</t>
        </is>
      </c>
      <c r="C104" s="98" t="inlineStr">
        <is>
          <t xml:space="preserve">Недозвон</t>
        </is>
      </c>
      <c r="D104" s="98" t="inlineStr">
        <is>
          <t xml:space="preserve">Кр-99049616-2</t>
        </is>
      </c>
      <c r="E104" s="98" t="inlineStr">
        <is>
          <t xml:space="preserve">DAVIDOV MAMIRJON NEMATJONOVICH</t>
        </is>
      </c>
      <c r="F104" s="98" t="inlineStr">
        <is>
          <t xml:space="preserve">998883672747 OZI,</t>
        </is>
      </c>
      <c r="G104" s="98" t="inlineStr">
        <is>
          <t xml:space="preserve">IIV3411</t>
        </is>
      </c>
      <c r="I104" s="99">
        <v>1896080.33</v>
      </c>
    </row>
    <row r="105">
      <c r="A105" s="98" t="inlineStr">
        <is>
          <t xml:space="preserve">АНДИЖОН ВИЛОЯТИ</t>
        </is>
      </c>
      <c r="C105" s="98" t="inlineStr">
        <is>
          <t xml:space="preserve">Недозвон</t>
        </is>
      </c>
      <c r="D105" s="98" t="inlineStr">
        <is>
          <t xml:space="preserve">Кр-99044378-2</t>
        </is>
      </c>
      <c r="E105" s="98" t="inlineStr">
        <is>
          <t xml:space="preserve">SHOKIROV NURULLO AXMADULLAYEVICH</t>
        </is>
      </c>
      <c r="F105" s="98" t="inlineStr">
        <is>
          <t xml:space="preserve">+998914912216 SMS O’ZI, 998770387887 SMS QIZI tel qilinmasin, 998779630238 SMS AYOLI , 998931144480 SMS O’G’LI,</t>
        </is>
      </c>
      <c r="G105" s="98" t="inlineStr">
        <is>
          <t xml:space="preserve">АНДИЖОН ВИЛОЯТИ АНДИЖОН ШАХРИ МАДАНИЯТ МФЙ, Т.КЕЛДИЕВ,  uy:102</t>
        </is>
      </c>
      <c r="H105" s="99">
        <v>8.0</v>
      </c>
      <c r="I105" s="99">
        <v>1887081.06</v>
      </c>
    </row>
    <row r="106">
      <c r="A106" s="98" t="inlineStr">
        <is>
          <t xml:space="preserve">АНДИЖОН ВИЛОЯТИ</t>
        </is>
      </c>
      <c r="C106" s="98" t="inlineStr">
        <is>
          <t xml:space="preserve">Недозвон</t>
        </is>
      </c>
      <c r="D106" s="98" t="inlineStr">
        <is>
          <t xml:space="preserve">Кр-99063106-1</t>
        </is>
      </c>
      <c r="E106" s="98" t="inlineStr">
        <is>
          <t xml:space="preserve">SOTVOLDIYEVA MAXMUDAXON QOSIMOVNA</t>
        </is>
      </c>
      <c r="F106" s="98" t="inlineStr">
        <is>
          <t xml:space="preserve">998770492346 OZI, 998931092588 OGLI, 998937212671 OPASI, 998942592770 DUGONASI,</t>
        </is>
      </c>
      <c r="G106" s="98" t="inlineStr">
        <is>
          <t xml:space="preserve">ANDIJON VILOYATI QO’RG’ONTEPA TUMANI UCHQUN MFY ISTIQBOL KO’CHASI 16 UY</t>
        </is>
      </c>
      <c r="H106" s="99">
        <v>8.0</v>
      </c>
      <c r="I106" s="99">
        <v>1868195.4</v>
      </c>
    </row>
    <row r="107">
      <c r="A107" s="98" t="inlineStr">
        <is>
          <t xml:space="preserve">АНДИЖОН ВИЛОЯТИ</t>
        </is>
      </c>
      <c r="C107" s="98" t="inlineStr">
        <is>
          <t xml:space="preserve">Недозвон</t>
        </is>
      </c>
      <c r="D107" s="98" t="inlineStr">
        <is>
          <t xml:space="preserve">Кр-99004621-4</t>
        </is>
      </c>
      <c r="E107" s="98" t="inlineStr">
        <is>
          <t xml:space="preserve">NADIROV MURODJON BAXRAMJON O’G’LI</t>
        </is>
      </c>
      <c r="F107" s="98" t="inlineStr">
        <is>
          <t xml:space="preserve">90-543-11-01 SMS, 99-327-66-67 sms танимийди, 90-528-19-14  SMS TANIMASAKAN , 91-175-12-12  SMS ortogi, +998905431101 SMS O’ZI, 998887838780 SMS AKASI, 998946398780 SMS JIYANI ASADBEK, 998977268780 SMS UKASI,</t>
        </is>
      </c>
      <c r="G107" s="98" t="inlineStr">
        <is>
          <t xml:space="preserve">Саноат МФЙ, А.Йулдошев 1 тор кучаси, 37-уй</t>
        </is>
      </c>
      <c r="H107" s="99">
        <v>8.0</v>
      </c>
      <c r="I107" s="99">
        <v>1725725.68</v>
      </c>
    </row>
    <row r="108">
      <c r="A108" s="98" t="inlineStr">
        <is>
          <t xml:space="preserve">АНДИЖОН ВИЛОЯТИ</t>
        </is>
      </c>
      <c r="C108" s="98" t="inlineStr">
        <is>
          <t xml:space="preserve">Недозвон</t>
        </is>
      </c>
      <c r="D108" s="98" t="inlineStr">
        <is>
          <t xml:space="preserve">Кр-99029531-1</t>
        </is>
      </c>
      <c r="E108" s="98" t="inlineStr">
        <is>
          <t xml:space="preserve">TOLIBJONOVA MAFTUNAXON OYBEK QIZI</t>
        </is>
      </c>
      <c r="F108" s="98" t="inlineStr">
        <is>
          <t xml:space="preserve">77-039-54-54  SMS OZI, 90-220-91-91 SMS ZALOGADATEL, 94-385-88-88  SMS TOLOVCHI ABDULLOX, 90-542-32-22 SMS UKASI, 998902043130 ozi, 998902004000 SMS TO'LOVCHI, 998905445400  qaynotasi ,</t>
        </is>
      </c>
      <c r="G108" s="98" t="inlineStr">
        <is>
          <t xml:space="preserve">ANDIJON VILOYATI ANDIJON TUMANI ISTIQLOL MFY OQ YOR KO’CHASI 163-UY</t>
        </is>
      </c>
      <c r="H108" s="99">
        <v>1.0</v>
      </c>
      <c r="I108" s="99">
        <v>1669612.43</v>
      </c>
    </row>
    <row r="109">
      <c r="A109" s="98" t="inlineStr">
        <is>
          <t xml:space="preserve">АНДИЖОН ВИЛОЯТИ</t>
        </is>
      </c>
      <c r="C109" s="98" t="inlineStr">
        <is>
          <t xml:space="preserve">Недозвон</t>
        </is>
      </c>
      <c r="D109" s="98" t="inlineStr">
        <is>
          <t xml:space="preserve">Кр-99038983-2</t>
        </is>
      </c>
      <c r="E109" s="98" t="inlineStr">
        <is>
          <t xml:space="preserve">REJABOVA GULNOZA MAXAMMADJON QIZI</t>
        </is>
      </c>
      <c r="F109" s="98" t="inlineStr">
        <is>
          <t xml:space="preserve">998331132300 SMS OZI olmaliqda kambinatda ishlid , 998931632300 SMS AKASI, 998987882323 SMS UKASI, 998944009532 SMS ONASI,</t>
        </is>
      </c>
      <c r="G109" s="98" t="inlineStr">
        <is>
          <t xml:space="preserve">ANDIJON VILOYATI  QO’RG’ONTEPA TUMANI DEXQONCHEK  MFY SAJDAGOX KO’CHASI 30-UY</t>
        </is>
      </c>
      <c r="H109" s="99">
        <v>8.0</v>
      </c>
      <c r="I109" s="99">
        <v>1614020.74</v>
      </c>
    </row>
    <row r="110">
      <c r="A110" s="98" t="inlineStr">
        <is>
          <t xml:space="preserve">АНДИЖОН ВИЛОЯТИ</t>
        </is>
      </c>
      <c r="C110" s="98" t="inlineStr">
        <is>
          <t xml:space="preserve">Недозвон</t>
        </is>
      </c>
      <c r="D110" s="98" t="inlineStr">
        <is>
          <t xml:space="preserve">Кр-99041191-1</t>
        </is>
      </c>
      <c r="E110" s="98" t="inlineStr">
        <is>
          <t xml:space="preserve">SHOXINAZAROV ABDULLOH AZIZBEK O’G’LI</t>
        </is>
      </c>
      <c r="F110" s="98" t="inlineStr">
        <is>
          <t xml:space="preserve">+998880662277 SMS O’ZI, 998881005751 SMS ONASI, 998931005751 SMS DADASI, 998970272127 SMS DO’STI MUXAMMADSOLIQ,</t>
        </is>
      </c>
      <c r="G110" s="98" t="inlineStr">
        <is>
          <t xml:space="preserve">Экин тикин МФЙ, Шафтолизор кучаси, 252-уй</t>
        </is>
      </c>
      <c r="H110" s="99">
        <v>8.0</v>
      </c>
      <c r="I110" s="99">
        <v>1594020.95</v>
      </c>
    </row>
    <row r="111">
      <c r="A111" s="98" t="inlineStr">
        <is>
          <t xml:space="preserve">АНДИЖОН ВИЛОЯТИ</t>
        </is>
      </c>
      <c r="C111" s="98" t="inlineStr">
        <is>
          <t xml:space="preserve">Недозвон</t>
        </is>
      </c>
      <c r="D111" s="98" t="inlineStr">
        <is>
          <t xml:space="preserve">Кр-99063748-2</t>
        </is>
      </c>
      <c r="E111" s="98" t="inlineStr">
        <is>
          <t xml:space="preserve">XURBOYEV MURODILJON MURODJON O’G’LI</t>
        </is>
      </c>
      <c r="F111" s="98" t="inlineStr">
        <is>
          <t xml:space="preserve">+998931757095 SMS O’ZI, 998505454475 SMS DADASI, 998938701978 SMS ONASI, 998971622313 SMS SINGLISI,</t>
        </is>
      </c>
      <c r="G111" s="98" t="inlineStr">
        <is>
          <t xml:space="preserve">ANDIJON VILOYATI  IZBOSKAN TUMANI A. JOMIY MFY TASHABBUS MARKAZI KO’CHASI 15-UY</t>
        </is>
      </c>
      <c r="H111" s="99">
        <v>11.0</v>
      </c>
      <c r="I111" s="99">
        <v>1563242.17</v>
      </c>
    </row>
    <row r="112">
      <c r="A112" s="98" t="inlineStr">
        <is>
          <t xml:space="preserve">АНДИЖОН ВИЛОЯТИ</t>
        </is>
      </c>
      <c r="C112" s="98" t="inlineStr">
        <is>
          <t xml:space="preserve">Недозвон</t>
        </is>
      </c>
      <c r="D112" s="98" t="inlineStr">
        <is>
          <t xml:space="preserve">Кр-99044378-1</t>
        </is>
      </c>
      <c r="E112" s="98" t="inlineStr">
        <is>
          <t xml:space="preserve">SHOKIROV NURULLO AXMADULLAYEVICH</t>
        </is>
      </c>
      <c r="F112" s="98" t="inlineStr">
        <is>
          <t xml:space="preserve">+998914912216 SMS O’ZI, 998770387887 SMS QIZI tel qilinmasin, 998779630238 SMS AYOLI , 998931144480 SMS O’G’LI,</t>
        </is>
      </c>
      <c r="G112" s="98" t="inlineStr">
        <is>
          <t xml:space="preserve">АНДИЖОН ВИЛОЯТИ АНДИЖОН ШАХРИ МАДАНИЯТ МФЙ, Т.КЕЛДИЕВ,  uy:102</t>
        </is>
      </c>
      <c r="I112" s="99">
        <v>1400789.42</v>
      </c>
    </row>
    <row r="113">
      <c r="A113" s="98" t="inlineStr">
        <is>
          <t xml:space="preserve">АНДИЖОН ВИЛОЯТИ</t>
        </is>
      </c>
      <c r="C113" s="98" t="inlineStr">
        <is>
          <t xml:space="preserve">Недозвон</t>
        </is>
      </c>
      <c r="D113" s="98" t="inlineStr">
        <is>
          <t xml:space="preserve">Кр-99039141-1</t>
        </is>
      </c>
      <c r="E113" s="98" t="inlineStr">
        <is>
          <t xml:space="preserve">SAIDBEKOVA MOXINUR MUXAMMADJON QIZI</t>
        </is>
      </c>
      <c r="F113" s="98" t="inlineStr">
        <is>
          <t xml:space="preserve">998970957667 SMS OZI, 998974114774 SMS AKASI begona,</t>
        </is>
      </c>
      <c r="G113" s="98" t="inlineStr">
        <is>
          <t xml:space="preserve">ANDIJON VILOYATI ANDIJON  SHAHAR MASH’AL MFY T.REJAPOV 1-UY 53-XONADON</t>
        </is>
      </c>
      <c r="H113" s="99">
        <v>8.0</v>
      </c>
      <c r="I113" s="99">
        <v>1399536.14</v>
      </c>
    </row>
    <row r="114">
      <c r="A114" s="98" t="inlineStr">
        <is>
          <t xml:space="preserve">АНДИЖОН ВИЛОЯТИ</t>
        </is>
      </c>
      <c r="C114" s="98" t="inlineStr">
        <is>
          <t xml:space="preserve">Недозвон</t>
        </is>
      </c>
      <c r="D114" s="98" t="inlineStr">
        <is>
          <t xml:space="preserve">Кр-99040053-1</t>
        </is>
      </c>
      <c r="E114" s="98" t="inlineStr">
        <is>
          <t xml:space="preserve">RUZIYEVA JAMILAXON XXX</t>
        </is>
      </c>
      <c r="F114" s="98" t="inlineStr">
        <is>
          <t xml:space="preserve">998932443262 SMS OZI, 998947856262 SMS QIZI, 998999037159 SMS QIZI2, 998948551992 SMS QOSHNISI,</t>
        </is>
      </c>
      <c r="G114" s="98" t="inlineStr">
        <is>
          <t xml:space="preserve">ANDIJON VILOYATI ASAKA TUMANI NAVOIY MFY, ISTIQLOL KO’CHASI 95-UY</t>
        </is>
      </c>
      <c r="H114" s="99">
        <v>8.0</v>
      </c>
      <c r="I114" s="99">
        <v>1252416.64</v>
      </c>
    </row>
    <row r="115">
      <c r="A115" s="98" t="inlineStr">
        <is>
          <t xml:space="preserve">АНДИЖОН ВИЛОЯТИ</t>
        </is>
      </c>
      <c r="C115" s="98" t="inlineStr">
        <is>
          <t xml:space="preserve">Недозвон</t>
        </is>
      </c>
      <c r="D115" s="98" t="inlineStr">
        <is>
          <t xml:space="preserve">Кр-99050384-1</t>
        </is>
      </c>
      <c r="E115" s="98" t="inlineStr">
        <is>
          <t xml:space="preserve">YUSUPOV MANSURBEK ODILJONOVICH</t>
        </is>
      </c>
      <c r="F115" s="98" t="inlineStr">
        <is>
          <t xml:space="preserve">+998914979790 SMS O’ZI, 998500407542 SMS UY, 998945631595 SMS AYOLI, 998974488280 SMS ONASI,</t>
        </is>
      </c>
      <c r="G115" s="98" t="inlineStr">
        <is>
          <t xml:space="preserve">ANDIJON VILOYATI  IZBOSKAN TUMANI ROVOT MFY GAVXAR KO’CHASI 45-UY</t>
        </is>
      </c>
      <c r="H115" s="99">
        <v>8.0</v>
      </c>
      <c r="I115" s="99">
        <v>1121104.96</v>
      </c>
    </row>
    <row r="116">
      <c r="A116" s="98" t="inlineStr">
        <is>
          <t xml:space="preserve">АНДИЖОН ВИЛОЯТИ</t>
        </is>
      </c>
      <c r="C116" s="98" t="inlineStr">
        <is>
          <t xml:space="preserve">Недозвон</t>
        </is>
      </c>
      <c r="D116" s="98" t="inlineStr">
        <is>
          <t xml:space="preserve">Кр-99063628-3</t>
        </is>
      </c>
      <c r="E116" s="98" t="inlineStr">
        <is>
          <t xml:space="preserve">TASHMATOV XUSNUTDIN ODILJANOVICH</t>
        </is>
      </c>
      <c r="F116" s="98" t="inlineStr">
        <is>
          <t xml:space="preserve">998901705955 O’ZI,</t>
        </is>
      </c>
      <c r="G116" s="98" t="inlineStr">
        <is>
          <t xml:space="preserve">АНДИЖОН ВИЛОЯТИ АНДИЖОН ШАХAР АХМАД ЯССАВИЙ МФЙ ЛОЙИХАЛАШ КУЧАСИ 6-УЙ</t>
        </is>
      </c>
      <c r="H116" s="99">
        <v>8.0</v>
      </c>
      <c r="I116" s="99">
        <v>1036124.13</v>
      </c>
    </row>
    <row r="117">
      <c r="A117" s="98" t="inlineStr">
        <is>
          <t xml:space="preserve">АНДИЖОН ВИЛОЯТИ</t>
        </is>
      </c>
      <c r="C117" s="98" t="inlineStr">
        <is>
          <t xml:space="preserve">Недозвон</t>
        </is>
      </c>
      <c r="D117" s="98" t="inlineStr">
        <is>
          <t xml:space="preserve">Кр-99039608-1</t>
        </is>
      </c>
      <c r="E117" s="98" t="inlineStr">
        <is>
          <t xml:space="preserve">FAXRUTDINOV FAZLITDIN XAYBATULLAYEVICH</t>
        </is>
      </c>
      <c r="F117" s="98" t="inlineStr">
        <is>
          <t xml:space="preserve">998936926077 SMS OZI, 998951175010 SMS OGLI, 998977712560 SMS OGLI2,</t>
        </is>
      </c>
      <c r="G117" s="98" t="inlineStr">
        <is>
          <t xml:space="preserve">ANDIJON VILOYATI SHAXRIXON TUMANI  MULLABOY MFY, AXMAD YASSAVIY KO’CHASI 28-UY</t>
        </is>
      </c>
      <c r="I117" s="99">
        <v>944176.12</v>
      </c>
    </row>
    <row r="118">
      <c r="A118" s="98" t="inlineStr">
        <is>
          <t xml:space="preserve">АНДИЖОН ВИЛОЯТИ</t>
        </is>
      </c>
      <c r="C118" s="98" t="inlineStr">
        <is>
          <t xml:space="preserve">Недозвон</t>
        </is>
      </c>
      <c r="D118" s="98" t="inlineStr">
        <is>
          <t xml:space="preserve">Кр-99035336-2</t>
        </is>
      </c>
      <c r="E118" s="98" t="inlineStr">
        <is>
          <t xml:space="preserve">RO’ZIYEVA MUNIRAXON SULTONOVNA</t>
        </is>
      </c>
      <c r="F118" s="98" t="inlineStr">
        <is>
          <t xml:space="preserve">998936907720 SMS OZI, 998949796867 SMS QIZI, 998504044603 SMS OGLI, 998934446258 SMS ONASI,</t>
        </is>
      </c>
      <c r="G118" s="98" t="inlineStr">
        <is>
          <t xml:space="preserve">ANDIJON VILOYATI BO’Z TUMANI MUSTAQILLIK KO’CHASI  70-UY,11-XONADON</t>
        </is>
      </c>
      <c r="H118" s="99">
        <v>8.0</v>
      </c>
      <c r="I118" s="99">
        <v>882398.54</v>
      </c>
    </row>
    <row r="119">
      <c r="A119" s="98" t="inlineStr">
        <is>
          <t xml:space="preserve">АНДИЖОН ВИЛОЯТИ</t>
        </is>
      </c>
      <c r="C119" s="98" t="inlineStr">
        <is>
          <t xml:space="preserve">Недозвон</t>
        </is>
      </c>
      <c r="D119" s="98" t="inlineStr">
        <is>
          <t xml:space="preserve">Кр-99036805-2</t>
        </is>
      </c>
      <c r="E119" s="98" t="inlineStr">
        <is>
          <t xml:space="preserve">BESHBAYEVA OYAT KASIMOVA</t>
        </is>
      </c>
      <c r="F119" s="98" t="inlineStr">
        <is>
          <t xml:space="preserve">998979805801 SMS ozi , 998950012711 SMS ogli , 998501114027 SMS kelini , 998938252911 SMS ukasi , 998979805801 SMS ozi ,</t>
        </is>
      </c>
      <c r="G119" s="98" t="inlineStr">
        <is>
          <t xml:space="preserve">ANDIJON SHAHRI </t>
        </is>
      </c>
      <c r="H119" s="99">
        <v>8.0</v>
      </c>
      <c r="I119" s="99">
        <v>863490.41</v>
      </c>
    </row>
    <row r="120">
      <c r="A120" s="98" t="inlineStr">
        <is>
          <t xml:space="preserve">АНДИЖОН ВИЛОЯТИ</t>
        </is>
      </c>
      <c r="C120" s="98" t="inlineStr">
        <is>
          <t xml:space="preserve">Недозвон</t>
        </is>
      </c>
      <c r="D120" s="98" t="inlineStr">
        <is>
          <t xml:space="preserve">Кр-99027653-1</t>
        </is>
      </c>
      <c r="E120" s="98" t="inlineStr">
        <is>
          <t xml:space="preserve">G’ANIYEV MARDONBEK DILMUROD O’G’LI</t>
        </is>
      </c>
      <c r="F120" s="98" t="inlineStr">
        <is>
          <t xml:space="preserve">97-834-27-17 SMS O'ZI, 99-402-73-17 SMS ZALOGADATEL, 99-494-13-38 SMS KELINOYISI, 91-481-17-11  SMS DO’STI Begona ,</t>
        </is>
      </c>
      <c r="G120" s="98" t="inlineStr">
        <is>
          <t xml:space="preserve">ANDIJON VILOYATI MARXAMAT TUMANI NAVRO’Z MFY CHILONZOR KO’CHASI 114-UY</t>
        </is>
      </c>
      <c r="H120" s="99">
        <v>8.0</v>
      </c>
      <c r="I120" s="99">
        <v>808361.49</v>
      </c>
    </row>
    <row r="121">
      <c r="A121" s="98" t="inlineStr">
        <is>
          <t xml:space="preserve">АНДИЖОН ВИЛОЯТИ</t>
        </is>
      </c>
      <c r="C121" s="98" t="inlineStr">
        <is>
          <t xml:space="preserve">Недозвон</t>
        </is>
      </c>
      <c r="D121" s="98" t="inlineStr">
        <is>
          <t xml:space="preserve">Кр-99041539-2</t>
        </is>
      </c>
      <c r="E121" s="98" t="inlineStr">
        <is>
          <t xml:space="preserve">SHERALIYEV SARDORBEK SODIQJON O’G’LI</t>
        </is>
      </c>
      <c r="F121" s="98" t="inlineStr">
        <is>
          <t xml:space="preserve">998914845776 SMS OZI, 998996325251 SMS AYOLI, 998992425251 SMS ONASI, +998914845776 Primary phone from road24, 998948642717 SMS O’ZI2,</t>
        </is>
      </c>
      <c r="G121" s="98" t="inlineStr">
        <is>
          <t xml:space="preserve">Андижон вилояти  Андижон шахар   Бунёдкор (9-сон) МФЙ, Қўш ариқ дахаси, 46-уй, 15-хонадон</t>
        </is>
      </c>
      <c r="H121" s="99">
        <v>8.0</v>
      </c>
      <c r="I121" s="99">
        <v>749081.73</v>
      </c>
    </row>
    <row r="122">
      <c r="A122" s="98" t="inlineStr">
        <is>
          <t xml:space="preserve">АНДИЖОН ВИЛОЯТИ</t>
        </is>
      </c>
      <c r="C122" s="98" t="inlineStr">
        <is>
          <t xml:space="preserve">Недозвон</t>
        </is>
      </c>
      <c r="D122" s="98" t="inlineStr">
        <is>
          <t xml:space="preserve">Кр-99033584-1</t>
        </is>
      </c>
      <c r="E122" s="98" t="inlineStr">
        <is>
          <t xml:space="preserve">YUSUPJONOVNA GULCHEXRAXON DEKANBAYEVNA</t>
        </is>
      </c>
      <c r="F122" s="98" t="inlineStr">
        <is>
          <t xml:space="preserve">998997661573 SMS O’ZI, 998931077229 SMS QIZI, 998949397229 SMS UKASI, 998914847800 SMS O’G’LI,</t>
        </is>
      </c>
      <c r="G122" s="98" t="inlineStr">
        <is>
          <t xml:space="preserve">ANDIJON VILOYATI XONOBOD SHAHAR ANXOR MFY XONOBOD KO’CHASI 122-UY 9-XONADON</t>
        </is>
      </c>
      <c r="H122" s="99">
        <v>1.0</v>
      </c>
      <c r="I122" s="99">
        <v>704948.04</v>
      </c>
    </row>
    <row r="123">
      <c r="A123" s="98" t="inlineStr">
        <is>
          <t xml:space="preserve">АНДИЖОН ВИЛОЯТИ</t>
        </is>
      </c>
      <c r="C123" s="98" t="inlineStr">
        <is>
          <t xml:space="preserve">Недозвон</t>
        </is>
      </c>
      <c r="D123" s="98" t="inlineStr">
        <is>
          <t xml:space="preserve">Кр-99038275-3</t>
        </is>
      </c>
      <c r="E123" s="98" t="inlineStr">
        <is>
          <t xml:space="preserve">KARIMOVA XAMROXON MO’YDINOVNA</t>
        </is>
      </c>
      <c r="F123" s="98" t="inlineStr">
        <is>
          <t xml:space="preserve">998508831410 SMS OZI, 998948881410 SMS OGLI, 998916012492 SMS KELINI, 998937359892 SMS AKASI,</t>
        </is>
      </c>
      <c r="G123" s="98" t="inlineStr">
        <is>
          <t xml:space="preserve">ANDIJON  VILOYATI SHAXRIXON   TUMANI YANGIMAXALLA MFY, OBOD KO’CHASI  75/1-UY</t>
        </is>
      </c>
      <c r="H123" s="99">
        <v>8.0</v>
      </c>
      <c r="I123" s="99">
        <v>664193.63</v>
      </c>
    </row>
    <row r="124">
      <c r="A124" s="98" t="inlineStr">
        <is>
          <t xml:space="preserve">АНДИЖОН ВИЛОЯТИ</t>
        </is>
      </c>
      <c r="C124" s="98" t="inlineStr">
        <is>
          <t xml:space="preserve">Недозвон</t>
        </is>
      </c>
      <c r="D124" s="98" t="inlineStr">
        <is>
          <t xml:space="preserve">Кр-99038275-2</t>
        </is>
      </c>
      <c r="E124" s="98" t="inlineStr">
        <is>
          <t xml:space="preserve">KARIMOVA XAMROXON MO’YDINOVNA</t>
        </is>
      </c>
      <c r="F124" s="98" t="inlineStr">
        <is>
          <t xml:space="preserve">998508831410 SMS OZI, 998948881410 SMS OGLI, 998916012492 SMS KELINI, 998937359892 SMS AKASI,</t>
        </is>
      </c>
      <c r="G124" s="98" t="inlineStr">
        <is>
          <t xml:space="preserve">ANDIJON  VILOYATI SHAXRIXON   TUMANI YANGIMAXALLA MFY, OBOD KO’CHASI  75/1-UY</t>
        </is>
      </c>
      <c r="H124" s="99">
        <v>8.0</v>
      </c>
      <c r="I124" s="99">
        <v>627170.47</v>
      </c>
    </row>
    <row r="125">
      <c r="A125" s="98" t="inlineStr">
        <is>
          <t xml:space="preserve">АНДИЖОН ВИЛОЯТИ</t>
        </is>
      </c>
      <c r="C125" s="98" t="inlineStr">
        <is>
          <t xml:space="preserve">Недозвон</t>
        </is>
      </c>
      <c r="D125" s="98" t="inlineStr">
        <is>
          <t xml:space="preserve">Кр-99031667-1</t>
        </is>
      </c>
      <c r="E125" s="98" t="inlineStr">
        <is>
          <t xml:space="preserve">ASHUROV KOZIMJON IRGASHBAYEVCIH</t>
        </is>
      </c>
      <c r="F125" s="98" t="inlineStr">
        <is>
          <t xml:space="preserve">97-330-80-02  SMS O’ZI  Begona , 94-787-77-37  SMS AYOLI, 95-678-66-64  SMS KELINI, 99-918-60-71  SMS UKASI,</t>
        </is>
      </c>
      <c r="G125" s="98" t="inlineStr">
        <is>
          <t xml:space="preserve">ANDIJON VILOYATI ASAKA TUMANI ULUG’BEK MFY SAXIYLIK KO’CHASI 2-TOR 17-UY</t>
        </is>
      </c>
      <c r="I125" s="99">
        <v>500231.4</v>
      </c>
    </row>
    <row r="126">
      <c r="A126" s="98" t="inlineStr">
        <is>
          <t xml:space="preserve">АНДИЖОН ВИЛОЯТИ</t>
        </is>
      </c>
      <c r="C126" s="98" t="inlineStr">
        <is>
          <t xml:space="preserve">Недозвон</t>
        </is>
      </c>
      <c r="D126" s="98" t="inlineStr">
        <is>
          <t xml:space="preserve">Кр-99038164-1</t>
        </is>
      </c>
      <c r="E126" s="98" t="inlineStr">
        <is>
          <t xml:space="preserve">TURSUNALIYEV SIROJIDDIN YUNUSALI O’G’LI</t>
        </is>
      </c>
      <c r="F126" s="98" t="inlineStr">
        <is>
          <t xml:space="preserve">998883397171 SMS OZI, 998509978785 SMS AKASI, 998772880618 SMS OPASI, 998951552560 SMS DADASI,</t>
        </is>
      </c>
      <c r="G126" s="98" t="inlineStr">
        <is>
          <t xml:space="preserve">ANDIJON  VILOYATI BULOQBOSHI  TUMANI  RIVOJ MFY,YANGI CHEK KO’CHASI 412-UY</t>
        </is>
      </c>
      <c r="I126" s="99">
        <v>484735.62</v>
      </c>
    </row>
    <row r="127">
      <c r="A127" s="98" t="inlineStr">
        <is>
          <t xml:space="preserve">АНДИЖОН ВИЛОЯТИ</t>
        </is>
      </c>
      <c r="C127" s="98" t="inlineStr">
        <is>
          <t xml:space="preserve">Недозвон</t>
        </is>
      </c>
      <c r="D127" s="98" t="inlineStr">
        <is>
          <t xml:space="preserve">Кр-99031828-2</t>
        </is>
      </c>
      <c r="E127" s="98" t="inlineStr">
        <is>
          <t xml:space="preserve">SOXIBOV SHOXJAXON DIYORBEK O‘G‘LI</t>
        </is>
      </c>
      <c r="F127" s="98" t="inlineStr">
        <is>
          <t xml:space="preserve">998931042419 SMS O'ZI, 998900174454 SMS O’RTOG’I Begona, 998941087800 SMS AKASI, 998914797800 SMS ONASI, +998943230050 Primary phone from road24 Begona, 998943230050 Primary phone from road24 Begona ,</t>
        </is>
      </c>
      <c r="G127" s="98" t="inlineStr">
        <is>
          <t xml:space="preserve">Андижанская область, Пахтаобод тумани, Обод МСГ, ул. Обод, дом 8</t>
        </is>
      </c>
      <c r="H127" s="99">
        <v>8.0</v>
      </c>
      <c r="I127" s="99">
        <v>348160.18</v>
      </c>
    </row>
    <row r="128">
      <c r="A128" s="98" t="inlineStr">
        <is>
          <t xml:space="preserve">АНДИЖОН ВИЛОЯТИ</t>
        </is>
      </c>
      <c r="C128" s="98" t="inlineStr">
        <is>
          <t xml:space="preserve">Недозвон</t>
        </is>
      </c>
      <c r="D128" s="98" t="inlineStr">
        <is>
          <t xml:space="preserve">Кр-99035091-1</t>
        </is>
      </c>
      <c r="E128" s="98" t="inlineStr">
        <is>
          <t xml:space="preserve">YULBARSOVA XOLIDA NEMATOVNA</t>
        </is>
      </c>
      <c r="F128" s="98" t="inlineStr">
        <is>
          <t xml:space="preserve">998882705757 SMS OZI, 998902542320 SMS ONASI, 998903347720 SMS OTASI, 998944585252 SMS OGLI Begona , 998200076374 SMS Ogli Tolovchi faqat shunga qilinsin ,</t>
        </is>
      </c>
      <c r="G128" s="98" t="inlineStr">
        <is>
          <t xml:space="preserve">ANDIJON VILOYATI ANDIJON SHAHAR QORATUT MFY,5-KICHIK DAXA 2-UY,33-XONADON</t>
        </is>
      </c>
      <c r="H128" s="99">
        <v>7.0</v>
      </c>
      <c r="I128" s="99">
        <v>51759.73</v>
      </c>
    </row>
    <row r="129">
      <c r="A129" s="100" t="inlineStr">
        <is>
          <t xml:space="preserve">БУХОРО ВИЛОЯТИ</t>
        </is>
      </c>
      <c r="C129" s="100" t="inlineStr">
        <is>
          <t xml:space="preserve">Недозвон</t>
        </is>
      </c>
      <c r="D129" s="100" t="inlineStr">
        <is>
          <t xml:space="preserve">Кр-99040851-1</t>
        </is>
      </c>
      <c r="E129" s="100" t="inlineStr">
        <is>
          <t xml:space="preserve">ZARIPOV NODIRBEK  NAZIRJON O’G’LI</t>
        </is>
      </c>
      <c r="F129" s="100" t="inlineStr">
        <is>
          <t xml:space="preserve">998938132602 SMS O’ZI, 998887531291 SMS OPASI, 998992523242 AMAKISI, 998787770222 SMS ISHXONASI,</t>
        </is>
      </c>
      <c r="G129" s="100" t="inlineStr">
        <is>
          <t xml:space="preserve">QORAKO’L TUMANI</t>
        </is>
      </c>
      <c r="H129" s="101">
        <v>194.0</v>
      </c>
      <c r="I129" s="101">
        <v>46319207.34</v>
      </c>
      <c r="K129" s="100" t="inlineStr">
        <is>
          <t xml:space="preserve">Telefon ko'tarmadi</t>
        </is>
      </c>
    </row>
    <row r="130">
      <c r="A130" s="100" t="inlineStr">
        <is>
          <t xml:space="preserve">БУХОРО ВИЛОЯТИ</t>
        </is>
      </c>
      <c r="C130" s="100" t="inlineStr">
        <is>
          <t xml:space="preserve">Недозвон</t>
        </is>
      </c>
      <c r="D130" s="100" t="inlineStr">
        <is>
          <t xml:space="preserve">Кр-99039543-1</t>
        </is>
      </c>
      <c r="E130" s="100" t="inlineStr">
        <is>
          <t xml:space="preserve">DJUMAYEV ZAVQIY LATIPOVICH</t>
        </is>
      </c>
      <c r="F130" s="100" t="inlineStr">
        <is>
          <t xml:space="preserve">998901180010 SMS OZI , 998770240926 SMS UKASI, +998901180010 Primary phone from road24, 998950000118 SMS asilbek o'g'li,</t>
        </is>
      </c>
      <c r="G130" s="100" t="inlineStr">
        <is>
          <t xml:space="preserve">Богча МФЙ, Гараншоҳ қишлоғи, 52-C-уй</t>
        </is>
      </c>
      <c r="H130" s="101">
        <v>126.0</v>
      </c>
      <c r="I130" s="101">
        <v>45153273.7</v>
      </c>
      <c r="K130" s="100" t="inlineStr">
        <is>
          <t xml:space="preserve">Telefon ko'tarmadi</t>
        </is>
      </c>
    </row>
    <row r="131">
      <c r="A131" s="100" t="inlineStr">
        <is>
          <t xml:space="preserve">БУХОРО ВИЛОЯТИ</t>
        </is>
      </c>
      <c r="C131" s="100" t="inlineStr">
        <is>
          <t xml:space="preserve">Недозвон</t>
        </is>
      </c>
      <c r="D131" s="100" t="inlineStr">
        <is>
          <t xml:space="preserve">Кр-99040567-1</t>
        </is>
      </c>
      <c r="E131" s="100" t="inlineStr">
        <is>
          <t xml:space="preserve">ACHILOV BOBIR BURONOVICH</t>
        </is>
      </c>
      <c r="F131" s="100" t="inlineStr">
        <is>
          <t xml:space="preserve">998505155499 SMS ONASI, 998931385554 SMS OGLI, 998936205499 SMS OZI,</t>
        </is>
      </c>
      <c r="G131" s="100" t="inlineStr">
        <is>
          <t xml:space="preserve">BUXORO VILOYATI, BUXORO SHAHAR,  MUHAMMAD NARSHAXIY MFY, TOJI KARAYEV KO'CHASI, 86-UY</t>
        </is>
      </c>
      <c r="H131" s="101">
        <v>162.0</v>
      </c>
      <c r="I131" s="101">
        <v>31537466.47</v>
      </c>
      <c r="K131" s="100" t="inlineStr">
        <is>
          <t xml:space="preserve">Telefon ko'tarmadi | tel kotarmadi smsga jovob yozmadi telegramdan ham</t>
        </is>
      </c>
    </row>
    <row r="132">
      <c r="A132" s="100" t="inlineStr">
        <is>
          <t xml:space="preserve">БУХОРО ВИЛОЯТИ</t>
        </is>
      </c>
      <c r="C132" s="100" t="inlineStr">
        <is>
          <t xml:space="preserve">Недозвон</t>
        </is>
      </c>
      <c r="D132" s="100" t="inlineStr">
        <is>
          <t xml:space="preserve">Кр-99031012-1</t>
        </is>
      </c>
      <c r="E132" s="100" t="inlineStr">
        <is>
          <t xml:space="preserve">FARMONOVA GULCHEHRA MUSLIDDINOVNA</t>
        </is>
      </c>
      <c r="F132" s="100" t="inlineStr">
        <is>
          <t xml:space="preserve">33-524-05-05  SMS O'ZI, 91-240-39-39  SMS ERI, 90-635-09-93  SMS ONASI, 50-884-90-24  SMS AKASI, 998914483333 SMS ELDOR ,</t>
        </is>
      </c>
      <c r="G132" s="100" t="inlineStr">
        <is>
          <t xml:space="preserve">BUXORO VILOYATI G'IJDUVON TUMANI HAVZAK MFY, QATAG'AN KO'CHASI, 36-UY</t>
        </is>
      </c>
      <c r="H132" s="101">
        <v>18.0</v>
      </c>
      <c r="I132" s="101">
        <v>19999999.7</v>
      </c>
      <c r="K132" s="100" t="inlineStr">
        <is>
          <t xml:space="preserve">Telefon ko'tarmadi | tel uchiq uydilari kotarmayapti mahallasiga qldm ula aralawmimz dedi</t>
        </is>
      </c>
    </row>
    <row r="133">
      <c r="A133" s="100" t="inlineStr">
        <is>
          <t xml:space="preserve">БУХОРО ВИЛОЯТИ</t>
        </is>
      </c>
      <c r="C133" s="100" t="inlineStr">
        <is>
          <t xml:space="preserve">Недозвон</t>
        </is>
      </c>
      <c r="D133" s="100" t="inlineStr">
        <is>
          <t xml:space="preserve">Кр-99063363-1</t>
        </is>
      </c>
      <c r="E133" s="100" t="inlineStr">
        <is>
          <t xml:space="preserve">KOMILOVA ZEBO NURIDDINOVNA</t>
        </is>
      </c>
      <c r="F133" s="100" t="inlineStr">
        <is>
          <t xml:space="preserve">998995031288 OZI, 998773127040 JIYANI, 998998621288 ONASI, 998770900005 DOSTI,</t>
        </is>
      </c>
      <c r="G133" s="100" t="inlineStr">
        <is>
          <t xml:space="preserve">BUXORO VILOYATI QORAKUL TUMANI XOJAKON MFY XUNARMANDLAR KO’CHASI 86-UY</t>
        </is>
      </c>
      <c r="H133" s="101">
        <v>11.0</v>
      </c>
      <c r="I133" s="101">
        <v>9752659.78</v>
      </c>
      <c r="K133" s="100" t="inlineStr">
        <is>
          <t xml:space="preserve">Telefon ko'tarmadi | ozi kotarmadi uydila blokka tqb qoywti relegram smsga javob yozmad</t>
        </is>
      </c>
    </row>
    <row r="134">
      <c r="A134" s="100" t="inlineStr">
        <is>
          <t xml:space="preserve">БУХОРО ВИЛОЯТИ</t>
        </is>
      </c>
      <c r="C134" s="100" t="inlineStr">
        <is>
          <t xml:space="preserve">Недозвон</t>
        </is>
      </c>
      <c r="D134" s="100" t="inlineStr">
        <is>
          <t xml:space="preserve">Кр-99062884-1</t>
        </is>
      </c>
      <c r="E134" s="100" t="inlineStr">
        <is>
          <t xml:space="preserve">MADIYEVA ISTAT RAVSHANOVNA</t>
        </is>
      </c>
      <c r="F134" s="100" t="inlineStr">
        <is>
          <t xml:space="preserve">+998997320621 SMS O’ZI, 998505742858 SMS O’G’LI, 998933080621 SMS KELINI, 998943960868 SMS QIZI,</t>
        </is>
      </c>
      <c r="G134" s="100" t="inlineStr">
        <is>
          <t xml:space="preserve">BUXORO VILOYATI JONDOR TUMANI ZARAFSHON MFY ZARAFSHON KO’CHASI 406-UY</t>
        </is>
      </c>
      <c r="H134" s="101">
        <v>8.0</v>
      </c>
      <c r="I134" s="101">
        <v>6912912.67</v>
      </c>
      <c r="K134" s="100" t="inlineStr">
        <is>
          <t xml:space="preserve">Telefon ko'tarmadi | xech kim kotarmadi bkokka tqb qoydi telegramdan yozdm atvet qmadi hali</t>
        </is>
      </c>
    </row>
    <row r="135">
      <c r="A135" s="100" t="inlineStr">
        <is>
          <t xml:space="preserve">БУХОРО ВИЛОЯТИ</t>
        </is>
      </c>
      <c r="C135" s="100" t="inlineStr">
        <is>
          <t xml:space="preserve">Объезд</t>
        </is>
      </c>
      <c r="D135" s="100" t="inlineStr">
        <is>
          <t xml:space="preserve">Кр-99035221-3</t>
        </is>
      </c>
      <c r="E135" s="100" t="inlineStr">
        <is>
          <t xml:space="preserve">SHUKUROV YUNUS UMAROVICH</t>
        </is>
      </c>
      <c r="F135" s="100" t="inlineStr">
        <is>
          <t xml:space="preserve">998990297718 SMS O’ZI, 998996751234 SMS AYOLI, 998992231806 SMS QAYNONASI, 998992947718 SMS ONASI,</t>
        </is>
      </c>
      <c r="G135" s="100" t="inlineStr">
        <is>
          <t xml:space="preserve">Хужа Мушкин МФЙ, Алпомиш кучаси, 13/2-уй, 7-хонадон</t>
        </is>
      </c>
      <c r="H135" s="101">
        <v>8.0</v>
      </c>
      <c r="I135" s="101">
        <v>3784788.24</v>
      </c>
      <c r="K135" s="100" t="inlineStr">
        <is>
          <t xml:space="preserve">Uyiga borildi - va'da berdi | eri qamoqda xotini waroitm yoq tolov qlwga mowinani qayniopam ob qoygan qdiruvga berila dedi</t>
        </is>
      </c>
    </row>
    <row r="136">
      <c r="A136" s="100" t="inlineStr">
        <is>
          <t xml:space="preserve">БУХОРО ВИЛОЯТИ</t>
        </is>
      </c>
      <c r="C136" s="100" t="inlineStr">
        <is>
          <t xml:space="preserve">Недозвон</t>
        </is>
      </c>
      <c r="D136" s="100" t="inlineStr">
        <is>
          <t xml:space="preserve">Кр-99027605-1</t>
        </is>
      </c>
      <c r="E136" s="100" t="inlineStr">
        <is>
          <t xml:space="preserve">BARATOVA MAXFUZA TOLIBOVNA</t>
        </is>
      </c>
      <c r="F136" s="100" t="inlineStr">
        <is>
          <t xml:space="preserve">97-084-88-33 sms O'ZI, 97-080-66-33 sms ERI, 99-775-20-70 sms QAYNI UKASI, 91-441-67-61 sms JIYANI,</t>
        </is>
      </c>
      <c r="G136" s="100" t="inlineStr">
        <is>
          <t xml:space="preserve">BUXORO VILOYATI, KOGON TUMANI, ISTIQBOL MFY, QOTONG'I q-q, 46-UY.</t>
        </is>
      </c>
      <c r="H136" s="101">
        <v>13.0</v>
      </c>
      <c r="I136" s="101">
        <v>3740803.62</v>
      </c>
      <c r="K136" s="100" t="inlineStr">
        <is>
          <t xml:space="preserve">Telefon ko'tarmadi | teli uchiq telegramdan yozdm atvet qmadi</t>
        </is>
      </c>
    </row>
    <row r="137">
      <c r="A137" s="100" t="inlineStr">
        <is>
          <t xml:space="preserve">БУХОРО ВИЛОЯТИ</t>
        </is>
      </c>
      <c r="C137" s="100" t="inlineStr">
        <is>
          <t xml:space="preserve">Объезд</t>
        </is>
      </c>
      <c r="D137" s="100" t="inlineStr">
        <is>
          <t xml:space="preserve">Кр-99027688-2</t>
        </is>
      </c>
      <c r="E137" s="100" t="inlineStr">
        <is>
          <t xml:space="preserve">HUSENOV BARNO HASANOVICH</t>
        </is>
      </c>
      <c r="F137" s="100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137" s="100" t="inlineStr">
        <is>
          <t xml:space="preserve">АРАБХОНА МФЙ, АРАБХОНА,</t>
        </is>
      </c>
      <c r="H137" s="101">
        <v>8.0</v>
      </c>
      <c r="I137" s="101">
        <v>2968080.06</v>
      </c>
      <c r="J137" s="101">
        <v>2968080.06</v>
      </c>
      <c r="K137" s="100" t="inlineStr">
        <is>
          <t xml:space="preserve">Uyiga borildi - to'ladi</t>
        </is>
      </c>
    </row>
    <row r="138">
      <c r="A138" s="100" t="inlineStr">
        <is>
          <t xml:space="preserve">БУХОРО ВИЛОЯТИ</t>
        </is>
      </c>
      <c r="C138" s="100" t="inlineStr">
        <is>
          <t xml:space="preserve">Недозвон</t>
        </is>
      </c>
      <c r="D138" s="100" t="inlineStr">
        <is>
          <t xml:space="preserve">Кр-99027572-1</t>
        </is>
      </c>
      <c r="E138" s="100" t="inlineStr">
        <is>
          <t xml:space="preserve">TO’YBOYEV BEHRUZ LUQMON O’G’LI</t>
        </is>
      </c>
      <c r="F138" s="100" t="inlineStr">
        <is>
          <t xml:space="preserve">99-262-34-44 SMS O'ZI хоразимда харбий , 95-571-45-41  SMS XOTINI, 97-452-30-33  SMS DADASI,</t>
        </is>
      </c>
      <c r="G138" s="100" t="inlineStr">
        <is>
          <t xml:space="preserve">BUXORO VILOYATI G’IJDUVON TUMANI POZAGARI MAXALLASI XARCHXONA KUCHASI 133 UY</t>
        </is>
      </c>
      <c r="H138" s="101">
        <v>13.0</v>
      </c>
      <c r="I138" s="101">
        <v>2921973.59</v>
      </c>
      <c r="K138" s="100" t="inlineStr">
        <is>
          <t xml:space="preserve">Telefon ko'tarmadi | nomerlari xato telegramdan yozdm</t>
        </is>
      </c>
    </row>
    <row r="139">
      <c r="A139" s="100" t="inlineStr">
        <is>
          <t xml:space="preserve">БУХОРО ВИЛОЯТИ</t>
        </is>
      </c>
      <c r="C139" s="100" t="inlineStr">
        <is>
          <t xml:space="preserve">Объезд</t>
        </is>
      </c>
      <c r="D139" s="100" t="inlineStr">
        <is>
          <t xml:space="preserve">Кр-99039770-1</t>
        </is>
      </c>
      <c r="E139" s="100" t="inlineStr">
        <is>
          <t xml:space="preserve">SAFAROV SANJAR ADIZ O’G’LI</t>
        </is>
      </c>
      <c r="F139" s="100" t="inlineStr">
        <is>
          <t xml:space="preserve">998912403939 SMS OZI TO'LOVCHI SHUNGA TEL QILINSIN, 998935133314 SMS AMAKISI, 998918225456 SMS OTASI, 998942432520 SMS ONASI,</t>
        </is>
      </c>
      <c r="G139" s="100" t="inlineStr">
        <is>
          <t xml:space="preserve">BUXORO VILOYATI BUXORO TUMANI GULSHANOBOD MFY LEYLAK QISHLOG'I  51-UY </t>
        </is>
      </c>
      <c r="H139" s="101">
        <v>8.0</v>
      </c>
      <c r="I139" s="101">
        <v>1736494.45</v>
      </c>
      <c r="K139" s="100" t="inlineStr">
        <is>
          <t xml:space="preserve">Uyiga borildi - va'da berdi</t>
        </is>
      </c>
    </row>
    <row r="140">
      <c r="A140" s="100" t="inlineStr">
        <is>
          <t xml:space="preserve">БУХОРО ВИЛОЯТИ</t>
        </is>
      </c>
      <c r="C140" s="100" t="inlineStr">
        <is>
          <t xml:space="preserve">Недозвон</t>
        </is>
      </c>
      <c r="D140" s="100" t="inlineStr">
        <is>
          <t xml:space="preserve">Кр-99050700-1</t>
        </is>
      </c>
      <c r="E140" s="100" t="inlineStr">
        <is>
          <t xml:space="preserve">OLIMOVA XADICHABONU MIRZOJAMSHID QIZI</t>
        </is>
      </c>
      <c r="F140" s="100" t="inlineStr">
        <is>
          <t xml:space="preserve">998991477040 ozi, 998978549393 eri, 998952438448 onasi, 998936548228 opasi,</t>
        </is>
      </c>
      <c r="G140" s="100" t="inlineStr">
        <is>
          <t xml:space="preserve">BUXORO VILOYATI VOBKENT TUMANI</t>
        </is>
      </c>
      <c r="H140" s="101">
        <v>8.0</v>
      </c>
      <c r="I140" s="101">
        <v>666083.7</v>
      </c>
      <c r="K140" s="100" t="inlineStr">
        <is>
          <t xml:space="preserve">Telefon ko'tarmadi | hamma nomer xato kiritilgan</t>
        </is>
      </c>
    </row>
    <row r="141">
      <c r="A141" s="100" t="inlineStr">
        <is>
          <t xml:space="preserve">БУХОРО ВИЛОЯТИ</t>
        </is>
      </c>
      <c r="C141" s="100" t="inlineStr">
        <is>
          <t xml:space="preserve">Объезд</t>
        </is>
      </c>
      <c r="D141" s="100" t="inlineStr">
        <is>
          <t xml:space="preserve">Кр-99039770-2</t>
        </is>
      </c>
      <c r="E141" s="100" t="inlineStr">
        <is>
          <t xml:space="preserve">SAFAROV SANJAR ADIZ O’G’LI</t>
        </is>
      </c>
      <c r="F141" s="100" t="inlineStr">
        <is>
          <t xml:space="preserve">998912403939 SMS OZI TO'LOVCHI SHUNGA TEL QILINSIN, 998935133314 SMS AMAKISI, 998918225456 SMS OTASI, 998942432520 SMS ONASI,</t>
        </is>
      </c>
      <c r="G141" s="100" t="inlineStr">
        <is>
          <t xml:space="preserve">BUXORO VILOYATI BUXORO TUMANI GULSHANOBOD MFY LEYLAK QISHLOG'I  51-UY </t>
        </is>
      </c>
      <c r="H141" s="101">
        <v>8.0</v>
      </c>
      <c r="I141" s="101">
        <v>58132.61</v>
      </c>
      <c r="K141" s="100" t="inlineStr">
        <is>
          <t xml:space="preserve">Uyiga borildi - va'da berdi</t>
        </is>
      </c>
    </row>
    <row r="142">
      <c r="A142" s="102" t="inlineStr">
        <is>
          <t xml:space="preserve">ЖИЗЗАХ ВИЛОЯТИ</t>
        </is>
      </c>
      <c r="C142" s="102" t="inlineStr">
        <is>
          <t xml:space="preserve">Недозвон</t>
        </is>
      </c>
      <c r="D142" s="102" t="inlineStr">
        <is>
          <t xml:space="preserve">Кр-99046652-1</t>
        </is>
      </c>
      <c r="E142" s="102" t="inlineStr">
        <is>
          <t xml:space="preserve">GENJEBAYEV MAKSETBAY REYMBAYEVICH</t>
        </is>
      </c>
      <c r="F142" s="102" t="inlineStr">
        <is>
          <t xml:space="preserve">+998919447218 SMS OZI , 998955395000 SMS HOTINI begona, 998972680202 SMS AKASI BEGONA,</t>
        </is>
      </c>
      <c r="G142" s="102" t="inlineStr">
        <is>
          <t xml:space="preserve">JIZZAX VILOYATI PAXTAKOR TUMANI DILOROM MFY NAVRUZ KUCHASI 1/15-UY</t>
        </is>
      </c>
      <c r="H142" s="103">
        <v>71.0</v>
      </c>
      <c r="I142" s="103">
        <v>26900900.84</v>
      </c>
      <c r="K142" s="102" t="inlineStr">
        <is>
          <t xml:space="preserve">Telefon ko'tarmadi</t>
        </is>
      </c>
    </row>
    <row r="143">
      <c r="A143" s="102" t="inlineStr">
        <is>
          <t xml:space="preserve">ЖИЗЗАХ ВИЛОЯТИ</t>
        </is>
      </c>
      <c r="C143" s="102" t="inlineStr">
        <is>
          <t xml:space="preserve">Недозвон</t>
        </is>
      </c>
      <c r="D143" s="102" t="inlineStr">
        <is>
          <t xml:space="preserve">Кр-99025474-1</t>
        </is>
      </c>
      <c r="E143" s="102" t="inlineStr">
        <is>
          <t xml:space="preserve">ABDULLAYEV ABDULAZIZ ABDUVAIT O’G’LI</t>
        </is>
      </c>
      <c r="F143" s="102" t="inlineStr">
        <is>
          <t xml:space="preserve">97-789-92-05 SMS UZI , 88-517-95-05 SMS AYOLI , 97-608-08-98  SMS DUSTI ,</t>
        </is>
      </c>
      <c r="G143" s="102" t="inlineStr">
        <is>
          <t xml:space="preserve">JIZZAX VILOYATI G’ALLAOROL TUMANI</t>
        </is>
      </c>
      <c r="H143" s="103">
        <v>18.0</v>
      </c>
      <c r="I143" s="103">
        <v>9294410.26</v>
      </c>
      <c r="K143" s="102" t="inlineStr">
        <is>
          <t xml:space="preserve">Telefon ko'tarmadi</t>
        </is>
      </c>
    </row>
    <row r="144">
      <c r="A144" s="102" t="inlineStr">
        <is>
          <t xml:space="preserve">ЖИЗЗАХ ВИЛОЯТИ</t>
        </is>
      </c>
      <c r="C144" s="102" t="inlineStr">
        <is>
          <t xml:space="preserve">Недозвон</t>
        </is>
      </c>
      <c r="D144" s="102" t="inlineStr">
        <is>
          <t xml:space="preserve">Кр-99063460-1</t>
        </is>
      </c>
      <c r="E144" s="102" t="inlineStr">
        <is>
          <t xml:space="preserve">AXMEDOV ALISHER KAMALOVICH</t>
        </is>
      </c>
      <c r="F144" s="102" t="inlineStr">
        <is>
          <t xml:space="preserve">998991041481 AYOLI, 998993573881 UKASI,</t>
        </is>
      </c>
      <c r="G144" s="102" t="inlineStr">
        <is>
          <t xml:space="preserve">ШИРИН ҚФЙ, ШИРИН ҚФЙ, ҚУДУҚЧА ҚИШЛОҒИ,  uy:Р.С</t>
        </is>
      </c>
      <c r="H144" s="103">
        <v>8.0</v>
      </c>
      <c r="I144" s="103">
        <v>8586667.42</v>
      </c>
      <c r="K144" s="102" t="inlineStr">
        <is>
          <t xml:space="preserve">Telefon ko'tarmadi</t>
        </is>
      </c>
    </row>
    <row r="145">
      <c r="A145" s="102" t="inlineStr">
        <is>
          <t xml:space="preserve">ЖИЗЗАХ ВИЛОЯТИ</t>
        </is>
      </c>
      <c r="C145" s="102" t="inlineStr">
        <is>
          <t xml:space="preserve">Объезд</t>
        </is>
      </c>
      <c r="D145" s="102" t="inlineStr">
        <is>
          <t xml:space="preserve">Кр-99040635-1</t>
        </is>
      </c>
      <c r="E145" s="102" t="inlineStr">
        <is>
          <t xml:space="preserve">JURAYEVA ZULAYXA LUTFULLAYEVNA</t>
        </is>
      </c>
      <c r="F145" s="102" t="inlineStr">
        <is>
          <t xml:space="preserve">998915641958 SMS begona, 998938592525 SMS O`G`LI tolovchisi, 998943543086 SMS O`G`LI 2, 998931940082 SMS O`G`LI 3, 998943174556 SMS ONASI, 998932926008 Tolovchisini xotini,</t>
        </is>
      </c>
      <c r="G145" s="102" t="inlineStr">
        <is>
          <t xml:space="preserve">JIZZAX VILOYATI, DO’STLIK TUMANI, NAVRUZ MFY, IFTIXOR KUCHASI, 11-2 UY</t>
        </is>
      </c>
      <c r="H145" s="103">
        <v>41.0</v>
      </c>
      <c r="I145" s="103">
        <v>8093874.35</v>
      </c>
      <c r="K145" s="102" t="inlineStr">
        <is>
          <t xml:space="preserve">Uyiga borildi - va'da berdi</t>
        </is>
      </c>
    </row>
    <row r="146">
      <c r="A146" s="102" t="inlineStr">
        <is>
          <t xml:space="preserve">ЖИЗЗАХ ВИЛОЯТИ</t>
        </is>
      </c>
      <c r="C146" s="102" t="inlineStr">
        <is>
          <t xml:space="preserve">Недозвон</t>
        </is>
      </c>
      <c r="D146" s="102" t="inlineStr">
        <is>
          <t xml:space="preserve">Кр-99036552-1</t>
        </is>
      </c>
      <c r="E146" s="102" t="inlineStr">
        <is>
          <t xml:space="preserve">ALBEKOVA MUXABAT SAYLIYEVNA</t>
        </is>
      </c>
      <c r="F146" s="102" t="inlineStr">
        <is>
          <t xml:space="preserve">998906437402 SMS TULOVCHI, 998884374488 SMS KUYOVI TOLOVCHI, 998905163139 SMS QIZI, 998915650972 SMS UZI,</t>
        </is>
      </c>
      <c r="G146" s="102" t="inlineStr">
        <is>
          <t xml:space="preserve">JIZZAX VILOYATI JIZZAX SHAHRI XAMID OLIMJON MFY QANGLI KUCHASI 18-UY </t>
        </is>
      </c>
      <c r="H146" s="103">
        <v>6.0</v>
      </c>
      <c r="I146" s="103">
        <v>7512709.31</v>
      </c>
      <c r="K146" s="102" t="inlineStr">
        <is>
          <t xml:space="preserve">Telefon ko'tarmadi | yorqin tema</t>
        </is>
      </c>
    </row>
    <row r="147">
      <c r="A147" s="102" t="inlineStr">
        <is>
          <t xml:space="preserve">ЖИЗЗАХ ВИЛОЯТИ</t>
        </is>
      </c>
      <c r="C147" s="102" t="inlineStr">
        <is>
          <t xml:space="preserve">Объезд</t>
        </is>
      </c>
      <c r="D147" s="102" t="inlineStr">
        <is>
          <t xml:space="preserve">Кр-99036112-1</t>
        </is>
      </c>
      <c r="E147" s="102" t="inlineStr">
        <is>
          <t xml:space="preserve">O’TASHEV RAVSHAN BOXTIYOR O’G’LI</t>
        </is>
      </c>
      <c r="F147" s="102" t="inlineStr">
        <is>
          <t xml:space="preserve">998991037766 SMS OZI, 998946525295 SMS AKA TOLOVCHI, 998946738436 SMS AYOLI TOLOVCHI, 998944973835 SMS AYOLI, 998958735995 SMS TOLOVCHI,</t>
        </is>
      </c>
      <c r="G147" s="102" t="inlineStr">
        <is>
          <t xml:space="preserve">JIZZAX VILOYATI MIRZACHUL TUMANI PAXTAZOR SHFY BUNYODKOR KUCHASI 38-UY 2-XONADON </t>
        </is>
      </c>
      <c r="H147" s="103">
        <v>42.0</v>
      </c>
      <c r="I147" s="103">
        <v>6829564.88</v>
      </c>
      <c r="J147" s="103">
        <v>6829564.88</v>
      </c>
      <c r="K147" s="102" t="inlineStr">
        <is>
          <t xml:space="preserve">Uyiga borildi - to'ladi | mowin olingan</t>
        </is>
      </c>
    </row>
    <row r="148">
      <c r="A148" s="102" t="inlineStr">
        <is>
          <t xml:space="preserve">ЖИЗЗАХ ВИЛОЯТИ</t>
        </is>
      </c>
      <c r="C148" s="102" t="inlineStr">
        <is>
          <t xml:space="preserve">Недозвон</t>
        </is>
      </c>
      <c r="D148" s="102" t="inlineStr">
        <is>
          <t xml:space="preserve">Кр-99033328-1</t>
        </is>
      </c>
      <c r="E148" s="102" t="inlineStr">
        <is>
          <t xml:space="preserve">XOLBUTAYEV DILMUROD ABDUMALIKOVICH</t>
        </is>
      </c>
      <c r="F148" s="102" t="inlineStr">
        <is>
          <t xml:space="preserve">998915680048 SMS O’ZI, 998994280048 SMS UKASI, 998990280048 SMS AYOLI BEGONA, 998900265356 SMS ONASI,</t>
        </is>
      </c>
      <c r="G148" s="102" t="inlineStr">
        <is>
          <t xml:space="preserve">JIZZAX VILOYATI ZOMIN TUMANI  DASHTOBOD SHAXAR QORATEPA MFY SHIRIN KUCHASI </t>
        </is>
      </c>
      <c r="H148" s="103">
        <v>11.0</v>
      </c>
      <c r="I148" s="103">
        <v>6506790.93</v>
      </c>
      <c r="K148" s="102" t="inlineStr">
        <is>
          <t xml:space="preserve">Telefon ko'tarmadi</t>
        </is>
      </c>
    </row>
    <row r="149">
      <c r="A149" s="102" t="inlineStr">
        <is>
          <t xml:space="preserve">ЖИЗЗАХ ВИЛОЯТИ</t>
        </is>
      </c>
      <c r="C149" s="102" t="inlineStr">
        <is>
          <t xml:space="preserve">Недозвон</t>
        </is>
      </c>
      <c r="D149" s="102" t="inlineStr">
        <is>
          <t xml:space="preserve">Кр-99063392-1</t>
        </is>
      </c>
      <c r="E149" s="102" t="inlineStr">
        <is>
          <t xml:space="preserve">BERDIYAROV TO’RAMUROD XUDOYKULOVICH</t>
        </is>
      </c>
      <c r="F149" s="102" t="inlineStr">
        <is>
          <t xml:space="preserve">998501568064 UZI, 998939931883 AYOLI, 998943438583 ONAS,</t>
        </is>
      </c>
      <c r="G149" s="102" t="inlineStr">
        <is>
          <t xml:space="preserve">БОГИШАМОЛ КФЙ, БОГИШАМОЛ КФЙ, МУГОЛ КИШЛОГИ,  uy:РАКАМСИЗ</t>
        </is>
      </c>
      <c r="H149" s="103">
        <v>8.0</v>
      </c>
      <c r="I149" s="103">
        <v>6295100.63</v>
      </c>
      <c r="K149" s="102" t="inlineStr">
        <is>
          <t xml:space="preserve">Telefon ko'tarmadi</t>
        </is>
      </c>
    </row>
    <row r="150">
      <c r="A150" s="102" t="inlineStr">
        <is>
          <t xml:space="preserve">ЖИЗЗАХ ВИЛОЯТИ</t>
        </is>
      </c>
      <c r="C150" s="102" t="inlineStr">
        <is>
          <t xml:space="preserve">Объезд</t>
        </is>
      </c>
      <c r="D150" s="102" t="inlineStr">
        <is>
          <t xml:space="preserve">Кр-99035257-1</t>
        </is>
      </c>
      <c r="E150" s="102" t="inlineStr">
        <is>
          <t xml:space="preserve">ERGASHEV FARHOD RUSTAM O’G’LI</t>
        </is>
      </c>
      <c r="F150" s="102" t="inlineStr">
        <is>
          <t xml:space="preserve">998902867999 SMS O’ZI, 998983002221 SMS BEGONA, 998988800454 SMS AKASI2, 998973261762 SMS Ayasi, 998995772760 sms dadasi begona ,</t>
        </is>
      </c>
      <c r="G150" s="102" t="inlineStr">
        <is>
          <t xml:space="preserve">JIZZAX VILOYATI BAXMAL TUMANI USMAT SHAXARCHASI DO’STLIK MFY DO’STLIK KUCHASI 20-UY </t>
        </is>
      </c>
      <c r="H150" s="103">
        <v>1.0</v>
      </c>
      <c r="I150" s="103">
        <v>6261356.1</v>
      </c>
      <c r="K150" s="102" t="inlineStr">
        <is>
          <t xml:space="preserve">Uyiga borildi - va'da berdi</t>
        </is>
      </c>
    </row>
    <row r="151">
      <c r="A151" s="102" t="inlineStr">
        <is>
          <t xml:space="preserve">ЖИЗЗАХ ВИЛОЯТИ</t>
        </is>
      </c>
      <c r="C151" s="102" t="inlineStr">
        <is>
          <t xml:space="preserve">Объезд</t>
        </is>
      </c>
      <c r="D151" s="102" t="inlineStr">
        <is>
          <t xml:space="preserve">Кр-99025603-3</t>
        </is>
      </c>
      <c r="E151" s="102" t="inlineStr">
        <is>
          <t xml:space="preserve">AXMEDOVA MAXFUZA NIZOMIDDIN QIZI</t>
        </is>
      </c>
      <c r="F151" s="102" t="inlineStr">
        <is>
          <t xml:space="preserve">94-340-56-52 SMS ERI TULOVCHI, 94-194-74-14 SMS ONASI, 94-572-25-30 SMS URTOGI,</t>
        </is>
      </c>
      <c r="G151" s="102" t="inlineStr">
        <is>
          <t xml:space="preserve">JIZZAX VILOYATI DO’STLIK TUMANI CHARAG’ON MANAS QFY 13-1</t>
        </is>
      </c>
      <c r="H151" s="103">
        <v>120.0</v>
      </c>
      <c r="I151" s="103">
        <v>6223600.6</v>
      </c>
      <c r="K151" s="102" t="inlineStr">
        <is>
          <t xml:space="preserve">Uyiga borildi - va'da berdi | yorqin tema</t>
        </is>
      </c>
    </row>
    <row r="152">
      <c r="A152" s="102" t="inlineStr">
        <is>
          <t xml:space="preserve">ЖИЗЗАХ ВИЛОЯТИ</t>
        </is>
      </c>
      <c r="C152" s="102" t="inlineStr">
        <is>
          <t xml:space="preserve">Объезд</t>
        </is>
      </c>
      <c r="D152" s="102" t="inlineStr">
        <is>
          <t xml:space="preserve">Кр-99040190-1</t>
        </is>
      </c>
      <c r="E152" s="102" t="inlineStr">
        <is>
          <t xml:space="preserve">XODJIMURATOV MAMARAXIM USKANOVICH</t>
        </is>
      </c>
      <c r="F152" s="102" t="inlineStr">
        <is>
          <t xml:space="preserve">998994798433 SMS OZI, 998992780316 SMS OZI NEW, 998773162199  SMS SINGLISI, 998990301519 SMS  QIZI , 998773479799 SMS TO’LOVCHI,</t>
        </is>
      </c>
      <c r="G152" s="102" t="inlineStr">
        <is>
          <t xml:space="preserve">JIZZAX VILOYATI ZOMIN TUMANI NIHOL MFY YANGI OVUL QISHLOG’I 70-UY </t>
        </is>
      </c>
      <c r="H152" s="103">
        <v>8.0</v>
      </c>
      <c r="I152" s="103">
        <v>6042851.25</v>
      </c>
      <c r="K152" s="102" t="inlineStr">
        <is>
          <t xml:space="preserve">Uyiga borildi - va'da berdi | 20sigaca tulaydi</t>
        </is>
      </c>
    </row>
    <row r="153">
      <c r="A153" s="102" t="inlineStr">
        <is>
          <t xml:space="preserve">ЖИЗЗАХ ВИЛОЯТИ</t>
        </is>
      </c>
      <c r="C153" s="102" t="inlineStr">
        <is>
          <t xml:space="preserve">Недозвон</t>
        </is>
      </c>
      <c r="D153" s="102" t="inlineStr">
        <is>
          <t xml:space="preserve">Кр-99005110-6</t>
        </is>
      </c>
      <c r="E153" s="102" t="inlineStr">
        <is>
          <t xml:space="preserve">TURSUNOVA MAXBUBA OLIMJON KIZI</t>
        </is>
      </c>
      <c r="F153" s="102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153" s="102" t="inlineStr">
        <is>
          <t xml:space="preserve">JIZZAX VILOYATI JIZZAX SHAHAR BUNYODKOR .M.F.Y YORQIN KO’CHASI 16-UY</t>
        </is>
      </c>
      <c r="H153" s="103">
        <v>12.0</v>
      </c>
      <c r="I153" s="103">
        <v>5486137.1</v>
      </c>
      <c r="K153" s="102" t="inlineStr">
        <is>
          <t xml:space="preserve">Telefon ko'tarmadi</t>
        </is>
      </c>
    </row>
    <row r="154">
      <c r="A154" s="102" t="inlineStr">
        <is>
          <t xml:space="preserve">ЖИЗЗАХ ВИЛОЯТИ</t>
        </is>
      </c>
      <c r="C154" s="102" t="inlineStr">
        <is>
          <t xml:space="preserve">Объезд</t>
        </is>
      </c>
      <c r="D154" s="102" t="inlineStr">
        <is>
          <t xml:space="preserve">Кр-99030311-1</t>
        </is>
      </c>
      <c r="E154" s="102" t="inlineStr">
        <is>
          <t xml:space="preserve">SHERANOV SHERZOD ZULFAROVICH</t>
        </is>
      </c>
      <c r="F154" s="102" t="inlineStr">
        <is>
          <t xml:space="preserve">94-922-86-60  SMS O'ZI, 91-943-85-05 SMS O’ZI 2, 94-922-86-60 SMS  UY, 93-304-52-56 SMS  OTASI,</t>
        </is>
      </c>
      <c r="G154" s="102" t="inlineStr">
        <is>
          <t xml:space="preserve">JIZZAX VILOYATI ZARBDOR TUMANI DO’STLIK SHAXARCHASI SHODLIK MFY ISTIQBOL KUCHASI 43-UY </t>
        </is>
      </c>
      <c r="H154" s="103">
        <v>162.0</v>
      </c>
      <c r="I154" s="103">
        <v>5439016.61</v>
      </c>
      <c r="K154" s="102" t="inlineStr">
        <is>
          <t xml:space="preserve">Uyiga borildi - va'da berdi | yorqin tema</t>
        </is>
      </c>
    </row>
    <row r="155">
      <c r="A155" s="102" t="inlineStr">
        <is>
          <t xml:space="preserve">ЖИЗЗАХ ВИЛОЯТИ</t>
        </is>
      </c>
      <c r="C155" s="102" t="inlineStr">
        <is>
          <t xml:space="preserve">Объезд</t>
        </is>
      </c>
      <c r="D155" s="102" t="inlineStr">
        <is>
          <t xml:space="preserve">Кр-99063375-1</t>
        </is>
      </c>
      <c r="E155" s="102" t="inlineStr">
        <is>
          <t xml:space="preserve">AG’LAMOV AZIMXON AKRAM O’G’LI</t>
        </is>
      </c>
      <c r="F155" s="102" t="inlineStr">
        <is>
          <t xml:space="preserve">998881511212 AKASI, 998915981212 AKASI, 998970105070 UZI,</t>
        </is>
      </c>
      <c r="G155" s="102" t="inlineStr">
        <is>
          <t xml:space="preserve">УЧАРИК МФЙ, ХАМЗАОБОД, ФИРДАВСИЙ,  uy:9</t>
        </is>
      </c>
      <c r="H155" s="103">
        <v>8.0</v>
      </c>
      <c r="I155" s="103">
        <v>5076077.06</v>
      </c>
      <c r="K155" s="102" t="inlineStr">
        <is>
          <t xml:space="preserve">Uyiga borildi</t>
        </is>
      </c>
    </row>
    <row r="156">
      <c r="A156" s="102" t="inlineStr">
        <is>
          <t xml:space="preserve">ЖИЗЗАХ ВИЛОЯТИ</t>
        </is>
      </c>
      <c r="C156" s="102" t="inlineStr">
        <is>
          <t xml:space="preserve">Недозвон</t>
        </is>
      </c>
      <c r="D156" s="102" t="inlineStr">
        <is>
          <t xml:space="preserve">Кр-99028367-3</t>
        </is>
      </c>
      <c r="E156" s="102" t="inlineStr">
        <is>
          <t xml:space="preserve">KARIMOV BOTIRJON RUZMATOVICH</t>
        </is>
      </c>
      <c r="F156" s="102" t="inlineStr">
        <is>
          <t xml:space="preserve">91-564-03-10 SM S OZI, 91-591-45-24  SMS ATYOLI, 91-564-22-53  SMS QIZI, 95-996-66-77 sms sin,</t>
        </is>
      </c>
      <c r="G156" s="102" t="inlineStr">
        <is>
          <t xml:space="preserve">JIZZAX VILOYATI JIZZAX SHAHAR OBOD MFY FURQAT KUCHASI 28-UY</t>
        </is>
      </c>
      <c r="H156" s="103">
        <v>12.0</v>
      </c>
      <c r="I156" s="103">
        <v>4851421.36</v>
      </c>
      <c r="K156" s="102" t="inlineStr">
        <is>
          <t xml:space="preserve">Telefon ko'tarmadi</t>
        </is>
      </c>
    </row>
    <row r="157">
      <c r="A157" s="102" t="inlineStr">
        <is>
          <t xml:space="preserve">ЖИЗЗАХ ВИЛОЯТИ</t>
        </is>
      </c>
      <c r="C157" s="102" t="inlineStr">
        <is>
          <t xml:space="preserve">Недозвон</t>
        </is>
      </c>
      <c r="D157" s="102" t="inlineStr">
        <is>
          <t xml:space="preserve">Кр-99042640-1</t>
        </is>
      </c>
      <c r="E157" s="102" t="inlineStr">
        <is>
          <t xml:space="preserve">XO’JAQULOV FURQAT JAYNAROVICH</t>
        </is>
      </c>
      <c r="F157" s="102" t="inlineStr">
        <is>
          <t xml:space="preserve">+998771070575 SMS, 998932920870 SMS, 998990343029 SMS,</t>
        </is>
      </c>
      <c r="G157" s="102" t="inlineStr">
        <is>
          <t xml:space="preserve">JIZZAX VILOYATI ZAFAROBOD TUMANI BIRLIK QFY RUDAKIY KUCHASI 4-A UY</t>
        </is>
      </c>
      <c r="H157" s="103">
        <v>8.0</v>
      </c>
      <c r="I157" s="103">
        <v>4631446.25</v>
      </c>
      <c r="K157" s="102" t="inlineStr">
        <is>
          <t xml:space="preserve">Telefon ko'tarmadi</t>
        </is>
      </c>
    </row>
    <row r="158">
      <c r="A158" s="102" t="inlineStr">
        <is>
          <t xml:space="preserve">ЖИЗЗАХ ВИЛОЯТИ</t>
        </is>
      </c>
      <c r="C158" s="102" t="inlineStr">
        <is>
          <t xml:space="preserve">Недозвон</t>
        </is>
      </c>
      <c r="D158" s="102" t="inlineStr">
        <is>
          <t xml:space="preserve">Кр-99063358-1</t>
        </is>
      </c>
      <c r="E158" s="102" t="inlineStr">
        <is>
          <t xml:space="preserve">TURAKULOVA DILRABO KARIMOVNA</t>
        </is>
      </c>
      <c r="F158" s="102" t="inlineStr">
        <is>
          <t xml:space="preserve">998888926464 UY, 998918951189 UZI, 998985611189 ERI,</t>
        </is>
      </c>
      <c r="G158" s="102" t="inlineStr">
        <is>
          <t xml:space="preserve">JIZZAX VILOYATI JIZZAX SHAHRI OBOD MFY MINORLI KUCHASI 126B-UY</t>
        </is>
      </c>
      <c r="H158" s="103">
        <v>8.0</v>
      </c>
      <c r="I158" s="103">
        <v>4212139.45</v>
      </c>
      <c r="K158" s="102" t="inlineStr">
        <is>
          <t xml:space="preserve">Telefon ko'tarmadi</t>
        </is>
      </c>
    </row>
    <row r="159">
      <c r="A159" s="102" t="inlineStr">
        <is>
          <t xml:space="preserve">ЖИЗЗАХ ВИЛОЯТИ</t>
        </is>
      </c>
      <c r="C159" s="102" t="inlineStr">
        <is>
          <t xml:space="preserve">Недозвон</t>
        </is>
      </c>
      <c r="D159" s="102" t="inlineStr">
        <is>
          <t xml:space="preserve">Кр-99042221-2</t>
        </is>
      </c>
      <c r="E159" s="102" t="inlineStr">
        <is>
          <t xml:space="preserve">MAMATQOSIMOV DOSTONJON YUSUF O’G’LI</t>
        </is>
      </c>
      <c r="F159" s="102" t="inlineStr">
        <is>
          <t xml:space="preserve">+998919420024 SMS, 998911963666 SMS, 998919430024 SMS,</t>
        </is>
      </c>
      <c r="G159" s="102" t="inlineStr">
        <is>
          <t xml:space="preserve">JIZZAX VILOYATI JIZZAX SHAHRI ULUG’BEK MFY SHIRIN KUCHASI 16/2-UY</t>
        </is>
      </c>
      <c r="H159" s="103">
        <v>8.0</v>
      </c>
      <c r="I159" s="103">
        <v>4005048.23</v>
      </c>
      <c r="K159" s="102" t="inlineStr">
        <is>
          <t xml:space="preserve">Telefon ko'tarmadi</t>
        </is>
      </c>
    </row>
    <row r="160">
      <c r="A160" s="102" t="inlineStr">
        <is>
          <t xml:space="preserve">ЖИЗЗАХ ВИЛОЯТИ</t>
        </is>
      </c>
      <c r="C160" s="102" t="inlineStr">
        <is>
          <t xml:space="preserve">Недозвон</t>
        </is>
      </c>
      <c r="D160" s="102" t="inlineStr">
        <is>
          <t xml:space="preserve">Кр-99034201-1</t>
        </is>
      </c>
      <c r="E160" s="102" t="inlineStr">
        <is>
          <t xml:space="preserve">OCHILOV TO’LQIN ABDUALIMOVICH</t>
        </is>
      </c>
      <c r="F160" s="102" t="inlineStr">
        <is>
          <t xml:space="preserve">998902294031 SMS OZI, 998915676560 SMS AYOLI, 998912080702 SMS KELINI, 998915960702 SMS SINGLI,</t>
        </is>
      </c>
      <c r="G160" s="102" t="inlineStr">
        <is>
          <t xml:space="preserve">JIZZAX VILOYATI JIZZAX TUMANI QULAMA QFY A.NAVOIY KUCHASI 27-UY </t>
        </is>
      </c>
      <c r="H160" s="103">
        <v>8.0</v>
      </c>
      <c r="I160" s="103">
        <v>3692733.99</v>
      </c>
      <c r="K160" s="102" t="inlineStr">
        <is>
          <t xml:space="preserve">Telefon ko'tarmadi</t>
        </is>
      </c>
    </row>
    <row r="161">
      <c r="A161" s="102" t="inlineStr">
        <is>
          <t xml:space="preserve">ЖИЗЗАХ ВИЛОЯТИ</t>
        </is>
      </c>
      <c r="C161" s="102" t="inlineStr">
        <is>
          <t xml:space="preserve">Недозвон</t>
        </is>
      </c>
      <c r="D161" s="102" t="inlineStr">
        <is>
          <t xml:space="preserve">Кр-99011601-4</t>
        </is>
      </c>
      <c r="E161" s="102" t="inlineStr">
        <is>
          <t xml:space="preserve">JO’RAQULOV JAVLONJON QAHRAMON O’G’LI</t>
        </is>
      </c>
      <c r="F161" s="102" t="inlineStr">
        <is>
          <t xml:space="preserve">88-126-00-25 SMS UZI, 97-482-53-53 SMS AYOLI, 88-437-53-53 SMS OTASI, 97-127-53-53 SMS AYOLI, 998776406865 SMS Ukasi tolovchi,</t>
        </is>
      </c>
      <c r="G161" s="102" t="inlineStr">
        <is>
          <t xml:space="preserve">JIZZAX VILOYATI JIZZAX TUMANI OLMACHI MAHALLASI OLMACHI KUCHASI 9/9 UY</t>
        </is>
      </c>
      <c r="H161" s="103">
        <v>12.0</v>
      </c>
      <c r="I161" s="103">
        <v>3571195.95</v>
      </c>
      <c r="K161" s="102" t="inlineStr">
        <is>
          <t xml:space="preserve">Telefon ko'tarmadi</t>
        </is>
      </c>
    </row>
    <row r="162">
      <c r="A162" s="102" t="inlineStr">
        <is>
          <t xml:space="preserve">ЖИЗЗАХ ВИЛОЯТИ</t>
        </is>
      </c>
      <c r="C162" s="102" t="inlineStr">
        <is>
          <t xml:space="preserve">Недозвон</t>
        </is>
      </c>
      <c r="D162" s="102" t="inlineStr">
        <is>
          <t xml:space="preserve">Кр-99040996-1</t>
        </is>
      </c>
      <c r="E162" s="102" t="inlineStr">
        <is>
          <t xml:space="preserve">BOBAQULOV JASUR INOMOVICH</t>
        </is>
      </c>
      <c r="F162" s="102" t="inlineStr">
        <is>
          <t xml:space="preserve">998959118222 SMS OZI, 998888481114 SMS AYOLI, 998956311666 SMS UY, 998915935501 SMS SINGLISI,</t>
        </is>
      </c>
      <c r="G162" s="102" t="inlineStr">
        <is>
          <t xml:space="preserve">JIZZAX VILOYATI SH.RASHIDOV TUMANI UCHTEPA MFY BESHQAYRAGOCH KUCHASI 168-UY </t>
        </is>
      </c>
      <c r="H162" s="103">
        <v>8.0</v>
      </c>
      <c r="I162" s="103">
        <v>3186147.41</v>
      </c>
      <c r="K162" s="102" t="inlineStr">
        <is>
          <t xml:space="preserve">Telefon ko'tarmadi</t>
        </is>
      </c>
    </row>
    <row r="163">
      <c r="A163" s="102" t="inlineStr">
        <is>
          <t xml:space="preserve">ЖИЗЗАХ ВИЛОЯТИ</t>
        </is>
      </c>
      <c r="C163" s="102" t="inlineStr">
        <is>
          <t xml:space="preserve">Недозвон</t>
        </is>
      </c>
      <c r="D163" s="102" t="inlineStr">
        <is>
          <t xml:space="preserve">Кр-99039978-1</t>
        </is>
      </c>
      <c r="E163" s="102" t="inlineStr">
        <is>
          <t xml:space="preserve">ABDUG’AFFOROV SHAHZOD FARXOD O’G’LI</t>
        </is>
      </c>
      <c r="F163" s="102" t="inlineStr">
        <is>
          <t xml:space="preserve">998978467171 SMS OZI, 998970797177 SMS AYOLI, 998996860929 SMS UKASI, 998940131831 SMS JORASI, 998700459666 sms uzi, 998775240110 sms uzi,</t>
        </is>
      </c>
      <c r="G163" s="102" t="inlineStr">
        <is>
          <t xml:space="preserve">JIZZAX VILOYATI JIZZAX TUMANI QANGLI MFY MARHAMAT KUCHASI 92-UY </t>
        </is>
      </c>
      <c r="H163" s="103">
        <v>8.0</v>
      </c>
      <c r="I163" s="103">
        <v>3175823.34</v>
      </c>
      <c r="K163" s="102" t="inlineStr">
        <is>
          <t xml:space="preserve">Telefon ko'tarmadi</t>
        </is>
      </c>
    </row>
    <row r="164">
      <c r="A164" s="102" t="inlineStr">
        <is>
          <t xml:space="preserve">ЖИЗЗАХ ВИЛОЯТИ</t>
        </is>
      </c>
      <c r="C164" s="102" t="inlineStr">
        <is>
          <t xml:space="preserve">Недозвон</t>
        </is>
      </c>
      <c r="D164" s="102" t="inlineStr">
        <is>
          <t xml:space="preserve">Кр-99057656-1</t>
        </is>
      </c>
      <c r="E164" s="102" t="inlineStr">
        <is>
          <t xml:space="preserve">KASIMOVA LOLA NARBAYEVNA</t>
        </is>
      </c>
      <c r="F164" s="102" t="inlineStr">
        <is>
          <t xml:space="preserve">998938238558 SMS UZI, 998934072545 SMS KUYOVI, 998941540825 SMS QIZI,</t>
        </is>
      </c>
      <c r="G164" s="102" t="inlineStr">
        <is>
          <t xml:space="preserve">JIZZAX VILOYATI G'ALLAOROL TUMANI OLIMLAR MFY LALMIKOR KUCHASI 41-UY</t>
        </is>
      </c>
      <c r="H164" s="103">
        <v>8.0</v>
      </c>
      <c r="I164" s="103">
        <v>2905342.76</v>
      </c>
      <c r="K164" s="102" t="inlineStr">
        <is>
          <t xml:space="preserve">Telefon ko'tarmadi</t>
        </is>
      </c>
    </row>
    <row r="165">
      <c r="A165" s="102" t="inlineStr">
        <is>
          <t xml:space="preserve">ЖИЗЗАХ ВИЛОЯТИ</t>
        </is>
      </c>
      <c r="C165" s="102" t="inlineStr">
        <is>
          <t xml:space="preserve">Недозвон</t>
        </is>
      </c>
      <c r="D165" s="102" t="inlineStr">
        <is>
          <t xml:space="preserve">Кр-99063038-1</t>
        </is>
      </c>
      <c r="E165" s="102" t="inlineStr">
        <is>
          <t xml:space="preserve">SALIMOV MANSUR AZIMOVICH</t>
        </is>
      </c>
      <c r="F165" s="102" t="inlineStr">
        <is>
          <t xml:space="preserve">998771120702 AYOLI, 998904927979 UY,</t>
        </is>
      </c>
      <c r="G165" s="102" t="inlineStr">
        <is>
          <t xml:space="preserve">ТОКЧИЛИҚ МАХАЛЛАСИ, ЛОЙИХАДАГИ КЎЧА,  uy:Р.С</t>
        </is>
      </c>
      <c r="H165" s="103">
        <v>8.0</v>
      </c>
      <c r="I165" s="103">
        <v>2615921.36</v>
      </c>
      <c r="K165" s="102" t="inlineStr">
        <is>
          <t xml:space="preserve">Telefon ko'tarmadi</t>
        </is>
      </c>
    </row>
    <row r="166">
      <c r="A166" s="102" t="inlineStr">
        <is>
          <t xml:space="preserve">ЖИЗЗАХ ВИЛОЯТИ</t>
        </is>
      </c>
      <c r="C166" s="102" t="inlineStr">
        <is>
          <t xml:space="preserve">Недозвон</t>
        </is>
      </c>
      <c r="D166" s="102" t="inlineStr">
        <is>
          <t xml:space="preserve">Кр-99041710-1</t>
        </is>
      </c>
      <c r="E166" s="102" t="inlineStr">
        <is>
          <t xml:space="preserve">MAMARAJABOVA ZULOYXA ABDUMALIK QIZI</t>
        </is>
      </c>
      <c r="F166" s="102" t="inlineStr">
        <is>
          <t xml:space="preserve">998339269697 SMS, 998931049616 SMS,</t>
        </is>
      </c>
      <c r="G166" s="102" t="inlineStr">
        <is>
          <t xml:space="preserve">JIZZAX VILOYATI BAXMAL TUMANI TONGOTAR MFY QUSHTEPA QISHLOGI 65-UY</t>
        </is>
      </c>
      <c r="H166" s="103">
        <v>8.0</v>
      </c>
      <c r="I166" s="103">
        <v>2489961.08</v>
      </c>
      <c r="K166" s="102" t="inlineStr">
        <is>
          <t xml:space="preserve">Telefon ko'tarmadi</t>
        </is>
      </c>
    </row>
    <row r="167">
      <c r="A167" s="102" t="inlineStr">
        <is>
          <t xml:space="preserve">ЖИЗЗАХ ВИЛОЯТИ</t>
        </is>
      </c>
      <c r="C167" s="102" t="inlineStr">
        <is>
          <t xml:space="preserve">Недозвон</t>
        </is>
      </c>
      <c r="D167" s="102" t="inlineStr">
        <is>
          <t xml:space="preserve">Кр-99041692-1</t>
        </is>
      </c>
      <c r="E167" s="102" t="inlineStr">
        <is>
          <t xml:space="preserve">XAYDAROVA MUHABBAT KAMOL QIZI</t>
        </is>
      </c>
      <c r="F167" s="102" t="inlineStr">
        <is>
          <t xml:space="preserve">+998871055002 SMS OZI, 998879530070 SMS AYOLI, 998918910095 SMS AKASI, 998918910095 SMS UKASI,</t>
        </is>
      </c>
      <c r="G167" s="102" t="inlineStr">
        <is>
          <t xml:space="preserve">JIZZAX VILOYATI JIZZAX TUMANI QANGLI MFY FAROVON KUCHASI 36-UY</t>
        </is>
      </c>
      <c r="H167" s="103">
        <v>8.0</v>
      </c>
      <c r="I167" s="103">
        <v>2488370.23</v>
      </c>
      <c r="K167" s="102" t="inlineStr">
        <is>
          <t xml:space="preserve">Telefon ko'tarmadi</t>
        </is>
      </c>
    </row>
    <row r="168">
      <c r="A168" s="102" t="inlineStr">
        <is>
          <t xml:space="preserve">ЖИЗЗАХ ВИЛОЯТИ</t>
        </is>
      </c>
      <c r="C168" s="102" t="inlineStr">
        <is>
          <t xml:space="preserve">Недозвон</t>
        </is>
      </c>
      <c r="D168" s="102" t="inlineStr">
        <is>
          <t xml:space="preserve">Кр-99039314-1</t>
        </is>
      </c>
      <c r="E168" s="102" t="inlineStr">
        <is>
          <t xml:space="preserve">IZBOSAROV BUNYODBEK BEHZOD O’G’LI</t>
        </is>
      </c>
      <c r="F168" s="102" t="inlineStr">
        <is>
          <t xml:space="preserve">998919400878 SMS UZI, 998886647070 SMS AKASI, 998991900011 SMS KATTA AKASI, 998996100011 SMS ADASI,</t>
        </is>
      </c>
      <c r="G168" s="102" t="inlineStr">
        <is>
          <t xml:space="preserve">JIZZAX VILOYATI PAXTAKOR TUMANI TOSHKENT MFY NURAFSHON KUCHASI 7/1-UY </t>
        </is>
      </c>
      <c r="H168" s="103">
        <v>12.0</v>
      </c>
      <c r="I168" s="103">
        <v>2470962.47</v>
      </c>
      <c r="K168" s="102" t="inlineStr">
        <is>
          <t xml:space="preserve">Telefon ko'tarmadi</t>
        </is>
      </c>
    </row>
    <row r="169">
      <c r="A169" s="102" t="inlineStr">
        <is>
          <t xml:space="preserve">ЖИЗЗАХ ВИЛОЯТИ</t>
        </is>
      </c>
      <c r="C169" s="102" t="inlineStr">
        <is>
          <t xml:space="preserve">Недозвон</t>
        </is>
      </c>
      <c r="D169" s="102" t="inlineStr">
        <is>
          <t xml:space="preserve">Кр-99011601-5</t>
        </is>
      </c>
      <c r="E169" s="102" t="inlineStr">
        <is>
          <t xml:space="preserve">JO’RAQULOV JAVLONJON QAHRAMON O’G’LI</t>
        </is>
      </c>
      <c r="F169" s="102" t="inlineStr">
        <is>
          <t xml:space="preserve">88-126-00-25 SMS UZI, 97-482-53-53 SMS AYOLI, 88-437-53-53 SMS OTASI, 97-127-53-53 SMS AYOLI, 998776406865 SMS Ukasi tolovchi,</t>
        </is>
      </c>
      <c r="G169" s="102" t="inlineStr">
        <is>
          <t xml:space="preserve">JIZZAX VILOYATI JIZZAX TUMANI OLMACHI MAHALLASI OLMACHI KUCHASI 9/9 UY</t>
        </is>
      </c>
      <c r="H169" s="103">
        <v>8.0</v>
      </c>
      <c r="I169" s="103">
        <v>2118215.71</v>
      </c>
      <c r="K169" s="102" t="inlineStr">
        <is>
          <t xml:space="preserve">Telefon ko'tarmadi</t>
        </is>
      </c>
    </row>
    <row r="170">
      <c r="A170" s="102" t="inlineStr">
        <is>
          <t xml:space="preserve">ЖИЗЗАХ ВИЛОЯТИ</t>
        </is>
      </c>
      <c r="C170" s="102" t="inlineStr">
        <is>
          <t xml:space="preserve">Недозвон</t>
        </is>
      </c>
      <c r="D170" s="102" t="inlineStr">
        <is>
          <t xml:space="preserve">Кр-99060382-1</t>
        </is>
      </c>
      <c r="E170" s="102" t="inlineStr">
        <is>
          <t xml:space="preserve">XONIMKULOV XURSHID UMARKUL O’G’LI</t>
        </is>
      </c>
      <c r="F170" s="102" t="inlineStr">
        <is>
          <t xml:space="preserve">998991027333 узи, 998915900150 аели, 998911968898 шериги,</t>
        </is>
      </c>
      <c r="G170" s="102" t="inlineStr">
        <is>
          <t xml:space="preserve">JIZZAX VILOYATI JIZZAX TUMANI BUNYODKOR MFY LOLAZOR KUCHASI 1A-UY</t>
        </is>
      </c>
      <c r="H170" s="103">
        <v>11.0</v>
      </c>
      <c r="I170" s="103">
        <v>1902843.31</v>
      </c>
      <c r="K170" s="102" t="inlineStr">
        <is>
          <t xml:space="preserve">Telefon ko'tarmadi</t>
        </is>
      </c>
    </row>
    <row r="171">
      <c r="A171" s="102" t="inlineStr">
        <is>
          <t xml:space="preserve">ЖИЗЗАХ ВИЛОЯТИ</t>
        </is>
      </c>
      <c r="C171" s="102" t="inlineStr">
        <is>
          <t xml:space="preserve">Недозвон</t>
        </is>
      </c>
      <c r="D171" s="102" t="inlineStr">
        <is>
          <t xml:space="preserve">Кр-99044722-1</t>
        </is>
      </c>
      <c r="E171" s="102" t="inlineStr">
        <is>
          <t xml:space="preserve">BERDIYEVA GULNORA KENJAYEVNA</t>
        </is>
      </c>
      <c r="F171" s="102" t="inlineStr">
        <is>
          <t xml:space="preserve">+998931257179 SMS, 998932347179 SMS, 998946894222 SMS,</t>
        </is>
      </c>
      <c r="G171" s="102" t="inlineStr">
        <is>
          <t xml:space="preserve">JIZZAX VILOYATI ARNASOY TUMANI G’OFUR G’ULOM MFY G’OFUR G’ULOM KUCHASI 15/1-UY</t>
        </is>
      </c>
      <c r="H171" s="103">
        <v>8.0</v>
      </c>
      <c r="I171" s="103">
        <v>1899626.67</v>
      </c>
      <c r="K171" s="102" t="inlineStr">
        <is>
          <t xml:space="preserve">Telefon ko'tarmadi</t>
        </is>
      </c>
    </row>
    <row r="172">
      <c r="A172" s="102" t="inlineStr">
        <is>
          <t xml:space="preserve">ЖИЗЗАХ ВИЛОЯТИ</t>
        </is>
      </c>
      <c r="C172" s="102" t="inlineStr">
        <is>
          <t xml:space="preserve">Недозвон</t>
        </is>
      </c>
      <c r="D172" s="102" t="inlineStr">
        <is>
          <t xml:space="preserve">Кр-99056896-1</t>
        </is>
      </c>
      <c r="E172" s="102" t="inlineStr">
        <is>
          <t xml:space="preserve">AKBAROV BUNYODJON JASUR O’G’LI</t>
        </is>
      </c>
      <c r="F172" s="102" t="inlineStr">
        <is>
          <t xml:space="preserve">998700330040 SMS JAVOHIR TOLOVCHI, 998800707792 SMS OZI, 998901807171 SMS AKASI, 998904997070 SMS OZI,</t>
        </is>
      </c>
      <c r="G172" s="102" t="inlineStr">
        <is>
          <t xml:space="preserve">JIZZAX VILOYATI JIZZAX SHAHAR OLMAZOR MFY KOMIL YORMATOV KUHASI 18-UY</t>
        </is>
      </c>
      <c r="H172" s="103">
        <v>8.0</v>
      </c>
      <c r="I172" s="103">
        <v>1833445.83</v>
      </c>
      <c r="K172" s="102" t="inlineStr">
        <is>
          <t xml:space="preserve">Telefon ko'tarmadi</t>
        </is>
      </c>
    </row>
    <row r="173">
      <c r="A173" s="102" t="inlineStr">
        <is>
          <t xml:space="preserve">ЖИЗЗАХ ВИЛОЯТИ</t>
        </is>
      </c>
      <c r="C173" s="102" t="inlineStr">
        <is>
          <t xml:space="preserve">Недозвон</t>
        </is>
      </c>
      <c r="D173" s="102" t="inlineStr">
        <is>
          <t xml:space="preserve">Кр-99038104-2</t>
        </is>
      </c>
      <c r="E173" s="102" t="inlineStr">
        <is>
          <t xml:space="preserve">USMANOV MURTAZAQUL AKRAMOVICH</t>
        </is>
      </c>
      <c r="F173" s="102" t="inlineStr">
        <is>
          <t xml:space="preserve">998915653836 SMS OZI, 998910293836 SMS O’G’LI, 998991183649 SMS O’G’LI,</t>
        </is>
      </c>
      <c r="G173" s="102" t="inlineStr">
        <is>
          <t xml:space="preserve">JIZZAX VILOYATI SH.RASHIDOV TUMANI ZIYOKOR MFY A.QAHHOR KUCHASI 61-UY</t>
        </is>
      </c>
      <c r="H173" s="103">
        <v>8.0</v>
      </c>
      <c r="I173" s="103">
        <v>1756110.14</v>
      </c>
      <c r="K173" s="102" t="inlineStr">
        <is>
          <t xml:space="preserve">Telefon ko'tarmadi</t>
        </is>
      </c>
    </row>
    <row r="174">
      <c r="A174" s="102" t="inlineStr">
        <is>
          <t xml:space="preserve">ЖИЗЗАХ ВИЛОЯТИ</t>
        </is>
      </c>
      <c r="C174" s="102" t="inlineStr">
        <is>
          <t xml:space="preserve">Недозвон</t>
        </is>
      </c>
      <c r="D174" s="102" t="inlineStr">
        <is>
          <t xml:space="preserve">Кр-99038736-1</t>
        </is>
      </c>
      <c r="E174" s="102" t="inlineStr">
        <is>
          <t xml:space="preserve">ARZIKULOV SOBIRJON BAXTIYOR O’G’LI</t>
        </is>
      </c>
      <c r="F174" s="102" t="inlineStr">
        <is>
          <t xml:space="preserve">998940337077 SMS OZI, 998332952405 SMS DADASI, 998904951880 SMS ONASI, 998772679767 SMS UKASI,</t>
        </is>
      </c>
      <c r="G174" s="102" t="inlineStr">
        <is>
          <t xml:space="preserve">JIZZAX VILOYATI JIZZAX SHAHAR NAVRUZ MFY UZBEKISTAN KUCHASI 38-UY </t>
        </is>
      </c>
      <c r="H174" s="103">
        <v>7.0</v>
      </c>
      <c r="I174" s="103">
        <v>1741305.0</v>
      </c>
      <c r="K174" s="102" t="inlineStr">
        <is>
          <t xml:space="preserve">Telefon ko'tarmadi</t>
        </is>
      </c>
    </row>
    <row r="175">
      <c r="A175" s="102" t="inlineStr">
        <is>
          <t xml:space="preserve">ЖИЗЗАХ ВИЛОЯТИ</t>
        </is>
      </c>
      <c r="C175" s="102" t="inlineStr">
        <is>
          <t xml:space="preserve">Недозвон</t>
        </is>
      </c>
      <c r="D175" s="102" t="inlineStr">
        <is>
          <t xml:space="preserve">Кр-99063112-1</t>
        </is>
      </c>
      <c r="E175" s="102" t="inlineStr">
        <is>
          <t xml:space="preserve">USANOVA FOTIMA ABDURASHIDOVNA</t>
        </is>
      </c>
      <c r="F175" s="102" t="inlineStr">
        <is>
          <t xml:space="preserve">+998915026065 SMS OZI, 998700113077 KATTA O’G’LI, 998881459555 O’RTANCHA O’G’LI,</t>
        </is>
      </c>
      <c r="G175" s="102" t="inlineStr">
        <is>
          <t xml:space="preserve">BAXMAL TUMANI</t>
        </is>
      </c>
      <c r="I175" s="103">
        <v>1648406.61</v>
      </c>
      <c r="K175" s="102" t="inlineStr">
        <is>
          <t xml:space="preserve">Telefon ko'tarmadi</t>
        </is>
      </c>
    </row>
    <row r="176">
      <c r="A176" s="102" t="inlineStr">
        <is>
          <t xml:space="preserve">ЖИЗЗАХ ВИЛОЯТИ</t>
        </is>
      </c>
      <c r="C176" s="102" t="inlineStr">
        <is>
          <t xml:space="preserve">Недозвон</t>
        </is>
      </c>
      <c r="D176" s="102" t="inlineStr">
        <is>
          <t xml:space="preserve">Кр-99026372-3</t>
        </is>
      </c>
      <c r="E176" s="102" t="inlineStr">
        <is>
          <t xml:space="preserve">ARIPOV FAXRIDDIN JO’MANOVICH</t>
        </is>
      </c>
      <c r="F176" s="102" t="inlineStr">
        <is>
          <t xml:space="preserve">94-138-50-20 SMS UZI , 91-209-90-77 SMS UZI, 94-001-51-35 SMS UY, 91-028-70-28 SMS AYOLI,</t>
        </is>
      </c>
      <c r="G176" s="102" t="inlineStr">
        <is>
          <t xml:space="preserve">JIZZAX VILOYATI MARJONBULOQ SHMB LALMIKOR MFY NAVRO’Z MAHALLASI 60-UY</t>
        </is>
      </c>
      <c r="H176" s="103">
        <v>8.0</v>
      </c>
      <c r="I176" s="103">
        <v>1497109.9</v>
      </c>
      <c r="K176" s="102" t="inlineStr">
        <is>
          <t xml:space="preserve">Telefon ko'tarmadi</t>
        </is>
      </c>
    </row>
    <row r="177">
      <c r="A177" s="102" t="inlineStr">
        <is>
          <t xml:space="preserve">ЖИЗЗАХ ВИЛОЯТИ</t>
        </is>
      </c>
      <c r="C177" s="102" t="inlineStr">
        <is>
          <t xml:space="preserve">Недозвон</t>
        </is>
      </c>
      <c r="D177" s="102" t="inlineStr">
        <is>
          <t xml:space="preserve">Кр-99052917-1</t>
        </is>
      </c>
      <c r="E177" s="102" t="inlineStr">
        <is>
          <t xml:space="preserve">ABDUALIMOV OZODJON ABDURAXIM O’G’LI</t>
        </is>
      </c>
      <c r="F177" s="102" t="inlineStr">
        <is>
          <t xml:space="preserve">998911972123 SMS OZI, 998915681200 SMS AYOLI, 999156813002 SMS OZI 2,</t>
        </is>
      </c>
      <c r="G177" s="102" t="inlineStr">
        <is>
          <t xml:space="preserve">JIZZAX VILOYATI JIZZAX SHAHRI OQQURG'ONLIK MAHALLASI YU SALIMOV KUCHASI 70-UY</t>
        </is>
      </c>
      <c r="H177" s="103">
        <v>8.0</v>
      </c>
      <c r="I177" s="103">
        <v>1470294.76</v>
      </c>
      <c r="K177" s="102" t="inlineStr">
        <is>
          <t xml:space="preserve">Telefon ko'tarmadi</t>
        </is>
      </c>
    </row>
    <row r="178">
      <c r="A178" s="102" t="inlineStr">
        <is>
          <t xml:space="preserve">ЖИЗЗАХ ВИЛОЯТИ</t>
        </is>
      </c>
      <c r="C178" s="102" t="inlineStr">
        <is>
          <t xml:space="preserve">Недозвон</t>
        </is>
      </c>
      <c r="D178" s="102" t="inlineStr">
        <is>
          <t xml:space="preserve">Кр-99044129-3</t>
        </is>
      </c>
      <c r="E178" s="102" t="inlineStr">
        <is>
          <t xml:space="preserve">ANORBOYEV RABBIM QURBONOVICH</t>
        </is>
      </c>
      <c r="F178" s="102" t="inlineStr">
        <is>
          <t xml:space="preserve">+998911993133 SMS, 998915963134 SMS, 998918038686 SMS,</t>
        </is>
      </c>
      <c r="G178" s="102" t="inlineStr">
        <is>
          <t xml:space="preserve">JIZZAX VILOYATI JIZZAX SHAHRI ITTIFOQ MFY ITTIFOQ KUCHASI 36/30 - UY</t>
        </is>
      </c>
      <c r="H178" s="103">
        <v>11.0</v>
      </c>
      <c r="I178" s="103">
        <v>1407232.72</v>
      </c>
      <c r="K178" s="102" t="inlineStr">
        <is>
          <t xml:space="preserve">Telefon ko'tarmadi</t>
        </is>
      </c>
    </row>
    <row r="179">
      <c r="A179" s="102" t="inlineStr">
        <is>
          <t xml:space="preserve">ЖИЗЗАХ ВИЛОЯТИ</t>
        </is>
      </c>
      <c r="C179" s="102" t="inlineStr">
        <is>
          <t xml:space="preserve">Объезд</t>
        </is>
      </c>
      <c r="D179" s="102" t="inlineStr">
        <is>
          <t xml:space="preserve">Кр-99030311-2</t>
        </is>
      </c>
      <c r="E179" s="102" t="inlineStr">
        <is>
          <t xml:space="preserve">SHERANOV SHERZOD ZULFAROVICH</t>
        </is>
      </c>
      <c r="F179" s="102" t="inlineStr">
        <is>
          <t xml:space="preserve">94-922-86-60  SMS O'ZI, 91-943-85-05 SMS O’ZI 2, 94-922-86-60 SMS  UY, 93-304-52-56 SMS  OTASI,</t>
        </is>
      </c>
      <c r="G179" s="102" t="inlineStr">
        <is>
          <t xml:space="preserve">JIZZAX VILOYATI ZARBDOR TUMANI DO’STLIK SHAXARCHASI SHODLIK MFY ISTIQBOL KUCHASI 43-UY </t>
        </is>
      </c>
      <c r="H179" s="103">
        <v>13.0</v>
      </c>
      <c r="I179" s="103">
        <v>1356589.76</v>
      </c>
      <c r="K179" s="102" t="inlineStr">
        <is>
          <t xml:space="preserve">Uyiga borildi - va'da berdi | yorqin tema</t>
        </is>
      </c>
    </row>
    <row r="180">
      <c r="A180" s="102" t="inlineStr">
        <is>
          <t xml:space="preserve">ЖИЗЗАХ ВИЛОЯТИ</t>
        </is>
      </c>
      <c r="C180" s="102" t="inlineStr">
        <is>
          <t xml:space="preserve">Недозвон</t>
        </is>
      </c>
      <c r="D180" s="102" t="inlineStr">
        <is>
          <t xml:space="preserve">Кр-99041781-2</t>
        </is>
      </c>
      <c r="E180" s="102" t="inlineStr">
        <is>
          <t xml:space="preserve">NORYIGITOV SAMANDAR O’TKIR O’G’LI</t>
        </is>
      </c>
      <c r="F180" s="102" t="inlineStr">
        <is>
          <t xml:space="preserve">+998997654666 SMS, 998973271427 SMS, 998990654666 SMS,</t>
        </is>
      </c>
      <c r="G180" s="102" t="inlineStr">
        <is>
          <t xml:space="preserve">JIZZAX VILOYATI YANGIOBOD TUMANI BALANDCHAQIR MFY MUSTAQILLIK SHOX KUCHASI 159-UY</t>
        </is>
      </c>
      <c r="H180" s="103">
        <v>8.0</v>
      </c>
      <c r="I180" s="103">
        <v>1337496.84</v>
      </c>
      <c r="K180" s="102" t="inlineStr">
        <is>
          <t xml:space="preserve">Telefon ko'tarmadi</t>
        </is>
      </c>
    </row>
    <row r="181">
      <c r="A181" s="102" t="inlineStr">
        <is>
          <t xml:space="preserve">ЖИЗЗАХ ВИЛОЯТИ</t>
        </is>
      </c>
      <c r="C181" s="102" t="inlineStr">
        <is>
          <t xml:space="preserve">Недозвон</t>
        </is>
      </c>
      <c r="D181" s="102" t="inlineStr">
        <is>
          <t xml:space="preserve">Кр-99052995-1</t>
        </is>
      </c>
      <c r="E181" s="102" t="inlineStr">
        <is>
          <t xml:space="preserve">JUMANOVA SHAYDO JONIQUL QIZI</t>
        </is>
      </c>
      <c r="F181" s="102" t="inlineStr">
        <is>
          <t xml:space="preserve">998505100392 SMS ERI, 998933016150 SMS QAYNIONASI,</t>
        </is>
      </c>
      <c r="G181" s="102" t="inlineStr">
        <is>
          <t xml:space="preserve">JIZZAX VILOYATI SHAROF RASHIDOV TUMANI UMAR MAHALLASI KITOBXONLAR KUCHASI 59-UY</t>
        </is>
      </c>
      <c r="H181" s="103">
        <v>8.0</v>
      </c>
      <c r="I181" s="103">
        <v>1089859.54</v>
      </c>
      <c r="K181" s="102" t="inlineStr">
        <is>
          <t xml:space="preserve">Telefon ko'tarmadi</t>
        </is>
      </c>
    </row>
    <row r="182">
      <c r="A182" s="102" t="inlineStr">
        <is>
          <t xml:space="preserve">ЖИЗЗАХ ВИЛОЯТИ</t>
        </is>
      </c>
      <c r="C182" s="102" t="inlineStr">
        <is>
          <t xml:space="preserve">Недозвон</t>
        </is>
      </c>
      <c r="D182" s="102" t="inlineStr">
        <is>
          <t xml:space="preserve">Кр-99013395-5</t>
        </is>
      </c>
      <c r="E182" s="102" t="inlineStr">
        <is>
          <t xml:space="preserve">MUSAYEV BUNYOD KUDRATOVICH</t>
        </is>
      </c>
      <c r="F182" s="102" t="inlineStr">
        <is>
          <t xml:space="preserve">97-527-01-28  SMS OZI (нотогри мижоз), 90-539-79-79  SMS OZI, 72-222-07-98 SMS ISHHONA, 91-209-34-34 SMS UKASI,</t>
        </is>
      </c>
      <c r="G182" s="102" t="inlineStr">
        <is>
          <t xml:space="preserve">JIZZAX VILOYATI JIZZAX SHAHAR TINCHLIK MFY SHEROBOD KUCHASI 9B-UY</t>
        </is>
      </c>
      <c r="H182" s="103">
        <v>8.0</v>
      </c>
      <c r="I182" s="103">
        <v>639758.78</v>
      </c>
      <c r="K182" s="102" t="inlineStr">
        <is>
          <t xml:space="preserve">XOLDAROV BAXTIYOR ALIM O’G’LI</t>
        </is>
      </c>
    </row>
    <row r="183">
      <c r="A183" s="102" t="inlineStr">
        <is>
          <t xml:space="preserve">ЖИЗЗАХ ВИЛОЯТИ</t>
        </is>
      </c>
      <c r="C183" s="102" t="inlineStr">
        <is>
          <t xml:space="preserve">Недозвон</t>
        </is>
      </c>
      <c r="D183" s="102" t="inlineStr">
        <is>
          <t xml:space="preserve">Кр-99009799-7</t>
        </is>
      </c>
      <c r="E183" s="102" t="inlineStr">
        <is>
          <t xml:space="preserve">ORTIQBOYEV SHAROF BAXRIDDIN O’G’LI</t>
        </is>
      </c>
      <c r="F183" s="102" t="inlineStr">
        <is>
          <t xml:space="preserve">99-054-66-66 SMS UZI, 99-600-55-88 SMS ONASI begana , 99-054-66-66 SMS , 99-243-45-40 SMS AKASI begona, 998990526339 SMS SHAROF O’ZI,</t>
        </is>
      </c>
      <c r="G183" s="102" t="inlineStr">
        <is>
          <t xml:space="preserve">JIZZAX VILOYATI ZOMIN TUMANI BESHKUBI QFY BESHKUBI QISHLOG’I 7-UY</t>
        </is>
      </c>
      <c r="H183" s="103">
        <v>13.0</v>
      </c>
      <c r="I183" s="103">
        <v>518822.05</v>
      </c>
      <c r="K183" s="102" t="inlineStr">
        <is>
          <t xml:space="preserve">Telefon ko'tarmadi</t>
        </is>
      </c>
    </row>
    <row r="184">
      <c r="A184" s="102" t="inlineStr">
        <is>
          <t xml:space="preserve">ЖИЗЗАХ ВИЛОЯТИ</t>
        </is>
      </c>
      <c r="C184" s="102" t="inlineStr">
        <is>
          <t xml:space="preserve">Недозвон</t>
        </is>
      </c>
      <c r="D184" s="102" t="inlineStr">
        <is>
          <t xml:space="preserve">Кр-99040853-1</t>
        </is>
      </c>
      <c r="E184" s="102" t="inlineStr">
        <is>
          <t xml:space="preserve">USMANOV AZIZBEK MIRZABEK O’G’LI</t>
        </is>
      </c>
      <c r="F184" s="102" t="inlineStr">
        <is>
          <t xml:space="preserve">+998885222554 SMS OZI, 998880940530 SMS AYOLI, 998936250078 SMS tulovchi,</t>
        </is>
      </c>
      <c r="G184" s="102" t="inlineStr">
        <is>
          <t xml:space="preserve">Шодлик МФЙ, Кудук қишлоғи, 17/А-уй</t>
        </is>
      </c>
      <c r="H184" s="103">
        <v>8.0</v>
      </c>
      <c r="I184" s="103">
        <v>179205.01</v>
      </c>
      <c r="K184" s="102" t="inlineStr">
        <is>
          <t xml:space="preserve">Telefon ko'tarmadi</t>
        </is>
      </c>
    </row>
    <row r="185">
      <c r="A185" s="102" t="inlineStr">
        <is>
          <t xml:space="preserve">ЖИЗЗАХ ВИЛОЯТИ</t>
        </is>
      </c>
      <c r="C185" s="102" t="inlineStr">
        <is>
          <t xml:space="preserve">Недозвон</t>
        </is>
      </c>
      <c r="D185" s="102" t="inlineStr">
        <is>
          <t xml:space="preserve">Кр-99031648-2</t>
        </is>
      </c>
      <c r="E185" s="102" t="inlineStr">
        <is>
          <t xml:space="preserve">ABDULLAYEV JAVLONBEK ABDUMO’MIN O’G’LI</t>
        </is>
      </c>
      <c r="F185" s="102" t="inlineStr">
        <is>
          <t xml:space="preserve">998990935493 SMS O’ZI, 998904995493 SMS AYOLI, 998991232675 SMS ONASI, 998915904820 SMS TOLOVCHI DADASI,</t>
        </is>
      </c>
      <c r="G185" s="102" t="inlineStr">
        <is>
          <t xml:space="preserve">JIZZAX VILOYATI ZOMIN TUMANI BUNYODKOR MFY DO’STOBOD KUCHASI 25-UY </t>
        </is>
      </c>
      <c r="H185" s="103">
        <v>13.0</v>
      </c>
      <c r="I185" s="103">
        <v>84159.19</v>
      </c>
      <c r="K185" s="102" t="inlineStr">
        <is>
          <t xml:space="preserve">Telefon ko'tarmadi</t>
        </is>
      </c>
    </row>
    <row r="186">
      <c r="A186" s="104" t="inlineStr">
        <is>
          <t xml:space="preserve">КАШКАДАРЁ ВИЛОЯТИ</t>
        </is>
      </c>
      <c r="C186" s="104" t="inlineStr">
        <is>
          <t xml:space="preserve">Недозвон</t>
        </is>
      </c>
      <c r="D186" s="104" t="inlineStr">
        <is>
          <t xml:space="preserve">Кр-99040472-1</t>
        </is>
      </c>
      <c r="E186" s="104" t="inlineStr">
        <is>
          <t xml:space="preserve">SHAXAROVA SHAXRIZODA FARXOD QIZI</t>
        </is>
      </c>
      <c r="F186" s="104" t="inlineStr">
        <is>
          <t xml:space="preserve">998886727122 SMS OZI BEGONA, 998970809786 SMS AKASI, 998995850151 SMS OZI , 998945228482 SMS ZALOGADATEL , 998912120151 SMS NEW UZI ,</t>
        </is>
      </c>
      <c r="G186" s="104" t="inlineStr">
        <is>
          <t xml:space="preserve">ЧУМИЧЛИ МФЙ, ЧУМИЧЛИ КИШЛОГИ,  uy:Р/С</t>
        </is>
      </c>
      <c r="H186" s="105">
        <v>181.0</v>
      </c>
      <c r="I186" s="105">
        <v>42537373.89</v>
      </c>
    </row>
    <row r="187">
      <c r="A187" s="104" t="inlineStr">
        <is>
          <t xml:space="preserve">КАШКАДАРЁ ВИЛОЯТИ</t>
        </is>
      </c>
      <c r="C187" s="104" t="inlineStr">
        <is>
          <t xml:space="preserve">Недозвон</t>
        </is>
      </c>
      <c r="D187" s="104" t="inlineStr">
        <is>
          <t xml:space="preserve">Кр-99040100-1</t>
        </is>
      </c>
      <c r="E187" s="104" t="inlineStr">
        <is>
          <t xml:space="preserve">KUDRATOV SANJAR DJURAYEVICH </t>
        </is>
      </c>
      <c r="F187" s="104" t="inlineStr">
        <is>
          <t xml:space="preserve">998880634212 SMS OZI, 998970700407 SMS OILASI  (BEGONA), 998972000300 SMS UKASI, 998996750200 SMS AKASI, 998972000300 uzi,</t>
        </is>
      </c>
      <c r="G187" s="104" t="inlineStr">
        <is>
          <t xml:space="preserve">QASHQADARYO VILOYATI QARSHI TUMANI TINCHLIK MFY, PARMITON QISHLOG’I 33-UY</t>
        </is>
      </c>
      <c r="H187" s="105">
        <v>11.0</v>
      </c>
      <c r="I187" s="105">
        <v>10058601.44</v>
      </c>
    </row>
    <row r="188">
      <c r="A188" s="104" t="inlineStr">
        <is>
          <t xml:space="preserve">КАШКАДАРЁ ВИЛОЯТИ</t>
        </is>
      </c>
      <c r="C188" s="104" t="inlineStr">
        <is>
          <t xml:space="preserve">Недозвон</t>
        </is>
      </c>
      <c r="D188" s="104" t="inlineStr">
        <is>
          <t xml:space="preserve">Кр-99038157-1</t>
        </is>
      </c>
      <c r="E188" s="104" t="inlineStr">
        <is>
          <t xml:space="preserve">JUMAYEV ERNAZAR IBRAGIMOVICH</t>
        </is>
      </c>
      <c r="F188" s="104" t="inlineStr">
        <is>
          <t xml:space="preserve">998973170009 SMS OZI  BEGONA, 998972259900 SMS UKASI, 998882209990 SMS OTASI, 998973109990 SMS AKASI   UZIII,</t>
        </is>
      </c>
      <c r="G188" s="104" t="inlineStr">
        <is>
          <t xml:space="preserve">QASHQADARYO VILOYATI MUBORAK TUMANI ISTIQLOL MFY NEFTCHILAR KUCHASI 1-32 UY</t>
        </is>
      </c>
      <c r="H188" s="105">
        <v>1.0</v>
      </c>
      <c r="I188" s="105">
        <v>7515687.1</v>
      </c>
    </row>
    <row r="189">
      <c r="A189" s="104" t="inlineStr">
        <is>
          <t xml:space="preserve">КАШКАДАРЁ ВИЛОЯТИ</t>
        </is>
      </c>
      <c r="C189" s="104" t="inlineStr">
        <is>
          <t xml:space="preserve">Недозвон</t>
        </is>
      </c>
      <c r="D189" s="104" t="inlineStr">
        <is>
          <t xml:space="preserve">Кр-99039828-1</t>
        </is>
      </c>
      <c r="E189" s="104" t="inlineStr">
        <is>
          <t xml:space="preserve">BEGIMOV OBIDJON O’DILOVICH</t>
        </is>
      </c>
      <c r="F189" s="104" t="inlineStr">
        <is>
          <t xml:space="preserve">998946151222 SMS OZI, 998887592404 SMS TOLOVCHI, 998959612802 SMS DADASI, 998977552404 SMS ONASI,</t>
        </is>
      </c>
      <c r="G189" s="104" t="inlineStr">
        <is>
          <t xml:space="preserve">QASHQADARYO VILOYATI QARSHI TUMANI KAT MFY CHORGUMBAZ QISHLOG’I YOSHLAR KUCHASI 19-UY</t>
        </is>
      </c>
      <c r="H189" s="105">
        <v>8.0</v>
      </c>
      <c r="I189" s="105">
        <v>6946986.39</v>
      </c>
    </row>
    <row r="190">
      <c r="A190" s="104" t="inlineStr">
        <is>
          <t xml:space="preserve">КАШКАДАРЁ ВИЛОЯТИ</t>
        </is>
      </c>
      <c r="C190" s="104" t="inlineStr">
        <is>
          <t xml:space="preserve">Недозвон</t>
        </is>
      </c>
      <c r="D190" s="104" t="inlineStr">
        <is>
          <t xml:space="preserve">Кр-99039293-1</t>
        </is>
      </c>
      <c r="E190" s="104" t="inlineStr">
        <is>
          <t xml:space="preserve">NORBUTAYEVA YULDUZXON BAXTIYAROVNA</t>
        </is>
      </c>
      <c r="F190" s="104" t="inlineStr">
        <is>
          <t xml:space="preserve">998973137733 SMS OZI, 998908668282 SMS OZI, 998993308084 SMS OILASI,</t>
        </is>
      </c>
      <c r="G190" s="104" t="inlineStr">
        <is>
          <t xml:space="preserve">QASHQADARYO VILOYATI QAMASHI TUMANI ZAFAR MFY IFTIXOR KO’CHASI 1/1-UY 21-XONADON</t>
        </is>
      </c>
      <c r="H190" s="105">
        <v>8.0</v>
      </c>
      <c r="I190" s="105">
        <v>5285333.32</v>
      </c>
    </row>
    <row r="191">
      <c r="A191" s="104" t="inlineStr">
        <is>
          <t xml:space="preserve">КАШКАДАРЁ ВИЛОЯТИ</t>
        </is>
      </c>
      <c r="C191" s="104" t="inlineStr">
        <is>
          <t xml:space="preserve">Недозвон</t>
        </is>
      </c>
      <c r="D191" s="104" t="inlineStr">
        <is>
          <t xml:space="preserve">Кр-99040420-1</t>
        </is>
      </c>
      <c r="E191" s="104" t="inlineStr">
        <is>
          <t xml:space="preserve">ESHBO’RIYEV BOYMIRZA FARMON O’G’LI</t>
        </is>
      </c>
      <c r="F191" s="104" t="inlineStr">
        <is>
          <t xml:space="preserve">998972221232 SMS OZI, 998990218033 SMS AKASI  UZIIII, 998972966323 SMS OSHNASI,</t>
        </is>
      </c>
      <c r="G191" s="104" t="inlineStr">
        <is>
          <t xml:space="preserve">QASHQADARYO VILOYATI QARSHI TUMANI MUSTAQILLIK MFY KAMOLOT KO’CHASI 34-UY</t>
        </is>
      </c>
      <c r="H191" s="105">
        <v>8.0</v>
      </c>
      <c r="I191" s="105">
        <v>5099964.27</v>
      </c>
    </row>
    <row r="192">
      <c r="A192" s="104" t="inlineStr">
        <is>
          <t xml:space="preserve">КАШКАДАРЁ ВИЛОЯТИ</t>
        </is>
      </c>
      <c r="C192" s="104" t="inlineStr">
        <is>
          <t xml:space="preserve">Недозвон</t>
        </is>
      </c>
      <c r="D192" s="104" t="inlineStr">
        <is>
          <t xml:space="preserve">Кр-99039701-1</t>
        </is>
      </c>
      <c r="E192" s="104" t="inlineStr">
        <is>
          <t xml:space="preserve">AXMADOV RAXMATJON ISKANDAR O’G’LI</t>
        </is>
      </c>
      <c r="F192" s="104" t="inlineStr">
        <is>
          <t xml:space="preserve">999886758088 SMS OZI, 998973140057 SMS AKASI, 998973160057 SMS AKASI 2, 998886788088 SMS UZI NEW  TO'LOVCHI , 998992130365 SMS AKASI Shahriyor,</t>
        </is>
      </c>
      <c r="G192" s="104" t="inlineStr">
        <is>
          <t xml:space="preserve">QASHQADARYO VILOYATI MIRISHKOR TUMANI GULISTON MFY XAMZA KUCHASI 34-UY</t>
        </is>
      </c>
      <c r="H192" s="105">
        <v>8.0</v>
      </c>
      <c r="I192" s="105">
        <v>5079894.66</v>
      </c>
    </row>
    <row r="193">
      <c r="A193" s="104" t="inlineStr">
        <is>
          <t xml:space="preserve">КАШКАДАРЁ ВИЛОЯТИ</t>
        </is>
      </c>
      <c r="C193" s="104" t="inlineStr">
        <is>
          <t xml:space="preserve">Недозвон</t>
        </is>
      </c>
      <c r="D193" s="104" t="inlineStr">
        <is>
          <t xml:space="preserve">Кр-99037316-1</t>
        </is>
      </c>
      <c r="E193" s="104" t="inlineStr">
        <is>
          <t xml:space="preserve">XAMROYEVA DILRABO KUYLIYEVNA</t>
        </is>
      </c>
      <c r="F193" s="104" t="inlineStr">
        <is>
          <t xml:space="preserve">998908819972 SMS OZI, 998906606361 SMS ONASI BEGONA QIZCHA, 998906851166 SMS OTASI, 998906831166 SMS AKASI (UZIII),</t>
        </is>
      </c>
      <c r="G193" s="104" t="inlineStr">
        <is>
          <t xml:space="preserve">QASHQADARYO VILOYATI QARSHI TUMANI NAVRUZ MFY BOBUR KUCHASI 16-UY</t>
        </is>
      </c>
      <c r="H193" s="105">
        <v>5.0</v>
      </c>
      <c r="I193" s="105">
        <v>4162035.37</v>
      </c>
    </row>
    <row r="194">
      <c r="A194" s="104" t="inlineStr">
        <is>
          <t xml:space="preserve">КАШКАДАРЁ ВИЛОЯТИ</t>
        </is>
      </c>
      <c r="C194" s="104" t="inlineStr">
        <is>
          <t xml:space="preserve">Недозвон</t>
        </is>
      </c>
      <c r="D194" s="104" t="inlineStr">
        <is>
          <t xml:space="preserve">Кр-99037284-1</t>
        </is>
      </c>
      <c r="E194" s="104" t="inlineStr">
        <is>
          <t xml:space="preserve">XUDOYBERDIYEV SOBIRJON SODIQ O‘G‘LI</t>
        </is>
      </c>
      <c r="F194" s="104" t="inlineStr">
        <is>
          <t xml:space="preserve">998977999498 SMS OZI бегона бич , 998912257806 SMS UKASI, 998906788694 SMS OILASI, 998914585278 SMS AKASI, +998914585278 Primary phone from road24,</t>
        </is>
      </c>
      <c r="G194" s="104" t="inlineStr">
        <is>
          <t xml:space="preserve">Кашкадарьинская область, Шахрисабзский район, Мироқи МФЙ, ул. Х Шукуров, дом 39</t>
        </is>
      </c>
      <c r="H194" s="105">
        <v>6.0</v>
      </c>
      <c r="I194" s="105">
        <v>3536650.49</v>
      </c>
    </row>
    <row r="195">
      <c r="A195" s="104" t="inlineStr">
        <is>
          <t xml:space="preserve">КАШКАДАРЁ ВИЛОЯТИ</t>
        </is>
      </c>
      <c r="C195" s="104" t="inlineStr">
        <is>
          <t xml:space="preserve">Недозвон</t>
        </is>
      </c>
      <c r="D195" s="104" t="inlineStr">
        <is>
          <t xml:space="preserve">Кр-99040697-1</t>
        </is>
      </c>
      <c r="E195" s="104" t="inlineStr">
        <is>
          <t xml:space="preserve">AMONOV JONIBEK IBODOVICH</t>
        </is>
      </c>
      <c r="F195" s="104" t="inlineStr">
        <is>
          <t xml:space="preserve">998884250760 OTASI, 998919499191 AKASI, 998999432528 SMS UZI, 998933553606 SMS O'ZI TO'LOVCHI , 998987755060 SMS AMAKISI,</t>
        </is>
      </c>
      <c r="G195" s="104" t="inlineStr">
        <is>
          <t xml:space="preserve">АРАБХОНА МФЙ, Б.НАКШБАНДИЙ КЎЧАСИ,  uy:Р/С</t>
        </is>
      </c>
      <c r="H195" s="105">
        <v>8.0</v>
      </c>
      <c r="I195" s="105">
        <v>3350497.65</v>
      </c>
    </row>
    <row r="196">
      <c r="A196" s="104" t="inlineStr">
        <is>
          <t xml:space="preserve">КАШКАДАРЁ ВИЛОЯТИ</t>
        </is>
      </c>
      <c r="C196" s="104" t="inlineStr">
        <is>
          <t xml:space="preserve">Недозвон</t>
        </is>
      </c>
      <c r="D196" s="104" t="inlineStr">
        <is>
          <t xml:space="preserve">Кр-99037441-4</t>
        </is>
      </c>
      <c r="E196" s="104" t="inlineStr">
        <is>
          <t xml:space="preserve">KOSIMOV ABROR ABDISALOMOVICH</t>
        </is>
      </c>
      <c r="F196" s="104" t="inlineStr">
        <is>
          <t xml:space="preserve">998887417117 SMS OZI, 998905175558 SMS AKASI  BEGONA, 998941729897 SMS JURASI,</t>
        </is>
      </c>
      <c r="G196" s="104" t="inlineStr">
        <is>
          <t xml:space="preserve">QASHQADARYO VILOYATI G’UZOR TUMANI TINCHLIK MFY YANGI TONG KO’CHASI 765-UY</t>
        </is>
      </c>
      <c r="H196" s="105">
        <v>8.0</v>
      </c>
      <c r="I196" s="105">
        <v>3298891.14</v>
      </c>
    </row>
    <row r="197">
      <c r="A197" s="104" t="inlineStr">
        <is>
          <t xml:space="preserve">КАШКАДАРЁ ВИЛОЯТИ</t>
        </is>
      </c>
      <c r="C197" s="104" t="inlineStr">
        <is>
          <t xml:space="preserve">Недозвон</t>
        </is>
      </c>
      <c r="D197" s="104" t="inlineStr">
        <is>
          <t xml:space="preserve">Кр-99037888-1</t>
        </is>
      </c>
      <c r="E197" s="104" t="inlineStr">
        <is>
          <t xml:space="preserve">BOLTAYEVA ZUHRA AHMAD QIZI</t>
        </is>
      </c>
      <c r="F197" s="104" t="inlineStr">
        <is>
          <t xml:space="preserve">998945290771 SMS OZI, 998914576968 SMS SINGLISI BEGONA, 998932700506 SMS OPASI, 998944590080 SMS AKASI  UZIII,</t>
        </is>
      </c>
      <c r="G197" s="104" t="inlineStr">
        <is>
          <t xml:space="preserve">QASHQADARYO VILOYATI MUBORAK TUMANI YOSHLIK MFY MR-N 2, 1/2 DOM 29 KVARTIRA</t>
        </is>
      </c>
      <c r="H197" s="105">
        <v>7.0</v>
      </c>
      <c r="I197" s="105">
        <v>3146847.5</v>
      </c>
    </row>
    <row r="198">
      <c r="A198" s="104" t="inlineStr">
        <is>
          <t xml:space="preserve">КАШКАДАРЁ ВИЛОЯТИ</t>
        </is>
      </c>
      <c r="C198" s="104" t="inlineStr">
        <is>
          <t xml:space="preserve">Недозвон</t>
        </is>
      </c>
      <c r="D198" s="104" t="inlineStr">
        <is>
          <t xml:space="preserve">Кр-99040757-2</t>
        </is>
      </c>
      <c r="E198" s="104" t="inlineStr">
        <is>
          <t xml:space="preserve">QAHHOROV ZIYODULLO SOXIB O’G’LI</t>
        </is>
      </c>
      <c r="F198" s="104" t="inlineStr">
        <is>
          <t xml:space="preserve">998888020002 UZII, 998973060200 oilasi, 998983020602 ukasi BEGONA,</t>
        </is>
      </c>
      <c r="G198" s="104" t="inlineStr">
        <is>
          <t xml:space="preserve">Кашкадарьинская область, Шахрисабзский район, Шаматон МФЙ, киш. Танипар, дом 674</t>
        </is>
      </c>
      <c r="H198" s="105">
        <v>8.0</v>
      </c>
      <c r="I198" s="105">
        <v>2809646.66</v>
      </c>
    </row>
    <row r="199">
      <c r="A199" s="104" t="inlineStr">
        <is>
          <t xml:space="preserve">КАШКАДАРЁ ВИЛОЯТИ</t>
        </is>
      </c>
      <c r="C199" s="104" t="inlineStr">
        <is>
          <t xml:space="preserve">Недозвон</t>
        </is>
      </c>
      <c r="D199" s="104" t="inlineStr">
        <is>
          <t xml:space="preserve">Кр-99038371-3</t>
        </is>
      </c>
      <c r="E199" s="104" t="inlineStr">
        <is>
          <t xml:space="preserve">NAMOZOVA SOHIBA SAYFULLAYEVNA</t>
        </is>
      </c>
      <c r="F199" s="104" t="inlineStr">
        <is>
          <t xml:space="preserve">998889498189 SMS OZI, 998767391002 SMS OZI 2, 998888029100 SMS AYOLI,</t>
        </is>
      </c>
      <c r="G199" s="104" t="inlineStr">
        <is>
          <t xml:space="preserve">QASHQADARYO VILOYATI KOSON TUMANI BOYGUNDI MFY BOYGUNDI QISHLOGI</t>
        </is>
      </c>
      <c r="H199" s="105">
        <v>8.0</v>
      </c>
      <c r="I199" s="105">
        <v>2753667.59</v>
      </c>
    </row>
    <row r="200">
      <c r="A200" s="104" t="inlineStr">
        <is>
          <t xml:space="preserve">КАШКАДАРЁ ВИЛОЯТИ</t>
        </is>
      </c>
      <c r="C200" s="104" t="inlineStr">
        <is>
          <t xml:space="preserve">Недозвон</t>
        </is>
      </c>
      <c r="D200" s="104" t="inlineStr">
        <is>
          <t xml:space="preserve">Кр-99040626-1</t>
        </is>
      </c>
      <c r="E200" s="104" t="inlineStr">
        <is>
          <t xml:space="preserve">TILOVOVA NAFISA TOSHPULATOVNA</t>
        </is>
      </c>
      <c r="F200" s="104" t="inlineStr">
        <is>
          <t xml:space="preserve">998942956565 SMS OZI, 998944487071 SMS ONASI, 998500768225 ERIII, 998931242500 SMS AKASI,</t>
        </is>
      </c>
      <c r="G200" s="104" t="inlineStr">
        <is>
          <t xml:space="preserve">QASHQADARYO VILOYATI DEHQONOBOD TUMANI O’ZBEKISTON MFY MUNAVVAR KO’CHASI 3-UY</t>
        </is>
      </c>
      <c r="H200" s="105">
        <v>8.0</v>
      </c>
      <c r="I200" s="105">
        <v>2571971.07</v>
      </c>
    </row>
    <row r="201">
      <c r="A201" s="104" t="inlineStr">
        <is>
          <t xml:space="preserve">КАШКАДАРЁ ВИЛОЯТИ</t>
        </is>
      </c>
      <c r="C201" s="104" t="inlineStr">
        <is>
          <t xml:space="preserve">Недозвон</t>
        </is>
      </c>
      <c r="D201" s="104" t="inlineStr">
        <is>
          <t xml:space="preserve">Кр-99041095-1</t>
        </is>
      </c>
      <c r="E201" s="104" t="inlineStr">
        <is>
          <t xml:space="preserve">DJABBAROV NA’MAT MUSTAFAYEVICH</t>
        </is>
      </c>
      <c r="F201" s="104" t="inlineStr">
        <is>
          <t xml:space="preserve">+998973142870 OZI, 998952339919 UYI, 998973129919 O’G’LI TO'LOVCHI,</t>
        </is>
      </c>
      <c r="G201" s="104" t="inlineStr">
        <is>
          <t xml:space="preserve">КАШКАДАРЁ ВИЛОЯТИ КАРШИ ТУМАНИ УЗУМЗОР МФЙ, ЛАГМОН  ҚИШЛОҒИ,  uy:77</t>
        </is>
      </c>
      <c r="H201" s="105">
        <v>8.0</v>
      </c>
      <c r="I201" s="105">
        <v>2494739.14</v>
      </c>
    </row>
    <row r="202">
      <c r="A202" s="104" t="inlineStr">
        <is>
          <t xml:space="preserve">КАШКАДАРЁ ВИЛОЯТИ</t>
        </is>
      </c>
      <c r="C202" s="104" t="inlineStr">
        <is>
          <t xml:space="preserve">Недозвон</t>
        </is>
      </c>
      <c r="D202" s="104" t="inlineStr">
        <is>
          <t xml:space="preserve">Кр-99039413-1</t>
        </is>
      </c>
      <c r="E202" s="104" t="inlineStr">
        <is>
          <t xml:space="preserve">NISHONOV TOLIB TULQIN O’G’LI</t>
        </is>
      </c>
      <c r="F202" s="104" t="inlineStr">
        <is>
          <t xml:space="preserve">+998997471226 SMS O’ZI, 998954999304 SMS UKASI BEGONA, 998990992021 SMS AMAKSI,</t>
        </is>
      </c>
      <c r="G202" s="104" t="inlineStr">
        <is>
          <t xml:space="preserve">Кашкадарьинская область, Чиракчинский район, Янгиқишлоқ МСГ, Ургулсой, дом 113</t>
        </is>
      </c>
      <c r="H202" s="105">
        <v>7.0</v>
      </c>
      <c r="I202" s="105">
        <v>2324086.98</v>
      </c>
    </row>
    <row r="203">
      <c r="A203" s="104" t="inlineStr">
        <is>
          <t xml:space="preserve">КАШКАДАРЁ ВИЛОЯТИ</t>
        </is>
      </c>
      <c r="C203" s="104" t="inlineStr">
        <is>
          <t xml:space="preserve">Недозвон</t>
        </is>
      </c>
      <c r="D203" s="104" t="inlineStr">
        <is>
          <t xml:space="preserve">Кр-99041170-1</t>
        </is>
      </c>
      <c r="E203" s="104" t="inlineStr">
        <is>
          <t xml:space="preserve">BURIYEV SHOXRUX SHAXRIDDIN O’G’LI</t>
        </is>
      </c>
      <c r="F203" s="104" t="inlineStr">
        <is>
          <t xml:space="preserve">998943819598 uzi OPASIII BEGONA, 998888414181 ayoli, 998990425666 dadasi, 998883334181 UZI NEWW,</t>
        </is>
      </c>
      <c r="G203" s="104" t="inlineStr">
        <is>
          <t xml:space="preserve">CHIROQCHI TUMANI</t>
        </is>
      </c>
      <c r="H203" s="105">
        <v>8.0</v>
      </c>
      <c r="I203" s="105">
        <v>2185069.54</v>
      </c>
    </row>
    <row r="204">
      <c r="A204" s="104" t="inlineStr">
        <is>
          <t xml:space="preserve">КАШКАДАРЁ ВИЛОЯТИ</t>
        </is>
      </c>
      <c r="C204" s="104" t="inlineStr">
        <is>
          <t xml:space="preserve">Недозвон</t>
        </is>
      </c>
      <c r="D204" s="104" t="inlineStr">
        <is>
          <t xml:space="preserve">Кр-99038002-1</t>
        </is>
      </c>
      <c r="E204" s="104" t="inlineStr">
        <is>
          <t xml:space="preserve">BOYMAXMADOV BAXTOVAR DADAJONZODA</t>
        </is>
      </c>
      <c r="F204" s="104" t="inlineStr">
        <is>
          <t xml:space="preserve">998912155553 SMS OZI, 998906760702 SMS DOSTI, 998904435652 SMS DOSTI, 998913200065 SMS UKASI, +998912155553 Primary phone from road24,</t>
        </is>
      </c>
      <c r="G204" s="104" t="inlineStr">
        <is>
          <t xml:space="preserve">КУЙИОКБОЙ КФЙ, ДЕНОВ,  uy:Р/З</t>
        </is>
      </c>
      <c r="H204" s="105">
        <v>8.0</v>
      </c>
      <c r="I204" s="105">
        <v>1987511.41</v>
      </c>
    </row>
    <row r="205">
      <c r="A205" s="104" t="inlineStr">
        <is>
          <t xml:space="preserve">КАШКАДАРЁ ВИЛОЯТИ</t>
        </is>
      </c>
      <c r="C205" s="104" t="inlineStr">
        <is>
          <t xml:space="preserve">Недозвон</t>
        </is>
      </c>
      <c r="D205" s="104" t="inlineStr">
        <is>
          <t xml:space="preserve">Кр-99037290-1</t>
        </is>
      </c>
      <c r="E205" s="104" t="inlineStr">
        <is>
          <t xml:space="preserve">NORMATOVA BAXTIGUL NORMUROT QIZI</t>
        </is>
      </c>
      <c r="F205" s="104" t="inlineStr">
        <is>
          <t xml:space="preserve">998943081585 SMS OZI (BEGONAAA), 998936972014 SMS OPASI (BEGONAAA), 998938732395 SMS OILASI, 998501002395 TULOVCHI NEWW,</t>
        </is>
      </c>
      <c r="G205" s="104" t="inlineStr">
        <is>
          <t xml:space="preserve">QASHQADARYO VILOYATI QAMASHI TUMANI ISTIQBOL MFY DUNG QISHLOG’I</t>
        </is>
      </c>
      <c r="H205" s="105">
        <v>6.0</v>
      </c>
      <c r="I205" s="105">
        <v>1885086.87</v>
      </c>
    </row>
    <row r="206">
      <c r="A206" s="104" t="inlineStr">
        <is>
          <t xml:space="preserve">КАШКАДАРЁ ВИЛОЯТИ</t>
        </is>
      </c>
      <c r="C206" s="104" t="inlineStr">
        <is>
          <t xml:space="preserve">Недозвон</t>
        </is>
      </c>
      <c r="D206" s="104" t="inlineStr">
        <is>
          <t xml:space="preserve">Кр-99040142-1</t>
        </is>
      </c>
      <c r="E206" s="104" t="inlineStr">
        <is>
          <t xml:space="preserve">BARATOV ESHMAMAT G’AYRAT O’G’LI</t>
        </is>
      </c>
      <c r="F206" s="104" t="inlineStr">
        <is>
          <t xml:space="preserve">+998939360572 SMS OZI, 998900278116 SMS ONASI, 998995114507 SMS AKASI,</t>
        </is>
      </c>
      <c r="G206" s="104" t="inlineStr">
        <is>
          <t xml:space="preserve">БАТОШ МФЙ, БАТОШ КИШЛОГИ,  uy:Р/С</t>
        </is>
      </c>
      <c r="H206" s="105">
        <v>8.0</v>
      </c>
      <c r="I206" s="105">
        <v>1874338.57</v>
      </c>
    </row>
    <row r="207">
      <c r="A207" s="104" t="inlineStr">
        <is>
          <t xml:space="preserve">КАШКАДАРЁ ВИЛОЯТИ</t>
        </is>
      </c>
      <c r="C207" s="104" t="inlineStr">
        <is>
          <t xml:space="preserve">Недозвон</t>
        </is>
      </c>
      <c r="D207" s="104" t="inlineStr">
        <is>
          <t xml:space="preserve">Кр-99038117-1</t>
        </is>
      </c>
      <c r="E207" s="104" t="inlineStr">
        <is>
          <t xml:space="preserve">ABDILLAYEV RAVUL AKMAL O’G’LI</t>
        </is>
      </c>
      <c r="F207" s="104" t="inlineStr">
        <is>
          <t xml:space="preserve">998880057378 SMS OZI, 998883121073 SMS AKASI, 998886400529 SMS DADASI, 998946427305 SMS ONASI,</t>
        </is>
      </c>
      <c r="G207" s="104" t="inlineStr">
        <is>
          <t xml:space="preserve">QASHQADARYO VILOYATI KOSON TUMANI ESABOY MFY BUYUK TURON KUCHASI 131-UY</t>
        </is>
      </c>
      <c r="H207" s="105">
        <v>1.0</v>
      </c>
      <c r="I207" s="105">
        <v>1870793.42</v>
      </c>
    </row>
    <row r="208">
      <c r="A208" s="104" t="inlineStr">
        <is>
          <t xml:space="preserve">КАШКАДАРЁ ВИЛОЯТИ</t>
        </is>
      </c>
      <c r="C208" s="104" t="inlineStr">
        <is>
          <t xml:space="preserve">Недозвон</t>
        </is>
      </c>
      <c r="D208" s="104" t="inlineStr">
        <is>
          <t xml:space="preserve">Кр-99037290-2</t>
        </is>
      </c>
      <c r="E208" s="104" t="inlineStr">
        <is>
          <t xml:space="preserve">NORMATOVA BAXTIGUL NORMUROT QIZI</t>
        </is>
      </c>
      <c r="F208" s="104" t="inlineStr">
        <is>
          <t xml:space="preserve">998943081585 SMS OZI (BEGONAAA), 998936972014 SMS OPASI (BEGONAAA), 998938732395 SMS OILASI, 998501002395 TULOVCHI NEWW,</t>
        </is>
      </c>
      <c r="G208" s="104" t="inlineStr">
        <is>
          <t xml:space="preserve">QASHQADARYO VILOYATI QAMASHI TUMANI ISTIQBOL MFY DUNG QISHLOG’I</t>
        </is>
      </c>
      <c r="H208" s="105">
        <v>6.0</v>
      </c>
      <c r="I208" s="105">
        <v>1718826.17</v>
      </c>
    </row>
    <row r="209">
      <c r="A209" s="104" t="inlineStr">
        <is>
          <t xml:space="preserve">КАШКАДАРЁ ВИЛОЯТИ</t>
        </is>
      </c>
      <c r="C209" s="104" t="inlineStr">
        <is>
          <t xml:space="preserve">Недозвон</t>
        </is>
      </c>
      <c r="D209" s="104" t="inlineStr">
        <is>
          <t xml:space="preserve">Кр-99037255-1</t>
        </is>
      </c>
      <c r="E209" s="104" t="inlineStr">
        <is>
          <t xml:space="preserve">SADATOV LAZIZBEK LOCHIN O‘G‘LI</t>
        </is>
      </c>
      <c r="F209" s="104" t="inlineStr">
        <is>
          <t xml:space="preserve">998938781775 SMS OZI, 998717017752 SMS OZI 2, 998887566633 SMS OGAYNISI, 998997998114 SMS OGAYNISI, +998938781775 Primary phone from road24, +998881705404 Primary phone from road24, 998881705404 Primary phone from road24,</t>
        </is>
      </c>
      <c r="G209" s="104" t="inlineStr">
        <is>
          <t xml:space="preserve">Сувлиқ МФЙ, Сувбуйи кучаси, 146-уй</t>
        </is>
      </c>
      <c r="H209" s="105">
        <v>5.0</v>
      </c>
      <c r="I209" s="105">
        <v>1684563.96</v>
      </c>
    </row>
    <row r="210">
      <c r="A210" s="104" t="inlineStr">
        <is>
          <t xml:space="preserve">КАШКАДАРЁ ВИЛОЯТИ</t>
        </is>
      </c>
      <c r="C210" s="104" t="inlineStr">
        <is>
          <t xml:space="preserve">Недозвон</t>
        </is>
      </c>
      <c r="D210" s="104" t="inlineStr">
        <is>
          <t xml:space="preserve">Кр-99038157-2</t>
        </is>
      </c>
      <c r="E210" s="104" t="inlineStr">
        <is>
          <t xml:space="preserve">JUMAYEV ERNAZAR IBRAGIMOVICH</t>
        </is>
      </c>
      <c r="F210" s="104" t="inlineStr">
        <is>
          <t xml:space="preserve">998973170009 SMS OZI  BEGONA, 998972259900 SMS UKASI, 998882209990 SMS OTASI, 998973109990 SMS AKASI   UZIII,</t>
        </is>
      </c>
      <c r="G210" s="104" t="inlineStr">
        <is>
          <t xml:space="preserve">QASHQADARYO VILOYATI MUBORAK TUMANI ISTIQLOL MFY NEFTCHILAR KUCHASI 1-32 UY</t>
        </is>
      </c>
      <c r="H210" s="105">
        <v>8.0</v>
      </c>
      <c r="I210" s="105">
        <v>1518685.37</v>
      </c>
    </row>
    <row r="211">
      <c r="A211" s="104" t="inlineStr">
        <is>
          <t xml:space="preserve">КАШКАДАРЁ ВИЛОЯТИ</t>
        </is>
      </c>
      <c r="C211" s="104" t="inlineStr">
        <is>
          <t xml:space="preserve">Недозвон</t>
        </is>
      </c>
      <c r="D211" s="104" t="inlineStr">
        <is>
          <t xml:space="preserve">Кр-99037785-1</t>
        </is>
      </c>
      <c r="E211" s="104" t="inlineStr">
        <is>
          <t xml:space="preserve">ESHBAYEV ADXAM JOVLI O’G’LI</t>
        </is>
      </c>
      <c r="F211" s="104" t="inlineStr">
        <is>
          <t xml:space="preserve">998976703494 SMS OZI, 998884860002 SMS AKASI, 998886792168 SMS UKASI, 998771091102 SMS ALISHER AKA OZIMIZI XODIM,</t>
        </is>
      </c>
      <c r="G211" s="104" t="inlineStr">
        <is>
          <t xml:space="preserve">QASHQADARYO VILOYATI NISHON TUMANI UMR BUNYODKORI MFY MUSTAQILLIK KUCHASI 20-UY</t>
        </is>
      </c>
      <c r="H211" s="105">
        <v>8.0</v>
      </c>
      <c r="I211" s="105">
        <v>1456227.22</v>
      </c>
    </row>
    <row r="212">
      <c r="A212" s="104" t="inlineStr">
        <is>
          <t xml:space="preserve">КАШКАДАРЁ ВИЛОЯТИ</t>
        </is>
      </c>
      <c r="C212" s="104" t="inlineStr">
        <is>
          <t xml:space="preserve">Недозвон</t>
        </is>
      </c>
      <c r="D212" s="104" t="inlineStr">
        <is>
          <t xml:space="preserve">Кр-99038805-1</t>
        </is>
      </c>
      <c r="E212" s="104" t="inlineStr">
        <is>
          <t xml:space="preserve">ESHQULOV ABROR AZAMATOVICH</t>
        </is>
      </c>
      <c r="F212" s="104" t="inlineStr">
        <is>
          <t xml:space="preserve">998976776676 SMS O’ZI, 998990647161 SMS AYOLI, 998972560232 SMS AKASI , 998947061030 SMS ONASI,</t>
        </is>
      </c>
      <c r="G212" s="104" t="inlineStr">
        <is>
          <t xml:space="preserve">QARSHI TUMANI</t>
        </is>
      </c>
      <c r="H212" s="105">
        <v>4.0</v>
      </c>
      <c r="I212" s="105">
        <v>1406895.64</v>
      </c>
    </row>
    <row r="213">
      <c r="A213" s="104" t="inlineStr">
        <is>
          <t xml:space="preserve">КАШКАДАРЁ ВИЛОЯТИ</t>
        </is>
      </c>
      <c r="C213" s="104" t="inlineStr">
        <is>
          <t xml:space="preserve">Недозвон</t>
        </is>
      </c>
      <c r="D213" s="104" t="inlineStr">
        <is>
          <t xml:space="preserve">Кр-99040130-2</t>
        </is>
      </c>
      <c r="E213" s="104" t="inlineStr">
        <is>
          <t xml:space="preserve">XUSAYNOVA SHOIRA SHODIYEVNA</t>
        </is>
      </c>
      <c r="F213" s="104" t="inlineStr">
        <is>
          <t xml:space="preserve">998914649348 SMS OZI, 998910720440 SMS ONASI TO'LOVCHI , 998952212310 SMS UKASI,</t>
        </is>
      </c>
      <c r="G213" s="104" t="inlineStr">
        <is>
          <t xml:space="preserve">QASHQADARYO VILOYATI QARSHI SHAHRI GEOLOG MFY GEOLOGLAR KUCHASI 11-UY 2-XONADON</t>
        </is>
      </c>
      <c r="H213" s="105">
        <v>8.0</v>
      </c>
      <c r="I213" s="105">
        <v>1364349.84</v>
      </c>
    </row>
    <row r="214">
      <c r="A214" s="104" t="inlineStr">
        <is>
          <t xml:space="preserve">КАШКАДАРЁ ВИЛОЯТИ</t>
        </is>
      </c>
      <c r="C214" s="104" t="inlineStr">
        <is>
          <t xml:space="preserve">Недозвон</t>
        </is>
      </c>
      <c r="D214" s="104" t="inlineStr">
        <is>
          <t xml:space="preserve">Кр-99039364-2</t>
        </is>
      </c>
      <c r="E214" s="104" t="inlineStr">
        <is>
          <t xml:space="preserve">AZIMOV TURG’UN TUFLIYEVICH</t>
        </is>
      </c>
      <c r="F214" s="104" t="inlineStr">
        <is>
          <t xml:space="preserve">998946868512 SMS OZI, 998786757278 SMS AYOLI, 998505792187 SMS DADSI, 998973168020 SMS ONASI,</t>
        </is>
      </c>
      <c r="G214" s="104" t="inlineStr">
        <is>
          <t xml:space="preserve">QASHQADARYO VILOYATI QAMASHI TUMANI JONBUZSOY MFY UMID NIXOLI KUCHASI 46-UY</t>
        </is>
      </c>
      <c r="H214" s="105">
        <v>8.0</v>
      </c>
      <c r="I214" s="105">
        <v>1348840.77</v>
      </c>
    </row>
    <row r="215">
      <c r="A215" s="104" t="inlineStr">
        <is>
          <t xml:space="preserve">КАШКАДАРЁ ВИЛОЯТИ</t>
        </is>
      </c>
      <c r="C215" s="104" t="inlineStr">
        <is>
          <t xml:space="preserve">Недозвон</t>
        </is>
      </c>
      <c r="D215" s="104" t="inlineStr">
        <is>
          <t xml:space="preserve">Кр-99038701-1</t>
        </is>
      </c>
      <c r="E215" s="104" t="inlineStr">
        <is>
          <t xml:space="preserve">MAMATQULOVA MAFTUNA AZAMAT QIZI</t>
        </is>
      </c>
      <c r="F215" s="104" t="inlineStr">
        <is>
          <t xml:space="preserve">998910740201 SMS OZI BEGONA, 998939024242 SMS AYOLI, 998914723980 SMS DADASI, 998918110201 SMS ONASI BEGONA,</t>
        </is>
      </c>
      <c r="G215" s="104" t="inlineStr">
        <is>
          <t xml:space="preserve">QASHQADARYO VILOYATI QARSHI SHAHAR KARLUK-BOGOT MFY AT-TERMIZIY KUCHASI 21 UY</t>
        </is>
      </c>
      <c r="H215" s="105">
        <v>6.0</v>
      </c>
      <c r="I215" s="105">
        <v>1282362.17</v>
      </c>
    </row>
    <row r="216">
      <c r="A216" s="104" t="inlineStr">
        <is>
          <t xml:space="preserve">КАШКАДАРЁ ВИЛОЯТИ</t>
        </is>
      </c>
      <c r="C216" s="104" t="inlineStr">
        <is>
          <t xml:space="preserve">Недозвон</t>
        </is>
      </c>
      <c r="D216" s="104" t="inlineStr">
        <is>
          <t xml:space="preserve">Кр-99040255-1</t>
        </is>
      </c>
      <c r="E216" s="104" t="inlineStr">
        <is>
          <t xml:space="preserve">TO’RAYEVA INTIZOR HUSAN QIZI </t>
        </is>
      </c>
      <c r="F216" s="104" t="inlineStr">
        <is>
          <t xml:space="preserve">998991985752 SMS OZI, 998976701098 SMS AYOLI, 998995078900 SMS DADASI, 998915004348 узи ,</t>
        </is>
      </c>
      <c r="G216" s="104" t="inlineStr">
        <is>
          <t xml:space="preserve">QASHQADARYO VILOYATI KASBI TUMANI MIRZO ULUG’BEK MFY BAYDOQCHI QISHLOG’I ABDULLA ORIPOV KUCHASI 5-UY </t>
        </is>
      </c>
      <c r="I216" s="105">
        <v>1156874.12</v>
      </c>
    </row>
    <row r="217">
      <c r="A217" s="104" t="inlineStr">
        <is>
          <t xml:space="preserve">КАШКАДАРЁ ВИЛОЯТИ</t>
        </is>
      </c>
      <c r="C217" s="104" t="inlineStr">
        <is>
          <t xml:space="preserve">Недозвон</t>
        </is>
      </c>
      <c r="D217" s="104" t="inlineStr">
        <is>
          <t xml:space="preserve">Кр-99038978-3</t>
        </is>
      </c>
      <c r="E217" s="104" t="inlineStr">
        <is>
          <t xml:space="preserve">ATAQULOV FERUZ JURABEK O’G’LI</t>
        </is>
      </c>
      <c r="F217" s="104" t="inlineStr">
        <is>
          <t xml:space="preserve">998953853414 SMS OZI, 998990155371 SMS AYOLI BEGONA, 998991020088 SMS UYI, 998992381515 SMS AKASI, 998880003026 SMS OZI, 998951470012 UZI,</t>
        </is>
      </c>
      <c r="G217" s="104" t="inlineStr">
        <is>
          <t xml:space="preserve">Кашкадарьинская область, г. Карши, Арабхона МФЙ, ул. Мугжагул, дом 49</t>
        </is>
      </c>
      <c r="H217" s="105">
        <v>8.0</v>
      </c>
      <c r="I217" s="105">
        <v>955756.32</v>
      </c>
    </row>
    <row r="218">
      <c r="A218" s="104" t="inlineStr">
        <is>
          <t xml:space="preserve">КАШКАДАРЁ ВИЛОЯТИ</t>
        </is>
      </c>
      <c r="C218" s="104" t="inlineStr">
        <is>
          <t xml:space="preserve">Недозвон</t>
        </is>
      </c>
      <c r="D218" s="104" t="inlineStr">
        <is>
          <t xml:space="preserve">Кр-99039600-1</t>
        </is>
      </c>
      <c r="E218" s="104" t="inlineStr">
        <is>
          <t xml:space="preserve">SAFAROV JAMSHIDBEK HASAN O’G’LI</t>
        </is>
      </c>
      <c r="F218" s="104" t="inlineStr">
        <is>
          <t xml:space="preserve">998770752671 SMS OZI, 999877859596 SMS TOLOVCHI, 998777859695 SMS TOLOVCHIN AYOLI, 998901671013 SMS UY,</t>
        </is>
      </c>
      <c r="G218" s="104" t="inlineStr">
        <is>
          <t xml:space="preserve">QASHQADARYO VILOYATI QAMASHI TUMANI QOLCHIN QFY 46 UY</t>
        </is>
      </c>
      <c r="H218" s="105">
        <v>1.0</v>
      </c>
      <c r="I218" s="105">
        <v>867618.93</v>
      </c>
    </row>
    <row r="219">
      <c r="A219" s="104" t="inlineStr">
        <is>
          <t xml:space="preserve">КАШКАДАРЁ ВИЛОЯТИ</t>
        </is>
      </c>
      <c r="C219" s="104" t="inlineStr">
        <is>
          <t xml:space="preserve">Недозвон</t>
        </is>
      </c>
      <c r="D219" s="104" t="inlineStr">
        <is>
          <t xml:space="preserve">Кр-99040396-1</t>
        </is>
      </c>
      <c r="E219" s="104" t="inlineStr">
        <is>
          <t xml:space="preserve">KENJAYEV OTABEK ABDIRAXIM O’G’LI</t>
        </is>
      </c>
      <c r="F219" s="104" t="inlineStr">
        <is>
          <t xml:space="preserve">998975897577 SMS OZI (BEGONA), 998990482034 SMS UKASI, 998770612003 SMS DADASI,</t>
        </is>
      </c>
      <c r="G219" s="104" t="inlineStr">
        <is>
          <t xml:space="preserve">QASHQADARYO VILOYATI SHAXRISABZ TUMANI OQ OLTIN MFY ANDAY KUCHASI 62-UY</t>
        </is>
      </c>
      <c r="H219" s="105">
        <v>8.0</v>
      </c>
      <c r="I219" s="105">
        <v>786401.12</v>
      </c>
    </row>
    <row r="220">
      <c r="A220" s="104" t="inlineStr">
        <is>
          <t xml:space="preserve">КАШКАДАРЁ ВИЛОЯТИ</t>
        </is>
      </c>
      <c r="C220" s="104" t="inlineStr">
        <is>
          <t xml:space="preserve">Недозвон</t>
        </is>
      </c>
      <c r="D220" s="104" t="inlineStr">
        <is>
          <t xml:space="preserve">Кр-99038004-1</t>
        </is>
      </c>
      <c r="E220" s="104" t="inlineStr">
        <is>
          <t xml:space="preserve">RAXMONOVA NILUFAR RAXMIDDIN QIZI</t>
        </is>
      </c>
      <c r="F220" s="104" t="inlineStr">
        <is>
          <t xml:space="preserve">998889543030 SMS OZI, 998882070694 SMS OILASI, 998979537171 SMS AKASI, 998991689400 SMS AKASI, 998974380089 SMS TO'LOVCHI,</t>
        </is>
      </c>
      <c r="G220" s="104" t="inlineStr">
        <is>
          <t xml:space="preserve">КАШКАДАРЁ ВИЛОЯТИ КОСОН ТУМАНИ Эсабой МФЙ Эсабой кучаси 31-уй</t>
        </is>
      </c>
      <c r="H220" s="105">
        <v>8.0</v>
      </c>
      <c r="I220" s="105">
        <v>775862.88</v>
      </c>
    </row>
    <row r="221">
      <c r="A221" s="104" t="inlineStr">
        <is>
          <t xml:space="preserve">КАШКАДАРЁ ВИЛОЯТИ</t>
        </is>
      </c>
      <c r="C221" s="104" t="inlineStr">
        <is>
          <t xml:space="preserve">Недозвон</t>
        </is>
      </c>
      <c r="D221" s="104" t="inlineStr">
        <is>
          <t xml:space="preserve">Кр-99047460-2</t>
        </is>
      </c>
      <c r="E221" s="104" t="inlineStr">
        <is>
          <t xml:space="preserve">ODIROVA LATOFAT JAMATOVNA</t>
        </is>
      </c>
      <c r="F221" s="104" t="inlineStr">
        <is>
          <t xml:space="preserve">+998996722080 SMS ERI, 998908780124 SMS, 998919560535 SMS,</t>
        </is>
      </c>
      <c r="G221" s="104" t="inlineStr">
        <is>
          <t xml:space="preserve">КАШКАДАРЁ ВИЛОЯТИ КОСОН ТУМАНИ ЮКСАЛИШ МФЙ ТУЛГА КУЧАСИ 3- УЙ</t>
        </is>
      </c>
      <c r="H221" s="105">
        <v>8.0</v>
      </c>
      <c r="I221" s="105">
        <v>485498.73</v>
      </c>
    </row>
    <row r="222">
      <c r="A222" s="104" t="inlineStr">
        <is>
          <t xml:space="preserve">КАШКАДАРЁ ВИЛОЯТИ</t>
        </is>
      </c>
      <c r="C222" s="104" t="inlineStr">
        <is>
          <t xml:space="preserve">Недозвон</t>
        </is>
      </c>
      <c r="D222" s="104" t="inlineStr">
        <is>
          <t xml:space="preserve">Кр-99040703-2</t>
        </is>
      </c>
      <c r="E222" s="104" t="inlineStr">
        <is>
          <t xml:space="preserve">SHOMURODOV BEKMUROD SHERQULOVICH</t>
        </is>
      </c>
      <c r="F222" s="104" t="inlineStr">
        <is>
          <t xml:space="preserve">+998934213611 sms uzi , 998333993611 sms ogli, 998773004642 sms ayoli , 998996862082 sms uzi2,</t>
        </is>
      </c>
      <c r="G222" s="104" t="inlineStr">
        <is>
          <t xml:space="preserve">КАЗОКЛИ МФЙ, КАЗОКЛИ,  uy:Р/С</t>
        </is>
      </c>
      <c r="I222" s="105">
        <v>466210.86</v>
      </c>
    </row>
    <row r="223">
      <c r="A223" s="104" t="inlineStr">
        <is>
          <t xml:space="preserve">КАШКАДАРЁ ВИЛОЯТИ</t>
        </is>
      </c>
      <c r="C223" s="104" t="inlineStr">
        <is>
          <t xml:space="preserve">Недозвон</t>
        </is>
      </c>
      <c r="D223" s="104" t="inlineStr">
        <is>
          <t xml:space="preserve">Кр-99037758-2</t>
        </is>
      </c>
      <c r="E223" s="104" t="inlineStr">
        <is>
          <t xml:space="preserve">QURBANOVA HURRIYAT JALILOVNA</t>
        </is>
      </c>
      <c r="F223" s="104" t="inlineStr">
        <is>
          <t xml:space="preserve">998883134545 SMS O’ZI, 998907211508 SMS ONASI, 998943380255 SMS AKASI, 998912278600 SMS SINGLISI,</t>
        </is>
      </c>
      <c r="G223" s="104" t="inlineStr">
        <is>
          <t xml:space="preserve">QASHQADARYO VILOYATI G’UZOR TUMANI QORAKO’L MFY MASH’AL SHAHARCHASI 01-UY</t>
        </is>
      </c>
      <c r="H223" s="105">
        <v>8.0</v>
      </c>
      <c r="I223" s="105">
        <v>255287.72</v>
      </c>
    </row>
    <row r="224">
      <c r="A224" s="104" t="inlineStr">
        <is>
          <t xml:space="preserve">КАШКАДАРЁ ВИЛОЯТИ</t>
        </is>
      </c>
      <c r="C224" s="104" t="inlineStr">
        <is>
          <t xml:space="preserve">Недозвон</t>
        </is>
      </c>
      <c r="D224" s="104" t="inlineStr">
        <is>
          <t xml:space="preserve">Кр-99037597-3</t>
        </is>
      </c>
      <c r="E224" s="104" t="inlineStr">
        <is>
          <t xml:space="preserve">OTAMURODOV SALOXIDDIN TURA O’G’LI</t>
        </is>
      </c>
      <c r="F224" s="104" t="inlineStr">
        <is>
          <t xml:space="preserve">998938839097 SMS OZI, 998972222957 SMS AYOLI, 998974440277 SMS AKASI, 998972644555 SMS UKASI, 998878357171 UZI NEW,</t>
        </is>
      </c>
      <c r="G224" s="104" t="inlineStr">
        <is>
          <t xml:space="preserve">КАШКАДАРЁ ВИЛОЯТИ КОСОН ТУМАНИ ПИСТАЛИ МФЙ, ПИСТАЛИ,  uy:Р/С 119</t>
        </is>
      </c>
      <c r="H224" s="105">
        <v>8.0</v>
      </c>
      <c r="I224" s="105">
        <v>167281.41</v>
      </c>
    </row>
    <row r="225">
      <c r="A225" s="106" t="inlineStr">
        <is>
          <t xml:space="preserve">КАШКАДАРЁ ВИЛОЯТИ</t>
        </is>
      </c>
      <c r="B225" s="106" t="inlineStr">
        <is>
          <t xml:space="preserve">SUPER BRANCH</t>
        </is>
      </c>
      <c r="C225" s="106" t="inlineStr">
        <is>
          <t xml:space="preserve">Недозвон</t>
        </is>
      </c>
      <c r="D225" s="106" t="inlineStr">
        <is>
          <t xml:space="preserve">Кр-99063133-1</t>
        </is>
      </c>
      <c r="E225" s="106" t="inlineStr">
        <is>
          <t xml:space="preserve">TO’XTAYEV BOBUR ALISHER O’G’LI</t>
        </is>
      </c>
      <c r="F225" s="106" t="inlineStr">
        <is>
          <t xml:space="preserve">998908992275 SMS OZI, 998993458899 SMS TO'LOVCHI, 998906097727 SMS OTASI, 998919611171 SMS AKASI,</t>
        </is>
      </c>
      <c r="G225" s="106" t="inlineStr">
        <is>
          <t xml:space="preserve">QASHQADARYO VILOYATI QARSHI TUMANI BOG’OBOD MFY TUQMANG’IT QISHLOG’I 260-UY</t>
        </is>
      </c>
      <c r="H225" s="107">
        <v>41.0</v>
      </c>
      <c r="I225" s="107">
        <v>22454707.37</v>
      </c>
      <c r="K225" s="106" t="inlineStr">
        <is>
          <t xml:space="preserve">Telefon ko'tarmadi | sms yuborildi</t>
        </is>
      </c>
    </row>
    <row r="226">
      <c r="A226" s="106" t="inlineStr">
        <is>
          <t xml:space="preserve">КАШКАДАРЁ ВИЛОЯТИ</t>
        </is>
      </c>
      <c r="B226" s="106" t="inlineStr">
        <is>
          <t xml:space="preserve">SUPER BRANCH</t>
        </is>
      </c>
      <c r="C226" s="106" t="inlineStr">
        <is>
          <t xml:space="preserve">Недозвон</t>
        </is>
      </c>
      <c r="D226" s="106" t="inlineStr">
        <is>
          <t xml:space="preserve">Кр-99062893-1</t>
        </is>
      </c>
      <c r="E226" s="106" t="inlineStr">
        <is>
          <t xml:space="preserve">MUXAMMADIYEVA ZARIFA LUTFULLAYEVNA</t>
        </is>
      </c>
      <c r="F226" s="106" t="inlineStr">
        <is>
          <t xml:space="preserve">998900705555 OZI, 998936965555 UKASI, 998973115555 AKASI TO'LOVCHI , 998772352727 ONASI BEGONA ,</t>
        </is>
      </c>
      <c r="G226" s="106" t="inlineStr">
        <is>
          <t xml:space="preserve">QASHQADARYO VILOYATI QARSHI SHAHRI MUSTAQILLIK MFY ISLOM KARIMOV KUCHASI 218A-UY 1-XONADON</t>
        </is>
      </c>
      <c r="H226" s="107">
        <v>41.0</v>
      </c>
      <c r="I226" s="107">
        <v>10406410.27</v>
      </c>
      <c r="K226" s="106" t="inlineStr">
        <is>
          <t xml:space="preserve">Telefon ko'tarmadi | sms yuborildi</t>
        </is>
      </c>
    </row>
    <row r="227">
      <c r="A227" s="106" t="inlineStr">
        <is>
          <t xml:space="preserve">КАШКАДАРЁ ВИЛОЯТИ</t>
        </is>
      </c>
      <c r="B227" s="106" t="inlineStr">
        <is>
          <t xml:space="preserve">SUPER BRANCH</t>
        </is>
      </c>
      <c r="C227" s="106" t="inlineStr">
        <is>
          <t xml:space="preserve">Объезд</t>
        </is>
      </c>
      <c r="D227" s="106" t="inlineStr">
        <is>
          <t xml:space="preserve">Кр-99035525-2</t>
        </is>
      </c>
      <c r="E227" s="106" t="inlineStr">
        <is>
          <t xml:space="preserve">RO’ZIYEV AZIZJON FARXODOVICH</t>
        </is>
      </c>
      <c r="F227" s="106" t="inlineStr">
        <is>
          <t xml:space="preserve">998903545851 SMS OZI , 998909434667 SMS AYOLI, 998973422225 SMS UKASI, 998717546462 SMS UKASI,</t>
        </is>
      </c>
      <c r="G227" s="106" t="inlineStr">
        <is>
          <t xml:space="preserve">QASHQADARYO VILOYATI SHAHRISABZ SHAHRI KATTACHUTON KO’CHASI 27-UY</t>
        </is>
      </c>
      <c r="H227" s="107">
        <v>8.0</v>
      </c>
      <c r="I227" s="107">
        <v>9773181.79</v>
      </c>
      <c r="K227" s="106" t="inlineStr">
        <is>
          <t xml:space="preserve">Uyiga borildi - va'da berdi</t>
        </is>
      </c>
    </row>
    <row r="228">
      <c r="A228" s="106" t="inlineStr">
        <is>
          <t xml:space="preserve">КАШКАДАРЁ ВИЛОЯТИ</t>
        </is>
      </c>
      <c r="B228" s="106" t="inlineStr">
        <is>
          <t xml:space="preserve">SUPER BRANCH</t>
        </is>
      </c>
      <c r="C228" s="106" t="inlineStr">
        <is>
          <t xml:space="preserve">Недозвон</t>
        </is>
      </c>
      <c r="D228" s="106" t="inlineStr">
        <is>
          <t xml:space="preserve">Кр-99062042-1</t>
        </is>
      </c>
      <c r="E228" s="106" t="inlineStr">
        <is>
          <t xml:space="preserve">ESHQOBILOV O’LMAS LATIFOVICH</t>
        </is>
      </c>
      <c r="F228" s="106" t="inlineStr">
        <is>
          <t xml:space="preserve">998970981213 SMS OZI, 998947014020 SMS AYOLI, 998886641702 SMS DADASI, 998772001213 SMS ONASI,</t>
        </is>
      </c>
      <c r="G228" s="106" t="inlineStr">
        <is>
          <t xml:space="preserve">QASHQADATRYO VILOYATI KITOB TUMANI BOG’BON MFY YANGI QISHLOG’I KUCHASI 197-UY</t>
        </is>
      </c>
      <c r="H228" s="107">
        <v>11.0</v>
      </c>
      <c r="I228" s="107">
        <v>7593449.81</v>
      </c>
      <c r="K228" s="106" t="inlineStr">
        <is>
          <t xml:space="preserve">Telefon ko'tarmadi | sms yuborildi</t>
        </is>
      </c>
    </row>
    <row r="229">
      <c r="A229" s="106" t="inlineStr">
        <is>
          <t xml:space="preserve">КАШКАДАРЁ ВИЛОЯТИ</t>
        </is>
      </c>
      <c r="B229" s="106" t="inlineStr">
        <is>
          <t xml:space="preserve">SUPER BRANCH</t>
        </is>
      </c>
      <c r="C229" s="106" t="inlineStr">
        <is>
          <t xml:space="preserve">Недозвон</t>
        </is>
      </c>
      <c r="D229" s="106" t="inlineStr">
        <is>
          <t xml:space="preserve">Кр-99061538-2</t>
        </is>
      </c>
      <c r="E229" s="106" t="inlineStr">
        <is>
          <t xml:space="preserve">TOSHEV RAFAEL IBRAGIM O6G’LI</t>
        </is>
      </c>
      <c r="F229" s="106" t="inlineStr">
        <is>
          <t xml:space="preserve">+998979524111 SMS OZI, 998939034939 SMS INGLISI, 998976780388 SSM AYOLI,</t>
        </is>
      </c>
      <c r="G229" s="106" t="inlineStr">
        <is>
          <t xml:space="preserve">QASHQADARYO VILOYATI KOSON TUMANI MUDIN MFY MUDIN QISHLOGI OBOD KOCHA 7-UY</t>
        </is>
      </c>
      <c r="H229" s="107">
        <v>8.0</v>
      </c>
      <c r="I229" s="107">
        <v>4779954.08</v>
      </c>
      <c r="K229" s="106" t="inlineStr">
        <is>
          <t xml:space="preserve">Telefon ko'tarmadi | sms yuborildi</t>
        </is>
      </c>
    </row>
    <row r="230">
      <c r="A230" s="106" t="inlineStr">
        <is>
          <t xml:space="preserve">КАШКАДАРЁ ВИЛОЯТИ</t>
        </is>
      </c>
      <c r="B230" s="106" t="inlineStr">
        <is>
          <t xml:space="preserve">SUPER BRANCH</t>
        </is>
      </c>
      <c r="C230" s="106" t="inlineStr">
        <is>
          <t xml:space="preserve">Объезд</t>
        </is>
      </c>
      <c r="D230" s="106" t="inlineStr">
        <is>
          <t xml:space="preserve">Кр-99041785-1</t>
        </is>
      </c>
      <c r="E230" s="106" t="inlineStr">
        <is>
          <t xml:space="preserve">ABDIRAXMONOV USMON FARMON O’G’LI</t>
        </is>
      </c>
      <c r="F230" s="106" t="inlineStr">
        <is>
          <t xml:space="preserve">998997194818 SMS OZI, 998919101910 SMS DOSTI, 998930724818 SMS UYI,</t>
        </is>
      </c>
      <c r="G230" s="106" t="inlineStr">
        <is>
          <t xml:space="preserve">QASHQADARYO VILOYATI QARSHI TUMANI ROVOT MFY S.NASAFIY KO’CHASI 85-UY</t>
        </is>
      </c>
      <c r="H230" s="107">
        <v>8.0</v>
      </c>
      <c r="I230" s="107">
        <v>4260208.17</v>
      </c>
      <c r="J230" s="107">
        <v>4260208.17</v>
      </c>
      <c r="K230" s="106" t="inlineStr">
        <is>
          <t xml:space="preserve">Uyiga borildi - to'ladi</t>
        </is>
      </c>
    </row>
    <row r="231">
      <c r="A231" s="106" t="inlineStr">
        <is>
          <t xml:space="preserve">КАШКАДАРЁ ВИЛОЯТИ</t>
        </is>
      </c>
      <c r="B231" s="106" t="inlineStr">
        <is>
          <t xml:space="preserve">SUPER BRANCH</t>
        </is>
      </c>
      <c r="C231" s="106" t="inlineStr">
        <is>
          <t xml:space="preserve">Объезд</t>
        </is>
      </c>
      <c r="D231" s="106" t="inlineStr">
        <is>
          <t xml:space="preserve">Кр-99039445-1</t>
        </is>
      </c>
      <c r="E231" s="106" t="inlineStr">
        <is>
          <t xml:space="preserve">MIRZAMURODOV SHOXRUZBEK DAVRON O’G’LI</t>
        </is>
      </c>
      <c r="F231" s="106" t="inlineStr">
        <is>
          <t xml:space="preserve">+998873999404 SMS O’ZI, 998888818005 SMS DOSTI, 998959006035 SMS DOSTI, 998990855744 UZI NEWW,</t>
        </is>
      </c>
      <c r="G231" s="106" t="inlineStr">
        <is>
          <t xml:space="preserve">Чувуллоқ МФЙ, Миллий хунармандлар кучаси, 86-уй</t>
        </is>
      </c>
      <c r="H231" s="107">
        <v>7.0</v>
      </c>
      <c r="I231" s="107">
        <v>4238092.92</v>
      </c>
      <c r="K231" s="106" t="inlineStr">
        <is>
          <t xml:space="preserve">Uyiga borildi - va'da berdi</t>
        </is>
      </c>
    </row>
    <row r="232">
      <c r="A232" s="106" t="inlineStr">
        <is>
          <t xml:space="preserve">КАШКАДАРЁ ВИЛОЯТИ</t>
        </is>
      </c>
      <c r="B232" s="106" t="inlineStr">
        <is>
          <t xml:space="preserve">SUPER BRANCH</t>
        </is>
      </c>
      <c r="C232" s="106" t="inlineStr">
        <is>
          <t xml:space="preserve">Объезд</t>
        </is>
      </c>
      <c r="D232" s="106" t="inlineStr">
        <is>
          <t xml:space="preserve">Кр-99038081-1</t>
        </is>
      </c>
      <c r="E232" s="106" t="inlineStr">
        <is>
          <t xml:space="preserve">ASHUROV MIRZA URALOVICH</t>
        </is>
      </c>
      <c r="F232" s="106" t="inlineStr">
        <is>
          <t xml:space="preserve">998987750515 SMS OZI, 998880042215 SMS O’G’LI, 998906699171 SMS O’G’LI, 998972747000 SMS UKASI,</t>
        </is>
      </c>
      <c r="G232" s="106" t="inlineStr">
        <is>
          <t xml:space="preserve">QASHQADARYO VILOYATI QARSHI SHAHAR GUNGON MFY MUSA JALIL KUCHASI 48-UY</t>
        </is>
      </c>
      <c r="H232" s="107">
        <v>1.0</v>
      </c>
      <c r="I232" s="107">
        <v>3728488.93</v>
      </c>
      <c r="K232" s="106" t="inlineStr">
        <is>
          <t xml:space="preserve">Uyiga borildi - va'da berdi</t>
        </is>
      </c>
    </row>
    <row r="233">
      <c r="A233" s="106" t="inlineStr">
        <is>
          <t xml:space="preserve">КАШКАДАРЁ ВИЛОЯТИ</t>
        </is>
      </c>
      <c r="B233" s="106" t="inlineStr">
        <is>
          <t xml:space="preserve">SUPER BRANCH</t>
        </is>
      </c>
      <c r="C233" s="106" t="inlineStr">
        <is>
          <t xml:space="preserve">Недозвон</t>
        </is>
      </c>
      <c r="D233" s="106" t="inlineStr">
        <is>
          <t xml:space="preserve">Кр-99063700-1</t>
        </is>
      </c>
      <c r="E233" s="106" t="inlineStr">
        <is>
          <t xml:space="preserve">MURODOVA FERUZA OTABEK QIZI</t>
        </is>
      </c>
      <c r="F233" s="106" t="inlineStr">
        <is>
          <t xml:space="preserve">998772639699 SMS  UZI, 998774063196 SMS UKASI, 998775013196 SMS OZI2,</t>
        </is>
      </c>
      <c r="G233" s="106" t="inlineStr">
        <is>
          <t xml:space="preserve">Кашкадарьинская область, Китабский район, Нурафшон МСГ, киш. Хайробод, дом 117</t>
        </is>
      </c>
      <c r="H233" s="107">
        <v>8.0</v>
      </c>
      <c r="I233" s="107">
        <v>3644999.16</v>
      </c>
      <c r="K233" s="106" t="inlineStr">
        <is>
          <t xml:space="preserve">Telefon ko'tarmadi | sms yuborildi</t>
        </is>
      </c>
    </row>
    <row r="234">
      <c r="A234" s="106" t="inlineStr">
        <is>
          <t xml:space="preserve">КАШКАДАРЁ ВИЛОЯТИ</t>
        </is>
      </c>
      <c r="B234" s="106" t="inlineStr">
        <is>
          <t xml:space="preserve">SUPER BRANCH</t>
        </is>
      </c>
      <c r="C234" s="106" t="inlineStr">
        <is>
          <t xml:space="preserve">Объезд</t>
        </is>
      </c>
      <c r="D234" s="106" t="inlineStr">
        <is>
          <t xml:space="preserve">Кр-99038818-4</t>
        </is>
      </c>
      <c r="E234" s="106" t="inlineStr">
        <is>
          <t xml:space="preserve">AZIZOV ZAKIR TASHAROVICH</t>
        </is>
      </c>
      <c r="F234" s="106" t="inlineStr">
        <is>
          <t xml:space="preserve">998992562088 SMS O’ZI, 998770306222 SMS O’G’LI, 998972226222 SMS UY   BEGONAA, 998771003949 SMS O'ZI,</t>
        </is>
      </c>
      <c r="G234" s="106" t="inlineStr">
        <is>
          <t xml:space="preserve">КУРГОНЧА МФЙ, ТОР КЎЧАСИ,  uy:28</t>
        </is>
      </c>
      <c r="H234" s="107">
        <v>8.0</v>
      </c>
      <c r="I234" s="107">
        <v>3413704.53</v>
      </c>
      <c r="K234" s="106" t="inlineStr">
        <is>
          <t xml:space="preserve">Uyiga borildi - va'da berdi</t>
        </is>
      </c>
    </row>
    <row r="235">
      <c r="A235" s="106" t="inlineStr">
        <is>
          <t xml:space="preserve">КАШКАДАРЁ ВИЛОЯТИ</t>
        </is>
      </c>
      <c r="B235" s="106" t="inlineStr">
        <is>
          <t xml:space="preserve">SUPER BRANCH</t>
        </is>
      </c>
      <c r="C235" s="106" t="inlineStr">
        <is>
          <t xml:space="preserve">Объезд</t>
        </is>
      </c>
      <c r="D235" s="106" t="inlineStr">
        <is>
          <t xml:space="preserve">Кр-99040370-1</t>
        </is>
      </c>
      <c r="E235" s="106" t="inlineStr">
        <is>
          <t xml:space="preserve">AZIMOV HASAN G’AYRAT O’G’LI</t>
        </is>
      </c>
      <c r="F235" s="106" t="inlineStr">
        <is>
          <t xml:space="preserve">998979514900 SMS OZI (BEGONA))), 998880073012 SMS AKASI (HAMKASBI), 998973863606 SMS DADASI (BEGONA), 998973183000 SMS DADASI  UZIIII,</t>
        </is>
      </c>
      <c r="G235" s="106" t="inlineStr">
        <is>
          <t xml:space="preserve">QASHQADARYO VILOYATI SHAXRISABZ TUMANI LOLISTON MFY PAXTAKOR QISHLOG’I XISOR KUCHASI 45-UY</t>
        </is>
      </c>
      <c r="H235" s="107">
        <v>8.0</v>
      </c>
      <c r="I235" s="107">
        <v>3252149.32</v>
      </c>
      <c r="K235" s="106" t="inlineStr">
        <is>
          <t xml:space="preserve">Uyiga borildi - va'da berdi</t>
        </is>
      </c>
    </row>
    <row r="236">
      <c r="A236" s="106" t="inlineStr">
        <is>
          <t xml:space="preserve">КАШКАДАРЁ ВИЛОЯТИ</t>
        </is>
      </c>
      <c r="B236" s="106" t="inlineStr">
        <is>
          <t xml:space="preserve">SUPER BRANCH</t>
        </is>
      </c>
      <c r="C236" s="106" t="inlineStr">
        <is>
          <t xml:space="preserve">Недозвон</t>
        </is>
      </c>
      <c r="D236" s="106" t="inlineStr">
        <is>
          <t xml:space="preserve">Кр-99019654-6</t>
        </is>
      </c>
      <c r="E236" s="106" t="inlineStr">
        <is>
          <t xml:space="preserve">SHERMATOV JAHONGIR ELBEK O’G’LI</t>
        </is>
      </c>
      <c r="F236" s="106" t="inlineStr">
        <is>
          <t xml:space="preserve">88-498-20-02  SMS O’ZI futbolist, 90-441-57-88  SMS AKASI TOLMOS, 88-200-20-78  SMS AKASI, 98-777-66-66  SMS OZI 2, 998883161161 SMS DADASI,</t>
        </is>
      </c>
      <c r="G236" s="106" t="inlineStr">
        <is>
          <t xml:space="preserve">ДАРЧА МФЙ, ДАРЧА,  uy:Р/С</t>
        </is>
      </c>
      <c r="H236" s="107">
        <v>1.0</v>
      </c>
      <c r="I236" s="107">
        <v>3191351.36</v>
      </c>
      <c r="K236" s="106" t="inlineStr">
        <is>
          <t xml:space="preserve">Telefon ko'tarmadi</t>
        </is>
      </c>
    </row>
    <row r="237">
      <c r="A237" s="106" t="inlineStr">
        <is>
          <t xml:space="preserve">КАШКАДАРЁ ВИЛОЯТИ</t>
        </is>
      </c>
      <c r="B237" s="106" t="inlineStr">
        <is>
          <t xml:space="preserve">SUPER BRANCH</t>
        </is>
      </c>
      <c r="C237" s="106" t="inlineStr">
        <is>
          <t xml:space="preserve">Недозвон</t>
        </is>
      </c>
      <c r="D237" s="106" t="inlineStr">
        <is>
          <t xml:space="preserve">Кр-99057389-2</t>
        </is>
      </c>
      <c r="E237" s="106" t="inlineStr">
        <is>
          <t xml:space="preserve">ABDULLAYEV ILHOM QILICHEVICH</t>
        </is>
      </c>
      <c r="F237" s="106" t="inlineStr">
        <is>
          <t xml:space="preserve">998978053008 SMS UZI BEGONA, 998903310550 SMS ONASI BEGONA, 998903317827 SMS ONASI, 998886223008 SMS AKASI TO'LOVCHI, 998876244800 SMS  ozi neww,</t>
        </is>
      </c>
      <c r="G237" s="106" t="inlineStr">
        <is>
          <t xml:space="preserve">QASHQADARYO VILOYATI KITOB TUMANI XALQLAR DUSTLIGI MFY KASHKADARYO KUCHASI 117-UY</t>
        </is>
      </c>
      <c r="H237" s="107">
        <v>8.0</v>
      </c>
      <c r="I237" s="107">
        <v>3078607.19</v>
      </c>
      <c r="K237" s="106" t="inlineStr">
        <is>
          <t xml:space="preserve">Telefon ko'tarmadi | sms yuborildi</t>
        </is>
      </c>
    </row>
    <row r="238">
      <c r="A238" s="106" t="inlineStr">
        <is>
          <t xml:space="preserve">КАШКАДАРЁ ВИЛОЯТИ</t>
        </is>
      </c>
      <c r="B238" s="106" t="inlineStr">
        <is>
          <t xml:space="preserve">SUPER BRANCH</t>
        </is>
      </c>
      <c r="C238" s="106" t="inlineStr">
        <is>
          <t xml:space="preserve">Объезд</t>
        </is>
      </c>
      <c r="D238" s="106" t="inlineStr">
        <is>
          <t xml:space="preserve">Кр-99040694-2</t>
        </is>
      </c>
      <c r="E238" s="106" t="inlineStr">
        <is>
          <t xml:space="preserve">TOSHPULATOV SHAHRIYOR XOLMUROD O’G’LI</t>
        </is>
      </c>
      <c r="F238" s="106" t="inlineStr">
        <is>
          <t xml:space="preserve">998932061021 AKASI, 998952622787 UKASI,</t>
        </is>
      </c>
      <c r="G238" s="106" t="inlineStr">
        <is>
          <t xml:space="preserve">ОЛМАЗОР МФЙ, УЧТУТ,  uy:Р/С</t>
        </is>
      </c>
      <c r="H238" s="107">
        <v>8.0</v>
      </c>
      <c r="I238" s="107">
        <v>3076095.65</v>
      </c>
      <c r="K238" s="106" t="inlineStr">
        <is>
          <t xml:space="preserve">Uyiga borildi - va'da berdi</t>
        </is>
      </c>
    </row>
    <row r="239">
      <c r="A239" s="106" t="inlineStr">
        <is>
          <t xml:space="preserve">КАШКАДАРЁ ВИЛОЯТИ</t>
        </is>
      </c>
      <c r="B239" s="106" t="inlineStr">
        <is>
          <t xml:space="preserve">SUPER BRANCH</t>
        </is>
      </c>
      <c r="C239" s="106" t="inlineStr">
        <is>
          <t xml:space="preserve">Объезд</t>
        </is>
      </c>
      <c r="D239" s="106" t="inlineStr">
        <is>
          <t xml:space="preserve">Кр-99062619-1</t>
        </is>
      </c>
      <c r="E239" s="106" t="inlineStr">
        <is>
          <t xml:space="preserve">QURBANOV BAXODIR JURAYEVICH</t>
        </is>
      </c>
      <c r="F239" s="106" t="inlineStr">
        <is>
          <t xml:space="preserve">998940074848 узи, 998908819989 аели, 998913206851 дадаси, 998919624032 онаси,</t>
        </is>
      </c>
      <c r="G239" s="106" t="inlineStr">
        <is>
          <t xml:space="preserve">QASHQADARYO VILOYATI MUBORAK TUMANI BOBUR MFY BOBUR KUCHASI 1-UY 27-XONADON</t>
        </is>
      </c>
      <c r="H239" s="107">
        <v>8.0</v>
      </c>
      <c r="I239" s="107">
        <v>2852315.93</v>
      </c>
      <c r="J239" s="107">
        <v>2852315.93</v>
      </c>
      <c r="K239" s="106" t="inlineStr">
        <is>
          <t xml:space="preserve">Uyiga borildi - to'ladi</t>
        </is>
      </c>
    </row>
    <row r="240">
      <c r="A240" s="106" t="inlineStr">
        <is>
          <t xml:space="preserve">КАШКАДАРЁ ВИЛОЯТИ</t>
        </is>
      </c>
      <c r="B240" s="106" t="inlineStr">
        <is>
          <t xml:space="preserve">SUPER BRANCH</t>
        </is>
      </c>
      <c r="C240" s="106" t="inlineStr">
        <is>
          <t xml:space="preserve">Объезд</t>
        </is>
      </c>
      <c r="D240" s="106" t="inlineStr">
        <is>
          <t xml:space="preserve">Кр-99040698-2</t>
        </is>
      </c>
      <c r="E240" s="106" t="inlineStr">
        <is>
          <t xml:space="preserve">TOG’AYEV SHUHRAT NOSIROVICH</t>
        </is>
      </c>
      <c r="F240" s="106" t="inlineStr">
        <is>
          <t xml:space="preserve">998900129666 o’g’li, 998940129666 ukasi, 998946700174 uzi new,</t>
        </is>
      </c>
      <c r="G240" s="106" t="inlineStr">
        <is>
          <t xml:space="preserve">АЛАЧАБОБ МФЙ, АЛАТУН,  uy:Р/С</t>
        </is>
      </c>
      <c r="H240" s="107">
        <v>8.0</v>
      </c>
      <c r="I240" s="107">
        <v>2780111.81</v>
      </c>
      <c r="K240" s="106" t="inlineStr">
        <is>
          <t xml:space="preserve">Uyiga borildi - va'da berdi</t>
        </is>
      </c>
    </row>
    <row r="241">
      <c r="A241" s="106" t="inlineStr">
        <is>
          <t xml:space="preserve">КАШКАДАРЁ ВИЛОЯТИ</t>
        </is>
      </c>
      <c r="B241" s="106" t="inlineStr">
        <is>
          <t xml:space="preserve">SUPER BRANCH</t>
        </is>
      </c>
      <c r="C241" s="106" t="inlineStr">
        <is>
          <t xml:space="preserve">Недозвон</t>
        </is>
      </c>
      <c r="D241" s="106" t="inlineStr">
        <is>
          <t xml:space="preserve">Кр-99057350-1</t>
        </is>
      </c>
      <c r="E241" s="106" t="inlineStr">
        <is>
          <t xml:space="preserve">TURSUNOV SHERZOD SHERMAT O’G’LI</t>
        </is>
      </c>
      <c r="F241" s="106" t="inlineStr">
        <is>
          <t xml:space="preserve">998889999708 SMS UZI, 998908666962 SMS AYOLI, 998904286304 SMS DADASI, 998912198387 SMS ONASI  (OPASI),</t>
        </is>
      </c>
      <c r="G241" s="106" t="inlineStr">
        <is>
          <t xml:space="preserve">QASHQADARYO VILOYATI QARSHI SHAHAR RAVOK MFY SOXIL KUCHASI 46-UY</t>
        </is>
      </c>
      <c r="H241" s="107">
        <v>8.0</v>
      </c>
      <c r="I241" s="107">
        <v>2589559.77</v>
      </c>
      <c r="K241" s="106" t="inlineStr">
        <is>
          <t xml:space="preserve">Telefon ko'tarmadi | sms yuborildi</t>
        </is>
      </c>
    </row>
    <row r="242">
      <c r="A242" s="106" t="inlineStr">
        <is>
          <t xml:space="preserve">КАШКАДАРЁ ВИЛОЯТИ</t>
        </is>
      </c>
      <c r="B242" s="106" t="inlineStr">
        <is>
          <t xml:space="preserve">SUPER BRANCH</t>
        </is>
      </c>
      <c r="C242" s="106" t="inlineStr">
        <is>
          <t xml:space="preserve">Недозвон</t>
        </is>
      </c>
      <c r="D242" s="106" t="inlineStr">
        <is>
          <t xml:space="preserve">Кр-99062943-1</t>
        </is>
      </c>
      <c r="E242" s="106" t="inlineStr">
        <is>
          <t xml:space="preserve">XAYRULLAYEV ABDUMALIK FAXRIDDIN O’G’LI</t>
        </is>
      </c>
      <c r="F242" s="106" t="inlineStr">
        <is>
          <t xml:space="preserve">+998993447713 SMS OZI, 998889701120 SMS DOSTI, 998973100703 SMS DOSTI, 998992020634 SMS AYOLI,</t>
        </is>
      </c>
      <c r="G242" s="106" t="inlineStr">
        <is>
          <t xml:space="preserve">QASHQADARYO VILOYATI QARSHI TUMANI LAGANDI MFY AKADEMIK KOCHA 112-UY</t>
        </is>
      </c>
      <c r="H242" s="107">
        <v>8.0</v>
      </c>
      <c r="I242" s="107">
        <v>2505107.75</v>
      </c>
      <c r="K242" s="106" t="inlineStr">
        <is>
          <t xml:space="preserve">Telefon ko'tarmadi | sms yuborildi</t>
        </is>
      </c>
    </row>
    <row r="243">
      <c r="A243" s="106" t="inlineStr">
        <is>
          <t xml:space="preserve">КАШКАДАРЁ ВИЛОЯТИ</t>
        </is>
      </c>
      <c r="B243" s="106" t="inlineStr">
        <is>
          <t xml:space="preserve">SUPER BRANCH</t>
        </is>
      </c>
      <c r="C243" s="106" t="inlineStr">
        <is>
          <t xml:space="preserve">Объезд</t>
        </is>
      </c>
      <c r="D243" s="106" t="inlineStr">
        <is>
          <t xml:space="preserve">Кр-99037164-1</t>
        </is>
      </c>
      <c r="E243" s="106" t="inlineStr">
        <is>
          <t xml:space="preserve">IMOMOV FAYZULLA PARDAYEVICH</t>
        </is>
      </c>
      <c r="F243" s="106" t="inlineStr">
        <is>
          <t xml:space="preserve">998919553110 SMS OZI, 998807931102 SMS OZI 2, 998906672203 SMS OILASI, 998889883110 SMS O’G’LI,</t>
        </is>
      </c>
      <c r="G243" s="106" t="inlineStr">
        <is>
          <t xml:space="preserve">QASHQADARYO VILOYATI YAKKABOG’ TUMANI SEROB MFY MINJIR QISHLOQI</t>
        </is>
      </c>
      <c r="H243" s="107">
        <v>11.0</v>
      </c>
      <c r="I243" s="107">
        <v>2174707.65</v>
      </c>
      <c r="K243" s="106" t="inlineStr">
        <is>
          <t xml:space="preserve">Uyiga borildi - va'da berdi</t>
        </is>
      </c>
    </row>
    <row r="244">
      <c r="A244" s="106" t="inlineStr">
        <is>
          <t xml:space="preserve">КАШКАДАРЁ ВИЛОЯТИ</t>
        </is>
      </c>
      <c r="B244" s="106" t="inlineStr">
        <is>
          <t xml:space="preserve">SUPER BRANCH</t>
        </is>
      </c>
      <c r="C244" s="106" t="inlineStr">
        <is>
          <t xml:space="preserve">Объезд</t>
        </is>
      </c>
      <c r="D244" s="106" t="inlineStr">
        <is>
          <t xml:space="preserve">Кр-99037085-2</t>
        </is>
      </c>
      <c r="E244" s="106" t="inlineStr">
        <is>
          <t xml:space="preserve">XAMRAYEVA GULNORA XURRAMOVNA</t>
        </is>
      </c>
      <c r="F244" s="106" t="inlineStr">
        <is>
          <t xml:space="preserve">998979549700 SMS OZI (OG'LI) XUSAN, 998881941597 SMS O’G’LI, 998884287278 SMS UKASI (UZI), 998886757572 SMS AKASI,</t>
        </is>
      </c>
      <c r="G244" s="106" t="inlineStr">
        <is>
          <t xml:space="preserve">QASHQADARYO VILOYATI QARSHI TUMANI MEVAZOR MFY NAVRUZ QURG’ONI SHAHARCHASI 67/1 UY </t>
        </is>
      </c>
      <c r="H244" s="107">
        <v>8.0</v>
      </c>
      <c r="I244" s="107">
        <v>1943012.58</v>
      </c>
      <c r="K244" s="106" t="inlineStr">
        <is>
          <t xml:space="preserve">Uyiga borildi - va'da berdi | birorta nomeri ishlamayapti sms yozvordim</t>
        </is>
      </c>
    </row>
    <row r="245">
      <c r="A245" s="106" t="inlineStr">
        <is>
          <t xml:space="preserve">КАШКАДАРЁ ВИЛОЯТИ</t>
        </is>
      </c>
      <c r="B245" s="106" t="inlineStr">
        <is>
          <t xml:space="preserve">SUPER BRANCH</t>
        </is>
      </c>
      <c r="C245" s="106" t="inlineStr">
        <is>
          <t xml:space="preserve">Недозвон</t>
        </is>
      </c>
      <c r="D245" s="106" t="inlineStr">
        <is>
          <t xml:space="preserve">Кр-99052902-1</t>
        </is>
      </c>
      <c r="E245" s="106" t="inlineStr">
        <is>
          <t xml:space="preserve">FAYZULLAYEVA SHAXLO ISROILOVNA</t>
        </is>
      </c>
      <c r="F245" s="106" t="inlineStr">
        <is>
          <t xml:space="preserve">998955120412 OZI, 998947268411 AKASI TO'LOVCHI, 998947652533 DADASI, 998773808411 ONASI,</t>
        </is>
      </c>
      <c r="G245" s="106" t="inlineStr">
        <is>
          <t xml:space="preserve">QASHQADARYO VILOYATI KABI TUMANI CHULQUVAR MFY</t>
        </is>
      </c>
      <c r="H245" s="107">
        <v>8.0</v>
      </c>
      <c r="I245" s="107">
        <v>1812777.12</v>
      </c>
      <c r="K245" s="106" t="inlineStr">
        <is>
          <t xml:space="preserve">Telefon ko'tarmadi | sms yuborildi</t>
        </is>
      </c>
    </row>
    <row r="246">
      <c r="A246" s="106" t="inlineStr">
        <is>
          <t xml:space="preserve">КАШКАДАРЁ ВИЛОЯТИ</t>
        </is>
      </c>
      <c r="B246" s="106" t="inlineStr">
        <is>
          <t xml:space="preserve">SUPER BRANCH</t>
        </is>
      </c>
      <c r="C246" s="106" t="inlineStr">
        <is>
          <t xml:space="preserve">Недозвон</t>
        </is>
      </c>
      <c r="D246" s="106" t="inlineStr">
        <is>
          <t xml:space="preserve">Кр-99052915-1</t>
        </is>
      </c>
      <c r="E246" s="106" t="inlineStr">
        <is>
          <t xml:space="preserve">JO’RAYEVA GULSARA QUSHOQOVNA</t>
        </is>
      </c>
      <c r="F246" s="106" t="inlineStr">
        <is>
          <t xml:space="preserve">998908826966 SMS OZI, 998919596005 SMS OILASI, 998701330140 SMS OGLI,</t>
        </is>
      </c>
      <c r="G246" s="106" t="inlineStr">
        <is>
          <t xml:space="preserve">QASHQADARYO VILOYATI KO’KDALA TUMANI DAVR MFY CHAVONDOZ KO’CHASI 172-UY</t>
        </is>
      </c>
      <c r="H246" s="107">
        <v>8.0</v>
      </c>
      <c r="I246" s="107">
        <v>1540139.52</v>
      </c>
      <c r="K246" s="106" t="inlineStr">
        <is>
          <t xml:space="preserve">Telefon ko'tarmadi | sms yuborildi</t>
        </is>
      </c>
    </row>
    <row r="247">
      <c r="A247" s="106" t="inlineStr">
        <is>
          <t xml:space="preserve">КАШКАДАРЁ ВИЛОЯТИ</t>
        </is>
      </c>
      <c r="B247" s="106" t="inlineStr">
        <is>
          <t xml:space="preserve">SUPER BRANCH</t>
        </is>
      </c>
      <c r="C247" s="106" t="inlineStr">
        <is>
          <t xml:space="preserve">Объезд</t>
        </is>
      </c>
      <c r="D247" s="106" t="inlineStr">
        <is>
          <t xml:space="preserve">Кр-99037055-2</t>
        </is>
      </c>
      <c r="E247" s="106" t="inlineStr">
        <is>
          <t xml:space="preserve">ISKANDAROV NURIDDIN NIZOMIDDIN O’G’LI</t>
        </is>
      </c>
      <c r="F247" s="106" t="inlineStr">
        <is>
          <t xml:space="preserve">998881202280 SMS O’ZI, 998507104532 SMS OZI 2, 998880485080 SMS OSHNASI, 998200030241 SMS OSHNASI (begona),</t>
        </is>
      </c>
      <c r="G247" s="106" t="inlineStr">
        <is>
          <t xml:space="preserve">QASHQADARYO VILOYATI SHAHRISABZ TUMANI QUTCHI MFY,GULZOR KO’CHASI 80-UY</t>
        </is>
      </c>
      <c r="H247" s="107">
        <v>12.0</v>
      </c>
      <c r="I247" s="107">
        <v>1422441.42</v>
      </c>
      <c r="K247" s="106" t="inlineStr">
        <is>
          <t xml:space="preserve">Uyiga borildi - va'da berdi</t>
        </is>
      </c>
    </row>
    <row r="248">
      <c r="A248" s="106" t="inlineStr">
        <is>
          <t xml:space="preserve">КАШКАДАРЁ ВИЛОЯТИ</t>
        </is>
      </c>
      <c r="B248" s="106" t="inlineStr">
        <is>
          <t xml:space="preserve">SUPER BRANCH</t>
        </is>
      </c>
      <c r="C248" s="106" t="inlineStr">
        <is>
          <t xml:space="preserve">Недозвон</t>
        </is>
      </c>
      <c r="D248" s="106" t="inlineStr">
        <is>
          <t xml:space="preserve">Кр-99020517-11</t>
        </is>
      </c>
      <c r="E248" s="106" t="inlineStr">
        <is>
          <t xml:space="preserve">PRIMOV TOLMASBEK SHERMATOVICH</t>
        </is>
      </c>
      <c r="F248" s="106" t="inlineStr">
        <is>
          <t xml:space="preserve">97-229-20-44 SMS ruslan ukasi , 97-311-44-40 SMS BEGONA EKAN, 97-001-20-44 SMS OGLI, 88-200-20-78 SMS TULOVCHI TOLMASBEK,</t>
        </is>
      </c>
      <c r="G248" s="106" t="inlineStr">
        <is>
          <t xml:space="preserve">QASHQADARYO VILOYATI KOSON TUMANI DARCHA MFY PO’LATI QISHLOG’I 5-UY</t>
        </is>
      </c>
      <c r="H248" s="107">
        <v>11.0</v>
      </c>
      <c r="I248" s="107">
        <v>1394920.24</v>
      </c>
      <c r="K248" s="106" t="inlineStr">
        <is>
          <t xml:space="preserve">Telefon ko'tarmadi | sms yuborildi</t>
        </is>
      </c>
    </row>
    <row r="249">
      <c r="A249" s="106" t="inlineStr">
        <is>
          <t xml:space="preserve">КАШКАДАРЁ ВИЛОЯТИ</t>
        </is>
      </c>
      <c r="B249" s="106" t="inlineStr">
        <is>
          <t xml:space="preserve">SUPER BRANCH</t>
        </is>
      </c>
      <c r="C249" s="106" t="inlineStr">
        <is>
          <t xml:space="preserve">Недозвон</t>
        </is>
      </c>
      <c r="D249" s="106" t="inlineStr">
        <is>
          <t xml:space="preserve">Кр-99062893-2</t>
        </is>
      </c>
      <c r="E249" s="106" t="inlineStr">
        <is>
          <t xml:space="preserve">MUXAMMADIYEVA ZARIFA LUTFULLAYEVNA</t>
        </is>
      </c>
      <c r="F249" s="106" t="inlineStr">
        <is>
          <t xml:space="preserve">998900705555 OZI, 998936965555 UKASI, 998973115555 AKASI TO'LOVCHI , 998772352727 ONASI BEGONA ,</t>
        </is>
      </c>
      <c r="G249" s="106" t="inlineStr">
        <is>
          <t xml:space="preserve">QASHQADARYO VILOYATI QARSHI SHAHRI MUSTAQILLIK MFY ISLOM KARIMOV KUCHASI 218A-UY 1-XONADON</t>
        </is>
      </c>
      <c r="H249" s="107">
        <v>8.0</v>
      </c>
      <c r="I249" s="107">
        <v>1372031.74</v>
      </c>
      <c r="K249" s="106" t="inlineStr">
        <is>
          <t xml:space="preserve">Telefon ko'tarmadi | sms yuborildi</t>
        </is>
      </c>
    </row>
    <row r="250">
      <c r="A250" s="106" t="inlineStr">
        <is>
          <t xml:space="preserve">КАШКАДАРЁ ВИЛОЯТИ</t>
        </is>
      </c>
      <c r="B250" s="106" t="inlineStr">
        <is>
          <t xml:space="preserve">SUPER BRANCH</t>
        </is>
      </c>
      <c r="C250" s="106" t="inlineStr">
        <is>
          <t xml:space="preserve">Объезд</t>
        </is>
      </c>
      <c r="D250" s="106" t="inlineStr">
        <is>
          <t xml:space="preserve">Кр-99037316-2</t>
        </is>
      </c>
      <c r="E250" s="106" t="inlineStr">
        <is>
          <t xml:space="preserve">XAMROYEVA DILRABO KUYLIYEVNA</t>
        </is>
      </c>
      <c r="F250" s="106" t="inlineStr">
        <is>
          <t xml:space="preserve">998908819972 SMS OZI, 998906606361 SMS ONASI BEGONA QIZCHA, 998906851166 SMS OTASI, 998906831166 SMS AKASI (UZIII),</t>
        </is>
      </c>
      <c r="G250" s="106" t="inlineStr">
        <is>
          <t xml:space="preserve">QASHQADARYO VILOYATI QARSHI TUMANI NAVRUZ MFY BOBUR KUCHASI 16-UY</t>
        </is>
      </c>
      <c r="H250" s="107">
        <v>8.0</v>
      </c>
      <c r="I250" s="107">
        <v>1274783.29</v>
      </c>
      <c r="K250" s="106" t="inlineStr">
        <is>
          <t xml:space="preserve">Uyiga borildi - va'da berdi</t>
        </is>
      </c>
    </row>
    <row r="251">
      <c r="A251" s="106" t="inlineStr">
        <is>
          <t xml:space="preserve">КАШКАДАРЁ ВИЛОЯТИ</t>
        </is>
      </c>
      <c r="B251" s="106" t="inlineStr">
        <is>
          <t xml:space="preserve">SUPER BRANCH</t>
        </is>
      </c>
      <c r="C251" s="106" t="inlineStr">
        <is>
          <t xml:space="preserve">Недозвон</t>
        </is>
      </c>
      <c r="D251" s="106" t="inlineStr">
        <is>
          <t xml:space="preserve">Кр-99020517-10</t>
        </is>
      </c>
      <c r="E251" s="106" t="inlineStr">
        <is>
          <t xml:space="preserve">PRIMOV TOLMASBEK SHERMATOVICH</t>
        </is>
      </c>
      <c r="F251" s="106" t="inlineStr">
        <is>
          <t xml:space="preserve">97-229-20-44 SMS ruslan ukasi , 97-311-44-40 SMS BEGONA EKAN, 97-001-20-44 SMS OGLI, 88-200-20-78 SMS TULOVCHI TOLMASBEK,</t>
        </is>
      </c>
      <c r="G251" s="106" t="inlineStr">
        <is>
          <t xml:space="preserve">QASHQADARYO VILOYATI KOSON TUMANI DARCHA MFY PO’LATI QISHLOG’I 5-UY</t>
        </is>
      </c>
      <c r="H251" s="107">
        <v>1.0</v>
      </c>
      <c r="I251" s="107">
        <v>1173771.74</v>
      </c>
      <c r="K251" s="106" t="inlineStr">
        <is>
          <t xml:space="preserve">Telefon ko'tarmadi | sms yuborildi</t>
        </is>
      </c>
    </row>
    <row r="252">
      <c r="A252" s="106" t="inlineStr">
        <is>
          <t xml:space="preserve">КАШКАДАРЁ ВИЛОЯТИ</t>
        </is>
      </c>
      <c r="B252" s="106" t="inlineStr">
        <is>
          <t xml:space="preserve">SUPER BRANCH</t>
        </is>
      </c>
      <c r="C252" s="106" t="inlineStr">
        <is>
          <t xml:space="preserve">Недозвон</t>
        </is>
      </c>
      <c r="D252" s="106" t="inlineStr">
        <is>
          <t xml:space="preserve">Кр-99057389-1</t>
        </is>
      </c>
      <c r="E252" s="106" t="inlineStr">
        <is>
          <t xml:space="preserve">ABDULLAYEV ILHOM QILICHEVICH</t>
        </is>
      </c>
      <c r="F252" s="106" t="inlineStr">
        <is>
          <t xml:space="preserve">998978053008 SMS UZI BEGONA, 998903310550 SMS ONASI BEGONA, 998903317827 SMS ONASI, 998886223008 SMS AKASI TO'LOVCHI, 998876244800 SMS  ozi neww,</t>
        </is>
      </c>
      <c r="G252" s="106" t="inlineStr">
        <is>
          <t xml:space="preserve">QASHQADARYO VILOYATI KITOB TUMANI XALQLAR DUSTLIGI MFY KASHKADARYO KUCHASI 117-UY</t>
        </is>
      </c>
      <c r="I252" s="107">
        <v>833062.25</v>
      </c>
      <c r="K252" s="106" t="inlineStr">
        <is>
          <t xml:space="preserve">Telefon ko'tarmadi | sms yuborildi</t>
        </is>
      </c>
    </row>
    <row r="253">
      <c r="A253" s="106" t="inlineStr">
        <is>
          <t xml:space="preserve">КАШКАДАРЁ ВИЛОЯТИ</t>
        </is>
      </c>
      <c r="B253" s="106" t="inlineStr">
        <is>
          <t xml:space="preserve">SUPER BRANCH</t>
        </is>
      </c>
      <c r="C253" s="106" t="inlineStr">
        <is>
          <t xml:space="preserve">Недозвон</t>
        </is>
      </c>
      <c r="D253" s="106" t="inlineStr">
        <is>
          <t xml:space="preserve">Кр-99029108-2</t>
        </is>
      </c>
      <c r="E253" s="106" t="inlineStr">
        <is>
          <t xml:space="preserve">ESHIMOV SHAROF NAMOZOVICH</t>
        </is>
      </c>
      <c r="F253" s="106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253" s="106" t="inlineStr">
        <is>
          <t xml:space="preserve">QASHQADARYO VILOYATI QARSHI TUMANI O’ZBEK FAYZABOD QISHLOG’I KAMOLAT KO’CHASI 56-UY</t>
        </is>
      </c>
      <c r="H253" s="107">
        <v>8.0</v>
      </c>
      <c r="I253" s="107">
        <v>701899.11</v>
      </c>
      <c r="K253" s="106" t="inlineStr">
        <is>
          <t xml:space="preserve">Telefon ko'tarmadi | tlgdan aloqaga chiqildi</t>
        </is>
      </c>
    </row>
    <row r="254">
      <c r="A254" s="106" t="inlineStr">
        <is>
          <t xml:space="preserve">КАШКАДАРЁ ВИЛОЯТИ</t>
        </is>
      </c>
      <c r="B254" s="106" t="inlineStr">
        <is>
          <t xml:space="preserve">SUPER BRANCH</t>
        </is>
      </c>
      <c r="C254" s="106" t="inlineStr">
        <is>
          <t xml:space="preserve">Недозвон</t>
        </is>
      </c>
      <c r="D254" s="106" t="inlineStr">
        <is>
          <t xml:space="preserve">Кр-99014147-4</t>
        </is>
      </c>
      <c r="E254" s="106" t="inlineStr">
        <is>
          <t xml:space="preserve">O’KTAMOV AKBAR HOSHIM O’G’LI</t>
        </is>
      </c>
      <c r="F254" s="106" t="inlineStr">
        <is>
          <t xml:space="preserve">998979573334  SMS O’ZI, 998995673635 SMS O’ZI 2, 998972184666  SMS JIYANI, 998919564344 SMS AKASI  (JIYANIII),</t>
        </is>
      </c>
      <c r="G254" s="106" t="inlineStr">
        <is>
          <t xml:space="preserve">QASHQADARYO VILOYATI KASBI TUMANI OBOD MFY TALLIYULG’UN QISHLOQI</t>
        </is>
      </c>
      <c r="H254" s="107">
        <v>6.0</v>
      </c>
      <c r="I254" s="107">
        <v>564014.23</v>
      </c>
      <c r="K254" s="106" t="inlineStr">
        <is>
          <t xml:space="preserve">Telefon ko'tarmadi | tlgdan aloqaga chiqildi</t>
        </is>
      </c>
    </row>
    <row r="255">
      <c r="A255" s="106" t="inlineStr">
        <is>
          <t xml:space="preserve">КАШКАДАРЁ ВИЛОЯТИ</t>
        </is>
      </c>
      <c r="B255" s="106" t="inlineStr">
        <is>
          <t xml:space="preserve">SUPER BRANCH</t>
        </is>
      </c>
      <c r="C255" s="106" t="inlineStr">
        <is>
          <t xml:space="preserve">Недозвон</t>
        </is>
      </c>
      <c r="D255" s="106" t="inlineStr">
        <is>
          <t xml:space="preserve">Кр-99063029-1</t>
        </is>
      </c>
      <c r="E255" s="106" t="inlineStr">
        <is>
          <t xml:space="preserve">SAITNABIYEVA RA’NO ERKINOVNA</t>
        </is>
      </c>
      <c r="F255" s="106" t="inlineStr">
        <is>
          <t xml:space="preserve">998933921816 OZI, 998930721881 ONASI, 998880700881 OTASI, 998337005717 AKASI,</t>
        </is>
      </c>
      <c r="G255" s="106" t="inlineStr">
        <is>
          <t xml:space="preserve">КАШКАДАРЁ ВИЛОЯТИ КАРШИ ШАХРИ Бунёдкор МФЙ ЯНГИ ХИЛОЛ КУЧАСИ 6/3</t>
        </is>
      </c>
      <c r="H255" s="107">
        <v>8.0</v>
      </c>
      <c r="I255" s="107">
        <v>405618.18</v>
      </c>
      <c r="K255" s="106" t="inlineStr">
        <is>
          <t xml:space="preserve">Telefon ko'tarmadi | sms yuborildi</t>
        </is>
      </c>
    </row>
    <row r="256">
      <c r="A256" s="106" t="inlineStr">
        <is>
          <t xml:space="preserve">КАШКАДАРЁ ВИЛОЯТИ</t>
        </is>
      </c>
      <c r="B256" s="106" t="inlineStr">
        <is>
          <t xml:space="preserve">SUPER BRANCH</t>
        </is>
      </c>
      <c r="C256" s="106" t="inlineStr">
        <is>
          <t xml:space="preserve">Недозвон</t>
        </is>
      </c>
      <c r="D256" s="106" t="inlineStr">
        <is>
          <t xml:space="preserve">Кр-99063035-1</t>
        </is>
      </c>
      <c r="E256" s="106" t="inlineStr">
        <is>
          <t xml:space="preserve">NE’MATOV HIKMATULLA ISMAT O’G’LI</t>
        </is>
      </c>
      <c r="F256" s="106" t="inlineStr">
        <is>
          <t xml:space="preserve">998931093970 SMS DADASI, 998943403113 SMS OZI, 998977593970 SSM ONASI,</t>
        </is>
      </c>
      <c r="G256" s="106" t="inlineStr">
        <is>
          <t xml:space="preserve">QASHQADARYO VILOYATI SHAXRISABZ TUMANI SHAKARCHITEPA MFY SHOVKAN QISHLOGI 273 UY</t>
        </is>
      </c>
      <c r="H256" s="107">
        <v>8.0</v>
      </c>
      <c r="I256" s="107">
        <v>352368.35</v>
      </c>
      <c r="K256" s="106" t="inlineStr">
        <is>
          <t xml:space="preserve">Telefon ko'tarmadi | sms yuborildi</t>
        </is>
      </c>
    </row>
    <row r="257">
      <c r="A257" s="106" t="inlineStr">
        <is>
          <t xml:space="preserve">КАШКАДАРЁ ВИЛОЯТИ</t>
        </is>
      </c>
      <c r="B257" s="106" t="inlineStr">
        <is>
          <t xml:space="preserve">SUPER BRANCH</t>
        </is>
      </c>
      <c r="C257" s="106" t="inlineStr">
        <is>
          <t xml:space="preserve">Недозвон</t>
        </is>
      </c>
      <c r="D257" s="106" t="inlineStr">
        <is>
          <t xml:space="preserve">Кр-99056455-1</t>
        </is>
      </c>
      <c r="E257" s="106" t="inlineStr">
        <is>
          <t xml:space="preserve">MAMATOV ZARIFJON ZAVQIYEVICH</t>
        </is>
      </c>
      <c r="F257" s="106" t="inlineStr">
        <is>
          <t xml:space="preserve">998975560131 SMS O'ZI, 998888820131 SMS ONASI, 998975860131 SMS OTASI, 998975030131 SMS AKASI,</t>
        </is>
      </c>
      <c r="G257" s="106" t="inlineStr">
        <is>
          <t xml:space="preserve">QASHQADARYO VILOYATI KOSON TUMANI USHOQTEPA MFY USHOQTEPA KUCHASI 15-UY</t>
        </is>
      </c>
      <c r="H257" s="107">
        <v>8.0</v>
      </c>
      <c r="I257" s="107">
        <v>143944.18</v>
      </c>
      <c r="K257" s="106" t="inlineStr">
        <is>
          <t xml:space="preserve">Telefon ko'tarmadi | sms yuborildi</t>
        </is>
      </c>
    </row>
    <row r="258">
      <c r="A258" s="106" t="inlineStr">
        <is>
          <t xml:space="preserve">КАШКАДАРЁ ВИЛОЯТИ</t>
        </is>
      </c>
      <c r="B258" s="106" t="inlineStr">
        <is>
          <t xml:space="preserve">SUPER BRANCH</t>
        </is>
      </c>
      <c r="C258" s="106" t="inlineStr">
        <is>
          <t xml:space="preserve">Объезд</t>
        </is>
      </c>
      <c r="D258" s="106" t="inlineStr">
        <is>
          <t xml:space="preserve">Кр-99034450-3</t>
        </is>
      </c>
      <c r="E258" s="106" t="inlineStr">
        <is>
          <t xml:space="preserve">MAHMATQOBILOV ELBEK PULAT O’G’LI</t>
        </is>
      </c>
      <c r="F258" s="106" t="inlineStr">
        <is>
          <t xml:space="preserve">998957714245 SMS O’ZI, 998505882555 SMS DO’STI, 998934943260 SMS AYOLI, 998958830199 SMS OTASI,</t>
        </is>
      </c>
      <c r="G258" s="106" t="inlineStr">
        <is>
          <t xml:space="preserve">ЧАМБИЛ МФЙ, ОКЧОВА,  uy:83.</t>
        </is>
      </c>
      <c r="H258" s="107">
        <v>8.0</v>
      </c>
      <c r="I258" s="107">
        <v>21815.95</v>
      </c>
      <c r="J258" s="107">
        <v>21815.95</v>
      </c>
      <c r="K258" s="106" t="inlineStr">
        <is>
          <t xml:space="preserve">Uyiga borildi - to'ladi</t>
        </is>
      </c>
    </row>
    <row r="259">
      <c r="A259" s="108" t="inlineStr">
        <is>
          <t xml:space="preserve">КАШКАДАРЁ ВИЛОЯТИ</t>
        </is>
      </c>
      <c r="B259" s="108" t="inlineStr">
        <is>
          <t xml:space="preserve">Самарқанд филиали</t>
        </is>
      </c>
      <c r="C259" s="108" t="inlineStr">
        <is>
          <t xml:space="preserve">Недозвон</t>
        </is>
      </c>
      <c r="D259" s="108" t="inlineStr">
        <is>
          <t xml:space="preserve">Кр-99063959-1</t>
        </is>
      </c>
      <c r="E259" s="108" t="inlineStr">
        <is>
          <t xml:space="preserve">IBROGIMOV RASHID ISMOIL UG’LI</t>
        </is>
      </c>
      <c r="F259" s="108" t="inlineStr">
        <is>
          <t xml:space="preserve">998887737107 SMS AKASI, 998953307107 SMS AKASI, 998992719999 SMS UYI,</t>
        </is>
      </c>
      <c r="G259" s="108" t="inlineStr">
        <is>
          <t xml:space="preserve">QASHQADARYO VILOYATI SHAXRISABZ TUMANI YANGIOBOD MFY ZAMONDOSH  67 - UY</t>
        </is>
      </c>
      <c r="H259" s="109">
        <v>8.0</v>
      </c>
      <c r="I259" s="109">
        <v>4206894.02</v>
      </c>
      <c r="K259" s="108" t="inlineStr">
        <is>
          <t xml:space="preserve">Telefon ko'tarmadi | sms yuborildi</t>
        </is>
      </c>
    </row>
    <row r="260">
      <c r="A260" s="110" t="inlineStr">
        <is>
          <t xml:space="preserve">КАШКАДАРЁ ВИЛОЯТИ</t>
        </is>
      </c>
      <c r="B260" s="110" t="inlineStr">
        <is>
          <t xml:space="preserve">Қарши филиали</t>
        </is>
      </c>
      <c r="C260" s="110" t="inlineStr">
        <is>
          <t xml:space="preserve">Недозвон</t>
        </is>
      </c>
      <c r="D260" s="110" t="inlineStr">
        <is>
          <t xml:space="preserve">Кр-99042348-1</t>
        </is>
      </c>
      <c r="E260" s="110" t="inlineStr">
        <is>
          <t xml:space="preserve">AMINOV DOSTONBEK URAL O’G’LI</t>
        </is>
      </c>
      <c r="F260" s="110" t="inlineStr">
        <is>
          <t xml:space="preserve">+998916404942 SMS O'ZO, 998938039919 SMS (BEGONA))), 998994304163 SMS,</t>
        </is>
      </c>
      <c r="G260" s="110" t="inlineStr">
        <is>
          <t xml:space="preserve">КАШКАДАРЁ ВИЛОЯТИ  КАМАШИ ТУМАНИ ҚОРАСУВ МФЙ, КОРАСУВ,  uy:Р/С 15</t>
        </is>
      </c>
      <c r="H260" s="111">
        <v>8.0</v>
      </c>
      <c r="I260" s="111">
        <v>6059089.65</v>
      </c>
      <c r="K260" s="110" t="inlineStr">
        <is>
          <t xml:space="preserve">Telefon ko'tarmadi | sms yuborildi</t>
        </is>
      </c>
    </row>
    <row r="261">
      <c r="A261" s="110" t="inlineStr">
        <is>
          <t xml:space="preserve">КАШКАДАРЁ ВИЛОЯТИ</t>
        </is>
      </c>
      <c r="B261" s="110" t="inlineStr">
        <is>
          <t xml:space="preserve">Қарши филиали</t>
        </is>
      </c>
      <c r="C261" s="110" t="inlineStr">
        <is>
          <t xml:space="preserve">Недозвон</t>
        </is>
      </c>
      <c r="D261" s="110" t="inlineStr">
        <is>
          <t xml:space="preserve">Кр-99045581-1</t>
        </is>
      </c>
      <c r="E261" s="110" t="inlineStr">
        <is>
          <t xml:space="preserve">PANJIYEV RUSTAM SHIRINBEK O’G’LI</t>
        </is>
      </c>
      <c r="F261" s="110" t="inlineStr">
        <is>
          <t xml:space="preserve">+998914593383 UZI, 998902448090 UYI, 998914713831 SMS, 998870668790 jiyani,</t>
        </is>
      </c>
      <c r="G261" s="110" t="inlineStr">
        <is>
          <t xml:space="preserve">Кашкадарьинская область, Камашинский район, Савсантепа МСГ, ул. Насаф, дом 55</t>
        </is>
      </c>
      <c r="H261" s="111">
        <v>13.0</v>
      </c>
      <c r="I261" s="111">
        <v>4696128.64</v>
      </c>
      <c r="K261" s="110" t="inlineStr">
        <is>
          <t xml:space="preserve">Telefon ko'tarmadi | sms yuborildi</t>
        </is>
      </c>
    </row>
    <row r="262">
      <c r="A262" s="110" t="inlineStr">
        <is>
          <t xml:space="preserve">КАШКАДАРЁ ВИЛОЯТИ</t>
        </is>
      </c>
      <c r="B262" s="110" t="inlineStr">
        <is>
          <t xml:space="preserve">Қарши филиали</t>
        </is>
      </c>
      <c r="C262" s="110" t="inlineStr">
        <is>
          <t xml:space="preserve">Недозвон</t>
        </is>
      </c>
      <c r="D262" s="110" t="inlineStr">
        <is>
          <t xml:space="preserve">Кр-99049163-1</t>
        </is>
      </c>
      <c r="E262" s="110" t="inlineStr">
        <is>
          <t xml:space="preserve">PULATOV ALISHER YULDASHKULOVICH</t>
        </is>
      </c>
      <c r="F262" s="110" t="inlineStr">
        <is>
          <t xml:space="preserve">+998972410500 UZIII, 998333191148 dadasi, 998973811370 onasi,</t>
        </is>
      </c>
      <c r="G262" s="110" t="inlineStr">
        <is>
          <t xml:space="preserve">КАШКАДАРЁ ВИЛОЯТИ ШАХРИСАБЗ ШАХРИ Навруз МФЙ Навруз кучаси 4-уй</t>
        </is>
      </c>
      <c r="H262" s="111">
        <v>8.0</v>
      </c>
      <c r="I262" s="111">
        <v>4521828.92</v>
      </c>
      <c r="K262" s="110" t="inlineStr">
        <is>
          <t xml:space="preserve">Telefon ko'tarmadi | sms yuborildi</t>
        </is>
      </c>
    </row>
    <row r="263">
      <c r="A263" s="110" t="inlineStr">
        <is>
          <t xml:space="preserve">КАШКАДАРЁ ВИЛОЯТИ</t>
        </is>
      </c>
      <c r="B263" s="110" t="inlineStr">
        <is>
          <t xml:space="preserve">Қарши филиали</t>
        </is>
      </c>
      <c r="C263" s="110" t="inlineStr">
        <is>
          <t xml:space="preserve">Недозвон</t>
        </is>
      </c>
      <c r="D263" s="110" t="inlineStr">
        <is>
          <t xml:space="preserve">Кр-99044341-1</t>
        </is>
      </c>
      <c r="E263" s="110" t="inlineStr">
        <is>
          <t xml:space="preserve">XUJAMOV MIRZABEK YAXSHIBOY O’G’LI</t>
        </is>
      </c>
      <c r="F263" s="110" t="inlineStr">
        <is>
          <t xml:space="preserve">+998917969966 UZI, 998907169966 oilasi, 998916380693 dadasi,</t>
        </is>
      </c>
      <c r="G263" s="110" t="inlineStr">
        <is>
          <t xml:space="preserve">КАШКАДАРЁ ВИЛОЯТИ НИШОН ТУМАНИ Куксой МФЙ, Барчиной кучаси, 4-уй</t>
        </is>
      </c>
      <c r="H263" s="111">
        <v>12.0</v>
      </c>
      <c r="I263" s="111">
        <v>4009478.74</v>
      </c>
      <c r="K263" s="110" t="inlineStr">
        <is>
          <t xml:space="preserve">Telefon ko'tarmadi | sms yuborildi</t>
        </is>
      </c>
    </row>
    <row r="264">
      <c r="A264" s="110" t="inlineStr">
        <is>
          <t xml:space="preserve">КАШКАДАРЁ ВИЛОЯТИ</t>
        </is>
      </c>
      <c r="B264" s="110" t="inlineStr">
        <is>
          <t xml:space="preserve">Қарши филиали</t>
        </is>
      </c>
      <c r="C264" s="110" t="inlineStr">
        <is>
          <t xml:space="preserve">Недозвон</t>
        </is>
      </c>
      <c r="D264" s="110" t="inlineStr">
        <is>
          <t xml:space="preserve">Кр-99058773-2</t>
        </is>
      </c>
      <c r="E264" s="110" t="inlineStr">
        <is>
          <t xml:space="preserve">AXMEDOV SHAHZOD ESHMAMAT O’G’LI</t>
        </is>
      </c>
      <c r="F264" s="110" t="inlineStr">
        <is>
          <t xml:space="preserve">998900696525 SMS OZI (DO'STI))), 998954546960 SMS AYOLI (DO'STI))), 998919554492 SMS , 998999554443 SMS ONASI  UZIII,</t>
        </is>
      </c>
      <c r="G264" s="110" t="inlineStr">
        <is>
          <t xml:space="preserve">QASHQADARYO VILOYATI QAMASHI TUMANI QIZILTEPA MFY TADBIRKOR KUCHASI 15-UY</t>
        </is>
      </c>
      <c r="H264" s="111">
        <v>8.0</v>
      </c>
      <c r="I264" s="111">
        <v>3881235.15</v>
      </c>
      <c r="K264" s="110" t="inlineStr">
        <is>
          <t xml:space="preserve">Telefon ko'tarmadi | sms yuborildi</t>
        </is>
      </c>
    </row>
    <row r="265">
      <c r="A265" s="110" t="inlineStr">
        <is>
          <t xml:space="preserve">КАШКАДАРЁ ВИЛОЯТИ</t>
        </is>
      </c>
      <c r="B265" s="110" t="inlineStr">
        <is>
          <t xml:space="preserve">Қарши филиали</t>
        </is>
      </c>
      <c r="C265" s="110" t="inlineStr">
        <is>
          <t xml:space="preserve">Объезд</t>
        </is>
      </c>
      <c r="D265" s="110" t="inlineStr">
        <is>
          <t xml:space="preserve">Кр-99041022-1</t>
        </is>
      </c>
      <c r="E265" s="110" t="inlineStr">
        <is>
          <t xml:space="preserve">G’AFFOROV IXTIYOR UMAROVICH</t>
        </is>
      </c>
      <c r="F265" s="110" t="inlineStr">
        <is>
          <t xml:space="preserve">+998939071026 O’ZI, 998912275852 O’G’LI, 998947846809 OILASI,</t>
        </is>
      </c>
      <c r="G265" s="110" t="inlineStr">
        <is>
          <t xml:space="preserve">СЕВАЗ МФЙ, САРИОСИЁ ҚИШЛОҒИ,  uy:Р/С</t>
        </is>
      </c>
      <c r="H265" s="111">
        <v>12.0</v>
      </c>
      <c r="I265" s="111">
        <v>3582105.3</v>
      </c>
      <c r="K265" s="110" t="inlineStr">
        <is>
          <t xml:space="preserve">Uyiga borildi - va'da berdi</t>
        </is>
      </c>
    </row>
    <row r="266">
      <c r="A266" s="110" t="inlineStr">
        <is>
          <t xml:space="preserve">КАШКАДАРЁ ВИЛОЯТИ</t>
        </is>
      </c>
      <c r="B266" s="110" t="inlineStr">
        <is>
          <t xml:space="preserve">Қарши филиали</t>
        </is>
      </c>
      <c r="C266" s="110" t="inlineStr">
        <is>
          <t xml:space="preserve">Недозвон</t>
        </is>
      </c>
      <c r="D266" s="110" t="inlineStr">
        <is>
          <t xml:space="preserve">Кр-99046080-1</t>
        </is>
      </c>
      <c r="E266" s="110" t="inlineStr">
        <is>
          <t xml:space="preserve">RUZIQULOVA NILUFAR RO’ZIMURADOVNA</t>
        </is>
      </c>
      <c r="F266" s="110" t="inlineStr">
        <is>
          <t xml:space="preserve">+998502005343 UZI, 998977579591 SMS BOJASI, 998994044664 SMS AKASI,</t>
        </is>
      </c>
      <c r="G266" s="110" t="inlineStr">
        <is>
          <t xml:space="preserve">КАШКАДАРЁ ВИЛОЯТИ КАРШИ ШАХРИ 4-митти туман 6-дом 52-хонадон</t>
        </is>
      </c>
      <c r="H266" s="111">
        <v>8.0</v>
      </c>
      <c r="I266" s="111">
        <v>3480401.09</v>
      </c>
      <c r="K266" s="110" t="inlineStr">
        <is>
          <t xml:space="preserve">Telefon ko'tarmadi | sms yuborildi</t>
        </is>
      </c>
    </row>
    <row r="267">
      <c r="A267" s="110" t="inlineStr">
        <is>
          <t xml:space="preserve">КАШКАДАРЁ ВИЛОЯТИ</t>
        </is>
      </c>
      <c r="B267" s="110" t="inlineStr">
        <is>
          <t xml:space="preserve">Қарши филиали</t>
        </is>
      </c>
      <c r="C267" s="110" t="inlineStr">
        <is>
          <t xml:space="preserve">Недозвон</t>
        </is>
      </c>
      <c r="D267" s="110" t="inlineStr">
        <is>
          <t xml:space="preserve">Кр-99028918-2</t>
        </is>
      </c>
      <c r="E267" s="110" t="inlineStr">
        <is>
          <t xml:space="preserve">BOYMIRZAYEV KOMIL ESHBURIYEVICH</t>
        </is>
      </c>
      <c r="F267" s="110" t="inlineStr">
        <is>
          <t xml:space="preserve">99-021-80-33 sms OZI, 88-950-63-23 sms, 77-127-38-18 sms, 99-084-81-33 sms, 998880682120 SMS UKASI, 998972902022 SMS AKASI,</t>
        </is>
      </c>
      <c r="G267" s="110" t="inlineStr">
        <is>
          <t xml:space="preserve">QASHQADARYO VIL QARSH TUM MANG’IT QISHLOQI BOBUR KO’CH 23</t>
        </is>
      </c>
      <c r="H267" s="111">
        <v>5.0</v>
      </c>
      <c r="I267" s="111">
        <v>3321424.37</v>
      </c>
      <c r="K267" s="110" t="inlineStr">
        <is>
          <t xml:space="preserve">Telefon ko'tarmadi | tlgdan aloqaga chiqdim</t>
        </is>
      </c>
    </row>
    <row r="268">
      <c r="A268" s="110" t="inlineStr">
        <is>
          <t xml:space="preserve">КАШКАДАРЁ ВИЛОЯТИ</t>
        </is>
      </c>
      <c r="B268" s="110" t="inlineStr">
        <is>
          <t xml:space="preserve">Қарши филиали</t>
        </is>
      </c>
      <c r="C268" s="110" t="inlineStr">
        <is>
          <t xml:space="preserve">Недозвон</t>
        </is>
      </c>
      <c r="D268" s="110" t="inlineStr">
        <is>
          <t xml:space="preserve">Кр-99063524-1</t>
        </is>
      </c>
      <c r="E268" s="110" t="inlineStr">
        <is>
          <t xml:space="preserve">XUDOYNAZAROV ABDIVALI RUZMAMADOVICH</t>
        </is>
      </c>
      <c r="F268" s="110" t="inlineStr">
        <is>
          <t xml:space="preserve">+998990387434 SMS BEGONA, 998888612170 SMS O'ZI,</t>
        </is>
      </c>
      <c r="G268" s="110" t="inlineStr">
        <is>
          <t xml:space="preserve">КАШКАДАРЁ ВИЛОЯТИ МИРИШКОР ТУМАНИ ЧАНДИР МФЙ ОБОД КУЧАСИ 12-УЙ</t>
        </is>
      </c>
      <c r="H268" s="111">
        <v>8.0</v>
      </c>
      <c r="I268" s="111">
        <v>2744455.57</v>
      </c>
      <c r="K268" s="110" t="inlineStr">
        <is>
          <t xml:space="preserve">Telefon ko'tarmadi | sms yuborildi</t>
        </is>
      </c>
    </row>
    <row r="269">
      <c r="A269" s="110" t="inlineStr">
        <is>
          <t xml:space="preserve">КАШКАДАРЁ ВИЛОЯТИ</t>
        </is>
      </c>
      <c r="B269" s="110" t="inlineStr">
        <is>
          <t xml:space="preserve">Қарши филиали</t>
        </is>
      </c>
      <c r="C269" s="110" t="inlineStr">
        <is>
          <t xml:space="preserve">Объезд</t>
        </is>
      </c>
      <c r="D269" s="110" t="inlineStr">
        <is>
          <t xml:space="preserve">Кр-99041223-1</t>
        </is>
      </c>
      <c r="E269" s="110" t="inlineStr">
        <is>
          <t xml:space="preserve">ERMUMINOVA GULISTON YAKUBOVNA</t>
        </is>
      </c>
      <c r="F269" s="110" t="inlineStr">
        <is>
          <t xml:space="preserve">+998958859893 UZI, 998915604344 UKASI, 998973930817 ERI, 998973830817 SMS ,</t>
        </is>
      </c>
      <c r="G269" s="110" t="inlineStr">
        <is>
          <t xml:space="preserve">КАШКАДАРЁ ВИЛОЯТИ ГУЗОР ТУМАНИ Пахтазор МФЙ, Лолазор қишлоғи, 980-уй</t>
        </is>
      </c>
      <c r="H269" s="111">
        <v>8.0</v>
      </c>
      <c r="I269" s="111">
        <v>2634596.96</v>
      </c>
      <c r="K269" s="110" t="inlineStr">
        <is>
          <t xml:space="preserve">Uyiga borildi - va'da berdi</t>
        </is>
      </c>
    </row>
    <row r="270">
      <c r="A270" s="110" t="inlineStr">
        <is>
          <t xml:space="preserve">КАШКАДАРЁ ВИЛОЯТИ</t>
        </is>
      </c>
      <c r="B270" s="110" t="inlineStr">
        <is>
          <t xml:space="preserve">Қарши филиали</t>
        </is>
      </c>
      <c r="C270" s="110" t="inlineStr">
        <is>
          <t xml:space="preserve">Недозвон</t>
        </is>
      </c>
      <c r="D270" s="110" t="inlineStr">
        <is>
          <t xml:space="preserve">Кр-99064012-1</t>
        </is>
      </c>
      <c r="E270" s="110" t="inlineStr">
        <is>
          <t xml:space="preserve">HAYDAROV SHOHRUH TILOV O’G’LI</t>
        </is>
      </c>
      <c r="F270" s="110" t="inlineStr">
        <is>
          <t xml:space="preserve">+998913223785 SMS , 998908894449 SMS , 998992943785 SMS ,</t>
        </is>
      </c>
      <c r="G270" s="110" t="inlineStr">
        <is>
          <t xml:space="preserve">КАШКАДАРЁ ВИЛОЯТИ КАРШИ ШАХРИ ЧАРМГАР МФЙ КУПРИК БОШИ КУЧАСИ 83-УЙ</t>
        </is>
      </c>
      <c r="H270" s="111">
        <v>8.0</v>
      </c>
      <c r="I270" s="111">
        <v>2557773.8</v>
      </c>
      <c r="K270" s="110" t="inlineStr">
        <is>
          <t xml:space="preserve">Telefon ko'tarmadi | sms yuborildi</t>
        </is>
      </c>
    </row>
    <row r="271">
      <c r="A271" s="110" t="inlineStr">
        <is>
          <t xml:space="preserve">КАШКАДАРЁ ВИЛОЯТИ</t>
        </is>
      </c>
      <c r="B271" s="110" t="inlineStr">
        <is>
          <t xml:space="preserve">Қарши филиали</t>
        </is>
      </c>
      <c r="C271" s="110" t="inlineStr">
        <is>
          <t xml:space="preserve">Недозвон</t>
        </is>
      </c>
      <c r="D271" s="110" t="inlineStr">
        <is>
          <t xml:space="preserve">Кр-99031640-1</t>
        </is>
      </c>
      <c r="E271" s="110" t="inlineStr">
        <is>
          <t xml:space="preserve">XO’JAMURODOV ILYOS AHMADOVICH</t>
        </is>
      </c>
      <c r="F271" s="110" t="inlineStr">
        <is>
          <t xml:space="preserve">50-755-84-04  SMS O’ZI, 95-939-91-01  SMS OILASI, 998990919688 SMS TO'LOVCHI AYOLI, 998990910625 SMS TOG'ASI, 998935474488 SMS TO'LOVCHI,</t>
        </is>
      </c>
      <c r="G271" s="110" t="inlineStr">
        <is>
          <t xml:space="preserve">QASHQADARYO VILOYATI NISHON TUMANI GULIBODAM MFY QIRQILOCH QISHLOG’I</t>
        </is>
      </c>
      <c r="H271" s="111">
        <v>5.0</v>
      </c>
      <c r="I271" s="111">
        <v>2210697.42</v>
      </c>
      <c r="K271" s="110" t="inlineStr">
        <is>
          <t xml:space="preserve">Telefon ko'tarmadi | sms yozvordim</t>
        </is>
      </c>
    </row>
    <row r="272">
      <c r="A272" s="110" t="inlineStr">
        <is>
          <t xml:space="preserve">КАШКАДАРЁ ВИЛОЯТИ</t>
        </is>
      </c>
      <c r="B272" s="110" t="inlineStr">
        <is>
          <t xml:space="preserve">Қарши филиали</t>
        </is>
      </c>
      <c r="C272" s="110" t="inlineStr">
        <is>
          <t xml:space="preserve">Недозвон</t>
        </is>
      </c>
      <c r="D272" s="110" t="inlineStr">
        <is>
          <t xml:space="preserve">Кр-99062919-1</t>
        </is>
      </c>
      <c r="E272" s="110" t="inlineStr">
        <is>
          <t xml:space="preserve">BOYMUXAMMEDOVA MAXFO’ZA BAXODIR QIZI</t>
        </is>
      </c>
      <c r="F272" s="110" t="inlineStr">
        <is>
          <t xml:space="preserve">+998947220193 SMS O'ZI, 998934240087 SMS, 998942936722 SMS,</t>
        </is>
      </c>
      <c r="G272" s="110" t="inlineStr">
        <is>
          <t xml:space="preserve">КАШКАДАРЁ ВИЛОЯТИ MUBORAK TUMANI САРИК МФЙ ШЕЙХ КУЧАСИ 30-УЙ</t>
        </is>
      </c>
      <c r="H272" s="111">
        <v>8.0</v>
      </c>
      <c r="I272" s="111">
        <v>2104927.26</v>
      </c>
      <c r="K272" s="110" t="inlineStr">
        <is>
          <t xml:space="preserve">Telefon ko'tarmadi | sms yuborildi</t>
        </is>
      </c>
    </row>
    <row r="273">
      <c r="A273" s="110" t="inlineStr">
        <is>
          <t xml:space="preserve">КАШКАДАРЁ ВИЛОЯТИ</t>
        </is>
      </c>
      <c r="B273" s="110" t="inlineStr">
        <is>
          <t xml:space="preserve">Қарши филиали</t>
        </is>
      </c>
      <c r="C273" s="110" t="inlineStr">
        <is>
          <t xml:space="preserve">Недозвон</t>
        </is>
      </c>
      <c r="D273" s="110" t="inlineStr">
        <is>
          <t xml:space="preserve">Кр-99046551-1</t>
        </is>
      </c>
      <c r="E273" s="110" t="inlineStr">
        <is>
          <t xml:space="preserve">SHAYQULOV BOBIR SOBIROVICH</t>
        </is>
      </c>
      <c r="F273" s="110" t="inlineStr">
        <is>
          <t xml:space="preserve">+998949855955 UZI, 998880729193 UZI,</t>
        </is>
      </c>
      <c r="G273" s="110" t="inlineStr">
        <is>
          <t xml:space="preserve">КАШКАДАРЁ ВИЛОЯТИ КАРШИ ШАХРИ МУЖАГУЛ КУЧАСИ 20 УЙ</t>
        </is>
      </c>
      <c r="H273" s="111">
        <v>8.0</v>
      </c>
      <c r="I273" s="111">
        <v>1965971.24</v>
      </c>
      <c r="K273" s="110" t="inlineStr">
        <is>
          <t xml:space="preserve">Telefon ko'tarmadi | sms yuborildi</t>
        </is>
      </c>
    </row>
    <row r="274">
      <c r="A274" s="110" t="inlineStr">
        <is>
          <t xml:space="preserve">КАШКАДАРЁ ВИЛОЯТИ</t>
        </is>
      </c>
      <c r="B274" s="110" t="inlineStr">
        <is>
          <t xml:space="preserve">Қарши филиали</t>
        </is>
      </c>
      <c r="C274" s="110" t="inlineStr">
        <is>
          <t xml:space="preserve">Объезд</t>
        </is>
      </c>
      <c r="D274" s="110" t="inlineStr">
        <is>
          <t xml:space="preserve">Кр-99029105-1</t>
        </is>
      </c>
      <c r="E274" s="110" t="inlineStr">
        <is>
          <t xml:space="preserve">MAHMUDOV OLIM OTAQULOVICH</t>
        </is>
      </c>
      <c r="F274" s="110" t="inlineStr">
        <is>
          <t xml:space="preserve">95-178-02-25 SMS OZI TULOVCHISI, 99-152-62-55 SMS ONASI, 97-803-97-77  SMS AYOLI, 97-743-33-66 SMS ZALOGADATEL, 98-366-82-72 SMS ZALOGADATEL, 998777420100 UZI NEWW,</t>
        </is>
      </c>
      <c r="G274" s="110" t="inlineStr">
        <is>
          <t xml:space="preserve">QASHQADARYO VILOYATI QARSHI TUMANI CHAROG'ON QFY 33-UY</t>
        </is>
      </c>
      <c r="H274" s="111">
        <v>12.0</v>
      </c>
      <c r="I274" s="111">
        <v>1223525.66</v>
      </c>
      <c r="J274" s="111">
        <v>1223525.66</v>
      </c>
      <c r="K274" s="110" t="inlineStr">
        <is>
          <t xml:space="preserve">Uyiga borildi - to'ladi</t>
        </is>
      </c>
    </row>
    <row r="275">
      <c r="A275" s="110" t="inlineStr">
        <is>
          <t xml:space="preserve">КАШКАДАРЁ ВИЛОЯТИ</t>
        </is>
      </c>
      <c r="B275" s="110" t="inlineStr">
        <is>
          <t xml:space="preserve">Қарши филиали</t>
        </is>
      </c>
      <c r="C275" s="110" t="inlineStr">
        <is>
          <t xml:space="preserve">Недозвон</t>
        </is>
      </c>
      <c r="D275" s="110" t="inlineStr">
        <is>
          <t xml:space="preserve">Кр-99019873-8</t>
        </is>
      </c>
      <c r="E275" s="110" t="inlineStr">
        <is>
          <t xml:space="preserve">ARZIQULOV ELBOY ABDIXALILOVICH</t>
        </is>
      </c>
      <c r="F275" s="110" t="inlineStr">
        <is>
          <t xml:space="preserve">93-525-18-21  SMS UZI, 99-112-18-21  SMS UY, 97-677-70-67  SMS ONASI, 90-868-80-28  SMS DADASI, +998991121821 Primary phone from road24, 998991121821 Primary phone from road24,</t>
        </is>
      </c>
      <c r="G275" s="110" t="inlineStr">
        <is>
          <t xml:space="preserve">Кашкадарьинская область, Камашинский район, Рабод МСГ, ул. Окработ, дом 61</t>
        </is>
      </c>
      <c r="H275" s="111">
        <v>1.0</v>
      </c>
      <c r="I275" s="111">
        <v>1167106.15</v>
      </c>
      <c r="K275" s="110" t="inlineStr">
        <is>
          <t xml:space="preserve">Telefon ko'tarmadi | sms yozvordm</t>
        </is>
      </c>
    </row>
    <row r="276">
      <c r="A276" s="110" t="inlineStr">
        <is>
          <t xml:space="preserve">КАШКАДАРЁ ВИЛОЯТИ</t>
        </is>
      </c>
      <c r="B276" s="110" t="inlineStr">
        <is>
          <t xml:space="preserve">Қарши филиали</t>
        </is>
      </c>
      <c r="C276" s="110" t="inlineStr">
        <is>
          <t xml:space="preserve">Недозвон</t>
        </is>
      </c>
      <c r="D276" s="110" t="inlineStr">
        <is>
          <t xml:space="preserve">Кр-99064087-1</t>
        </is>
      </c>
      <c r="E276" s="110" t="inlineStr">
        <is>
          <t xml:space="preserve">ARABOV ERKIN OLTIYEVICH</t>
        </is>
      </c>
      <c r="F276" s="110" t="inlineStr">
        <is>
          <t xml:space="preserve">998916420404 SMS Tanishi, 998972297246 SMS  O'zi, 998977202956 SMS  eski hamkasbi,</t>
        </is>
      </c>
      <c r="G276" s="110" t="inlineStr">
        <is>
          <t xml:space="preserve">КАШКАДАРЁ ВИЛОЯТИ КАРШИ ТУМАНИ НАВРУЗ МФЙ Х.ШЕРОЗИЙ КУЧАСИ 3-УЙ</t>
        </is>
      </c>
      <c r="H276" s="111">
        <v>8.0</v>
      </c>
      <c r="I276" s="111">
        <v>514746.88</v>
      </c>
      <c r="K276" s="110" t="inlineStr">
        <is>
          <t xml:space="preserve">Telefon ko'tarmadi | sms yuborildi</t>
        </is>
      </c>
    </row>
    <row r="277">
      <c r="A277" s="112" t="inlineStr">
        <is>
          <t xml:space="preserve">КОРАКАЛПОГИСТОН РЕСПУБЛИКАСИ</t>
        </is>
      </c>
      <c r="C277" s="112" t="inlineStr">
        <is>
          <t xml:space="preserve">Объезд</t>
        </is>
      </c>
      <c r="D277" s="112" t="inlineStr">
        <is>
          <t xml:space="preserve">Кр-99060325-1</t>
        </is>
      </c>
      <c r="E277" s="112" t="inlineStr">
        <is>
          <t xml:space="preserve">SABIROVA NAZOKAT ORAZBAEVNA</t>
        </is>
      </c>
      <c r="F277" s="112" t="inlineStr">
        <is>
          <t xml:space="preserve">998972205225 узи, 998913829870 аели, 998887555225 кизи, 998882552552 кизи,</t>
        </is>
      </c>
      <c r="G277" s="112" t="inlineStr">
        <is>
          <t xml:space="preserve">QORAQALPOGISTON RES NUKUS SHAHAR NAUBAXAR MFY NAUKANSHILAR KUSHASI 18 UY </t>
        </is>
      </c>
      <c r="H277" s="113">
        <v>102.0</v>
      </c>
      <c r="I277" s="113">
        <v>61887849.62</v>
      </c>
      <c r="K277" s="112" t="inlineStr">
        <is>
          <t xml:space="preserve">uyiga borildi MIBGA CHIQARILDI UYINI OLIB QO'YISHADI | 1518 | Telefon ko'tarmadi</t>
        </is>
      </c>
    </row>
    <row r="278">
      <c r="A278" s="112" t="inlineStr">
        <is>
          <t xml:space="preserve">КОРАКАЛПОГИСТОН РЕСПУБЛИКАСИ</t>
        </is>
      </c>
      <c r="C278" s="112" t="inlineStr">
        <is>
          <t xml:space="preserve">Недозвон</t>
        </is>
      </c>
      <c r="D278" s="112" t="inlineStr">
        <is>
          <t xml:space="preserve">Кр-99062730-1</t>
        </is>
      </c>
      <c r="E278" s="112" t="inlineStr">
        <is>
          <t xml:space="preserve">ABATOV ABDIJAMSHIT ABATOVICH</t>
        </is>
      </c>
      <c r="F278" s="112" t="inlineStr">
        <is>
          <t xml:space="preserve">998905940750 SMS ONASI, 998905943727 SMS OZI, 998913740123 SMS OZI 2, 998913919850 SMS AYOLI,</t>
        </is>
      </c>
      <c r="G278" s="112" t="inlineStr">
        <is>
          <t xml:space="preserve">QORAQALPOG’SITON NUKUS  SHAHRI UZUNKO’L MFY TABIS KOCHASI 43 UY</t>
        </is>
      </c>
      <c r="H278" s="113">
        <v>11.0</v>
      </c>
      <c r="I278" s="113">
        <v>11299807.26</v>
      </c>
      <c r="K278" s="112" t="inlineStr">
        <is>
          <t xml:space="preserve">KO'TARMADI | 1612 | Uyiga borildi - va'da berdi</t>
        </is>
      </c>
    </row>
    <row r="279">
      <c r="A279" s="112" t="inlineStr">
        <is>
          <t xml:space="preserve">КОРАКАЛПОГИСТОН РЕСПУБЛИКАСИ</t>
        </is>
      </c>
      <c r="C279" s="112" t="inlineStr">
        <is>
          <t xml:space="preserve">Недозвон</t>
        </is>
      </c>
      <c r="D279" s="112" t="inlineStr">
        <is>
          <t xml:space="preserve">Кр-99062698-1</t>
        </is>
      </c>
      <c r="E279" s="112" t="inlineStr">
        <is>
          <t xml:space="preserve">ABDUALIYEV ABDIBAY ABDIRXANOVICH</t>
        </is>
      </c>
      <c r="F279" s="112" t="inlineStr">
        <is>
          <t xml:space="preserve">998997887003 SSM OZI, 998973546546 SMS AYOLI, 998991807003 SMS OGLI, 999877880239 SMS OGLI 2,</t>
        </is>
      </c>
      <c r="G279" s="112" t="inlineStr">
        <is>
          <t xml:space="preserve">QORAQALPOGISTON RES NUKUS SHAHAR AMUDARYO MFY SARI KOL KUSHASI 30 UY </t>
        </is>
      </c>
      <c r="H279" s="113">
        <v>13.0</v>
      </c>
      <c r="I279" s="113">
        <v>9818349.74</v>
      </c>
      <c r="K279" s="112" t="inlineStr">
        <is>
          <t xml:space="preserve">UYIDA HECH KIM YUQ ISH JOYIDA HECH KIM YUQ tel ko'tarmedi | 1607 | Telefon ko'tarmadi</t>
        </is>
      </c>
    </row>
    <row r="280">
      <c r="A280" s="112" t="inlineStr">
        <is>
          <t xml:space="preserve">КОРАКАЛПОГИСТОН РЕСПУБЛИКАСИ</t>
        </is>
      </c>
      <c r="C280" s="112" t="inlineStr">
        <is>
          <t xml:space="preserve">Недозвон</t>
        </is>
      </c>
      <c r="D280" s="112" t="inlineStr">
        <is>
          <t xml:space="preserve">Кр-99041232-2</t>
        </is>
      </c>
      <c r="E280" s="112" t="inlineStr">
        <is>
          <t xml:space="preserve">SHILMANOV TAXIR BAXTIYAROVICH</t>
        </is>
      </c>
      <c r="F280" s="112" t="inlineStr">
        <is>
          <t xml:space="preserve">998912677077 SMS OZI, 998904224422 SMS DOSTI, 998919277077 SMS DOSTI2, 998912657077 SMS DSTI 3,</t>
        </is>
      </c>
      <c r="G280" s="112" t="inlineStr">
        <is>
          <t xml:space="preserve">QORAQALPOGISTON RESPUBLIKASI NUKUS SHAHAR ALMAZAR MFY XAQIYQATLIQ KUCHASI 7/2</t>
        </is>
      </c>
      <c r="H280" s="113">
        <v>1.0</v>
      </c>
      <c r="I280" s="113">
        <v>6742573.64</v>
      </c>
      <c r="K280" s="112" t="inlineStr">
        <is>
          <t xml:space="preserve">KO'TARMADI | 1075 | Telefon ko'tarmadi</t>
        </is>
      </c>
    </row>
    <row r="281">
      <c r="A281" s="112" t="inlineStr">
        <is>
          <t xml:space="preserve">КОРАКАЛПОГИСТОН РЕСПУБЛИКАСИ</t>
        </is>
      </c>
      <c r="C281" s="112" t="inlineStr">
        <is>
          <t xml:space="preserve">Объезд</t>
        </is>
      </c>
      <c r="D281" s="112" t="inlineStr">
        <is>
          <t xml:space="preserve">Кр-99056113-1</t>
        </is>
      </c>
      <c r="E281" s="112" t="inlineStr">
        <is>
          <t xml:space="preserve">TAJIMURATOVA NASIBA JUMAMBETOVNA</t>
        </is>
      </c>
      <c r="F281" s="112" t="inlineStr">
        <is>
          <t xml:space="preserve">998959469019 SMS OZI , 998880042678 SMS OZI 2, 998902625683 SMS OZI 3,</t>
        </is>
      </c>
      <c r="G281" s="112" t="inlineStr">
        <is>
          <t xml:space="preserve">QARAQALPOGISTON RES NUKUS SHAHAR DOSLIQ GUZARI MFY A.DOSNAZAROV KUSHASI 131 UY  28 KVARTIRA </t>
        </is>
      </c>
      <c r="H281" s="113">
        <v>8.0</v>
      </c>
      <c r="I281" s="113">
        <v>5902766.05</v>
      </c>
      <c r="K281" s="112" t="inlineStr">
        <is>
          <t xml:space="preserve">AKASI BN GAPLASJDIM 20KUNI TO'LAYMAN UNDAN OLDIN ILOJIM YUQ DEDI TUSHUNTIRDIM PENYA QO'SHILADI QIYNALASIZ DEB | 1398 | Uyiga borildi - va'da berdi</t>
        </is>
      </c>
    </row>
    <row r="282">
      <c r="A282" s="112" t="inlineStr">
        <is>
          <t xml:space="preserve">КОРАКАЛПОГИСТОН РЕСПУБЛИКАСИ</t>
        </is>
      </c>
      <c r="C282" s="112" t="inlineStr">
        <is>
          <t xml:space="preserve">Объезд</t>
        </is>
      </c>
      <c r="D282" s="112" t="inlineStr">
        <is>
          <t xml:space="preserve">Кр-99063474-1</t>
        </is>
      </c>
      <c r="E282" s="112" t="inlineStr">
        <is>
          <t xml:space="preserve">AMETOV MIRZABEK SEYDAMETOVICH</t>
        </is>
      </c>
      <c r="F282" s="112" t="inlineStr">
        <is>
          <t xml:space="preserve">998905945510 KELINI, 998913070180 OZI, 998913931343 OGLI,</t>
        </is>
      </c>
      <c r="G282" s="112" t="inlineStr">
        <is>
          <t xml:space="preserve">Кораколрогистон Рес Нукус щахар Ана сай МФЙ, Назархан кучаси, 10-уй</t>
        </is>
      </c>
      <c r="H282" s="113">
        <v>8.0</v>
      </c>
      <c r="I282" s="113">
        <v>5689954.06</v>
      </c>
      <c r="K282" s="112" t="inlineStr">
        <is>
          <t xml:space="preserve">1782 | Uyiga borildi - va'da berdi</t>
        </is>
      </c>
    </row>
    <row r="283">
      <c r="A283" s="112" t="inlineStr">
        <is>
          <t xml:space="preserve">КОРАКАЛПОГИСТОН РЕСПУБЛИКАСИ</t>
        </is>
      </c>
      <c r="C283" s="112" t="inlineStr">
        <is>
          <t xml:space="preserve">Недозвон</t>
        </is>
      </c>
      <c r="D283" s="112" t="inlineStr">
        <is>
          <t xml:space="preserve">Кр-99042637-1</t>
        </is>
      </c>
      <c r="E283" s="112" t="inlineStr">
        <is>
          <t xml:space="preserve">ASKAROVA ULZADA DJAKSIMURATOVNA</t>
        </is>
      </c>
      <c r="F283" s="112" t="inlineStr">
        <is>
          <t xml:space="preserve">998332704595 KELINI, 998913068791 QIZI, 998913906944 OZI,</t>
        </is>
      </c>
      <c r="G283" s="112" t="inlineStr">
        <is>
          <t xml:space="preserve">Кун нуры МФЙ, Мархамат кучаси, 10-уй</t>
        </is>
      </c>
      <c r="H283" s="113">
        <v>8.0</v>
      </c>
      <c r="I283" s="113">
        <v>5046335.37</v>
      </c>
      <c r="K283" s="112" t="inlineStr">
        <is>
          <t xml:space="preserve">QIZI TO'LOVCHI TOSHKENTDA YASHAYDI | 1164 | Telefon ko'tarmadi</t>
        </is>
      </c>
    </row>
    <row r="284">
      <c r="A284" s="112" t="inlineStr">
        <is>
          <t xml:space="preserve">КОРАКАЛПОГИСТОН РЕСПУБЛИКАСИ</t>
        </is>
      </c>
      <c r="C284" s="112" t="inlineStr">
        <is>
          <t xml:space="preserve">Объезд</t>
        </is>
      </c>
      <c r="D284" s="112" t="inlineStr">
        <is>
          <t xml:space="preserve">Кр-99062628-1</t>
        </is>
      </c>
      <c r="E284" s="112" t="inlineStr">
        <is>
          <t xml:space="preserve">QALEKEEV QURBANBAY GENJEMURATOVICH</t>
        </is>
      </c>
      <c r="F284" s="112" t="inlineStr">
        <is>
          <t xml:space="preserve">998337368081 OZI, 998912685205 AYOLI, 998996892535 OGLI, 998997573480 OGLI,</t>
        </is>
      </c>
      <c r="G284" s="112" t="inlineStr">
        <is>
          <t xml:space="preserve">QORAQALPOGISTON RES SHUMANAY TUMANI NAWRIZ MFY OZBEKISTAN KUSHASI 14 UY </t>
        </is>
      </c>
      <c r="H284" s="113">
        <v>12.0</v>
      </c>
      <c r="I284" s="113">
        <v>4175733.35</v>
      </c>
      <c r="K284" s="112" t="inlineStr">
        <is>
          <t xml:space="preserve">FILIAL BORDI  20KUNI AVANSDAN TASHAB BERAMAN DEDILA | 1591 | Va'da berdi</t>
        </is>
      </c>
    </row>
    <row r="285">
      <c r="A285" s="112" t="inlineStr">
        <is>
          <t xml:space="preserve">КОРАКАЛПОГИСТОН РЕСПУБЛИКАСИ</t>
        </is>
      </c>
      <c r="C285" s="112" t="inlineStr">
        <is>
          <t xml:space="preserve">Объезд</t>
        </is>
      </c>
      <c r="D285" s="112" t="inlineStr">
        <is>
          <t xml:space="preserve">Кр-99046306-1</t>
        </is>
      </c>
      <c r="E285" s="112" t="inlineStr">
        <is>
          <t xml:space="preserve">ALLAMURATOV SIPATDIN SHARAFATDINOVICH</t>
        </is>
      </c>
      <c r="F285" s="112" t="inlineStr">
        <is>
          <t xml:space="preserve">+998940899406 SMS OZI, 998886095115 SMS OPASI, 998997899406 SMS AYOLI, 998887068994 ayoli neww,</t>
        </is>
      </c>
      <c r="G285" s="112" t="inlineStr">
        <is>
          <t xml:space="preserve">Жаслык кучаси 24 уй</t>
        </is>
      </c>
      <c r="H285" s="113">
        <v>8.0</v>
      </c>
      <c r="I285" s="113">
        <v>3629261.09</v>
      </c>
      <c r="K285" s="112" t="inlineStr">
        <is>
          <t xml:space="preserve">QOZOQDA BUGUN TO'LOV QILISHADI EKAN | 1239 | Uyiga borildi - to'ladi</t>
        </is>
      </c>
    </row>
    <row r="286">
      <c r="A286" s="112" t="inlineStr">
        <is>
          <t xml:space="preserve">КОРАКАЛПОГИСТОН РЕСПУБЛИКАСИ</t>
        </is>
      </c>
      <c r="C286" s="112" t="inlineStr">
        <is>
          <t xml:space="preserve">Объезд</t>
        </is>
      </c>
      <c r="D286" s="112" t="inlineStr">
        <is>
          <t xml:space="preserve">Кр-99057361-1</t>
        </is>
      </c>
      <c r="E286" s="112" t="inlineStr">
        <is>
          <t xml:space="preserve">KULUMBETOVA ZIYADA JUMABAYEVNA</t>
        </is>
      </c>
      <c r="F286" s="112" t="inlineStr">
        <is>
          <t xml:space="preserve">998906500325 oZI, 990977988897 o'G'LI, 998551084615 UY, 998972291204 QIZI,</t>
        </is>
      </c>
      <c r="G286" s="112" t="inlineStr">
        <is>
          <t xml:space="preserve">QORAQALPOGISTON RESPUBLIKASI XOJAYLI TUMANI</t>
        </is>
      </c>
      <c r="H286" s="113">
        <v>8.0</v>
      </c>
      <c r="I286" s="113">
        <v>3176244.66</v>
      </c>
      <c r="K286" s="112" t="inlineStr">
        <is>
          <t xml:space="preserve">KUYOVI BALNESAGA TUSHIB QOLIBDI 20-25GA TO'LOV QILIB BERAMAN DEDILA | 1429 | Uyiga borildi - va'da berdi</t>
        </is>
      </c>
    </row>
    <row r="287">
      <c r="A287" s="112" t="inlineStr">
        <is>
          <t xml:space="preserve">КОРАКАЛПОГИСТОН РЕСПУБЛИКАСИ</t>
        </is>
      </c>
      <c r="C287" s="112" t="inlineStr">
        <is>
          <t xml:space="preserve">Объезд</t>
        </is>
      </c>
      <c r="D287" s="112" t="inlineStr">
        <is>
          <t xml:space="preserve">Кр-99062824-1</t>
        </is>
      </c>
      <c r="E287" s="112" t="inlineStr">
        <is>
          <t xml:space="preserve">ALIYEV KUDIYAR ALLIYAROVICH</t>
        </is>
      </c>
      <c r="F287" s="112" t="inlineStr">
        <is>
          <t xml:space="preserve">998933611148 SMS OANSI, 998972904286 SMS OZI, 998991623511 SMS AYOLI, 998991633511 SMS QIZI,</t>
        </is>
      </c>
      <c r="G287" s="112" t="inlineStr">
        <is>
          <t xml:space="preserve">QORAQOLPAGISTON RESPUBLIKASI NUKUS AMUDARYA MFY ELIM BAR KOCHASI 35-UY</t>
        </is>
      </c>
      <c r="H287" s="113">
        <v>8.0</v>
      </c>
      <c r="I287" s="113">
        <v>2755016.55</v>
      </c>
      <c r="K287" s="112" t="inlineStr">
        <is>
          <t xml:space="preserve">1632 | Uyiga borildi</t>
        </is>
      </c>
    </row>
    <row r="288">
      <c r="A288" s="112" t="inlineStr">
        <is>
          <t xml:space="preserve">КОРАКАЛПОГИСТОН РЕСПУБЛИКАСИ</t>
        </is>
      </c>
      <c r="C288" s="112" t="inlineStr">
        <is>
          <t xml:space="preserve">Недозвон</t>
        </is>
      </c>
      <c r="D288" s="112" t="inlineStr">
        <is>
          <t xml:space="preserve">Кр-99064007-1</t>
        </is>
      </c>
      <c r="E288" s="112" t="inlineStr">
        <is>
          <t xml:space="preserve">BAYMANOV JABBORBERGAN CHARSHAMBAYEVICH</t>
        </is>
      </c>
      <c r="F288" s="112" t="inlineStr">
        <is>
          <t xml:space="preserve">998775502106 OGLI, 998876700430 OGLI, 998887687400 OZI,</t>
        </is>
      </c>
      <c r="G288" s="112" t="inlineStr">
        <is>
          <t xml:space="preserve">QORAQALPOGISTON RES AMUDARYO TUMANI ORTA QALA OFY 12- KITOB KOSHASI 1 UY</t>
        </is>
      </c>
      <c r="H288" s="113">
        <v>8.0</v>
      </c>
      <c r="I288" s="113">
        <v>2562683.96</v>
      </c>
      <c r="K288" s="112" t="inlineStr">
        <is>
          <t xml:space="preserve">20KUNI TO'LOV QILAMAN OYLIGIMMI OVOLEY XUSUSIY TASHKILOTDA ISHLEMAN DEDI | 1863</t>
        </is>
      </c>
    </row>
    <row r="289">
      <c r="A289" s="112" t="inlineStr">
        <is>
          <t xml:space="preserve">КОРАКАЛПОГИСТОН РЕСПУБЛИКАСИ</t>
        </is>
      </c>
      <c r="C289" s="112" t="inlineStr">
        <is>
          <t xml:space="preserve">Недозвон</t>
        </is>
      </c>
      <c r="D289" s="112" t="inlineStr">
        <is>
          <t xml:space="preserve">Кр-99047619-1</t>
        </is>
      </c>
      <c r="E289" s="112" t="inlineStr">
        <is>
          <t xml:space="preserve">BEKMURATOV ARAPBAY JUMABAEVICH</t>
        </is>
      </c>
      <c r="F289" s="112" t="inlineStr">
        <is>
          <t xml:space="preserve">998907023971 OZI, 998912717211 OYALI, 998991019597 OGLI, 998771441995 OGLI NEWWW,</t>
        </is>
      </c>
      <c r="G289" s="112" t="inlineStr">
        <is>
          <t xml:space="preserve">Qaraqalpogiston Respublikasi Xojayli tumani Bunyodkor MFY Ramazan kushasi 32 uy</t>
        </is>
      </c>
      <c r="H289" s="113">
        <v>8.0</v>
      </c>
      <c r="I289" s="113">
        <v>2548695.27</v>
      </c>
      <c r="K289" s="112" t="inlineStr">
        <is>
          <t xml:space="preserve">KO'TARMADI | 1267 | Uyiga borildi - va'da berdi</t>
        </is>
      </c>
    </row>
    <row r="290">
      <c r="A290" s="112" t="inlineStr">
        <is>
          <t xml:space="preserve">КОРАКАЛПОГИСТОН РЕСПУБЛИКАСИ</t>
        </is>
      </c>
      <c r="C290" s="112" t="inlineStr">
        <is>
          <t xml:space="preserve">Объезд</t>
        </is>
      </c>
      <c r="D290" s="112" t="inlineStr">
        <is>
          <t xml:space="preserve">Кр-99048109-1</t>
        </is>
      </c>
      <c r="E290" s="112" t="inlineStr">
        <is>
          <t xml:space="preserve">TOKIMBETOV KULMURAT ZARIPOVICH</t>
        </is>
      </c>
      <c r="F290" s="112" t="inlineStr">
        <is>
          <t xml:space="preserve">+998913895370 sms Ozi, 998906627173 sms akasi, 998913746773 sms Akasi,</t>
        </is>
      </c>
      <c r="G290" s="112" t="inlineStr">
        <is>
          <t xml:space="preserve">КОРАКАЛПОГИСТОН РЕСПУБЛИКАСИ Хужайи тумани Сабык МФЙ Саятхан Хамра 3 уй</t>
        </is>
      </c>
      <c r="H290" s="113">
        <v>8.0</v>
      </c>
      <c r="I290" s="113">
        <v>2301348.41</v>
      </c>
      <c r="K290" s="112" t="inlineStr">
        <is>
          <t xml:space="preserve">7173 QARNDOWI AYTIB QO'YAMAN DEDILA  BUGUN TO'LEMAN DEB AYTIBDILA | 1273 | Uyiga borildi - to'ladi</t>
        </is>
      </c>
    </row>
    <row r="291">
      <c r="A291" s="112" t="inlineStr">
        <is>
          <t xml:space="preserve">КОРАКАЛПОГИСТОН РЕСПУБЛИКАСИ</t>
        </is>
      </c>
      <c r="C291" s="112" t="inlineStr">
        <is>
          <t xml:space="preserve">Недозвон</t>
        </is>
      </c>
      <c r="D291" s="112" t="inlineStr">
        <is>
          <t xml:space="preserve">Кр-99041071-1</t>
        </is>
      </c>
      <c r="E291" s="112" t="inlineStr">
        <is>
          <t xml:space="preserve">SABZADAYEV ALLIYAR SMAILOVICH</t>
        </is>
      </c>
      <c r="F291" s="112" t="inlineStr">
        <is>
          <t xml:space="preserve">998933614898 SMS OZI, 998956580267 SMS AYOLI, 998994521515 SMS UGLI,</t>
        </is>
      </c>
      <c r="G291" s="112" t="inlineStr">
        <is>
          <t xml:space="preserve">NUKUS SHAHAR</t>
        </is>
      </c>
      <c r="H291" s="113">
        <v>11.0</v>
      </c>
      <c r="I291" s="113">
        <v>2300049.6</v>
      </c>
      <c r="K291" s="112" t="inlineStr">
        <is>
          <t xml:space="preserve">AJDANIYA | 1052</t>
        </is>
      </c>
    </row>
    <row r="292">
      <c r="A292" s="112" t="inlineStr">
        <is>
          <t xml:space="preserve">КОРАКАЛПОГИСТОН РЕСПУБЛИКАСИ</t>
        </is>
      </c>
      <c r="C292" s="112" t="inlineStr">
        <is>
          <t xml:space="preserve">Объезд</t>
        </is>
      </c>
      <c r="D292" s="112" t="inlineStr">
        <is>
          <t xml:space="preserve">Кр-99048734-1</t>
        </is>
      </c>
      <c r="E292" s="112" t="inlineStr">
        <is>
          <t xml:space="preserve">BERDIALIEV MURAT KUBEISINOVICH</t>
        </is>
      </c>
      <c r="F292" s="112" t="inlineStr">
        <is>
          <t xml:space="preserve">998904247787 OYALI, 998906633888 OGLI, 998907037787 OZI,</t>
        </is>
      </c>
      <c r="G292" s="112" t="inlineStr">
        <is>
          <t xml:space="preserve">Qaraqalpogiston Respublikasi Nukus shahar Samanbay MFY Toktaw kushasi 25 uy</t>
        </is>
      </c>
      <c r="H292" s="113">
        <v>8.0</v>
      </c>
      <c r="I292" s="113">
        <v>2142177.76</v>
      </c>
      <c r="K292" s="112" t="inlineStr">
        <is>
          <t xml:space="preserve">TAKSICHI BU BO'LIB BO'LIB TO'LAYABDILA BUGUN KECHGA YANA TO'LAYDI | 1280 | Uyiga borildi - va'da berdi</t>
        </is>
      </c>
    </row>
    <row r="293">
      <c r="A293" s="112" t="inlineStr">
        <is>
          <t xml:space="preserve">КОРАКАЛПОГИСТОН РЕСПУБЛИКАСИ</t>
        </is>
      </c>
      <c r="C293" s="112" t="inlineStr">
        <is>
          <t xml:space="preserve">Недозвон</t>
        </is>
      </c>
      <c r="D293" s="112" t="inlineStr">
        <is>
          <t xml:space="preserve">Кр-99041431-1</t>
        </is>
      </c>
      <c r="E293" s="112" t="inlineStr">
        <is>
          <t xml:space="preserve">BAYNAZAROVA AMANGUL KALIBAYEVNA</t>
        </is>
      </c>
      <c r="F293" s="112" t="inlineStr">
        <is>
          <t xml:space="preserve">998906536610 SMS OZI, 998919359599 SMS QIZI, 998913918821 SMS OGLI, 998913810499 SMS KELINI,</t>
        </is>
      </c>
      <c r="G293" s="112" t="inlineStr">
        <is>
          <t xml:space="preserve">QARAQALPOGISTON RES NUKUS SHAHAR XAUA JOLI MFY DAWLET BAQSI KUSHASI 21 UY </t>
        </is>
      </c>
      <c r="H293" s="113">
        <v>8.0</v>
      </c>
      <c r="I293" s="113">
        <v>2038389.68</v>
      </c>
      <c r="K293" s="112" t="inlineStr">
        <is>
          <t xml:space="preserve">QOZOQDA RAQAMI ISHLAMAYABDI | 1101</t>
        </is>
      </c>
    </row>
    <row r="294">
      <c r="A294" s="112" t="inlineStr">
        <is>
          <t xml:space="preserve">КОРАКАЛПОГИСТОН РЕСПУБЛИКАСИ</t>
        </is>
      </c>
      <c r="C294" s="112" t="inlineStr">
        <is>
          <t xml:space="preserve">Объезд</t>
        </is>
      </c>
      <c r="D294" s="112" t="inlineStr">
        <is>
          <t xml:space="preserve">Кр-99038025-1</t>
        </is>
      </c>
      <c r="E294" s="112" t="inlineStr">
        <is>
          <t xml:space="preserve">AMINOV ARSLON RUSTAMOVICH</t>
        </is>
      </c>
      <c r="F294" s="112" t="inlineStr">
        <is>
          <t xml:space="preserve">998952415212 SMS UZI, 998912551805 SMS UKASI, 990887732099 SMS UKASi 2,</t>
        </is>
      </c>
      <c r="G294" s="112" t="inlineStr">
        <is>
          <t xml:space="preserve">QORAQALPOG’ISTON RESPUBLIKASI TO’RTKO’L TUMANI TALABA MFY SEMASHKO KOCHASI 18A-UY</t>
        </is>
      </c>
      <c r="H294" s="113">
        <v>7.0</v>
      </c>
      <c r="I294" s="113">
        <v>1950012.72</v>
      </c>
      <c r="K294" s="112" t="inlineStr">
        <is>
          <t xml:space="preserve">FILIAL TO'LATTIRDI | 740 | Uyiga borildi - to'ladi</t>
        </is>
      </c>
    </row>
    <row r="295">
      <c r="A295" s="112" t="inlineStr">
        <is>
          <t xml:space="preserve">КОРАКАЛПОГИСТОН РЕСПУБЛИКАСИ</t>
        </is>
      </c>
      <c r="C295" s="112" t="inlineStr">
        <is>
          <t xml:space="preserve">Объезд</t>
        </is>
      </c>
      <c r="D295" s="112" t="inlineStr">
        <is>
          <t xml:space="preserve">Кр-99063402-1</t>
        </is>
      </c>
      <c r="E295" s="112" t="inlineStr">
        <is>
          <t xml:space="preserve">JAMGIRBAYEV SHOXZOD XALMURAT ULI</t>
        </is>
      </c>
      <c r="F295" s="112" t="inlineStr">
        <is>
          <t xml:space="preserve">998906527006 OZI, 998913931005 AKASI, 998951773003 AKASI 2,</t>
        </is>
      </c>
      <c r="G295" s="112" t="inlineStr">
        <is>
          <t xml:space="preserve">QARAQALPOGISTON RES NUKUS SHAHAR NAUBAXAR MFY ELI AZAT KUSHASI 15 UY</t>
        </is>
      </c>
      <c r="H295" s="113">
        <v>8.0</v>
      </c>
      <c r="I295" s="113">
        <v>1762344.36</v>
      </c>
      <c r="K295" s="112" t="inlineStr">
        <is>
          <t xml:space="preserve">1765 | Uyiga borildi - va'da berdi</t>
        </is>
      </c>
    </row>
    <row r="296">
      <c r="A296" s="112" t="inlineStr">
        <is>
          <t xml:space="preserve">КОРАКАЛПОГИСТОН РЕСПУБЛИКАСИ</t>
        </is>
      </c>
      <c r="C296" s="112" t="inlineStr">
        <is>
          <t xml:space="preserve">Объезд</t>
        </is>
      </c>
      <c r="D296" s="112" t="inlineStr">
        <is>
          <t xml:space="preserve">Кр-99040984-1</t>
        </is>
      </c>
      <c r="E296" s="112" t="inlineStr">
        <is>
          <t xml:space="preserve">UTAROV JAKSILIK DJITESOVICH</t>
        </is>
      </c>
      <c r="F296" s="112" t="inlineStr">
        <is>
          <t xml:space="preserve">998913033891 SMS OZI, 998913917972 SMS AYOLI, 998991941402 SMS OGLI,</t>
        </is>
      </c>
      <c r="G296" s="112" t="inlineStr">
        <is>
          <t xml:space="preserve">NUKUS SHAHRI</t>
        </is>
      </c>
      <c r="H296" s="113">
        <v>11.0</v>
      </c>
      <c r="I296" s="113">
        <v>1675516.42</v>
      </c>
      <c r="K296" s="112" t="inlineStr">
        <is>
          <t xml:space="preserve">o'zi ishsiz  20kuni ayoli oylik oladi wundan to'layman deyabdila | 1039 | Uyiga borildi - va'da berdi</t>
        </is>
      </c>
    </row>
    <row r="297">
      <c r="A297" s="112" t="inlineStr">
        <is>
          <t xml:space="preserve">КОРАКАЛПОГИСТОН РЕСПУБЛИКАСИ</t>
        </is>
      </c>
      <c r="C297" s="112" t="inlineStr">
        <is>
          <t xml:space="preserve">Объезд</t>
        </is>
      </c>
      <c r="D297" s="112" t="inlineStr">
        <is>
          <t xml:space="preserve">Кр-99064050-1</t>
        </is>
      </c>
      <c r="E297" s="112" t="inlineStr">
        <is>
          <t xml:space="preserve">ESHIMBETOV QUDAYBERGEN AYAPBERGENOVICH</t>
        </is>
      </c>
      <c r="F297" s="112" t="inlineStr">
        <is>
          <t xml:space="preserve">998877084162 OGLI, 998994004162 OZI, 998997484162 OYALI,</t>
        </is>
      </c>
      <c r="G297" s="112" t="inlineStr">
        <is>
          <t xml:space="preserve">QORAQLPOGISTON RES NUKUS SHAHAR  Kutli-konis MFY, Uvaysiy ko’chasi, 18-uy</t>
        </is>
      </c>
      <c r="H297" s="113">
        <v>8.0</v>
      </c>
      <c r="I297" s="113">
        <v>1650780.2</v>
      </c>
      <c r="K297" s="112" t="inlineStr">
        <is>
          <t xml:space="preserve">1868 | Uyiga borildi - va'da berdi</t>
        </is>
      </c>
    </row>
    <row r="298">
      <c r="A298" s="112" t="inlineStr">
        <is>
          <t xml:space="preserve">КОРАКАЛПОГИСТОН РЕСПУБЛИКАСИ</t>
        </is>
      </c>
      <c r="C298" s="112" t="inlineStr">
        <is>
          <t xml:space="preserve">Недозвон</t>
        </is>
      </c>
      <c r="D298" s="112" t="inlineStr">
        <is>
          <t xml:space="preserve">Кр-99038034-1</t>
        </is>
      </c>
      <c r="E298" s="112" t="inlineStr">
        <is>
          <t xml:space="preserve">BEKIMBETOV SHARAPAT MAXSETOVICH</t>
        </is>
      </c>
      <c r="F298" s="112" t="inlineStr">
        <is>
          <t xml:space="preserve">998933681893 SMS OZI, 998939291895 SMS AYOLI, 998932014951 SMS OTASI(begona), 998990380341 SMS ONASI, 998998932014 SMS Otasi, 998932024961 SMS Onasi,</t>
        </is>
      </c>
      <c r="G298" s="112" t="inlineStr">
        <is>
          <t xml:space="preserve">QARAQALPOGISTON RES NUKUS SHAHAR JANA BAZAR MFY KOS KOL KUSHASI 601 B UY </t>
        </is>
      </c>
      <c r="H298" s="113">
        <v>4.0</v>
      </c>
      <c r="I298" s="113">
        <v>1067183.71</v>
      </c>
      <c r="K298" s="112" t="inlineStr">
        <is>
          <t xml:space="preserve">KO'TARMADI KECHA BUGUNGA DEGANDILA | 742 | Uyiga borildi - va'da berdi</t>
        </is>
      </c>
    </row>
    <row r="299">
      <c r="A299" s="112" t="inlineStr">
        <is>
          <t xml:space="preserve">КОРАКАЛПОГИСТОН РЕСПУБЛИКАСИ</t>
        </is>
      </c>
      <c r="C299" s="112" t="inlineStr">
        <is>
          <t xml:space="preserve">Недозвон</t>
        </is>
      </c>
      <c r="D299" s="112" t="inlineStr">
        <is>
          <t xml:space="preserve">Кр-99045138-1</t>
        </is>
      </c>
      <c r="E299" s="112" t="inlineStr">
        <is>
          <t xml:space="preserve">BAYMURATOVA GULAYIM XXX</t>
        </is>
      </c>
      <c r="F299" s="112" t="inlineStr">
        <is>
          <t xml:space="preserve">998880506699 OGLI, 998900118793 KELINI, 998973564255 OZI,</t>
        </is>
      </c>
      <c r="G299" s="112" t="inlineStr">
        <is>
          <t xml:space="preserve">QARAQALOGISTON RESPBULIKASI NUKUS SHAHAR BOTANIKA BOGI MFY QIYAS JIRAW KUSHASI 8 UY</t>
        </is>
      </c>
      <c r="H299" s="113">
        <v>8.0</v>
      </c>
      <c r="I299" s="113">
        <v>772620.74</v>
      </c>
      <c r="K299" s="112" t="inlineStr">
        <is>
          <t xml:space="preserve">KO'TARMADI | 1220 | Telefon ko'tarmadi</t>
        </is>
      </c>
    </row>
    <row r="300">
      <c r="A300" s="112" t="inlineStr">
        <is>
          <t xml:space="preserve">КОРАКАЛПОГИСТОН РЕСПУБЛИКАСИ</t>
        </is>
      </c>
      <c r="C300" s="112" t="inlineStr">
        <is>
          <t xml:space="preserve">Недозвон</t>
        </is>
      </c>
      <c r="D300" s="112" t="inlineStr">
        <is>
          <t xml:space="preserve">Кр-99062373-1</t>
        </is>
      </c>
      <c r="E300" s="112" t="inlineStr">
        <is>
          <t xml:space="preserve">KOSBERGENOVA GULNARA BAYNIYAZOVNA</t>
        </is>
      </c>
      <c r="F300" s="112" t="inlineStr">
        <is>
          <t xml:space="preserve">998913034569 ozi, 998913701263 ogli, 998973550564 ogli,</t>
        </is>
      </c>
      <c r="G300" s="112" t="inlineStr">
        <is>
          <t xml:space="preserve">Манзил: QORAQALPOGISTON RES NUKUS SHAHAR DARBENT MFY 22 MKR 11V UY 12 KVARTIRA   </t>
        </is>
      </c>
      <c r="H300" s="113">
        <v>8.0</v>
      </c>
      <c r="I300" s="113">
        <v>193475.32</v>
      </c>
      <c r="K300" s="112" t="inlineStr">
        <is>
          <t xml:space="preserve">KO'TARMAYABDI BU | 1573 | Telefon ko'tarmadi</t>
        </is>
      </c>
    </row>
    <row r="301">
      <c r="A301" s="112" t="inlineStr">
        <is>
          <t xml:space="preserve">КОРАКАЛПОГИСТОН РЕСПУБЛИКАСИ</t>
        </is>
      </c>
      <c r="C301" s="112" t="inlineStr">
        <is>
          <t xml:space="preserve">Объезд</t>
        </is>
      </c>
      <c r="D301" s="112" t="inlineStr">
        <is>
          <t xml:space="preserve">Кр-99033574-1</t>
        </is>
      </c>
      <c r="E301" s="112" t="inlineStr">
        <is>
          <t xml:space="preserve">AMANBAEVA RAUSHAN XOJABAEVNA</t>
        </is>
      </c>
      <c r="F301" s="112" t="inlineStr">
        <is>
          <t xml:space="preserve">998933668784 SMS O’ZI tuman tibbiyot birlashmasda hamshira, 998913038448 SMS ERI, 998900953787 SMS ONASI, 998913829597 SMS QIZI, 998937040224 SMS ERI NEW,</t>
        </is>
      </c>
      <c r="G301" s="112" t="inlineStr">
        <is>
          <t xml:space="preserve">NUKUS SHAHAR SHIMBOY GUZARI  SAWKELI KUSHASI 107 UY </t>
        </is>
      </c>
      <c r="I301" s="113">
        <v>170388.71</v>
      </c>
      <c r="K301" s="112" t="inlineStr">
        <is>
          <t xml:space="preserve">RAQAMLARIGA TUSHA OLMADIM | 464 | Uyiga borildi - va'da berdi</t>
        </is>
      </c>
    </row>
    <row r="302">
      <c r="A302" s="114" t="inlineStr">
        <is>
          <t xml:space="preserve">НАВОИЙ ВИЛОЯТИ</t>
        </is>
      </c>
      <c r="C302" s="114" t="inlineStr">
        <is>
          <t xml:space="preserve">Недозвон</t>
        </is>
      </c>
      <c r="D302" s="114" t="inlineStr">
        <is>
          <t xml:space="preserve">Кр-99039219-1</t>
        </is>
      </c>
      <c r="E302" s="114" t="inlineStr">
        <is>
          <t xml:space="preserve">RO’ZIBOYEV MEHRIDDIN ASQARJON O’G’LI</t>
        </is>
      </c>
      <c r="F302" s="114" t="inlineStr">
        <is>
          <t xml:space="preserve">998913352828 SMS OZI metallomxonasi bor   aksasuar magazin bor  toshkenda  iqtisodiyotda oqid , 998935320949 SMS OZI 2, 998977971974 SMS OTASI , 998913335762 SMS ONASI ,</t>
        </is>
      </c>
      <c r="G302" s="114" t="inlineStr">
        <is>
          <t xml:space="preserve">NAVOIY VILOYATI NAVOIY SHAHAR, GULZOR MFY NIZOMIY KO’CHASI 16 UY, 66 XONADON</t>
        </is>
      </c>
      <c r="H302" s="115">
        <v>132.0</v>
      </c>
      <c r="I302" s="115">
        <v>14676420.64</v>
      </c>
    </row>
    <row r="303">
      <c r="A303" s="114" t="inlineStr">
        <is>
          <t xml:space="preserve">НАВОИЙ ВИЛОЯТИ</t>
        </is>
      </c>
      <c r="C303" s="114" t="inlineStr">
        <is>
          <t xml:space="preserve">Недозвон</t>
        </is>
      </c>
      <c r="D303" s="114" t="inlineStr">
        <is>
          <t xml:space="preserve">Кр-99030696-5</t>
        </is>
      </c>
      <c r="E303" s="114" t="inlineStr">
        <is>
          <t xml:space="preserve">NOSIROVA AZIZA XALIL QIZI</t>
        </is>
      </c>
      <c r="F303" s="114" t="inlineStr">
        <is>
          <t xml:space="preserve">93-600-69-50  SMS O’ZI, 97-320-44-31  SMS XOTINI, 93-662-17-78  SMS QAYNONASI, 93-314-84-04  SMS OPASI, 998948718800 SMS NOSIROVA, +998948718800 SMS UZI, 998936880066 TURMUSH URTOGI 2,</t>
        </is>
      </c>
      <c r="G303" s="114" t="inlineStr">
        <is>
          <t xml:space="preserve">NAVOIY VILOYATI ZARAFSHON SHAHAR 12-KICHIK TUMAN 54-UY 5-XONADON</t>
        </is>
      </c>
      <c r="H303" s="115">
        <v>11.0</v>
      </c>
      <c r="I303" s="115">
        <v>11365793.43</v>
      </c>
    </row>
    <row r="304">
      <c r="A304" s="114" t="inlineStr">
        <is>
          <t xml:space="preserve">НАВОИЙ ВИЛОЯТИ</t>
        </is>
      </c>
      <c r="C304" s="114" t="inlineStr">
        <is>
          <t xml:space="preserve">Недозвон</t>
        </is>
      </c>
      <c r="D304" s="114" t="inlineStr">
        <is>
          <t xml:space="preserve">Кр-99037475-5</t>
        </is>
      </c>
      <c r="E304" s="114" t="inlineStr">
        <is>
          <t xml:space="preserve">INOYATOV SHAXBOZ ZINNATILLOYEVICH</t>
        </is>
      </c>
      <c r="F304" s="114" t="inlineStr">
        <is>
          <t xml:space="preserve">998930031700 SMS OZI, 998946081581 SMS UKASI, 998930531700 SMS AYOLLARI бегона, 998942065456 SMS AKASI,</t>
        </is>
      </c>
      <c r="G304" s="114" t="inlineStr">
        <is>
          <t xml:space="preserve">NAVOIY VILOYATI NAVOIY SHAHAR MATONAT  MFY G’ALABA SHOX KO’CHASI 133 UY 49 XONADON</t>
        </is>
      </c>
      <c r="H304" s="115">
        <v>13.0</v>
      </c>
      <c r="I304" s="115">
        <v>11183236.67</v>
      </c>
    </row>
    <row r="305">
      <c r="A305" s="114" t="inlineStr">
        <is>
          <t xml:space="preserve">НАВОИЙ ВИЛОЯТИ</t>
        </is>
      </c>
      <c r="C305" s="114" t="inlineStr">
        <is>
          <t xml:space="preserve">Недозвон</t>
        </is>
      </c>
      <c r="D305" s="114" t="inlineStr">
        <is>
          <t xml:space="preserve">Кр-99063058-1</t>
        </is>
      </c>
      <c r="E305" s="114" t="inlineStr">
        <is>
          <t xml:space="preserve">TURAYEVA GULZODA G’OFUR QIZI</t>
        </is>
      </c>
      <c r="F305" s="114" t="inlineStr">
        <is>
          <t xml:space="preserve">998951898897 SMS OZI, 998933520329 SMS ERI, 998400352252 SMS ERI 21, 998997590965 SMS ONASI,</t>
        </is>
      </c>
      <c r="G305" s="114" t="inlineStr">
        <is>
          <t xml:space="preserve">NAVOIY VILOYATI, NAVOIY SHAXAR, CHINOR MFY,LOMONOSOV KO'CHASI,14 UY,27 XONADON</t>
        </is>
      </c>
      <c r="H305" s="115">
        <v>11.0</v>
      </c>
      <c r="I305" s="115">
        <v>9877672.24</v>
      </c>
      <c r="K305" s="114" t="inlineStr">
        <is>
          <t xml:space="preserve">Telefon ko'tarmadi</t>
        </is>
      </c>
    </row>
    <row r="306">
      <c r="A306" s="114" t="inlineStr">
        <is>
          <t xml:space="preserve">НАВОИЙ ВИЛОЯТИ</t>
        </is>
      </c>
      <c r="C306" s="114" t="inlineStr">
        <is>
          <t xml:space="preserve">Недозвон</t>
        </is>
      </c>
      <c r="D306" s="114" t="inlineStr">
        <is>
          <t xml:space="preserve">Кр-99057392-1</t>
        </is>
      </c>
      <c r="E306" s="114" t="inlineStr">
        <is>
          <t xml:space="preserve">ISMATULLAYEV SHERMAT SHODIYEVICH</t>
        </is>
      </c>
      <c r="F306" s="114" t="inlineStr">
        <is>
          <t xml:space="preserve">998930761706 SMS UZI, 998902543625 SMS AYOLI, 998932159493 SMS UGLI, 998912356841 SMS UGLI,</t>
        </is>
      </c>
      <c r="G306" s="114" t="inlineStr">
        <is>
          <t xml:space="preserve">NAVOIY VILOYATI NUROTA TUMANI,AMIR TEMUR MFY,SAIDJON ESHON QISHLOG'I,638 UY </t>
        </is>
      </c>
      <c r="H306" s="115">
        <v>11.0</v>
      </c>
      <c r="I306" s="115">
        <v>8277956.43</v>
      </c>
      <c r="K306" s="114" t="inlineStr">
        <is>
          <t xml:space="preserve">Telefon ko'tarmadi</t>
        </is>
      </c>
    </row>
    <row r="307">
      <c r="A307" s="114" t="inlineStr">
        <is>
          <t xml:space="preserve">НАВОИЙ ВИЛОЯТИ</t>
        </is>
      </c>
      <c r="C307" s="114" t="inlineStr">
        <is>
          <t xml:space="preserve">Недозвон</t>
        </is>
      </c>
      <c r="D307" s="114" t="inlineStr">
        <is>
          <t xml:space="preserve">Кр-99027297-1</t>
        </is>
      </c>
      <c r="E307" s="114" t="inlineStr">
        <is>
          <t xml:space="preserve">QAYUMOV SARDOR NODIRJON O’G’LI</t>
        </is>
      </c>
      <c r="F307" s="114" t="inlineStr">
        <is>
          <t xml:space="preserve">90-233-36-46 SMS UZI, 91-330-03-03 SMS TOG’ASI (G’OFURUV AKBARALI), 94-522-00-03 SMS YANGASI, 91-846-70-76 SMS ONASI,</t>
        </is>
      </c>
      <c r="G307" s="114" t="inlineStr">
        <is>
          <t xml:space="preserve">NAVOIY VILOYATI QIZILTEPA TUMANI BASHR MFY </t>
        </is>
      </c>
      <c r="H307" s="115">
        <v>8.0</v>
      </c>
      <c r="I307" s="115">
        <v>6365072.88</v>
      </c>
    </row>
    <row r="308">
      <c r="A308" s="114" t="inlineStr">
        <is>
          <t xml:space="preserve">НАВОИЙ ВИЛОЯТИ</t>
        </is>
      </c>
      <c r="C308" s="114" t="inlineStr">
        <is>
          <t xml:space="preserve">Недозвон</t>
        </is>
      </c>
      <c r="D308" s="114" t="inlineStr">
        <is>
          <t xml:space="preserve">Кр-99035137-1</t>
        </is>
      </c>
      <c r="E308" s="114" t="inlineStr">
        <is>
          <t xml:space="preserve">SHARIPOVA SHOXSANAM QULMANOVNA</t>
        </is>
      </c>
      <c r="F308" s="114" t="inlineStr">
        <is>
          <t xml:space="preserve">998913302232 SMS O’ZI alisheraka ozimizzi xodim , 998997919190 SMS XOJAYINI , 998913302232 SMS O’ZI , 998936699696 SMS Alisher aka uzimizni xodim,</t>
        </is>
      </c>
      <c r="G308" s="114" t="inlineStr">
        <is>
          <t xml:space="preserve">NAVOIY VILOYATI KALOVAT MFY</t>
        </is>
      </c>
      <c r="H308" s="115">
        <v>6.0</v>
      </c>
      <c r="I308" s="115">
        <v>5823993.99</v>
      </c>
    </row>
    <row r="309">
      <c r="A309" s="114" t="inlineStr">
        <is>
          <t xml:space="preserve">НАВОИЙ ВИЛОЯТИ</t>
        </is>
      </c>
      <c r="C309" s="114" t="inlineStr">
        <is>
          <t xml:space="preserve">Недозвон</t>
        </is>
      </c>
      <c r="D309" s="114" t="inlineStr">
        <is>
          <t xml:space="preserve">Кр-99032595-2</t>
        </is>
      </c>
      <c r="E309" s="114" t="inlineStr">
        <is>
          <t xml:space="preserve">HUSANOVA MUAZAM TURXONOVNA</t>
        </is>
      </c>
      <c r="F309" s="114" t="inlineStr">
        <is>
          <t xml:space="preserve">998942206567 SMS O’ZI, 998942526347 SMS ERI, 998932263237 SMS O’G’LI,</t>
        </is>
      </c>
      <c r="G309" s="114" t="inlineStr">
        <is>
          <t xml:space="preserve">NAVOIY VILOYATI XATIRCHI TUMANI NOVJA MFY NOVJA KUCHASI 921 UY</t>
        </is>
      </c>
      <c r="H309" s="115">
        <v>8.0</v>
      </c>
      <c r="I309" s="115">
        <v>5628172.95</v>
      </c>
    </row>
    <row r="310">
      <c r="A310" s="114" t="inlineStr">
        <is>
          <t xml:space="preserve">НАВОИЙ ВИЛОЯТИ</t>
        </is>
      </c>
      <c r="C310" s="114" t="inlineStr">
        <is>
          <t xml:space="preserve">Недозвон</t>
        </is>
      </c>
      <c r="D310" s="114" t="inlineStr">
        <is>
          <t xml:space="preserve">Кр-99063170-1</t>
        </is>
      </c>
      <c r="E310" s="114" t="inlineStr">
        <is>
          <t xml:space="preserve">RUZIYEVA LOLA SHAXRIDDINOVNA</t>
        </is>
      </c>
      <c r="F310" s="114" t="inlineStr">
        <is>
          <t xml:space="preserve">998931457672 TURMUSH O’RTOG’I, 998995408730 UKASI, 998999300410 O’ZI,</t>
        </is>
      </c>
      <c r="G310" s="114" t="inlineStr">
        <is>
          <t xml:space="preserve">NAVOIY VILOYATI,NAVBAXOR TUMANI,UCHTUT MFY,YANGIOBOD KO’CHASI,83 UY</t>
        </is>
      </c>
      <c r="H310" s="115">
        <v>8.0</v>
      </c>
      <c r="I310" s="115">
        <v>5464783.35</v>
      </c>
      <c r="K310" s="114" t="inlineStr">
        <is>
          <t xml:space="preserve">Telefon ko'tarmadi</t>
        </is>
      </c>
    </row>
    <row r="311">
      <c r="A311" s="114" t="inlineStr">
        <is>
          <t xml:space="preserve">НАВОИЙ ВИЛОЯТИ</t>
        </is>
      </c>
      <c r="C311" s="114" t="inlineStr">
        <is>
          <t xml:space="preserve">Недозвон</t>
        </is>
      </c>
      <c r="D311" s="114" t="inlineStr">
        <is>
          <t xml:space="preserve">Кр-99035380-2</t>
        </is>
      </c>
      <c r="E311" s="114" t="inlineStr">
        <is>
          <t xml:space="preserve">ISANOVA MAXBUBABEGIM LUTFIYEVNA</t>
        </is>
      </c>
      <c r="F311" s="114" t="inlineStr">
        <is>
          <t xml:space="preserve">998991343886 z, 998508507532 SMS OZI,</t>
        </is>
      </c>
      <c r="G311" s="114" t="inlineStr">
        <is>
          <t xml:space="preserve">NAVOIY VILOYATI QIZILTEPA TUMANI OQSOCH MFY RABOT KUCHASI 14-UY</t>
        </is>
      </c>
      <c r="H311" s="115">
        <v>11.0</v>
      </c>
      <c r="I311" s="115">
        <v>5429261.95</v>
      </c>
    </row>
    <row r="312">
      <c r="A312" s="114" t="inlineStr">
        <is>
          <t xml:space="preserve">НАВОИЙ ВИЛОЯТИ</t>
        </is>
      </c>
      <c r="C312" s="114" t="inlineStr">
        <is>
          <t xml:space="preserve">Недозвон</t>
        </is>
      </c>
      <c r="D312" s="114" t="inlineStr">
        <is>
          <t xml:space="preserve">Кр-99043204-3</t>
        </is>
      </c>
      <c r="E312" s="114" t="inlineStr">
        <is>
          <t xml:space="preserve">JUMAYEV ULUGBEK NEGMURODOVICH</t>
        </is>
      </c>
      <c r="F312" s="114" t="inlineStr">
        <is>
          <t xml:space="preserve">+998959603353 SMS UZI, 998700311935 UGLI, 998878397744 UZI 2 NOMERI, 998952281158 AYOLI,</t>
        </is>
      </c>
      <c r="G312" s="114" t="inlineStr">
        <is>
          <t xml:space="preserve">NAVOIY VILOYATI,KARMANA TUMANI,DEGARON MFY,TEPAARIQ KUCHASI,30 UY</t>
        </is>
      </c>
      <c r="H312" s="115">
        <v>8.0</v>
      </c>
      <c r="I312" s="115">
        <v>5082753.65</v>
      </c>
    </row>
    <row r="313">
      <c r="A313" s="114" t="inlineStr">
        <is>
          <t xml:space="preserve">НАВОИЙ ВИЛОЯТИ</t>
        </is>
      </c>
      <c r="C313" s="114" t="inlineStr">
        <is>
          <t xml:space="preserve">Недозвон</t>
        </is>
      </c>
      <c r="D313" s="114" t="inlineStr">
        <is>
          <t xml:space="preserve">Кр-99041394-1</t>
        </is>
      </c>
      <c r="E313" s="114" t="inlineStr">
        <is>
          <t xml:space="preserve">SHARIPOV JASUR SHAVKAT O’G’LI</t>
        </is>
      </c>
      <c r="F313" s="114" t="inlineStr">
        <is>
          <t xml:space="preserve">998942247077 SMS OZI tadbirkor  mgazinci  BEGONA, 998936626066 SMS AYOLI, 998975581166 SMS AKASI, 998942539488 SMS JOYANI,</t>
        </is>
      </c>
      <c r="G313" s="114" t="inlineStr">
        <is>
          <t xml:space="preserve">NAVOIY VILOYATI,ZARAFSHO SHAXAR,19 KICHIK RAYON, 1- DOM 7 -KVARTIRA</t>
        </is>
      </c>
      <c r="H313" s="115">
        <v>8.0</v>
      </c>
      <c r="I313" s="115">
        <v>4904206.42</v>
      </c>
    </row>
    <row r="314">
      <c r="A314" s="114" t="inlineStr">
        <is>
          <t xml:space="preserve">НАВОИЙ ВИЛОЯТИ</t>
        </is>
      </c>
      <c r="C314" s="114" t="inlineStr">
        <is>
          <t xml:space="preserve">Недозвон</t>
        </is>
      </c>
      <c r="D314" s="114" t="inlineStr">
        <is>
          <t xml:space="preserve">Кр-99033343-1</t>
        </is>
      </c>
      <c r="E314" s="114" t="inlineStr">
        <is>
          <t xml:space="preserve">G’AFUROVA MOHICHEHRA ZOIROVNA</t>
        </is>
      </c>
      <c r="F314" s="114" t="inlineStr">
        <is>
          <t xml:space="preserve">998918467476 SMS O’ZI, 998913300303 SMS UKASI, 998942288032 SMS ERI, 998945220003 SMS UKASI,</t>
        </is>
      </c>
      <c r="G314" s="114" t="inlineStr">
        <is>
          <t xml:space="preserve">NAVOIY VILOYATI NAVOIY SHAHAR QURILISH KUCHASI 8-UY 1-XONADON</t>
        </is>
      </c>
      <c r="H314" s="115">
        <v>4.0</v>
      </c>
      <c r="I314" s="115">
        <v>4826776.16</v>
      </c>
    </row>
    <row r="315">
      <c r="A315" s="114" t="inlineStr">
        <is>
          <t xml:space="preserve">НАВОИЙ ВИЛОЯТИ</t>
        </is>
      </c>
      <c r="C315" s="114" t="inlineStr">
        <is>
          <t xml:space="preserve">Недозвон</t>
        </is>
      </c>
      <c r="D315" s="114" t="inlineStr">
        <is>
          <t xml:space="preserve">Кр-99057269-1</t>
        </is>
      </c>
      <c r="E315" s="114" t="inlineStr">
        <is>
          <t xml:space="preserve">MALLAYEV JAMOLIDDIN ISMATOVICH</t>
        </is>
      </c>
      <c r="F315" s="114" t="inlineStr">
        <is>
          <t xml:space="preserve">998938778313 SMS UZI, 998880857757 SMS AYOLI, 998918455017 SMS ONASI, 998347483132 SMS OZI 2,</t>
        </is>
      </c>
      <c r="G315" s="114" t="inlineStr">
        <is>
          <t xml:space="preserve">NAVOIY VILOYATI,NAVOIY SHAXAR, SPUTNIK QURGONI,6 UY,36 XONADON</t>
        </is>
      </c>
      <c r="H315" s="115">
        <v>8.0</v>
      </c>
      <c r="I315" s="115">
        <v>4576745.62</v>
      </c>
      <c r="K315" s="114" t="inlineStr">
        <is>
          <t xml:space="preserve">Telefon ko'tarmadi</t>
        </is>
      </c>
    </row>
    <row r="316">
      <c r="A316" s="114" t="inlineStr">
        <is>
          <t xml:space="preserve">НАВОИЙ ВИЛОЯТИ</t>
        </is>
      </c>
      <c r="C316" s="114" t="inlineStr">
        <is>
          <t xml:space="preserve">Недозвон</t>
        </is>
      </c>
      <c r="D316" s="114" t="inlineStr">
        <is>
          <t xml:space="preserve">Кр-99019741-4</t>
        </is>
      </c>
      <c r="E316" s="114" t="inlineStr">
        <is>
          <t xml:space="preserve">KODIROV BAXTIYOR ASADOVICH</t>
        </is>
      </c>
      <c r="F316" s="114" t="inlineStr">
        <is>
          <t xml:space="preserve">90-620-88-09 SMS UZI MEVACHI,PENSIYASER , 94-343-00-08 SMS OGLI , 93-446-85-07 SMS KELINI , 50-581-85-17 SMS OGLI, 998931208809 SMS ozi new,</t>
        </is>
      </c>
      <c r="G316" s="114" t="inlineStr">
        <is>
          <t xml:space="preserve">NAVOIY VILOYATI XATIRCHI TUMANI   XUJAQULOBOD MFY, TEPAQISHLOQ 5 UY</t>
        </is>
      </c>
      <c r="H316" s="115">
        <v>8.0</v>
      </c>
      <c r="I316" s="115">
        <v>4387545.42</v>
      </c>
    </row>
    <row r="317">
      <c r="A317" s="114" t="inlineStr">
        <is>
          <t xml:space="preserve">НАВОИЙ ВИЛОЯТИ</t>
        </is>
      </c>
      <c r="C317" s="114" t="inlineStr">
        <is>
          <t xml:space="preserve">Недозвон</t>
        </is>
      </c>
      <c r="D317" s="114" t="inlineStr">
        <is>
          <t xml:space="preserve">Кр-99040670-1</t>
        </is>
      </c>
      <c r="E317" s="114" t="inlineStr">
        <is>
          <t xml:space="preserve">SATTOROV ZAFAR FATTOHOVICH</t>
        </is>
      </c>
      <c r="F317" s="114" t="inlineStr">
        <is>
          <t xml:space="preserve">998997540001 SMS OZI oqtuvchi , 998912512244 SMS ERI, 998913086648 SMS ONASI, 998930590059 SMS JIYANI,</t>
        </is>
      </c>
      <c r="G317" s="114" t="inlineStr">
        <is>
          <t xml:space="preserve">NAVOIY VILOYATI, QIZILTEPA  TUMANI, GULZOR MFY, GULZOR KO'CHASI, 561-UY</t>
        </is>
      </c>
      <c r="H317" s="115">
        <v>8.0</v>
      </c>
      <c r="I317" s="115">
        <v>4281503.74</v>
      </c>
    </row>
    <row r="318">
      <c r="A318" s="114" t="inlineStr">
        <is>
          <t xml:space="preserve">НАВОИЙ ВИЛОЯТИ</t>
        </is>
      </c>
      <c r="C318" s="114" t="inlineStr">
        <is>
          <t xml:space="preserve">Недозвон</t>
        </is>
      </c>
      <c r="D318" s="114" t="inlineStr">
        <is>
          <t xml:space="preserve">Кр-99034721-1</t>
        </is>
      </c>
      <c r="E318" s="114" t="inlineStr">
        <is>
          <t xml:space="preserve">CHORIYEV AZIZJON YULDOSHEVICH</t>
        </is>
      </c>
      <c r="F318" s="114" t="inlineStr">
        <is>
          <t xml:space="preserve">998883220044 SMS OZI, 998999510500 SMS OPASI, 998902350505 SMS AKASI, 998939500080 SMS UY,</t>
        </is>
      </c>
      <c r="G318" s="114" t="inlineStr">
        <is>
          <t xml:space="preserve">NAVOIY VILOYATI QIZILTEPA TUMANI ZARMETAN MFY KURGONTEPA QISHLOG’I 4 UY</t>
        </is>
      </c>
      <c r="H318" s="115">
        <v>8.0</v>
      </c>
      <c r="I318" s="115">
        <v>3922417.39</v>
      </c>
    </row>
    <row r="319">
      <c r="A319" s="114" t="inlineStr">
        <is>
          <t xml:space="preserve">НАВОИЙ ВИЛОЯТИ</t>
        </is>
      </c>
      <c r="C319" s="114" t="inlineStr">
        <is>
          <t xml:space="preserve">Недозвон</t>
        </is>
      </c>
      <c r="D319" s="114" t="inlineStr">
        <is>
          <t xml:space="preserve">Кр-99024829-2</t>
        </is>
      </c>
      <c r="E319" s="114" t="inlineStr">
        <is>
          <t xml:space="preserve">XAKBERDIYEVA MEXRINISO ASATOVNA</t>
        </is>
      </c>
      <c r="F319" s="114" t="inlineStr">
        <is>
          <t xml:space="preserve">93-164-73-78 SMS OZI, 94-483-83-07 SMS TURMUSH O’RTOG’I, 99-727-15-16 SMS QAYNONASI, 97-558-26-08 SMS OGLI, 93- 318 - 59-55  анвар  yer qaziydgan moshina xaydid ,</t>
        </is>
      </c>
      <c r="G319" s="114" t="inlineStr">
        <is>
          <t xml:space="preserve">NAVOIY VILOYATI NUROTA TUMANI IBN-SINO MFY SUG’DIYONA KO’CHASI 5-UY</t>
        </is>
      </c>
      <c r="H319" s="115">
        <v>7.0</v>
      </c>
      <c r="I319" s="115">
        <v>3854723.42</v>
      </c>
    </row>
    <row r="320">
      <c r="A320" s="114" t="inlineStr">
        <is>
          <t xml:space="preserve">НАВОИЙ ВИЛОЯТИ</t>
        </is>
      </c>
      <c r="C320" s="114" t="inlineStr">
        <is>
          <t xml:space="preserve">Недозвон</t>
        </is>
      </c>
      <c r="D320" s="114" t="inlineStr">
        <is>
          <t xml:space="preserve">Кр-99027225-2</t>
        </is>
      </c>
      <c r="E320" s="114" t="inlineStr">
        <is>
          <t xml:space="preserve">OLIMOVA DILFUZA EGAMBERDIYEVNA</t>
        </is>
      </c>
      <c r="F320" s="114" t="inlineStr">
        <is>
          <t xml:space="preserve">91-254-48-00  SMS UZI, 90-731-04-80  SMS UKASI, 95-190-78-52 SMS tolovchi db berishdi, 95-190-78-52  SMS AKASI, 20-000-39-94 SMS , 91-085-24-00 SMS tolovchini ayoli,</t>
        </is>
      </c>
      <c r="G320" s="114" t="inlineStr">
        <is>
          <t xml:space="preserve">NAVOIY VILOYATI QIZILTEPA TUMANI XO’JA-QO’RG’ON MFY IPAK YO’LI KO’CHASI 13-UY</t>
        </is>
      </c>
      <c r="H320" s="115">
        <v>8.0</v>
      </c>
      <c r="I320" s="115">
        <v>3785369.02</v>
      </c>
    </row>
    <row r="321">
      <c r="A321" s="114" t="inlineStr">
        <is>
          <t xml:space="preserve">НАВОИЙ ВИЛОЯТИ</t>
        </is>
      </c>
      <c r="C321" s="114" t="inlineStr">
        <is>
          <t xml:space="preserve">Недозвон</t>
        </is>
      </c>
      <c r="D321" s="114" t="inlineStr">
        <is>
          <t xml:space="preserve">Кр-99040673-1</t>
        </is>
      </c>
      <c r="E321" s="114" t="inlineStr">
        <is>
          <t xml:space="preserve">AXATOVA DILRABO G’APPOROVNA</t>
        </is>
      </c>
      <c r="F321" s="114" t="inlineStr">
        <is>
          <t xml:space="preserve">998933166008 SMS OZI, 998933090670 SMS ONASI, 998940290992 SMS AKASI, 998061892002 SMS OZI 2,</t>
        </is>
      </c>
      <c r="G321" s="114" t="inlineStr">
        <is>
          <t xml:space="preserve">NAVOIY VILOYATI KARMANA TUMANI,KALOVAT  MFY, QIYOT KO'CHASI,91/B -UY</t>
        </is>
      </c>
      <c r="H321" s="115">
        <v>8.0</v>
      </c>
      <c r="I321" s="115">
        <v>3633246.95</v>
      </c>
    </row>
    <row r="322">
      <c r="A322" s="114" t="inlineStr">
        <is>
          <t xml:space="preserve">НАВОИЙ ВИЛОЯТИ</t>
        </is>
      </c>
      <c r="C322" s="114" t="inlineStr">
        <is>
          <t xml:space="preserve">Недозвон</t>
        </is>
      </c>
      <c r="D322" s="114" t="inlineStr">
        <is>
          <t xml:space="preserve">Кр-99040945-1</t>
        </is>
      </c>
      <c r="E322" s="114" t="inlineStr">
        <is>
          <t xml:space="preserve">XUDAYBERDIYEV UBAYDULLO EGAMOVICH</t>
        </is>
      </c>
      <c r="F322" s="114" t="inlineStr">
        <is>
          <t xml:space="preserve">998933344900 SMS OZI , 998971127500 SMS tolovchi  lola,</t>
        </is>
      </c>
      <c r="G322" s="114" t="inlineStr">
        <is>
          <t xml:space="preserve">NAVBAHOR TUMANI</t>
        </is>
      </c>
      <c r="H322" s="115">
        <v>13.0</v>
      </c>
      <c r="I322" s="115">
        <v>3515607.38</v>
      </c>
    </row>
    <row r="323">
      <c r="A323" s="114" t="inlineStr">
        <is>
          <t xml:space="preserve">НАВОИЙ ВИЛОЯТИ</t>
        </is>
      </c>
      <c r="C323" s="114" t="inlineStr">
        <is>
          <t xml:space="preserve">Недозвон</t>
        </is>
      </c>
      <c r="D323" s="114" t="inlineStr">
        <is>
          <t xml:space="preserve">Кр-99034926-1</t>
        </is>
      </c>
      <c r="E323" s="114" t="inlineStr">
        <is>
          <t xml:space="preserve">RAXMANOVA SHAHNOZA YAKUBOVNA</t>
        </is>
      </c>
      <c r="F323" s="114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323" s="114" t="inlineStr">
        <is>
          <t xml:space="preserve">NAVOIY VILOYATI KARMANA TUMANI ZIYOKOR MFY BASHIR KO’CHASI 13-UY</t>
        </is>
      </c>
      <c r="H323" s="115">
        <v>13.0</v>
      </c>
      <c r="I323" s="115">
        <v>3468194.83</v>
      </c>
    </row>
    <row r="324">
      <c r="A324" s="114" t="inlineStr">
        <is>
          <t xml:space="preserve">НАВОИЙ ВИЛОЯТИ</t>
        </is>
      </c>
      <c r="C324" s="114" t="inlineStr">
        <is>
          <t xml:space="preserve">Недозвон</t>
        </is>
      </c>
      <c r="D324" s="114" t="inlineStr">
        <is>
          <t xml:space="preserve">Кр-99062750-1</t>
        </is>
      </c>
      <c r="E324" s="114" t="inlineStr">
        <is>
          <t xml:space="preserve">HAMROYEVA ZAMIRA KARIMOVNA</t>
        </is>
      </c>
      <c r="F324" s="114" t="inlineStr">
        <is>
          <t xml:space="preserve">+998995063605 SMS O’ZI, 998990150082 SINGLISI, 998991317972 OG’LI,</t>
        </is>
      </c>
      <c r="G324" s="114" t="inlineStr">
        <is>
          <t xml:space="preserve">METAN KO’CHASI 81 A UY</t>
        </is>
      </c>
      <c r="H324" s="115">
        <v>11.0</v>
      </c>
      <c r="I324" s="115">
        <v>3266652.77</v>
      </c>
      <c r="K324" s="114" t="inlineStr">
        <is>
          <t xml:space="preserve">Telefon ko'tarmadi</t>
        </is>
      </c>
    </row>
    <row r="325">
      <c r="A325" s="114" t="inlineStr">
        <is>
          <t xml:space="preserve">НАВОИЙ ВИЛОЯТИ</t>
        </is>
      </c>
      <c r="C325" s="114" t="inlineStr">
        <is>
          <t xml:space="preserve">Недозвон</t>
        </is>
      </c>
      <c r="D325" s="114" t="inlineStr">
        <is>
          <t xml:space="preserve">Кр-99041260-1</t>
        </is>
      </c>
      <c r="E325" s="114" t="inlineStr">
        <is>
          <t xml:space="preserve">ERMAMATOV MAMADIYAR ALIKULOVICH</t>
        </is>
      </c>
      <c r="F325" s="114" t="inlineStr">
        <is>
          <t xml:space="preserve">998940674371 SMS OZI, 998930829871 SMS ONASI, 998883690021 SMS KELINI, 998934611115 SMS QIZI,</t>
        </is>
      </c>
      <c r="G325" s="114" t="inlineStr">
        <is>
          <t xml:space="preserve">NAVOIY VILOYATI ,KONIMEX TUMANI,GULISTON MFY,QUNG'IROT KO'CHASI 38 UY</t>
        </is>
      </c>
      <c r="H325" s="115">
        <v>8.0</v>
      </c>
      <c r="I325" s="115">
        <v>3038913.28</v>
      </c>
    </row>
    <row r="326">
      <c r="A326" s="114" t="inlineStr">
        <is>
          <t xml:space="preserve">НАВОИЙ ВИЛОЯТИ</t>
        </is>
      </c>
      <c r="C326" s="114" t="inlineStr">
        <is>
          <t xml:space="preserve">Недозвон</t>
        </is>
      </c>
      <c r="D326" s="114" t="inlineStr">
        <is>
          <t xml:space="preserve">Кр-99030758-1</t>
        </is>
      </c>
      <c r="E326" s="114" t="inlineStr">
        <is>
          <t xml:space="preserve">BOBOYEV SAYYOD RAXIMOVICH</t>
        </is>
      </c>
      <c r="F326" s="114" t="inlineStr">
        <is>
          <t xml:space="preserve">99-556-83-44  SMS O’ZI, 99-516-78-86  SMS AYOLI , 99-967-26-24  SMS SIN , 95-132-22-03  SMS SIN 2 , 998995038828 SMS JIYANI TOLOVCHI ,</t>
        </is>
      </c>
      <c r="G326" s="114" t="inlineStr">
        <is>
          <t xml:space="preserve">NAVOIY VILOYATI NUROTA TUMANI SENTOB MFY SENTOB QISHLOG’I </t>
        </is>
      </c>
      <c r="H326" s="115">
        <v>1.0</v>
      </c>
      <c r="I326" s="115">
        <v>2981308.85</v>
      </c>
    </row>
    <row r="327">
      <c r="A327" s="114" t="inlineStr">
        <is>
          <t xml:space="preserve">НАВОИЙ ВИЛОЯТИ</t>
        </is>
      </c>
      <c r="C327" s="114" t="inlineStr">
        <is>
          <t xml:space="preserve">Недозвон</t>
        </is>
      </c>
      <c r="D327" s="114" t="inlineStr">
        <is>
          <t xml:space="preserve">Кр-99062335-1</t>
        </is>
      </c>
      <c r="E327" s="114" t="inlineStr">
        <is>
          <t xml:space="preserve">TUXTOSHEV SEVDIYOR FARHOD O’G’LI</t>
        </is>
      </c>
      <c r="F327" s="114" t="inlineStr">
        <is>
          <t xml:space="preserve">998948628838 SMS OZI, 998940508277 SMS AMAKISI, 998505456699 SMS AKASI tulovchi, 998944333628 SMS DADASI, 998938475559 NEW OZI,</t>
        </is>
      </c>
      <c r="G327" s="114" t="inlineStr">
        <is>
          <t xml:space="preserve">NAVOIY VILOYATI,XATIRCHI TUMANI,TINCHLIK MFY,SHAG'OLON KO'CHASI, 3 UY</t>
        </is>
      </c>
      <c r="H327" s="115">
        <v>8.0</v>
      </c>
      <c r="I327" s="115">
        <v>2855418.06</v>
      </c>
      <c r="K327" s="114" t="inlineStr">
        <is>
          <t xml:space="preserve">telefonni kotarmadi</t>
        </is>
      </c>
    </row>
    <row r="328">
      <c r="A328" s="114" t="inlineStr">
        <is>
          <t xml:space="preserve">НАВОИЙ ВИЛОЯТИ</t>
        </is>
      </c>
      <c r="C328" s="114" t="inlineStr">
        <is>
          <t xml:space="preserve">Недозвон</t>
        </is>
      </c>
      <c r="D328" s="114" t="inlineStr">
        <is>
          <t xml:space="preserve">Кр-99063631-1</t>
        </is>
      </c>
      <c r="E328" s="114" t="inlineStr">
        <is>
          <t xml:space="preserve">NAZAROVA MOHLAROYIM ALIQUL QIZI</t>
        </is>
      </c>
      <c r="F328" s="114" t="inlineStr">
        <is>
          <t xml:space="preserve">998939560808 O’ZI, 998944851770 TURMUSH O’RTOGI, 998985605353 O’ZI 2 NOMERI,</t>
        </is>
      </c>
      <c r="G328" s="114" t="inlineStr">
        <is>
          <t xml:space="preserve">M-TOROBIY KUCHASI 85 UY 35 XONADON</t>
        </is>
      </c>
      <c r="H328" s="115">
        <v>8.0</v>
      </c>
      <c r="I328" s="115">
        <v>2812581.95</v>
      </c>
      <c r="K328" s="114" t="inlineStr">
        <is>
          <t xml:space="preserve">Telefon ko'tarmadi</t>
        </is>
      </c>
    </row>
    <row r="329">
      <c r="A329" s="114" t="inlineStr">
        <is>
          <t xml:space="preserve">НАВОИЙ ВИЛОЯТИ</t>
        </is>
      </c>
      <c r="C329" s="114" t="inlineStr">
        <is>
          <t xml:space="preserve">Недозвон</t>
        </is>
      </c>
      <c r="D329" s="114" t="inlineStr">
        <is>
          <t xml:space="preserve">Кр-99035226-1</t>
        </is>
      </c>
      <c r="E329" s="114" t="inlineStr">
        <is>
          <t xml:space="preserve">MARDONOVA GULRUH ZAFAR QIZI</t>
        </is>
      </c>
      <c r="F329" s="114" t="inlineStr">
        <is>
          <t xml:space="preserve">998996812100 SMS O’ZI, 998991635323 SMS O’ZI, 998883914400 SMS ZALOGADETOL, 998883974131 SMS ONASI,</t>
        </is>
      </c>
      <c r="G329" s="114" t="inlineStr">
        <is>
          <t xml:space="preserve">NAVOIY VILOYATI NAVBAHOR TUMANI ARAB SAROY QFY ARIMJON MFY 58-UY</t>
        </is>
      </c>
      <c r="H329" s="115">
        <v>4.0</v>
      </c>
      <c r="I329" s="115">
        <v>2636928.0</v>
      </c>
    </row>
    <row r="330">
      <c r="A330" s="114" t="inlineStr">
        <is>
          <t xml:space="preserve">НАВОИЙ ВИЛОЯТИ</t>
        </is>
      </c>
      <c r="C330" s="114" t="inlineStr">
        <is>
          <t xml:space="preserve">Недозвон</t>
        </is>
      </c>
      <c r="D330" s="114" t="inlineStr">
        <is>
          <t xml:space="preserve">Кр-99021623-3</t>
        </is>
      </c>
      <c r="E330" s="114" t="inlineStr">
        <is>
          <t xml:space="preserve">KOMILJONOV KOMILJON AKBAROVICH</t>
        </is>
      </c>
      <c r="F330" s="114" t="inlineStr">
        <is>
          <t xml:space="preserve">94-871-19-02 SMS SINGLISI, 998953849991 SMS UZI NEW RAQAMI, 998994149708 SMS UZI YANGISI, +998953849991 Primary phone from road24,</t>
        </is>
      </c>
      <c r="G330" s="114" t="inlineStr">
        <is>
          <t xml:space="preserve">Шибзон МФЙ, Варк кучаси, 24//в-уй</t>
        </is>
      </c>
      <c r="H330" s="115">
        <v>8.0</v>
      </c>
      <c r="I330" s="115">
        <v>2602500.42</v>
      </c>
    </row>
    <row r="331">
      <c r="A331" s="114" t="inlineStr">
        <is>
          <t xml:space="preserve">НАВОИЙ ВИЛОЯТИ</t>
        </is>
      </c>
      <c r="C331" s="114" t="inlineStr">
        <is>
          <t xml:space="preserve">Недозвон</t>
        </is>
      </c>
      <c r="D331" s="114" t="inlineStr">
        <is>
          <t xml:space="preserve">Кр-99057268-3</t>
        </is>
      </c>
      <c r="E331" s="114" t="inlineStr">
        <is>
          <t xml:space="preserve">XAITOV BAXODIR RAXMANOVICH</t>
        </is>
      </c>
      <c r="F331" s="114" t="inlineStr">
        <is>
          <t xml:space="preserve">998912536624 SMS OZI, 998921926620 SMS AYOLI, 998913366700 SMS QIZI, 998912566634 SMS AKASI,</t>
        </is>
      </c>
      <c r="G331" s="114" t="inlineStr">
        <is>
          <t xml:space="preserve">NAVOIY VILOYATI,NAVOIY SHAHAR,ISTIQLOL MFY,NAVBAHOR KO’CHASI, 29 b UY</t>
        </is>
      </c>
      <c r="H331" s="115">
        <v>8.0</v>
      </c>
      <c r="I331" s="115">
        <v>2494330.12</v>
      </c>
    </row>
    <row r="332">
      <c r="A332" s="114" t="inlineStr">
        <is>
          <t xml:space="preserve">НАВОИЙ ВИЛОЯТИ</t>
        </is>
      </c>
      <c r="C332" s="114" t="inlineStr">
        <is>
          <t xml:space="preserve">Недозвон</t>
        </is>
      </c>
      <c r="D332" s="114" t="inlineStr">
        <is>
          <t xml:space="preserve">Кр-99029541-2</t>
        </is>
      </c>
      <c r="E332" s="114" t="inlineStr">
        <is>
          <t xml:space="preserve">ISMOILOV FARRUH ZARIF O’G’LI</t>
        </is>
      </c>
      <c r="F332" s="114" t="inlineStr">
        <is>
          <t xml:space="preserve">90-000-88-04  SMS OZI, 77-085-01-41  SMS XONADONI, 99-548-09-10 SMS HAMKASBI,</t>
        </is>
      </c>
      <c r="G332" s="114" t="inlineStr">
        <is>
          <t xml:space="preserve">NAVOIY VILOYATI KARMANA TUMANI MIR-SAID BAHROM MFY BOBO-DEHQON KO’CHASI 13-UY</t>
        </is>
      </c>
      <c r="H332" s="115">
        <v>8.0</v>
      </c>
      <c r="I332" s="115">
        <v>2331826.33</v>
      </c>
    </row>
    <row r="333">
      <c r="A333" s="114" t="inlineStr">
        <is>
          <t xml:space="preserve">НАВОИЙ ВИЛОЯТИ</t>
        </is>
      </c>
      <c r="C333" s="114" t="inlineStr">
        <is>
          <t xml:space="preserve">Недозвон</t>
        </is>
      </c>
      <c r="D333" s="114" t="inlineStr">
        <is>
          <t xml:space="preserve">Кр-99034901-1</t>
        </is>
      </c>
      <c r="E333" s="114" t="inlineStr">
        <is>
          <t xml:space="preserve">SAFAROVA FIRUZA NEMATULLAYEVNA</t>
        </is>
      </c>
      <c r="F333" s="114" t="inlineStr">
        <is>
          <t xml:space="preserve">998906194960 SMS OZI, 998990920300 SMS BEGONA, 998915206104 SMS KELINI, 998913376868 SMS QUSHNISI,</t>
        </is>
      </c>
      <c r="G333" s="114" t="inlineStr">
        <is>
          <t xml:space="preserve">NAVOIY VILOYATI NAVOIY SHAHAR CHINOR MFY 10-DAHA I.KARIMOV KUCHASI 93-UY 23-XONADON</t>
        </is>
      </c>
      <c r="H333" s="115">
        <v>13.0</v>
      </c>
      <c r="I333" s="115">
        <v>2323453.44</v>
      </c>
    </row>
    <row r="334">
      <c r="A334" s="114" t="inlineStr">
        <is>
          <t xml:space="preserve">НАВОИЙ ВИЛОЯТИ</t>
        </is>
      </c>
      <c r="C334" s="114" t="inlineStr">
        <is>
          <t xml:space="preserve">Недозвон</t>
        </is>
      </c>
      <c r="D334" s="114" t="inlineStr">
        <is>
          <t xml:space="preserve">Кр-99029982-2</t>
        </is>
      </c>
      <c r="E334" s="114" t="inlineStr">
        <is>
          <t xml:space="preserve">IBROGIMOV BOBIR ISROILOVICH</t>
        </is>
      </c>
      <c r="F334" s="114" t="inlineStr">
        <is>
          <t xml:space="preserve">97-322-80-02  SMS UZI EKONOM ZONADA ISHLIDI , 88-053-30-57  SMS O’G’LI, 97-797-05-79  SMS XOTINI, 97-323-21-13  SMS UKASI, 998931757725 SMS UGLI GMZ DA ISHLIDI , 998970857101 SMS O'ZI, 998888027725 SMS o'g'li javohir 1ci bub wunga tel qlinsin,</t>
        </is>
      </c>
      <c r="G334" s="114" t="inlineStr">
        <is>
          <t xml:space="preserve">O’RIKZOR KO’CHASI, 10 UY</t>
        </is>
      </c>
      <c r="H334" s="115">
        <v>8.0</v>
      </c>
      <c r="I334" s="115">
        <v>2186631.89</v>
      </c>
    </row>
    <row r="335">
      <c r="A335" s="114" t="inlineStr">
        <is>
          <t xml:space="preserve">НАВОИЙ ВИЛОЯТИ</t>
        </is>
      </c>
      <c r="C335" s="114" t="inlineStr">
        <is>
          <t xml:space="preserve">Недозвон</t>
        </is>
      </c>
      <c r="D335" s="114" t="inlineStr">
        <is>
          <t xml:space="preserve">Кр-99033840-2</t>
        </is>
      </c>
      <c r="E335" s="114" t="inlineStr">
        <is>
          <t xml:space="preserve">SAIDOVA NIGORA AZIMOVNA</t>
        </is>
      </c>
      <c r="F335" s="114" t="inlineStr">
        <is>
          <t xml:space="preserve">998934373703 SMS O’ZI, 998934634477 SMS ERI begona , 998930903703 SMS QIZI, 998949192277 SMS eri bic  new ,</t>
        </is>
      </c>
      <c r="G335" s="114" t="inlineStr">
        <is>
          <t xml:space="preserve">NAVOIY VILOYATI ZARAFSHON SHAHAR 11-KICHIK TUMAN 10-UY 7-XONADON</t>
        </is>
      </c>
      <c r="H335" s="115">
        <v>8.0</v>
      </c>
      <c r="I335" s="115">
        <v>2169375.74</v>
      </c>
    </row>
    <row r="336">
      <c r="A336" s="114" t="inlineStr">
        <is>
          <t xml:space="preserve">НАВОИЙ ВИЛОЯТИ</t>
        </is>
      </c>
      <c r="C336" s="114" t="inlineStr">
        <is>
          <t xml:space="preserve">Недозвон</t>
        </is>
      </c>
      <c r="D336" s="114" t="inlineStr">
        <is>
          <t xml:space="preserve">Кр-99034384-1</t>
        </is>
      </c>
      <c r="E336" s="114" t="inlineStr">
        <is>
          <t xml:space="preserve">ESANOV SUNNATILLO MARDONOVICH</t>
        </is>
      </c>
      <c r="F336" s="114" t="inlineStr">
        <is>
          <t xml:space="preserve">998900000000 SMS O’ZI, 998900000000 SMS ONASI,</t>
        </is>
      </c>
      <c r="G336" s="114" t="inlineStr">
        <is>
          <t xml:space="preserve">NAVOIY VILOYATI KARMANA TUMANI ALISHER NAVOIY MFY MUQIMIY KUCHASI 14-UY</t>
        </is>
      </c>
      <c r="H336" s="115">
        <v>1.0</v>
      </c>
      <c r="I336" s="115">
        <v>1697475.63</v>
      </c>
    </row>
    <row r="337">
      <c r="A337" s="114" t="inlineStr">
        <is>
          <t xml:space="preserve">НАВОИЙ ВИЛОЯТИ</t>
        </is>
      </c>
      <c r="C337" s="114" t="inlineStr">
        <is>
          <t xml:space="preserve">Недозвон</t>
        </is>
      </c>
      <c r="D337" s="114" t="inlineStr">
        <is>
          <t xml:space="preserve">Кр-99036616-2</t>
        </is>
      </c>
      <c r="E337" s="114" t="inlineStr">
        <is>
          <t xml:space="preserve">ISMATOV OYBEK ABDURASULOVICH</t>
        </is>
      </c>
      <c r="F337" s="114" t="inlineStr">
        <is>
          <t xml:space="preserve">998977951771 SMS OZI, 998912520775 ayoli, 998973795775 o’zi 2,</t>
        </is>
      </c>
      <c r="G337" s="114" t="inlineStr">
        <is>
          <t xml:space="preserve">NAVOIY VILOYATI NAVOIY SHAHAR ZIYOKOR MFY M.TAROBIY KUCHASI 5-A UY 11-XONADON</t>
        </is>
      </c>
      <c r="H337" s="115">
        <v>8.0</v>
      </c>
      <c r="I337" s="115">
        <v>1686113.23</v>
      </c>
    </row>
    <row r="338">
      <c r="A338" s="114" t="inlineStr">
        <is>
          <t xml:space="preserve">НАВОИЙ ВИЛОЯТИ</t>
        </is>
      </c>
      <c r="C338" s="114" t="inlineStr">
        <is>
          <t xml:space="preserve">Недозвон</t>
        </is>
      </c>
      <c r="D338" s="114" t="inlineStr">
        <is>
          <t xml:space="preserve">Кр-99033419-1</t>
        </is>
      </c>
      <c r="E338" s="114" t="inlineStr">
        <is>
          <t xml:space="preserve">ASKAROV ATAULLA TOLLIBOYEVICH</t>
        </is>
      </c>
      <c r="F338" s="114" t="inlineStr">
        <is>
          <t xml:space="preserve">998959588308 SMS O’ZI  gipskardon sexda ishlid samarqanda , 998880323939 SMS XOTINI, 998951908308 SMS OPASI,</t>
        </is>
      </c>
      <c r="G338" s="114" t="inlineStr">
        <is>
          <t xml:space="preserve">NAVOIY VIILOYATI KARMANA TUMANI BOG’ISHAMOL MFY SARXAT KUCHASI 47-UY</t>
        </is>
      </c>
      <c r="H338" s="115">
        <v>8.0</v>
      </c>
      <c r="I338" s="115">
        <v>1656181.93</v>
      </c>
    </row>
    <row r="339">
      <c r="A339" s="114" t="inlineStr">
        <is>
          <t xml:space="preserve">НАВОИЙ ВИЛОЯТИ</t>
        </is>
      </c>
      <c r="C339" s="114" t="inlineStr">
        <is>
          <t xml:space="preserve">Недозвон</t>
        </is>
      </c>
      <c r="D339" s="114" t="inlineStr">
        <is>
          <t xml:space="preserve">Кр-99041042-1</t>
        </is>
      </c>
      <c r="E339" s="114" t="inlineStr">
        <is>
          <t xml:space="preserve">RAXMATOVA NAVBAXOR MUXAMATOVNA</t>
        </is>
      </c>
      <c r="F339" s="114" t="inlineStr">
        <is>
          <t xml:space="preserve">+998933780515 SMS OZI, 998940290992 SMS KATTA OGLI, 998944844414 KICHIK OGLI,</t>
        </is>
      </c>
      <c r="G339" s="114" t="inlineStr">
        <is>
          <t xml:space="preserve">АЙРОНЧИ МФЙ,  uy:Р/С</t>
        </is>
      </c>
      <c r="H339" s="115">
        <v>8.0</v>
      </c>
      <c r="I339" s="115">
        <v>1634757.09</v>
      </c>
    </row>
    <row r="340">
      <c r="A340" s="114" t="inlineStr">
        <is>
          <t xml:space="preserve">НАВОИЙ ВИЛОЯТИ</t>
        </is>
      </c>
      <c r="C340" s="114" t="inlineStr">
        <is>
          <t xml:space="preserve">Недозвон</t>
        </is>
      </c>
      <c r="D340" s="114" t="inlineStr">
        <is>
          <t xml:space="preserve">Кр-99027864-1</t>
        </is>
      </c>
      <c r="E340" s="114" t="inlineStr">
        <is>
          <t xml:space="preserve">CHULIYEVA DILDORA NEMATILLO QIZI</t>
        </is>
      </c>
      <c r="F340" s="114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340" s="114" t="inlineStr">
        <is>
          <t xml:space="preserve">NAVOIY VILOYATI NAVBAXOR TUMANI HALOVAT-TEPA MFY ELPARVAR KO’CHASI 77-UY</t>
        </is>
      </c>
      <c r="H340" s="115">
        <v>1.0</v>
      </c>
      <c r="I340" s="115">
        <v>1561417.83</v>
      </c>
    </row>
    <row r="341">
      <c r="A341" s="114" t="inlineStr">
        <is>
          <t xml:space="preserve">НАВОИЙ ВИЛОЯТИ</t>
        </is>
      </c>
      <c r="C341" s="114" t="inlineStr">
        <is>
          <t xml:space="preserve">Недозвон</t>
        </is>
      </c>
      <c r="D341" s="114" t="inlineStr">
        <is>
          <t xml:space="preserve">Кр-99063850-3</t>
        </is>
      </c>
      <c r="E341" s="114" t="inlineStr">
        <is>
          <t xml:space="preserve">BERDIYEVA FERUZA O’RALOVNA</t>
        </is>
      </c>
      <c r="F341" s="114" t="inlineStr">
        <is>
          <t xml:space="preserve">998934788963 AKASI, 998941622322 TURMUSH URTOGI, 998946078687 O’ZI,</t>
        </is>
      </c>
      <c r="G341" s="114" t="inlineStr">
        <is>
          <t xml:space="preserve">QIYOT KO’CHASI 64 UY</t>
        </is>
      </c>
      <c r="H341" s="115">
        <v>8.0</v>
      </c>
      <c r="I341" s="115">
        <v>1510701.68</v>
      </c>
      <c r="K341" s="114" t="inlineStr">
        <is>
          <t xml:space="preserve">Telefon ko'tarmadi</t>
        </is>
      </c>
    </row>
    <row r="342">
      <c r="A342" s="114" t="inlineStr">
        <is>
          <t xml:space="preserve">НАВОИЙ ВИЛОЯТИ</t>
        </is>
      </c>
      <c r="C342" s="114" t="inlineStr">
        <is>
          <t xml:space="preserve">Недозвон</t>
        </is>
      </c>
      <c r="D342" s="114" t="inlineStr">
        <is>
          <t xml:space="preserve">Кр-99031486-1</t>
        </is>
      </c>
      <c r="E342" s="114" t="inlineStr">
        <is>
          <t xml:space="preserve">SHARAPOVA MASTURA XAYDAROVNA</t>
        </is>
      </c>
      <c r="F342" s="114" t="inlineStr">
        <is>
          <t xml:space="preserve">99-266-81-68  SMS O’ZI, 90-732-24-07  SMS O’G’LI, 90-619-59-31  SMS SINGLISI, 91-461-12-86  SMS JIYANI, 998906469770 SMS new ozi  oqtuvchi ,</t>
        </is>
      </c>
      <c r="G342" s="114" t="inlineStr">
        <is>
          <t xml:space="preserve">NAVOIY VILOYATI NAVOIY SHAHAR UMID MFY NURAFSHON KO’CHASI 15-UY 1-XONADON</t>
        </is>
      </c>
      <c r="H342" s="115">
        <v>11.0</v>
      </c>
      <c r="I342" s="115">
        <v>1498924.46</v>
      </c>
    </row>
    <row r="343">
      <c r="A343" s="114" t="inlineStr">
        <is>
          <t xml:space="preserve">НАВОИЙ ВИЛОЯТИ</t>
        </is>
      </c>
      <c r="C343" s="114" t="inlineStr">
        <is>
          <t xml:space="preserve">Недозвон</t>
        </is>
      </c>
      <c r="D343" s="114" t="inlineStr">
        <is>
          <t xml:space="preserve">Кр-99029799-3</t>
        </is>
      </c>
      <c r="E343" s="114" t="inlineStr">
        <is>
          <t xml:space="preserve">BERDIYEV BAXRIDDIN SHUKUROVICH</t>
        </is>
      </c>
      <c r="F343" s="114" t="inlineStr">
        <is>
          <t xml:space="preserve">93-313-25-50 SMS O'ZI  begona    tel qilinmasin , 93-086-25-50 SMS O'ZI 2 , 99-115-58-14 SMS ONASI, 998906183436 new oziniki,</t>
        </is>
      </c>
      <c r="G343" s="114" t="inlineStr">
        <is>
          <t xml:space="preserve">NAVOIY VILOYATI VISHNEVISKIY 12-82 A UY</t>
        </is>
      </c>
      <c r="H343" s="115">
        <v>8.0</v>
      </c>
      <c r="I343" s="115">
        <v>1297842.11</v>
      </c>
    </row>
    <row r="344">
      <c r="A344" s="114" t="inlineStr">
        <is>
          <t xml:space="preserve">НАВОИЙ ВИЛОЯТИ</t>
        </is>
      </c>
      <c r="C344" s="114" t="inlineStr">
        <is>
          <t xml:space="preserve">Недозвон</t>
        </is>
      </c>
      <c r="D344" s="114" t="inlineStr">
        <is>
          <t xml:space="preserve">Кр-99063158-2</t>
        </is>
      </c>
      <c r="E344" s="114" t="inlineStr">
        <is>
          <t xml:space="preserve">SUYUNOV ULUG’BEK DILMURODOVICH</t>
        </is>
      </c>
      <c r="F344" s="114" t="inlineStr">
        <is>
          <t xml:space="preserve">998932153700 SMS O’G’LI, 998939270687 AYOLI, 998943738500 SMS UZI,</t>
        </is>
      </c>
      <c r="G344" s="114" t="inlineStr">
        <is>
          <t xml:space="preserve">NAVOIY VILOYATI XATIRCHITUMANI,ELOMONTEPA QISHLOG’I 180 UY</t>
        </is>
      </c>
      <c r="H344" s="115">
        <v>8.0</v>
      </c>
      <c r="I344" s="115">
        <v>1246488.0</v>
      </c>
      <c r="K344" s="114" t="inlineStr">
        <is>
          <t xml:space="preserve">Telefon ko'tarmadi</t>
        </is>
      </c>
    </row>
    <row r="345">
      <c r="A345" s="114" t="inlineStr">
        <is>
          <t xml:space="preserve">НАВОИЙ ВИЛОЯТИ</t>
        </is>
      </c>
      <c r="C345" s="114" t="inlineStr">
        <is>
          <t xml:space="preserve">Недозвон</t>
        </is>
      </c>
      <c r="D345" s="114" t="inlineStr">
        <is>
          <t xml:space="preserve">Кр-99026502-2</t>
        </is>
      </c>
      <c r="E345" s="114" t="inlineStr">
        <is>
          <t xml:space="preserve">RAXMONOV BEKZOD FURQAT O’G’LI</t>
        </is>
      </c>
      <c r="F345" s="114" t="inlineStr">
        <is>
          <t xml:space="preserve">998997370013 SMS OZI KARMANA GAZDA ISHLIDI , 99-814-13-13 SMS AYOLI, 99-454-00-13 SMS ORTOGI, 99-739-00-05 SMS AKASI,</t>
        </is>
      </c>
      <c r="G345" s="114" t="inlineStr">
        <is>
          <t xml:space="preserve">Навоий вилояти Кармана тумани, Фарход МФЙ, Фарход кучаси 5-1/8 уй</t>
        </is>
      </c>
      <c r="H345" s="115">
        <v>4.0</v>
      </c>
      <c r="I345" s="115">
        <v>1221409.86</v>
      </c>
    </row>
    <row r="346">
      <c r="A346" s="114" t="inlineStr">
        <is>
          <t xml:space="preserve">НАВОИЙ ВИЛОЯТИ</t>
        </is>
      </c>
      <c r="C346" s="114" t="inlineStr">
        <is>
          <t xml:space="preserve">Недозвон</t>
        </is>
      </c>
      <c r="D346" s="114" t="inlineStr">
        <is>
          <t xml:space="preserve">Кр-99029541-3</t>
        </is>
      </c>
      <c r="E346" s="114" t="inlineStr">
        <is>
          <t xml:space="preserve">ISMOILOV FARRUH ZARIF O’G’LI</t>
        </is>
      </c>
      <c r="F346" s="114" t="inlineStr">
        <is>
          <t xml:space="preserve">90-000-88-04  SMS OZI, 77-085-01-41  SMS XONADONI, 99-548-09-10 SMS HAMKASBI,</t>
        </is>
      </c>
      <c r="G346" s="114" t="inlineStr">
        <is>
          <t xml:space="preserve">NAVOIY VILOYATI KARMANA TUMANI MIR-SAID BAHROM MFY BOBO-DEHQON KO’CHASI 13-UY</t>
        </is>
      </c>
      <c r="H346" s="115">
        <v>8.0</v>
      </c>
      <c r="I346" s="115">
        <v>1161965.54</v>
      </c>
    </row>
    <row r="347">
      <c r="A347" s="114" t="inlineStr">
        <is>
          <t xml:space="preserve">НАВОИЙ ВИЛОЯТИ</t>
        </is>
      </c>
      <c r="C347" s="114" t="inlineStr">
        <is>
          <t xml:space="preserve">Недозвон</t>
        </is>
      </c>
      <c r="D347" s="114" t="inlineStr">
        <is>
          <t xml:space="preserve">Кр-99027892-5</t>
        </is>
      </c>
      <c r="E347" s="114" t="inlineStr">
        <is>
          <t xml:space="preserve">BURONOVA DILFUZA TUXTAYEVNA</t>
        </is>
      </c>
      <c r="F347" s="114" t="inlineStr">
        <is>
          <t xml:space="preserve">99-153-79-70 sms UZI, 93-814-90-00 sms QIZI, 93-653-97-09 sms ERI, 50-070-14-01 sms O’G’LI, 998992480004 SMS ogli new,</t>
        </is>
      </c>
      <c r="G347" s="114" t="inlineStr">
        <is>
          <t xml:space="preserve">NAVOIY VILOYATI ZARAFSHON SHAHAR 12-KICHIK TUMANI 21-UY 135-XONADON</t>
        </is>
      </c>
      <c r="H347" s="115">
        <v>8.0</v>
      </c>
      <c r="I347" s="115">
        <v>1098180.54</v>
      </c>
    </row>
    <row r="348">
      <c r="A348" s="114" t="inlineStr">
        <is>
          <t xml:space="preserve">НАВОИЙ ВИЛОЯТИ</t>
        </is>
      </c>
      <c r="C348" s="114" t="inlineStr">
        <is>
          <t xml:space="preserve">Недозвон</t>
        </is>
      </c>
      <c r="D348" s="114" t="inlineStr">
        <is>
          <t xml:space="preserve">Кр-99029799-2</t>
        </is>
      </c>
      <c r="E348" s="114" t="inlineStr">
        <is>
          <t xml:space="preserve">BERDIYEV BAXRIDDIN SHUKUROVICH</t>
        </is>
      </c>
      <c r="F348" s="114" t="inlineStr">
        <is>
          <t xml:space="preserve">93-313-25-50 SMS O'ZI  begona    tel qilinmasin , 93-086-25-50 SMS O'ZI 2 , 99-115-58-14 SMS ONASI, 998906183436 new oziniki,</t>
        </is>
      </c>
      <c r="G348" s="114" t="inlineStr">
        <is>
          <t xml:space="preserve">NAVOIY VILOYATI VISHNEVISKIY 12-82 A UY</t>
        </is>
      </c>
      <c r="H348" s="115">
        <v>12.0</v>
      </c>
      <c r="I348" s="115">
        <v>1068958.36</v>
      </c>
    </row>
    <row r="349">
      <c r="A349" s="114" t="inlineStr">
        <is>
          <t xml:space="preserve">НАВОИЙ ВИЛОЯТИ</t>
        </is>
      </c>
      <c r="C349" s="114" t="inlineStr">
        <is>
          <t xml:space="preserve">Недозвон</t>
        </is>
      </c>
      <c r="D349" s="114" t="inlineStr">
        <is>
          <t xml:space="preserve">Кр-99031486-2</t>
        </is>
      </c>
      <c r="E349" s="114" t="inlineStr">
        <is>
          <t xml:space="preserve">SHARAPOVA MASTURA XAYDAROVNA</t>
        </is>
      </c>
      <c r="F349" s="114" t="inlineStr">
        <is>
          <t xml:space="preserve">99-266-81-68  SMS O’ZI, 90-732-24-07  SMS O’G’LI, 90-619-59-31  SMS SINGLISI, 91-461-12-86  SMS JIYANI, 998906469770 SMS new ozi  oqtuvchi ,</t>
        </is>
      </c>
      <c r="G349" s="114" t="inlineStr">
        <is>
          <t xml:space="preserve">NAVOIY VILOYATI NAVOIY SHAHAR UMID MFY NURAFSHON KO’CHASI 15-UY 1-XONADON</t>
        </is>
      </c>
      <c r="H349" s="115">
        <v>8.0</v>
      </c>
      <c r="I349" s="115">
        <v>1006887.07</v>
      </c>
    </row>
    <row r="350">
      <c r="A350" s="114" t="inlineStr">
        <is>
          <t xml:space="preserve">НАВОИЙ ВИЛОЯТИ</t>
        </is>
      </c>
      <c r="C350" s="114" t="inlineStr">
        <is>
          <t xml:space="preserve">Недозвон</t>
        </is>
      </c>
      <c r="D350" s="114" t="inlineStr">
        <is>
          <t xml:space="preserve">Кр-99064028-1</t>
        </is>
      </c>
      <c r="E350" s="114" t="inlineStr">
        <is>
          <t xml:space="preserve">BOLTAYEV UKTAMJON IBODILLOYEVICH</t>
        </is>
      </c>
      <c r="F350" s="114" t="inlineStr">
        <is>
          <t xml:space="preserve">998907319493 AYOLI, 998992749373 DADASI, 998995829229 O’ZI,</t>
        </is>
      </c>
      <c r="G350" s="114" t="inlineStr">
        <is>
          <t xml:space="preserve">NAQSHBANDIY 30 A UY</t>
        </is>
      </c>
      <c r="H350" s="115">
        <v>8.0</v>
      </c>
      <c r="I350" s="115">
        <v>978459.84</v>
      </c>
      <c r="K350" s="114" t="inlineStr">
        <is>
          <t xml:space="preserve">kotarmadi</t>
        </is>
      </c>
    </row>
    <row r="351">
      <c r="A351" s="114" t="inlineStr">
        <is>
          <t xml:space="preserve">НАВОИЙ ВИЛОЯТИ</t>
        </is>
      </c>
      <c r="C351" s="114" t="inlineStr">
        <is>
          <t xml:space="preserve">Недозвон</t>
        </is>
      </c>
      <c r="D351" s="114" t="inlineStr">
        <is>
          <t xml:space="preserve">Кр-99063037-1</t>
        </is>
      </c>
      <c r="E351" s="114" t="inlineStr">
        <is>
          <t xml:space="preserve">SALOMOVA GULSARA ABDIMALIKOVNA</t>
        </is>
      </c>
      <c r="F351" s="114" t="inlineStr">
        <is>
          <t xml:space="preserve">998933190870 TURMUSH URTOGI, 998974912121 O’GLI 2 NOMNERI, 998974913535 O’GLI,</t>
        </is>
      </c>
      <c r="G351" s="114" t="inlineStr">
        <is>
          <t xml:space="preserve">XATIRCHI TUMANI</t>
        </is>
      </c>
      <c r="H351" s="115">
        <v>8.0</v>
      </c>
      <c r="I351" s="115">
        <v>874195.17</v>
      </c>
      <c r="K351" s="114" t="inlineStr">
        <is>
          <t xml:space="preserve">Telefon ko'tarmadi</t>
        </is>
      </c>
    </row>
    <row r="352">
      <c r="A352" s="114" t="inlineStr">
        <is>
          <t xml:space="preserve">НАВОИЙ ВИЛОЯТИ</t>
        </is>
      </c>
      <c r="C352" s="114" t="inlineStr">
        <is>
          <t xml:space="preserve">Недозвон</t>
        </is>
      </c>
      <c r="D352" s="114" t="inlineStr">
        <is>
          <t xml:space="preserve">Кр-99033499-1</t>
        </is>
      </c>
      <c r="E352" s="114" t="inlineStr">
        <is>
          <t xml:space="preserve">XUJAYOROV BEKZOD SALOXIDINOVICH</t>
        </is>
      </c>
      <c r="F352" s="114" t="inlineStr">
        <is>
          <t xml:space="preserve">998900852727 SMS O’ZI, 998976852000 SMS O’ZI 2, 998774242727 SMS new ozi , 998773437901 jiyani,</t>
        </is>
      </c>
      <c r="G352" s="114" t="inlineStr">
        <is>
          <t xml:space="preserve">NAVOIY VILOYATI NAVOIY SHAHAR NAVOIY KO’CHASI QURILISH MFY 1-UY 11-XONADON</t>
        </is>
      </c>
      <c r="I352" s="115">
        <v>802918.63</v>
      </c>
    </row>
    <row r="353">
      <c r="A353" s="114" t="inlineStr">
        <is>
          <t xml:space="preserve">НАВОИЙ ВИЛОЯТИ</t>
        </is>
      </c>
      <c r="C353" s="114" t="inlineStr">
        <is>
          <t xml:space="preserve">Недозвон</t>
        </is>
      </c>
      <c r="D353" s="114" t="inlineStr">
        <is>
          <t xml:space="preserve">Кр-99035085-3</t>
        </is>
      </c>
      <c r="E353" s="114" t="inlineStr">
        <is>
          <t xml:space="preserve">FARMONOV AZIM BAXTIYOROVICH</t>
        </is>
      </c>
      <c r="F353" s="114" t="inlineStr">
        <is>
          <t xml:space="preserve">998932789282 SMS OZI, 998996750553 SMS OTASI, 998931738287 SMS XOTINI,</t>
        </is>
      </c>
      <c r="G353" s="114" t="inlineStr">
        <is>
          <t xml:space="preserve">NAVOIY VILOYATI NAVBAXOR TUMANI SARBOZOR MFY YANGIQO’RG’ON 77-UY</t>
        </is>
      </c>
      <c r="H353" s="115">
        <v>12.0</v>
      </c>
      <c r="I353" s="115">
        <v>710611.03</v>
      </c>
    </row>
    <row r="354">
      <c r="A354" s="114" t="inlineStr">
        <is>
          <t xml:space="preserve">НАВОИЙ ВИЛОЯТИ</t>
        </is>
      </c>
      <c r="C354" s="114" t="inlineStr">
        <is>
          <t xml:space="preserve">Недозвон</t>
        </is>
      </c>
      <c r="D354" s="114" t="inlineStr">
        <is>
          <t xml:space="preserve">Кр-99031486-7</t>
        </is>
      </c>
      <c r="E354" s="114" t="inlineStr">
        <is>
          <t xml:space="preserve">SHARAPOVA MASTURA XAYDAROVNA</t>
        </is>
      </c>
      <c r="F354" s="114" t="inlineStr">
        <is>
          <t xml:space="preserve">99-266-81-68  SMS O’ZI, 90-732-24-07  SMS O’G’LI, 90-619-59-31  SMS SINGLISI, 91-461-12-86  SMS JIYANI, 998906469770 SMS new ozi  oqtuvchi ,</t>
        </is>
      </c>
      <c r="G354" s="114" t="inlineStr">
        <is>
          <t xml:space="preserve">NAVOIY VILOYATI NAVOIY SHAHAR UMID MFY NURAFSHON KO’CHASI 15-UY 1-XONADON</t>
        </is>
      </c>
      <c r="H354" s="115">
        <v>8.0</v>
      </c>
      <c r="I354" s="115">
        <v>662715.52</v>
      </c>
    </row>
    <row r="355">
      <c r="A355" s="114" t="inlineStr">
        <is>
          <t xml:space="preserve">НАВОИЙ ВИЛОЯТИ</t>
        </is>
      </c>
      <c r="C355" s="114" t="inlineStr">
        <is>
          <t xml:space="preserve">Недозвон</t>
        </is>
      </c>
      <c r="D355" s="114" t="inlineStr">
        <is>
          <t xml:space="preserve">Кр-99024069-3</t>
        </is>
      </c>
      <c r="E355" s="114" t="inlineStr">
        <is>
          <t xml:space="preserve">ABDURASULOV XOLIKUL XXX</t>
        </is>
      </c>
      <c r="F355" s="114" t="inlineStr">
        <is>
          <t xml:space="preserve">93-612-28-69 SMS OZI, 93-660-33-85  SMS UKASI (ZALOGODATEL), 93-611-28-69  SMS XOTINI, 91-988-88-39  SMS O’G’LI (TO’LOVCHI),</t>
        </is>
      </c>
      <c r="G355" s="114" t="inlineStr">
        <is>
          <t xml:space="preserve">NAVOIY VILOYATI KARMANA TUMANI NAVRO’Z MFY ORZU KO’CHASI 74-UY</t>
        </is>
      </c>
      <c r="H355" s="115">
        <v>4.0</v>
      </c>
      <c r="I355" s="115">
        <v>60253.78</v>
      </c>
    </row>
    <row r="356">
      <c r="A356" s="116" t="inlineStr">
        <is>
          <t xml:space="preserve">НАМАНГАН ВИЛОЯТИ</t>
        </is>
      </c>
      <c r="C356" s="116" t="inlineStr">
        <is>
          <t xml:space="preserve">Недозвон</t>
        </is>
      </c>
      <c r="D356" s="116" t="inlineStr">
        <is>
          <t xml:space="preserve">Кр-99030243-1</t>
        </is>
      </c>
      <c r="E356" s="116" t="inlineStr">
        <is>
          <t xml:space="preserve">IBROHIMOV ILYOSXON MAXMUDJON O’G’LI</t>
        </is>
      </c>
      <c r="F356" s="116" t="inlineStr">
        <is>
          <t xml:space="preserve">99-613-07-03  SMS O’ZI, 95-677-19-78  SMS ONASI, 998939155252 SMS tulovchi , 93-918-55-50  SMS OSHNASI begona, 998330002000 TANISHI, 998772935555 tolovchi begona,</t>
        </is>
      </c>
      <c r="G356" s="116" t="inlineStr">
        <is>
          <t xml:space="preserve">NAMANGAN VILOYATI DAVLATOBOD TUMANI  YUQORI G’IRVON MFY N INAMOV KO’CHASI 34 UY</t>
        </is>
      </c>
      <c r="H356" s="117">
        <v>216.0</v>
      </c>
      <c r="I356" s="117">
        <v>49164568.53</v>
      </c>
      <c r="K356" s="116" t="inlineStr">
        <is>
          <t xml:space="preserve">Telefon ko'tarmadi | filial xal qiladi</t>
        </is>
      </c>
    </row>
    <row r="357">
      <c r="A357" s="116" t="inlineStr">
        <is>
          <t xml:space="preserve">НАМАНГАН ВИЛОЯТИ</t>
        </is>
      </c>
      <c r="C357" s="116" t="inlineStr">
        <is>
          <t xml:space="preserve">Недозвон</t>
        </is>
      </c>
      <c r="D357" s="116" t="inlineStr">
        <is>
          <t xml:space="preserve">Кр-99038835-1</t>
        </is>
      </c>
      <c r="E357" s="116" t="inlineStr">
        <is>
          <t xml:space="preserve">MAMADJANOV ZOKIR AKMALOVICH</t>
        </is>
      </c>
      <c r="F357" s="116" t="inlineStr">
        <is>
          <t xml:space="preserve">998939155005 SMS OZI, 998958537555 SMS HAKASBI, 998975912020 SMS XAMKASBI, 998958922621 SMS BEGONA,</t>
        </is>
      </c>
      <c r="G357" s="116" t="inlineStr">
        <is>
          <t xml:space="preserve">NAMANGAN VILOYATI NAMANGAN SHAXAR OBI XAYOT MFY 1-PROEZD IBRAT KO’CHA 21 UY</t>
        </is>
      </c>
      <c r="H357" s="117">
        <v>183.0</v>
      </c>
      <c r="I357" s="117">
        <v>47276130.97</v>
      </c>
    </row>
    <row r="358">
      <c r="A358" s="116" t="inlineStr">
        <is>
          <t xml:space="preserve">НАМАНГАН ВИЛОЯТИ</t>
        </is>
      </c>
      <c r="C358" s="116" t="inlineStr">
        <is>
          <t xml:space="preserve">Недозвон</t>
        </is>
      </c>
      <c r="D358" s="116" t="inlineStr">
        <is>
          <t xml:space="preserve">Кр-99035789-2</t>
        </is>
      </c>
      <c r="E358" s="116" t="inlineStr">
        <is>
          <t xml:space="preserve">MAVLONOVA MUQADDAM BOQIYEVNA</t>
        </is>
      </c>
      <c r="F358" s="116" t="inlineStr">
        <is>
          <t xml:space="preserve">998943491849 SMS O’ZI, 998930587200 SMS BEGONA EKAN , 998993907200 SMS O’G’LI , 998505005495 SMS O’G’LI 2, 998947452200 O'G'LI WU ISHLAYDI,</t>
        </is>
      </c>
      <c r="G358" s="116" t="inlineStr">
        <is>
          <t xml:space="preserve">NAMANGAN VILOYATI NORIN TUMANI QOZOQOVUL MFY LOXHIN KO’CHA 248 UY</t>
        </is>
      </c>
      <c r="H358" s="117">
        <v>130.0</v>
      </c>
      <c r="I358" s="117">
        <v>44021362.59</v>
      </c>
      <c r="K358" s="116" t="inlineStr">
        <is>
          <t xml:space="preserve">Telefon ko'tarmadi | brorta nomerini kotarmayabdi filial xal qiladi</t>
        </is>
      </c>
    </row>
    <row r="359">
      <c r="A359" s="116" t="inlineStr">
        <is>
          <t xml:space="preserve">НАМАНГАН ВИЛОЯТИ</t>
        </is>
      </c>
      <c r="C359" s="116" t="inlineStr">
        <is>
          <t xml:space="preserve">Недозвон</t>
        </is>
      </c>
      <c r="D359" s="116" t="inlineStr">
        <is>
          <t xml:space="preserve">Кр-99062055-1</t>
        </is>
      </c>
      <c r="E359" s="116" t="inlineStr">
        <is>
          <t xml:space="preserve">SARIMSAKOV USMANALI ALIYEVICH</t>
        </is>
      </c>
      <c r="F359" s="116" t="inlineStr">
        <is>
          <t xml:space="preserve">998939132424 OZI, 998880365355 O`GLI, 998930642421 KELINI,</t>
        </is>
      </c>
      <c r="G359" s="116" t="inlineStr">
        <is>
          <t xml:space="preserve">NAMANGAN VILOYATI NAMANGAN TUMANI ANJIRZOR MFY 2-BO’STON KO’CHASI 32-UY</t>
        </is>
      </c>
      <c r="H359" s="117">
        <v>41.0</v>
      </c>
      <c r="I359" s="117">
        <v>35973040.43</v>
      </c>
    </row>
    <row r="360">
      <c r="A360" s="116" t="inlineStr">
        <is>
          <t xml:space="preserve">НАМАНГАН ВИЛОЯТИ</t>
        </is>
      </c>
      <c r="C360" s="116" t="inlineStr">
        <is>
          <t xml:space="preserve">Недозвон</t>
        </is>
      </c>
      <c r="D360" s="116" t="inlineStr">
        <is>
          <t xml:space="preserve">Кр-99047182-1</t>
        </is>
      </c>
      <c r="E360" s="116" t="inlineStr">
        <is>
          <t xml:space="preserve">SULTANMURADOVA MANZURA ABDULAZIZOVNA</t>
        </is>
      </c>
      <c r="F360" s="116" t="inlineStr">
        <is>
          <t xml:space="preserve">+998507804370 SMS O’ZI, 998935070700 SMS O’G’LI, 998935941713 SMS QIZI,</t>
        </is>
      </c>
      <c r="G360" s="116" t="inlineStr">
        <is>
          <t xml:space="preserve">NAMANGAN VILOYATI CHUST TUMANI TOYMAS MFY QO’RG’ONARIQ KO’CHASI 41 UY</t>
        </is>
      </c>
      <c r="H360" s="117">
        <v>162.0</v>
      </c>
      <c r="I360" s="117">
        <v>30799499.27</v>
      </c>
    </row>
    <row r="361">
      <c r="A361" s="116" t="inlineStr">
        <is>
          <t xml:space="preserve">НАМАНГАН ВИЛОЯТИ</t>
        </is>
      </c>
      <c r="C361" s="116" t="inlineStr">
        <is>
          <t xml:space="preserve">Недозвон</t>
        </is>
      </c>
      <c r="D361" s="116" t="inlineStr">
        <is>
          <t xml:space="preserve">Кр-99042328-1</t>
        </is>
      </c>
      <c r="E361" s="116" t="inlineStr">
        <is>
          <t xml:space="preserve">RUZIYEV SULTONALI IKROMOVICH</t>
        </is>
      </c>
      <c r="F361" s="116" t="inlineStr">
        <is>
          <t xml:space="preserve">998934447302 SMS OZI, 998500351229 SMS AYOLI, 998947013701 SMS OGLI, 998932014300 SMS OGLI 2, 998934812720 SMS O'G'LI ISHLEDI,</t>
        </is>
      </c>
      <c r="G361" s="116" t="inlineStr">
        <is>
          <t xml:space="preserve">NAMANGAN VILOYATI POP TUMANI OZOD MFY NAVRO’Z KO’CHASI 53-UY</t>
        </is>
      </c>
      <c r="H361" s="117">
        <v>133.0</v>
      </c>
      <c r="I361" s="117">
        <v>30548051.52</v>
      </c>
    </row>
    <row r="362">
      <c r="A362" s="116" t="inlineStr">
        <is>
          <t xml:space="preserve">НАМАНГАН ВИЛОЯТИ</t>
        </is>
      </c>
      <c r="C362" s="116" t="inlineStr">
        <is>
          <t xml:space="preserve">Недозвон</t>
        </is>
      </c>
      <c r="D362" s="116" t="inlineStr">
        <is>
          <t xml:space="preserve">Кр-99039531-1</t>
        </is>
      </c>
      <c r="E362" s="116" t="inlineStr">
        <is>
          <t xml:space="preserve">BABADJANOVA YOQUT XAKIMJANOVNA</t>
        </is>
      </c>
      <c r="F362" s="116" t="inlineStr">
        <is>
          <t xml:space="preserve">998913637868 SMS OZI, 998944098596 SMS OGLI, 998932721818 SMS KICHIK OGLI, 998944617788 SMS ERI,</t>
        </is>
      </c>
      <c r="G362" s="116" t="inlineStr">
        <is>
          <t xml:space="preserve">NAMANGAN VILOYATI NAMANGAN SHAHAR 3-SHALOLA KO’CHASI 10-UY.  </t>
        </is>
      </c>
      <c r="H362" s="117">
        <v>5.0</v>
      </c>
      <c r="I362" s="117">
        <v>24066998.15</v>
      </c>
    </row>
    <row r="363">
      <c r="A363" s="116" t="inlineStr">
        <is>
          <t xml:space="preserve">НАМАНГАН ВИЛОЯТИ</t>
        </is>
      </c>
      <c r="C363" s="116" t="inlineStr">
        <is>
          <t xml:space="preserve">Недозвон</t>
        </is>
      </c>
      <c r="D363" s="116" t="inlineStr">
        <is>
          <t xml:space="preserve">Кр-99044139-3</t>
        </is>
      </c>
      <c r="E363" s="116" t="inlineStr">
        <is>
          <t xml:space="preserve">MAVLYANOVA MAMLAKAT DJALOLITDINOVNA</t>
        </is>
      </c>
      <c r="F363" s="116" t="inlineStr">
        <is>
          <t xml:space="preserve">+998905248686 SMS , 998882823030 SMS O’G’LI, 998913506560 SMS QIZI, 998913505509 SMS O’ZI,</t>
        </is>
      </c>
      <c r="G363" s="116" t="inlineStr">
        <is>
          <t xml:space="preserve">Богдорчилик 1-тор кучаси, 12 уй</t>
        </is>
      </c>
      <c r="H363" s="117">
        <v>102.0</v>
      </c>
      <c r="I363" s="117">
        <v>21670722.43</v>
      </c>
    </row>
    <row r="364">
      <c r="A364" s="116" t="inlineStr">
        <is>
          <t xml:space="preserve">НАМАНГАН ВИЛОЯТИ</t>
        </is>
      </c>
      <c r="C364" s="116" t="inlineStr">
        <is>
          <t xml:space="preserve">Недозвон</t>
        </is>
      </c>
      <c r="D364" s="116" t="inlineStr">
        <is>
          <t xml:space="preserve">Кр-99061889-1</t>
        </is>
      </c>
      <c r="E364" s="116" t="inlineStr">
        <is>
          <t xml:space="preserve">BABARAXIMOV TOLIB KURBANALIYEVICH</t>
        </is>
      </c>
      <c r="F364" s="116" t="inlineStr">
        <is>
          <t xml:space="preserve">998931771460 OZI, 998917564104 AYOLI, 998995117772 QIZI,</t>
        </is>
      </c>
      <c r="G364" s="116" t="inlineStr">
        <is>
          <t xml:space="preserve">NAMANGAN VILOYATI NAMANGAN SHAXAR NAVBAXOR MFY 1 KICHIK NOXIYA KO’CHASI 70-UY 16 XONADON</t>
        </is>
      </c>
      <c r="H364" s="117">
        <v>41.0</v>
      </c>
      <c r="I364" s="117">
        <v>18249489.4</v>
      </c>
    </row>
    <row r="365">
      <c r="A365" s="116" t="inlineStr">
        <is>
          <t xml:space="preserve">НАМАНГАН ВИЛОЯТИ</t>
        </is>
      </c>
      <c r="C365" s="116" t="inlineStr">
        <is>
          <t xml:space="preserve">Недозвон</t>
        </is>
      </c>
      <c r="D365" s="116" t="inlineStr">
        <is>
          <t xml:space="preserve">Кр-99035342-1</t>
        </is>
      </c>
      <c r="E365" s="116" t="inlineStr">
        <is>
          <t xml:space="preserve">QORABOYEVA INOYATXON SHERTOYEVNA</t>
        </is>
      </c>
      <c r="F365" s="116" t="inlineStr">
        <is>
          <t xml:space="preserve">998950780375 SMS O’ZI, 998332577277 SMS ERI, 998932577277 SMS ERI, 998944049919 SMS O’G’LI,</t>
        </is>
      </c>
      <c r="G365" s="116" t="inlineStr">
        <is>
          <t xml:space="preserve">ANDIQJON VILOYATI BALIQCHI TUMANI GO’ROVON MFY GO’ROVON KO’CHA 20 UY</t>
        </is>
      </c>
      <c r="H365" s="117">
        <v>152.0</v>
      </c>
      <c r="I365" s="117">
        <v>16143930.88</v>
      </c>
      <c r="K365" s="116" t="inlineStr">
        <is>
          <t xml:space="preserve">Telefon ko'tarmadi | filial xal qiladi zalok toshkenda</t>
        </is>
      </c>
    </row>
    <row r="366">
      <c r="A366" s="116" t="inlineStr">
        <is>
          <t xml:space="preserve">НАМАНГАН ВИЛОЯТИ</t>
        </is>
      </c>
      <c r="C366" s="116" t="inlineStr">
        <is>
          <t xml:space="preserve">Недозвон</t>
        </is>
      </c>
      <c r="D366" s="116" t="inlineStr">
        <is>
          <t xml:space="preserve">Кр-99063486-1</t>
        </is>
      </c>
      <c r="E366" s="116" t="inlineStr">
        <is>
          <t xml:space="preserve">MIRZAYEV AXROR ALIJONOVICH</t>
        </is>
      </c>
      <c r="F366" s="116" t="inlineStr">
        <is>
          <t xml:space="preserve">+998939243253 SMS O’ZI, 998934941526 SMS AYOLI, 998945085159 DO’STI,</t>
        </is>
      </c>
      <c r="G366" s="116" t="inlineStr">
        <is>
          <t xml:space="preserve">NAMANGAN VILOYATI TO’RAQO’RG’ON TUMANI FAYZABOD MFY BOG’ KO’CHASI 48 UY</t>
        </is>
      </c>
      <c r="H366" s="117">
        <v>8.0</v>
      </c>
      <c r="I366" s="117">
        <v>14262964.26</v>
      </c>
    </row>
    <row r="367">
      <c r="A367" s="116" t="inlineStr">
        <is>
          <t xml:space="preserve">НАМАНГАН ВИЛОЯТИ</t>
        </is>
      </c>
      <c r="C367" s="116" t="inlineStr">
        <is>
          <t xml:space="preserve">Недозвон</t>
        </is>
      </c>
      <c r="D367" s="116" t="inlineStr">
        <is>
          <t xml:space="preserve">Кр-99059632-1</t>
        </is>
      </c>
      <c r="E367" s="116" t="inlineStr">
        <is>
          <t xml:space="preserve">RAXMANOV OTABEK MAXMUDJONOVICH</t>
        </is>
      </c>
      <c r="F367" s="116" t="inlineStr">
        <is>
          <t xml:space="preserve">998908088300 Узи, 998996937053 отаси, 998997835572 аёли,</t>
        </is>
      </c>
      <c r="G367" s="116" t="inlineStr">
        <is>
          <t xml:space="preserve">Манзил: NAMANGAN VILOYATI NORIN TUMANI KATTA YAYDOQ MFY KO’XNADIYOR KO’CHASI 20 UY</t>
        </is>
      </c>
      <c r="H367" s="117">
        <v>41.0</v>
      </c>
      <c r="I367" s="117">
        <v>13812193.15</v>
      </c>
    </row>
    <row r="368">
      <c r="A368" s="116" t="inlineStr">
        <is>
          <t xml:space="preserve">НАМАНГАН ВИЛОЯТИ</t>
        </is>
      </c>
      <c r="C368" s="116" t="inlineStr">
        <is>
          <t xml:space="preserve">Недозвон</t>
        </is>
      </c>
      <c r="D368" s="116" t="inlineStr">
        <is>
          <t xml:space="preserve">Кр-99058282-1</t>
        </is>
      </c>
      <c r="E368" s="116" t="inlineStr">
        <is>
          <t xml:space="preserve">MUYDINOV ZUXRIDIN PAZLIDINOVICH</t>
        </is>
      </c>
      <c r="F368" s="116" t="inlineStr">
        <is>
          <t xml:space="preserve">998954553001 узи, 998939241075 аели, 998934035777 угли Sardor ozimizda ishlid, 998993037941 келини,</t>
        </is>
      </c>
      <c r="G368" s="116" t="inlineStr">
        <is>
          <t xml:space="preserve">NAMANGAN VILOYATI UCHQO’RG’ON TUMANI ISTIQLOL MFY OLMAZOR KO’CHASI 88-UY</t>
        </is>
      </c>
      <c r="H368" s="117">
        <v>11.0</v>
      </c>
      <c r="I368" s="117">
        <v>9574576.99</v>
      </c>
    </row>
    <row r="369">
      <c r="A369" s="116" t="inlineStr">
        <is>
          <t xml:space="preserve">НАМАНГАН ВИЛОЯТИ</t>
        </is>
      </c>
      <c r="C369" s="116" t="inlineStr">
        <is>
          <t xml:space="preserve">Недозвон</t>
        </is>
      </c>
      <c r="D369" s="116" t="inlineStr">
        <is>
          <t xml:space="preserve">Кр-99062909-1</t>
        </is>
      </c>
      <c r="E369" s="116" t="inlineStr">
        <is>
          <t xml:space="preserve">AZIZOV ZAKRIYO MUXAMATOVICH</t>
        </is>
      </c>
      <c r="F369" s="116" t="inlineStr">
        <is>
          <t xml:space="preserve">+998999160100 SMS O’ZI, 998911836800 SMS UY,</t>
        </is>
      </c>
      <c r="G369" s="116" t="inlineStr">
        <is>
          <t xml:space="preserve">НАМАНГАН ВИЛОЯТИ ЯНГИ НАМАНГАН ТУМАНИ КЕЛАЖАК ТОНГИ МФЙ 5-КУЗГУ КЎЧАСИ 1-УЙ</t>
        </is>
      </c>
      <c r="H369" s="117">
        <v>8.0</v>
      </c>
      <c r="I369" s="117">
        <v>8389938.87</v>
      </c>
    </row>
    <row r="370">
      <c r="A370" s="116" t="inlineStr">
        <is>
          <t xml:space="preserve">НАМАНГАН ВИЛОЯТИ</t>
        </is>
      </c>
      <c r="C370" s="116" t="inlineStr">
        <is>
          <t xml:space="preserve">Недозвон</t>
        </is>
      </c>
      <c r="D370" s="116" t="inlineStr">
        <is>
          <t xml:space="preserve">Кр-99041147-1</t>
        </is>
      </c>
      <c r="E370" s="116" t="inlineStr">
        <is>
          <t xml:space="preserve">KODIROVA XOVOXON DJUMANOVNA</t>
        </is>
      </c>
      <c r="F370" s="116" t="inlineStr">
        <is>
          <t xml:space="preserve">+998503020006 SMS OZI, 998500765555 SMS OGLI, 998507775696 SMS KELINI, 998945524848 SMS JIYANI, 998947890996 SMS SARDORBEK TO'LOVCHI,</t>
        </is>
      </c>
      <c r="G370" s="116" t="inlineStr">
        <is>
          <t xml:space="preserve">Саховат МФЙ, Мустакиллик 10 йиллиги кучаси, 357-уй</t>
        </is>
      </c>
      <c r="H370" s="117">
        <v>8.0</v>
      </c>
      <c r="I370" s="117">
        <v>8240179.67</v>
      </c>
    </row>
    <row r="371">
      <c r="A371" s="116" t="inlineStr">
        <is>
          <t xml:space="preserve">НАМАНГАН ВИЛОЯТИ</t>
        </is>
      </c>
      <c r="C371" s="116" t="inlineStr">
        <is>
          <t xml:space="preserve">Недозвон</t>
        </is>
      </c>
      <c r="D371" s="116" t="inlineStr">
        <is>
          <t xml:space="preserve">Кр-99063645-2</t>
        </is>
      </c>
      <c r="E371" s="116" t="inlineStr">
        <is>
          <t xml:space="preserve">YULDASHEVA XAMIDA MUXSINOVNA</t>
        </is>
      </c>
      <c r="F371" s="116" t="inlineStr">
        <is>
          <t xml:space="preserve">+998507576741 SMS O’ZI, 998507808086 SMS AYOLI, 998776460424 SMS UKASI,</t>
        </is>
      </c>
      <c r="G371" s="116" t="inlineStr">
        <is>
          <t xml:space="preserve">ЎЗБЕКИСТОН ҚФЙ, КАЙКОВУЗ МФЙ, КАЙКОВУС КЎЧАСИ,  uy:31</t>
        </is>
      </c>
      <c r="H371" s="117">
        <v>8.0</v>
      </c>
      <c r="I371" s="117">
        <v>7733053.63</v>
      </c>
    </row>
    <row r="372">
      <c r="A372" s="116" t="inlineStr">
        <is>
          <t xml:space="preserve">НАМАНГАН ВИЛОЯТИ</t>
        </is>
      </c>
      <c r="C372" s="116" t="inlineStr">
        <is>
          <t xml:space="preserve">Недозвон</t>
        </is>
      </c>
      <c r="D372" s="116" t="inlineStr">
        <is>
          <t xml:space="preserve">Кр-99039132-1</t>
        </is>
      </c>
      <c r="E372" s="116" t="inlineStr">
        <is>
          <t xml:space="preserve">AZIMOV MUXAMMADAZIM ABDUG’OPUR O’G’LI</t>
        </is>
      </c>
      <c r="F372" s="116" t="inlineStr">
        <is>
          <t xml:space="preserve">998332090009 SMS OZI, 998995240770 SMS AKASI, 998996466206 SMS DADASI, 998913602980 SMS ONASI уртогини онаси, 998934068282 SMS QIZI ,</t>
        </is>
      </c>
      <c r="G372" s="116" t="inlineStr">
        <is>
          <t xml:space="preserve">NAMANGAN VILOYATI NAMANGAN SHAHAR ISHONCH MFY YANGI QURG’ON KO’CHASI 44-XONADON</t>
        </is>
      </c>
      <c r="H372" s="117">
        <v>148.0</v>
      </c>
      <c r="I372" s="117">
        <v>7216228.83</v>
      </c>
    </row>
    <row r="373">
      <c r="A373" s="116" t="inlineStr">
        <is>
          <t xml:space="preserve">НАМАНГАН ВИЛОЯТИ</t>
        </is>
      </c>
      <c r="C373" s="116" t="inlineStr">
        <is>
          <t xml:space="preserve">Недозвон</t>
        </is>
      </c>
      <c r="D373" s="116" t="inlineStr">
        <is>
          <t xml:space="preserve">Кр-99063350-2</t>
        </is>
      </c>
      <c r="E373" s="116" t="inlineStr">
        <is>
          <t xml:space="preserve">HASANOV NASRIDDIN FAZLIDDINOVICH</t>
        </is>
      </c>
      <c r="F373" s="116" t="inlineStr">
        <is>
          <t xml:space="preserve">+998947058118 SMS O’ZI, 998932726162 SMS QIZI, 998947322062 SMS AYOLI,</t>
        </is>
      </c>
      <c r="G373" s="116" t="inlineStr">
        <is>
          <t xml:space="preserve">НАМАНГАН ВИЛОЯТИ УЙЧИ ТУМАНИ НАВОИЙ МФЙ БОҒИ ЭРАМ КЎЧАСИ 1 УЙ</t>
        </is>
      </c>
      <c r="H373" s="117">
        <v>8.0</v>
      </c>
      <c r="I373" s="117">
        <v>6824481.62</v>
      </c>
    </row>
    <row r="374">
      <c r="A374" s="116" t="inlineStr">
        <is>
          <t xml:space="preserve">НАМАНГАН ВИЛОЯТИ</t>
        </is>
      </c>
      <c r="C374" s="116" t="inlineStr">
        <is>
          <t xml:space="preserve">Недозвон</t>
        </is>
      </c>
      <c r="D374" s="116" t="inlineStr">
        <is>
          <t xml:space="preserve">Кр-99063806-2</t>
        </is>
      </c>
      <c r="E374" s="116" t="inlineStr">
        <is>
          <t xml:space="preserve">ABDUROXMONOV MAXAMMATSOLI XUDAYBERDIYEVICH</t>
        </is>
      </c>
      <c r="F374" s="116" t="inlineStr">
        <is>
          <t xml:space="preserve">+998701856242 SMS O’ZI, 998941710070 SMS QO’SHNISI, 998951630003 SMS UKASI,</t>
        </is>
      </c>
      <c r="G374" s="116" t="inlineStr">
        <is>
          <t xml:space="preserve">NAMANGAN VILOYATI TO’RAQO’RG’ON TUMANI XO’JAND MFY AHSI KO’CHASI 82 UY</t>
        </is>
      </c>
      <c r="H374" s="117">
        <v>8.0</v>
      </c>
      <c r="I374" s="117">
        <v>6812842.32</v>
      </c>
    </row>
    <row r="375">
      <c r="A375" s="116" t="inlineStr">
        <is>
          <t xml:space="preserve">НАМАНГАН ВИЛОЯТИ</t>
        </is>
      </c>
      <c r="C375" s="116" t="inlineStr">
        <is>
          <t xml:space="preserve">Недозвон</t>
        </is>
      </c>
      <c r="D375" s="116" t="inlineStr">
        <is>
          <t xml:space="preserve">Кр-99049473-1</t>
        </is>
      </c>
      <c r="E375" s="116" t="inlineStr">
        <is>
          <t xml:space="preserve">KUZIBOYEV ABDIRASUL SOTVOLDIYEVICH</t>
        </is>
      </c>
      <c r="F375" s="116" t="inlineStr">
        <is>
          <t xml:space="preserve">+998942743810 SMS OZI, 998770173339 SMS OGLI, 998942744999 SMS KICHKINA OGLI, 998930491064 new ozi,</t>
        </is>
      </c>
      <c r="G375" s="116" t="inlineStr">
        <is>
          <t xml:space="preserve">NAMANGAN VILOYATI NORIN TUMANI SUZOQOVUL MFY YUQORI SUZOQOVUL KO’CHASI 11-UY</t>
        </is>
      </c>
      <c r="H375" s="117">
        <v>11.0</v>
      </c>
      <c r="I375" s="117">
        <v>6802789.49</v>
      </c>
    </row>
    <row r="376">
      <c r="A376" s="116" t="inlineStr">
        <is>
          <t xml:space="preserve">НАМАНГАН ВИЛОЯТИ</t>
        </is>
      </c>
      <c r="C376" s="116" t="inlineStr">
        <is>
          <t xml:space="preserve">Недозвон</t>
        </is>
      </c>
      <c r="D376" s="116" t="inlineStr">
        <is>
          <t xml:space="preserve">Кр-99036655-1</t>
        </is>
      </c>
      <c r="E376" s="116" t="inlineStr">
        <is>
          <t xml:space="preserve">YO’LDOSHEV XUSNIDDIN MO’MINJON O’G’LI</t>
        </is>
      </c>
      <c r="F376" s="116" t="inlineStr">
        <is>
          <t xml:space="preserve">998770750190 SMS OZI, 998972500190 SMS OZI 2, 998505090190 SMS AYOLI, 998500540190 sms ish joyi,</t>
        </is>
      </c>
      <c r="G376" s="116" t="inlineStr">
        <is>
          <t xml:space="preserve">NAMANGAN VILOYATI TO’RAQO’RG’ON TUMANI MASHRAB KO’CHA 17 UY</t>
        </is>
      </c>
      <c r="H376" s="117">
        <v>4.0</v>
      </c>
      <c r="I376" s="117">
        <v>6794638.85</v>
      </c>
      <c r="K376" s="116" t="inlineStr">
        <is>
          <t xml:space="preserve">Telefon ko'tarmadi | brorta nomerini kotarmayabdi</t>
        </is>
      </c>
    </row>
    <row r="377">
      <c r="A377" s="116" t="inlineStr">
        <is>
          <t xml:space="preserve">НАМАНГАН ВИЛОЯТИ</t>
        </is>
      </c>
      <c r="C377" s="116" t="inlineStr">
        <is>
          <t xml:space="preserve">Недозвон</t>
        </is>
      </c>
      <c r="D377" s="116" t="inlineStr">
        <is>
          <t xml:space="preserve">Кр-99042808-2</t>
        </is>
      </c>
      <c r="E377" s="116" t="inlineStr">
        <is>
          <t xml:space="preserve">TURG’UNOV ELYORJON ERKINJON O’G’LI</t>
        </is>
      </c>
      <c r="F377" s="116" t="inlineStr">
        <is>
          <t xml:space="preserve">+998940274720 SMS O’ZI, 998905522332 SMS ONASI, 998993691369 SMS UKASI,</t>
        </is>
      </c>
      <c r="G377" s="116" t="inlineStr">
        <is>
          <t xml:space="preserve">НАМАНГАН ВИЛОЯТИ ЧУСТ ТУМАНИ ЯККАБУЛОҚ МФЙ, ИТТИФОҚ КЎЧАСИ,  68А-УЙ</t>
        </is>
      </c>
      <c r="H377" s="117">
        <v>8.0</v>
      </c>
      <c r="I377" s="117">
        <v>6531414.96</v>
      </c>
    </row>
    <row r="378">
      <c r="A378" s="116" t="inlineStr">
        <is>
          <t xml:space="preserve">НАМАНГАН ВИЛОЯТИ</t>
        </is>
      </c>
      <c r="C378" s="116" t="inlineStr">
        <is>
          <t xml:space="preserve">Недозвон</t>
        </is>
      </c>
      <c r="D378" s="116" t="inlineStr">
        <is>
          <t xml:space="preserve">Кр-99032521-1</t>
        </is>
      </c>
      <c r="E378" s="116" t="inlineStr">
        <is>
          <t xml:space="preserve">MAXMUDOVA FERUZA NASIMOVNA</t>
        </is>
      </c>
      <c r="F378" s="116" t="inlineStr">
        <is>
          <t xml:space="preserve">998990512627 SMS O’ZI BEGONA, 998948856336 SMS ERI, 998911864003 SMS QAYNONASI TOLOVCHI, 998912930055 SMS OPASI,</t>
        </is>
      </c>
      <c r="G378" s="116" t="inlineStr">
        <is>
          <t xml:space="preserve">NAMANGAN VILOYATI DAVLATOBOD TUMANI MUSTAQILLIK MFY 1-KICHIK NOXIYA 49 UY 59 XONADON</t>
        </is>
      </c>
      <c r="H378" s="117">
        <v>5.0</v>
      </c>
      <c r="I378" s="117">
        <v>5747551.07</v>
      </c>
      <c r="K378" s="116" t="inlineStr">
        <is>
          <t xml:space="preserve">Telefon ko'tarmadi | tel kotarmayabdi</t>
        </is>
      </c>
    </row>
    <row r="379">
      <c r="A379" s="116" t="inlineStr">
        <is>
          <t xml:space="preserve">НАМАНГАН ВИЛОЯТИ</t>
        </is>
      </c>
      <c r="C379" s="116" t="inlineStr">
        <is>
          <t xml:space="preserve">Недозвон</t>
        </is>
      </c>
      <c r="D379" s="116" t="inlineStr">
        <is>
          <t xml:space="preserve">Кр-99058282-3</t>
        </is>
      </c>
      <c r="E379" s="116" t="inlineStr">
        <is>
          <t xml:space="preserve">MUYDINOV ZUXRIDIN PAZLIDINOVICH</t>
        </is>
      </c>
      <c r="F379" s="116" t="inlineStr">
        <is>
          <t xml:space="preserve">998954553001 узи, 998939241075 аели, 998934035777 угли Sardor ozimizda ishlid, 998993037941 келини,</t>
        </is>
      </c>
      <c r="G379" s="116" t="inlineStr">
        <is>
          <t xml:space="preserve">NAMANGAN VILOYATI UCHQO’RG’ON TUMANI ISTIQLOL MFY OLMAZOR KO’CHASI 88-UY</t>
        </is>
      </c>
      <c r="H379" s="117">
        <v>8.0</v>
      </c>
      <c r="I379" s="117">
        <v>5734974.42</v>
      </c>
    </row>
    <row r="380">
      <c r="A380" s="116" t="inlineStr">
        <is>
          <t xml:space="preserve">НАМАНГАН ВИЛОЯТИ</t>
        </is>
      </c>
      <c r="C380" s="116" t="inlineStr">
        <is>
          <t xml:space="preserve">Недозвон</t>
        </is>
      </c>
      <c r="D380" s="116" t="inlineStr">
        <is>
          <t xml:space="preserve">Кр-99049241-2</t>
        </is>
      </c>
      <c r="E380" s="116" t="inlineStr">
        <is>
          <t xml:space="preserve">ODILOV RIVOJIDDIN MOXIDJON O’G’LI</t>
        </is>
      </c>
      <c r="F380" s="116" t="inlineStr">
        <is>
          <t xml:space="preserve">998509001151 SMS AKASI  to'lovchi, 998935341698 SMS O’ZI new , 998990174544 SMS AKASI, 998999111698 SMS UKASI,</t>
        </is>
      </c>
      <c r="G380" s="116" t="inlineStr">
        <is>
          <t xml:space="preserve">ОЙҚИРОН ШФЙ, ЯНГИОБОД МФЙ, ОЙБЕК КЎЧАСИ,  uy:14</t>
        </is>
      </c>
      <c r="H380" s="117">
        <v>8.0</v>
      </c>
      <c r="I380" s="117">
        <v>5343742.29</v>
      </c>
    </row>
    <row r="381">
      <c r="A381" s="116" t="inlineStr">
        <is>
          <t xml:space="preserve">НАМАНГАН ВИЛОЯТИ</t>
        </is>
      </c>
      <c r="C381" s="116" t="inlineStr">
        <is>
          <t xml:space="preserve">Недозвон</t>
        </is>
      </c>
      <c r="D381" s="116" t="inlineStr">
        <is>
          <t xml:space="preserve">Кр-99062852-2</t>
        </is>
      </c>
      <c r="E381" s="116" t="inlineStr">
        <is>
          <t xml:space="preserve">IMOMNAZAROVA NASIBAXON GANIYEVNA</t>
        </is>
      </c>
      <c r="F381" s="116" t="inlineStr">
        <is>
          <t xml:space="preserve">+998949052497 sms o’zi, 998949087558 sms opasi, 998991450704 sms kelini,</t>
        </is>
      </c>
      <c r="G381" s="116" t="inlineStr">
        <is>
          <t xml:space="preserve">НАМАНГАН ВИЛОЯТИ НОРИН ТУМАНИ НУРЗИЁ МФЙ ЮКСАЛИШ КЎЧАСИ 68-УЙ</t>
        </is>
      </c>
      <c r="H381" s="117">
        <v>8.0</v>
      </c>
      <c r="I381" s="117">
        <v>5337865.99</v>
      </c>
    </row>
    <row r="382">
      <c r="A382" s="116" t="inlineStr">
        <is>
          <t xml:space="preserve">НАМАНГАН ВИЛОЯТИ</t>
        </is>
      </c>
      <c r="C382" s="116" t="inlineStr">
        <is>
          <t xml:space="preserve">Недозвон</t>
        </is>
      </c>
      <c r="D382" s="116" t="inlineStr">
        <is>
          <t xml:space="preserve">Кр-99049112-1</t>
        </is>
      </c>
      <c r="E382" s="116" t="inlineStr">
        <is>
          <t xml:space="preserve">NURMATOVA YULDUZXON SODIQJONOVNA</t>
        </is>
      </c>
      <c r="F382" s="116" t="inlineStr">
        <is>
          <t xml:space="preserve">+998930021479 SMS OZI, 998934981479 SMS AYOLI, 998994061479 SMS AKASI, 998944061479 SMS TO'LOVCHI,</t>
        </is>
      </c>
      <c r="G382" s="116" t="inlineStr">
        <is>
          <t xml:space="preserve">NAMANGAN VILOYATI UYCHI TUMANI OLMURUT MFY BOBUR KO’CHASI 15-UY</t>
        </is>
      </c>
      <c r="H382" s="117">
        <v>8.0</v>
      </c>
      <c r="I382" s="117">
        <v>5291095.28</v>
      </c>
    </row>
    <row r="383">
      <c r="A383" s="116" t="inlineStr">
        <is>
          <t xml:space="preserve">НАМАНГАН ВИЛОЯТИ</t>
        </is>
      </c>
      <c r="C383" s="116" t="inlineStr">
        <is>
          <t xml:space="preserve">Недозвон</t>
        </is>
      </c>
      <c r="D383" s="116" t="inlineStr">
        <is>
          <t xml:space="preserve">Кр-99042104-2</t>
        </is>
      </c>
      <c r="E383" s="116" t="inlineStr">
        <is>
          <t xml:space="preserve">XUSANOVA TURSINOY TURABAYEVNA</t>
        </is>
      </c>
      <c r="F383" s="116" t="inlineStr">
        <is>
          <t xml:space="preserve">+998935045300 SMS OZI, 998930852158 SMS ERI, 998939019353 SMS OZI 2, 998943607752 SMS OGLI to'lovchi,</t>
        </is>
      </c>
      <c r="G383" s="116" t="inlineStr">
        <is>
          <t xml:space="preserve">NAMANGAN VILOYATI UCHQO’RG’ON TUMANI  YANGIXAYOT MFY YANGI DAVR KO’CHASI 8-UY</t>
        </is>
      </c>
      <c r="H383" s="117">
        <v>8.0</v>
      </c>
      <c r="I383" s="117">
        <v>5186577.92</v>
      </c>
    </row>
    <row r="384">
      <c r="A384" s="116" t="inlineStr">
        <is>
          <t xml:space="preserve">НАМАНГАН ВИЛОЯТИ</t>
        </is>
      </c>
      <c r="C384" s="116" t="inlineStr">
        <is>
          <t xml:space="preserve">Объезд</t>
        </is>
      </c>
      <c r="D384" s="116" t="inlineStr">
        <is>
          <t xml:space="preserve">Кр-99021020-4</t>
        </is>
      </c>
      <c r="E384" s="116" t="inlineStr">
        <is>
          <t xml:space="preserve">ABDULLAYEV RAXMATULLOX MUXSIN O‘G‘LI</t>
        </is>
      </c>
      <c r="F384" s="116" t="inlineStr">
        <is>
          <t xml:space="preserve">93-816-22-22 SMS UZI  BEGONA, 90-792-00-77 SMS UZI 2, 88-250-00-05 SMS AKASI, 88-254-00-05 SMS ISHXONA begona,</t>
        </is>
      </c>
      <c r="G384" s="116" t="inlineStr">
        <is>
          <t xml:space="preserve">NAMANGAN SHAHRI G‘UNCHA MFY G‘UNCHA TOR KO‘CHASI 2 UY</t>
        </is>
      </c>
      <c r="H384" s="117">
        <v>13.0</v>
      </c>
      <c r="I384" s="117">
        <v>5181768.61</v>
      </c>
      <c r="K384" s="116" t="inlineStr">
        <is>
          <t xml:space="preserve">Uyiga borildi | undruvchi blan gaplashganakan bugun tolab qoyarkan</t>
        </is>
      </c>
    </row>
    <row r="385">
      <c r="A385" s="116" t="inlineStr">
        <is>
          <t xml:space="preserve">НАМАНГАН ВИЛОЯТИ</t>
        </is>
      </c>
      <c r="C385" s="116" t="inlineStr">
        <is>
          <t xml:space="preserve">Недозвон</t>
        </is>
      </c>
      <c r="D385" s="116" t="inlineStr">
        <is>
          <t xml:space="preserve">Кр-99041430-1</t>
        </is>
      </c>
      <c r="E385" s="116" t="inlineStr">
        <is>
          <t xml:space="preserve">UZAKOV ILXOMJON XUSAYNOVICH</t>
        </is>
      </c>
      <c r="F385" s="116" t="inlineStr">
        <is>
          <t xml:space="preserve">998999786307 SMS OZI, 998770887976 SMS AYOLI, 998941315158 SMS SINGLISI, 998790573390 SMS JIYANI,</t>
        </is>
      </c>
      <c r="G385" s="116" t="inlineStr">
        <is>
          <t xml:space="preserve">NAMANGAN VILOYATI YANGIQO’RG’ON TUMANI MASHAL MFY MASHAL-3 KO’CHASI 19-UY</t>
        </is>
      </c>
      <c r="H385" s="117">
        <v>8.0</v>
      </c>
      <c r="I385" s="117">
        <v>4901086.69</v>
      </c>
    </row>
    <row r="386">
      <c r="A386" s="116" t="inlineStr">
        <is>
          <t xml:space="preserve">НАМАНГАН ВИЛОЯТИ</t>
        </is>
      </c>
      <c r="C386" s="116" t="inlineStr">
        <is>
          <t xml:space="preserve">Недозвон</t>
        </is>
      </c>
      <c r="D386" s="116" t="inlineStr">
        <is>
          <t xml:space="preserve">Кр-99034894-1</t>
        </is>
      </c>
      <c r="E386" s="116" t="inlineStr">
        <is>
          <t xml:space="preserve">ERGASHEV SHERMAXAMMAD BAXRIDDINOVICH</t>
        </is>
      </c>
      <c r="F386" s="116" t="inlineStr">
        <is>
          <t xml:space="preserve">998770009255 SMS OZI, 998942850066 SMS OGLI, 998500175088 SMS OGLI, 998931989337 SMS QIZI,</t>
        </is>
      </c>
      <c r="G386" s="116" t="inlineStr">
        <is>
          <t xml:space="preserve">NAMANGAN VILOYATI YANGIQO’RG’ON TUMANI OLMAZOR MFY KUSHTEPA 2 KO’CHA 41 UY</t>
        </is>
      </c>
      <c r="H386" s="117">
        <v>13.0</v>
      </c>
      <c r="I386" s="117">
        <v>4872962.24</v>
      </c>
      <c r="K386" s="116" t="inlineStr">
        <is>
          <t xml:space="preserve">Telefon ko'tarmadi | telefonlarini kotarmayabdi</t>
        </is>
      </c>
    </row>
    <row r="387">
      <c r="A387" s="116" t="inlineStr">
        <is>
          <t xml:space="preserve">НАМАНГАН ВИЛОЯТИ</t>
        </is>
      </c>
      <c r="C387" s="116" t="inlineStr">
        <is>
          <t xml:space="preserve">Недозвон</t>
        </is>
      </c>
      <c r="D387" s="116" t="inlineStr">
        <is>
          <t xml:space="preserve">Кр-99036045-1</t>
        </is>
      </c>
      <c r="E387" s="116" t="inlineStr">
        <is>
          <t xml:space="preserve">MAXKAMOV XASANBOY ERGASHEVICH</t>
        </is>
      </c>
      <c r="F387" s="116" t="inlineStr">
        <is>
          <t xml:space="preserve">998936787208 SMS O‘ZI, 998948252422 SMS KELINI, 998943959559 SMS QIZI, 998931750965 SMS BEGONA, 998977517711 SMS TOLOVCHISI NEW BEGONA,</t>
        </is>
      </c>
      <c r="G387" s="116" t="inlineStr">
        <is>
          <t xml:space="preserve">NAMANGAN VILOYATI UCHQO'RG'ON TUMANI OQTOVLIQ MFY ULUG‘BEK KO‘CHASI 44-UY</t>
        </is>
      </c>
      <c r="H387" s="117">
        <v>1.0</v>
      </c>
      <c r="I387" s="117">
        <v>4683840.67</v>
      </c>
      <c r="K387" s="116" t="inlineStr">
        <is>
          <t xml:space="preserve">Telefon ko'tarmadi | brorta nomerini kotarmayabdi</t>
        </is>
      </c>
    </row>
    <row r="388">
      <c r="A388" s="116" t="inlineStr">
        <is>
          <t xml:space="preserve">НАМАНГАН ВИЛОЯТИ</t>
        </is>
      </c>
      <c r="C388" s="116" t="inlineStr">
        <is>
          <t xml:space="preserve">Недозвон</t>
        </is>
      </c>
      <c r="D388" s="116" t="inlineStr">
        <is>
          <t xml:space="preserve">Кр-99058282-2</t>
        </is>
      </c>
      <c r="E388" s="116" t="inlineStr">
        <is>
          <t xml:space="preserve">MUYDINOV ZUXRIDIN PAZLIDINOVICH</t>
        </is>
      </c>
      <c r="F388" s="116" t="inlineStr">
        <is>
          <t xml:space="preserve">998954553001 узи, 998939241075 аели, 998934035777 угли Sardor ozimizda ishlid, 998993037941 келини,</t>
        </is>
      </c>
      <c r="G388" s="116" t="inlineStr">
        <is>
          <t xml:space="preserve">NAMANGAN VILOYATI UCHQO’RG’ON TUMANI ISTIQLOL MFY OLMAZOR KO’CHASI 88-UY</t>
        </is>
      </c>
      <c r="H388" s="117">
        <v>8.0</v>
      </c>
      <c r="I388" s="117">
        <v>4248034.78</v>
      </c>
    </row>
    <row r="389">
      <c r="A389" s="116" t="inlineStr">
        <is>
          <t xml:space="preserve">НАМАНГАН ВИЛОЯТИ</t>
        </is>
      </c>
      <c r="C389" s="116" t="inlineStr">
        <is>
          <t xml:space="preserve">Недозвон</t>
        </is>
      </c>
      <c r="D389" s="116" t="inlineStr">
        <is>
          <t xml:space="preserve">Кр-99025455-6</t>
        </is>
      </c>
      <c r="E389" s="116" t="inlineStr">
        <is>
          <t xml:space="preserve">XALBEKOV ULUGBEK NURMAMATOVICH</t>
        </is>
      </c>
      <c r="F389" s="116" t="inlineStr">
        <is>
          <t xml:space="preserve">90-215-47-43 SMS OZI, 93-677-72-02  SMS OZI 2, 93-495-27-03 SMS ONASI (BEGONA),</t>
        </is>
      </c>
      <c r="G389" s="116" t="inlineStr">
        <is>
          <t xml:space="preserve">NAMANGAN SHAHAR  DASHTBOG’ MFY 3-PROEZD G’IRVONSOY KO’CHA 18 UY</t>
        </is>
      </c>
      <c r="H389" s="117">
        <v>8.0</v>
      </c>
      <c r="I389" s="117">
        <v>4231867.72</v>
      </c>
      <c r="K389" s="116" t="inlineStr">
        <is>
          <t xml:space="preserve">Telefon ko'tarmadi | tel kotarmayabdi</t>
        </is>
      </c>
    </row>
    <row r="390">
      <c r="A390" s="116" t="inlineStr">
        <is>
          <t xml:space="preserve">НАМАНГАН ВИЛОЯТИ</t>
        </is>
      </c>
      <c r="C390" s="116" t="inlineStr">
        <is>
          <t xml:space="preserve">Недозвон</t>
        </is>
      </c>
      <c r="D390" s="116" t="inlineStr">
        <is>
          <t xml:space="preserve">Кр-99040215-1</t>
        </is>
      </c>
      <c r="E390" s="116" t="inlineStr">
        <is>
          <t xml:space="preserve">TURSINOV ISROIL IBRAXIMOVICH</t>
        </is>
      </c>
      <c r="F390" s="116" t="inlineStr">
        <is>
          <t xml:space="preserve">998946169088 SMS OZI, 998931272590 SMS AYOLI, 998943002955 SMS DADASI, 998333633339 SMS Orifjon begona,</t>
        </is>
      </c>
      <c r="G390" s="116" t="inlineStr">
        <is>
          <t xml:space="preserve">NAMANGAN VILOYATI KOSONSOY TUMANI CHAK MFY MO'YNOQ KO'CHASI </t>
        </is>
      </c>
      <c r="H390" s="117">
        <v>8.0</v>
      </c>
      <c r="I390" s="117">
        <v>3939152.76</v>
      </c>
    </row>
    <row r="391">
      <c r="A391" s="116" t="inlineStr">
        <is>
          <t xml:space="preserve">НАМАНГАН ВИЛОЯТИ</t>
        </is>
      </c>
      <c r="C391" s="116" t="inlineStr">
        <is>
          <t xml:space="preserve">Недозвон</t>
        </is>
      </c>
      <c r="D391" s="116" t="inlineStr">
        <is>
          <t xml:space="preserve">Кр-99050863-1</t>
        </is>
      </c>
      <c r="E391" s="116" t="inlineStr">
        <is>
          <t xml:space="preserve">XAMRABAYEV LATIFJON YAKUBJANOVICH</t>
        </is>
      </c>
      <c r="F391" s="116" t="inlineStr">
        <is>
          <t xml:space="preserve">+998937234743 SMS OZI, 998939935963 SMS OZI 2, 998943275050 SMS JIYANI,</t>
        </is>
      </c>
      <c r="G391" s="116" t="inlineStr">
        <is>
          <t xml:space="preserve">NAMANGAN VILOYATI NAMANGAN TUMANI KOL BO’YI MFY IJODKORLAR KO’CHASI 6-UY</t>
        </is>
      </c>
      <c r="H391" s="117">
        <v>41.0</v>
      </c>
      <c r="I391" s="117">
        <v>3615062.75</v>
      </c>
    </row>
    <row r="392">
      <c r="A392" s="116" t="inlineStr">
        <is>
          <t xml:space="preserve">НАМАНГАН ВИЛОЯТИ</t>
        </is>
      </c>
      <c r="C392" s="116" t="inlineStr">
        <is>
          <t xml:space="preserve">Недозвон</t>
        </is>
      </c>
      <c r="D392" s="116" t="inlineStr">
        <is>
          <t xml:space="preserve">Кр-99063450-2</t>
        </is>
      </c>
      <c r="E392" s="116" t="inlineStr">
        <is>
          <t xml:space="preserve">MUYDINOVA GULJAXON YUSUPOVNA</t>
        </is>
      </c>
      <c r="F392" s="116" t="inlineStr">
        <is>
          <t xml:space="preserve">+998942830389 SMS O’ZI, 998508877719 SMS UY, 998932916566 SMS SINGLISI,</t>
        </is>
      </c>
      <c r="G392" s="116" t="inlineStr">
        <is>
          <t xml:space="preserve">НАМАНГАН ВИЛОЯТИ ЯНГИ НАМАНГАН ТУМАНИ КЕЛАЖАК ТОНГИ МФЙ ХАСАНОБОД КЎЧАСИ 28А-УЙ</t>
        </is>
      </c>
      <c r="H392" s="117">
        <v>8.0</v>
      </c>
      <c r="I392" s="117">
        <v>3609152.13</v>
      </c>
    </row>
    <row r="393">
      <c r="A393" s="116" t="inlineStr">
        <is>
          <t xml:space="preserve">НАМАНГАН ВИЛОЯТИ</t>
        </is>
      </c>
      <c r="C393" s="116" t="inlineStr">
        <is>
          <t xml:space="preserve">Недозвон</t>
        </is>
      </c>
      <c r="D393" s="116" t="inlineStr">
        <is>
          <t xml:space="preserve">Кр-99039681-1</t>
        </is>
      </c>
      <c r="E393" s="116" t="inlineStr">
        <is>
          <t xml:space="preserve">ERGASHEV ABDURASHID SHUKURJON O’G’LI</t>
        </is>
      </c>
      <c r="F393" s="116" t="inlineStr">
        <is>
          <t xml:space="preserve">998940377767 SMS OZI, 998934015262 SMS ONASI, 998997174743 SMS OTASI,</t>
        </is>
      </c>
      <c r="G393" s="116" t="inlineStr">
        <is>
          <t xml:space="preserve">NAMANGAN VILOYATI TO’RAQO’RG’ON TUMANI, OZOD MSG ,OZOD KO’CHASI, 22-UY</t>
        </is>
      </c>
      <c r="H393" s="117">
        <v>29.0</v>
      </c>
      <c r="I393" s="117">
        <v>3458725.36</v>
      </c>
    </row>
    <row r="394">
      <c r="A394" s="116" t="inlineStr">
        <is>
          <t xml:space="preserve">НАМАНГАН ВИЛОЯТИ</t>
        </is>
      </c>
      <c r="C394" s="116" t="inlineStr">
        <is>
          <t xml:space="preserve">Недозвон</t>
        </is>
      </c>
      <c r="D394" s="116" t="inlineStr">
        <is>
          <t xml:space="preserve">Кр-99050642-1</t>
        </is>
      </c>
      <c r="E394" s="116" t="inlineStr">
        <is>
          <t xml:space="preserve">BUVAXO’JAYEV DONIYOR XAMROXO’JA O’G’LI</t>
        </is>
      </c>
      <c r="F394" s="116" t="inlineStr">
        <is>
          <t xml:space="preserve">998880030600 SMS AYOLI, 998882160600 SMS OZI, 998942760600 SMS OZI 2,</t>
        </is>
      </c>
      <c r="G394" s="116" t="inlineStr">
        <is>
          <t xml:space="preserve">NAMANGAN VILOYATI CHORTOQ TUMANI BALIQ KO’L MFY HUSHNUD KO’CHASI 1-UY</t>
        </is>
      </c>
      <c r="H394" s="117">
        <v>8.0</v>
      </c>
      <c r="I394" s="117">
        <v>3416299.93</v>
      </c>
    </row>
    <row r="395">
      <c r="A395" s="116" t="inlineStr">
        <is>
          <t xml:space="preserve">НАМАНГАН ВИЛОЯТИ</t>
        </is>
      </c>
      <c r="C395" s="116" t="inlineStr">
        <is>
          <t xml:space="preserve">Недозвон</t>
        </is>
      </c>
      <c r="D395" s="116" t="inlineStr">
        <is>
          <t xml:space="preserve">Кр-99063714-1</t>
        </is>
      </c>
      <c r="E395" s="116" t="inlineStr">
        <is>
          <t xml:space="preserve">TURSUNOVA GULXAYO ULUG’BEK QIZI</t>
        </is>
      </c>
      <c r="F395" s="116" t="inlineStr">
        <is>
          <t xml:space="preserve">+998951687575 SMS O’ZI, 998772061515 SMS ONASI, 998772117575 SMS ERI,</t>
        </is>
      </c>
      <c r="G395" s="116" t="inlineStr">
        <is>
          <t xml:space="preserve">НАМАНГАН ВИЛОЯТИ ЯНГИ НАМАНГАН ТУМАНИ ЯНГИ ЗАМИН МФЙ УРТА БАХОРИСТОН 6 ТОР КЎЧАСИ 12-УЙ</t>
        </is>
      </c>
      <c r="H395" s="117">
        <v>8.0</v>
      </c>
      <c r="I395" s="117">
        <v>3367562.84</v>
      </c>
    </row>
    <row r="396">
      <c r="A396" s="116" t="inlineStr">
        <is>
          <t xml:space="preserve">НАМАНГАН ВИЛОЯТИ</t>
        </is>
      </c>
      <c r="C396" s="116" t="inlineStr">
        <is>
          <t xml:space="preserve">Объезд</t>
        </is>
      </c>
      <c r="D396" s="116" t="inlineStr">
        <is>
          <t xml:space="preserve">Кр-99040064-1</t>
        </is>
      </c>
      <c r="E396" s="116" t="inlineStr">
        <is>
          <t xml:space="preserve">AXMADJONOVA MAVLUDA ABDURASUL QIZI</t>
        </is>
      </c>
      <c r="F396" s="116" t="inlineStr">
        <is>
          <t xml:space="preserve">998932706992 SSMS OZI, 998932706992 SMS ERI, 998505257166 SMS DADASI begona , 998931649098 SMS ONASI begona, 998942762992 SMS ERI,</t>
        </is>
      </c>
      <c r="G396" s="116" t="inlineStr">
        <is>
          <t xml:space="preserve">NAMANGAN VILOYAT CHORTOQ TUMANI BOZORBOSHI MFY ZEBINISO KO'CHASI 39 UY</t>
        </is>
      </c>
      <c r="H396" s="117">
        <v>12.0</v>
      </c>
      <c r="I396" s="117">
        <v>3350519.85</v>
      </c>
      <c r="K396" s="116" t="inlineStr">
        <is>
          <t xml:space="preserve">Uyiga borildi | gaplashayabdi undruvchilar borib</t>
        </is>
      </c>
    </row>
    <row r="397">
      <c r="A397" s="116" t="inlineStr">
        <is>
          <t xml:space="preserve">НАМАНГАН ВИЛОЯТИ</t>
        </is>
      </c>
      <c r="C397" s="116" t="inlineStr">
        <is>
          <t xml:space="preserve">Объезд</t>
        </is>
      </c>
      <c r="D397" s="116" t="inlineStr">
        <is>
          <t xml:space="preserve">Кр-99033809-1</t>
        </is>
      </c>
      <c r="E397" s="116" t="inlineStr">
        <is>
          <t xml:space="preserve">BAYXANOV OLIM GULAMOVICH</t>
        </is>
      </c>
      <c r="F397" s="116" t="inlineStr">
        <is>
          <t xml:space="preserve">998886267771 SMS O’ZI, 998935700636 SMS UKASI, 998339852021 SMS DADASI, 998882548111 SMS ONASI, 998999752666 SMS O'ZI, 998953000016 SMS uzi new,</t>
        </is>
      </c>
      <c r="G397" s="116" t="inlineStr">
        <is>
          <t xml:space="preserve">NAMANGAN VILOYATI NAMANGAN SHAHAR OBOD MFY  ILG’OR 1 TOR KO’CHA  8 A UY</t>
        </is>
      </c>
      <c r="H397" s="117">
        <v>26.0</v>
      </c>
      <c r="I397" s="117">
        <v>3344464.21</v>
      </c>
      <c r="K397" s="116" t="inlineStr">
        <is>
          <t xml:space="preserve">Uyiga borildi | yopib beraman deyotganakan tez kunlarda</t>
        </is>
      </c>
    </row>
    <row r="398">
      <c r="A398" s="116" t="inlineStr">
        <is>
          <t xml:space="preserve">НАМАНГАН ВИЛОЯТИ</t>
        </is>
      </c>
      <c r="C398" s="116" t="inlineStr">
        <is>
          <t xml:space="preserve">Недозвон</t>
        </is>
      </c>
      <c r="D398" s="116" t="inlineStr">
        <is>
          <t xml:space="preserve">Кр-99039958-1</t>
        </is>
      </c>
      <c r="E398" s="116" t="inlineStr">
        <is>
          <t xml:space="preserve">MUSABOYEVA MASHHURAXON BOYMIRZA QIZI</t>
        </is>
      </c>
      <c r="F398" s="116" t="inlineStr">
        <is>
          <t xml:space="preserve">998504005151 SMS OZI, 998947580220 SMS MOSHINANI SOTGAN ODAM, 998942701133 SMS OZI,</t>
        </is>
      </c>
      <c r="G398" s="116" t="inlineStr">
        <is>
          <t xml:space="preserve">NAMANGAN VILOYATI YANGIQO’RG’ON TUMANI QIZILYOZI MFY TEMURIYLAR KO’CHASI 41 UY</t>
        </is>
      </c>
      <c r="H398" s="117">
        <v>8.0</v>
      </c>
      <c r="I398" s="117">
        <v>3299439.49</v>
      </c>
    </row>
    <row r="399">
      <c r="A399" s="116" t="inlineStr">
        <is>
          <t xml:space="preserve">НАМАНГАН ВИЛОЯТИ</t>
        </is>
      </c>
      <c r="C399" s="116" t="inlineStr">
        <is>
          <t xml:space="preserve">Недозвон</t>
        </is>
      </c>
      <c r="D399" s="116" t="inlineStr">
        <is>
          <t xml:space="preserve">Кр-99041305-1</t>
        </is>
      </c>
      <c r="E399" s="116" t="inlineStr">
        <is>
          <t xml:space="preserve">URAIMJONOV MURODJON MAXMUDJON O’G’LI</t>
        </is>
      </c>
      <c r="F399" s="116" t="inlineStr">
        <is>
          <t xml:space="preserve">+998905020089 SMS OZI, 998938739287 SMS OPASI, 998939439265 SMS DADSI, 998942728763 SMS UKASI,</t>
        </is>
      </c>
      <c r="G399" s="116" t="inlineStr">
        <is>
          <t xml:space="preserve">Наманганская область, Учкурганский район, Кугай ГСГ, Нуробод МСГ, ул. Тинчлик, дом 48</t>
        </is>
      </c>
      <c r="H399" s="117">
        <v>8.0</v>
      </c>
      <c r="I399" s="117">
        <v>3270766.06</v>
      </c>
    </row>
    <row r="400">
      <c r="A400" s="116" t="inlineStr">
        <is>
          <t xml:space="preserve">НАМАНГАН ВИЛОЯТИ</t>
        </is>
      </c>
      <c r="C400" s="116" t="inlineStr">
        <is>
          <t xml:space="preserve">Недозвон</t>
        </is>
      </c>
      <c r="D400" s="116" t="inlineStr">
        <is>
          <t xml:space="preserve">Кр-99063889-1</t>
        </is>
      </c>
      <c r="E400" s="116" t="inlineStr">
        <is>
          <t xml:space="preserve">XAKIMOV ILXOMBOY SHARIFJANOVICH</t>
        </is>
      </c>
      <c r="F400" s="116" t="inlineStr">
        <is>
          <t xml:space="preserve">+998935914670 SMS O’G’LI, 998949243434 SMS O’G’LI, 998992995660 SMS AYOLI,</t>
        </is>
      </c>
      <c r="G400" s="116" t="inlineStr">
        <is>
          <t xml:space="preserve">НАМАНГАН ВИЛОЯТИ УЧҚЎРҒОН ТУМАНИ КУМТЎҒОН МФЙ ҒАЙРАТ КЎЧАСИ 5 УЙ</t>
        </is>
      </c>
      <c r="H400" s="117">
        <v>8.0</v>
      </c>
      <c r="I400" s="117">
        <v>3210999.79</v>
      </c>
    </row>
    <row r="401">
      <c r="A401" s="116" t="inlineStr">
        <is>
          <t xml:space="preserve">НАМАНГАН ВИЛОЯТИ</t>
        </is>
      </c>
      <c r="C401" s="116" t="inlineStr">
        <is>
          <t xml:space="preserve">Недозвон</t>
        </is>
      </c>
      <c r="D401" s="116" t="inlineStr">
        <is>
          <t xml:space="preserve">Кр-99036661-1</t>
        </is>
      </c>
      <c r="E401" s="116" t="inlineStr">
        <is>
          <t xml:space="preserve">RAJAPOV ISLOMJON ABDILLAJON O’G’LI</t>
        </is>
      </c>
      <c r="F401" s="116" t="inlineStr">
        <is>
          <t xml:space="preserve">998932657777 SMS OZI, 998948470001 ozi new, 998934041082 SMS OPASI, 998999779567 SMS SHOGIRDI,</t>
        </is>
      </c>
      <c r="G401" s="116" t="inlineStr">
        <is>
          <t xml:space="preserve">NAMANGAN VILOYATI POP TUMANI BOG’ MFY BOG’ KO’CHA 34 UY</t>
        </is>
      </c>
      <c r="H401" s="117">
        <v>4.0</v>
      </c>
      <c r="I401" s="117">
        <v>3143110.19</v>
      </c>
      <c r="K401" s="116" t="inlineStr">
        <is>
          <t xml:space="preserve">Telefon ko'tarmadi | sog nomer yoq</t>
        </is>
      </c>
    </row>
    <row r="402">
      <c r="A402" s="116" t="inlineStr">
        <is>
          <t xml:space="preserve">НАМАНГАН ВИЛОЯТИ</t>
        </is>
      </c>
      <c r="C402" s="116" t="inlineStr">
        <is>
          <t xml:space="preserve">Недозвон</t>
        </is>
      </c>
      <c r="D402" s="116" t="inlineStr">
        <is>
          <t xml:space="preserve">Кр-99039611-1</t>
        </is>
      </c>
      <c r="E402" s="116" t="inlineStr">
        <is>
          <t xml:space="preserve">OTABOYEV ADASHALI MEXMANOVICH</t>
        </is>
      </c>
      <c r="F402" s="116" t="inlineStr">
        <is>
          <t xml:space="preserve">998934016165 SMS OZI, 998977530727 SMS AYOLI, 998976880004 SMS UKASI,</t>
        </is>
      </c>
      <c r="G402" s="116" t="inlineStr">
        <is>
          <t xml:space="preserve">NAMANGAN SHAHAR UYCHI TUMANI XO’JAOBOD MFY YANGITONG 45-UY</t>
        </is>
      </c>
      <c r="H402" s="117">
        <v>1.0</v>
      </c>
      <c r="I402" s="117">
        <v>3121570.19</v>
      </c>
    </row>
    <row r="403">
      <c r="A403" s="116" t="inlineStr">
        <is>
          <t xml:space="preserve">НАМАНГАН ВИЛОЯТИ</t>
        </is>
      </c>
      <c r="C403" s="116" t="inlineStr">
        <is>
          <t xml:space="preserve">Недозвон</t>
        </is>
      </c>
      <c r="D403" s="116" t="inlineStr">
        <is>
          <t xml:space="preserve">Кр-99039593-1</t>
        </is>
      </c>
      <c r="E403" s="116" t="inlineStr">
        <is>
          <t xml:space="preserve">IMAMNAZAROVA NORPOSHA KUCHQAROVA</t>
        </is>
      </c>
      <c r="F403" s="116" t="inlineStr">
        <is>
          <t xml:space="preserve">998507217757 SMS OZI, 998998184996 SMS ERI, 998998534996 SMS DADSI, 998917574770 SMS ONASI,</t>
        </is>
      </c>
      <c r="G403" s="116" t="inlineStr">
        <is>
          <t xml:space="preserve">NAMANGAN VILOYATI  YANGIQO’RG’ON TUMANI YUQORI QOLPOVON MFY, UCHQORG’ON  KO’CHASI 21-UY</t>
        </is>
      </c>
      <c r="H403" s="117">
        <v>1.0</v>
      </c>
      <c r="I403" s="117">
        <v>3099170.46</v>
      </c>
    </row>
    <row r="404">
      <c r="A404" s="116" t="inlineStr">
        <is>
          <t xml:space="preserve">НАМАНГАН ВИЛОЯТИ</t>
        </is>
      </c>
      <c r="C404" s="116" t="inlineStr">
        <is>
          <t xml:space="preserve">Объезд</t>
        </is>
      </c>
      <c r="D404" s="116" t="inlineStr">
        <is>
          <t xml:space="preserve">Кр-99040065-1</t>
        </is>
      </c>
      <c r="E404" s="116" t="inlineStr">
        <is>
          <t xml:space="preserve">KAXXOROVA SEVARAXON XOSHIMJANOVNA</t>
        </is>
      </c>
      <c r="F404" s="116" t="inlineStr">
        <is>
          <t xml:space="preserve">998948620378 SMS OZI, 998936435220 SMS UKASI  TO'LOVCHI, 998507068998 SMS OGLI, 998948997875 SMS ERI begona,</t>
        </is>
      </c>
      <c r="G404" s="116" t="inlineStr">
        <is>
          <t xml:space="preserve">NAMANGAN VILOYAT YANGIQO'RG'ON TUMANI SUTLIBULOQ MFY, SADOQAT KO'CHASI 52 UY</t>
        </is>
      </c>
      <c r="H404" s="117">
        <v>12.0</v>
      </c>
      <c r="I404" s="117">
        <v>3020502.25</v>
      </c>
      <c r="K404" s="116" t="inlineStr">
        <is>
          <t xml:space="preserve">Uyiga borildi | klentni ukasi tolovchi hozir tololmaydi ekan puli yogan deb qaytib ketibdiundruvchilar</t>
        </is>
      </c>
    </row>
    <row r="405">
      <c r="A405" s="116" t="inlineStr">
        <is>
          <t xml:space="preserve">НАМАНГАН ВИЛОЯТИ</t>
        </is>
      </c>
      <c r="C405" s="116" t="inlineStr">
        <is>
          <t xml:space="preserve">Недозвон</t>
        </is>
      </c>
      <c r="D405" s="116" t="inlineStr">
        <is>
          <t xml:space="preserve">Кр-99063798-1</t>
        </is>
      </c>
      <c r="E405" s="116" t="inlineStr">
        <is>
          <t xml:space="preserve">ABDUG’ANIYEVA GULBAXOR MIRZARAXIMOVNA</t>
        </is>
      </c>
      <c r="F405" s="116" t="inlineStr">
        <is>
          <t xml:space="preserve">+998944756131 SMS O’ZI, 998948747573 SMS ERI, 998949413934 SMS O’G’LI,</t>
        </is>
      </c>
      <c r="G405" s="116" t="inlineStr">
        <is>
          <t xml:space="preserve">НАМАНГАН ВИЛОЯТИ ЯНГИҚЎРҒОН ТУМАНИ ГАЗНОН МФЙ ТИНЧЛИК КЎЧАСИ 13 УЙ</t>
        </is>
      </c>
      <c r="H405" s="117">
        <v>8.0</v>
      </c>
      <c r="I405" s="117">
        <v>2998942.52</v>
      </c>
    </row>
    <row r="406">
      <c r="A406" s="116" t="inlineStr">
        <is>
          <t xml:space="preserve">НАМАНГАН ВИЛОЯТИ</t>
        </is>
      </c>
      <c r="C406" s="116" t="inlineStr">
        <is>
          <t xml:space="preserve">Недозвон</t>
        </is>
      </c>
      <c r="D406" s="116" t="inlineStr">
        <is>
          <t xml:space="preserve">Кр-99062634-1</t>
        </is>
      </c>
      <c r="E406" s="116" t="inlineStr">
        <is>
          <t xml:space="preserve">ADASHEVA RA’NOXON DEXKANBOYEVNA</t>
        </is>
      </c>
      <c r="F406" s="116" t="inlineStr">
        <is>
          <t xml:space="preserve">998940038020 узи TO'LOVCHI  FAQAT SHUNGA QILINSIN, 998978774040 угли begona, 998934405252 угли begona, 998994444039 эри, 998935598898 SMS AYOLI,</t>
        </is>
      </c>
      <c r="G406" s="116" t="inlineStr">
        <is>
          <t xml:space="preserve">NAMANGAN VILOYATI UCHQO’RG’ON TUMANI NORIN MFY NORIN KO’CHASI 17 UY</t>
        </is>
      </c>
      <c r="H406" s="117">
        <v>8.0</v>
      </c>
      <c r="I406" s="117">
        <v>2943551.76</v>
      </c>
    </row>
    <row r="407">
      <c r="A407" s="116" t="inlineStr">
        <is>
          <t xml:space="preserve">НАМАНГАН ВИЛОЯТИ</t>
        </is>
      </c>
      <c r="C407" s="116" t="inlineStr">
        <is>
          <t xml:space="preserve">Объезд</t>
        </is>
      </c>
      <c r="D407" s="116" t="inlineStr">
        <is>
          <t xml:space="preserve">Кр-99036049-1</t>
        </is>
      </c>
      <c r="E407" s="116" t="inlineStr">
        <is>
          <t xml:space="preserve">XAMIDJONOV BOBUR MUMINJON O’G’LI</t>
        </is>
      </c>
      <c r="F407" s="116" t="inlineStr">
        <is>
          <t xml:space="preserve">998935299602 SMS OZI, 998942771083 SMS AKASI tolovchi, 998943048390 SMS OPASI, 998940015061 SMS AMAKISI,</t>
        </is>
      </c>
      <c r="G407" s="116" t="inlineStr">
        <is>
          <t xml:space="preserve">NAMANGAN VILOYATI UCHQO’RG’ON TUMANI ATLAS MFY USMON BAXSHI KO’CHA 2 UY</t>
        </is>
      </c>
      <c r="H407" s="117">
        <v>32.0</v>
      </c>
      <c r="I407" s="117">
        <v>2924740.26</v>
      </c>
      <c r="K407" s="116" t="inlineStr">
        <is>
          <t xml:space="preserve">Uyiga borildi | oy oxirida yopib berarkan</t>
        </is>
      </c>
    </row>
    <row r="408">
      <c r="A408" s="116" t="inlineStr">
        <is>
          <t xml:space="preserve">НАМАНГАН ВИЛОЯТИ</t>
        </is>
      </c>
      <c r="C408" s="116" t="inlineStr">
        <is>
          <t xml:space="preserve">Недозвон</t>
        </is>
      </c>
      <c r="D408" s="116" t="inlineStr">
        <is>
          <t xml:space="preserve">Кр-99031467-1</t>
        </is>
      </c>
      <c r="E408" s="116" t="inlineStr">
        <is>
          <t xml:space="preserve">MIRVALIYEV YUNUSALI YOQUBJON O’G’LI</t>
        </is>
      </c>
      <c r="F408" s="116" t="inlineStr">
        <is>
          <t xml:space="preserve">94-012-62-12  SMS OZI, 94-178-53-93  SMS DADASI, 93-157-02-22  SMS TOGASI, 94-176-53-93  SMS ONASI,</t>
        </is>
      </c>
      <c r="G408" s="116" t="inlineStr">
        <is>
          <t xml:space="preserve">NAMANGAN VILOYATI NAMANGAN TUMAN XONOBOD MFY YANGI YO’L KO’CHA 65 UY</t>
        </is>
      </c>
      <c r="H408" s="117">
        <v>12.0</v>
      </c>
      <c r="I408" s="117">
        <v>2909377.79</v>
      </c>
      <c r="K408" s="116" t="inlineStr">
        <is>
          <t xml:space="preserve">Telefon ko'tarmadi | ozi kotarmayabdi qolganlari begona ishlamidi nomer</t>
        </is>
      </c>
    </row>
    <row r="409">
      <c r="A409" s="116" t="inlineStr">
        <is>
          <t xml:space="preserve">НАМАНГАН ВИЛОЯТИ</t>
        </is>
      </c>
      <c r="C409" s="116" t="inlineStr">
        <is>
          <t xml:space="preserve">Недозвон</t>
        </is>
      </c>
      <c r="D409" s="116" t="inlineStr">
        <is>
          <t xml:space="preserve">Кр-99013358-2</t>
        </is>
      </c>
      <c r="E409" s="116" t="inlineStr">
        <is>
          <t xml:space="preserve">TURSUNOV XALIM PARPIYEVICH</t>
        </is>
      </c>
      <c r="F409" s="116" t="inlineStr">
        <is>
          <t xml:space="preserve">99-606-91-40 SMS SHUNGA TEL QILINSIN ZALOK SHUNIKI GAZINI BERADI , 99-366-27-63 SMS AYOLI begona, 91-758-96-99 begana , 69-471-01-76 SMS DOMASHNIY, 998958662763 ozi  TO'LOVCHI,</t>
        </is>
      </c>
      <c r="G409" s="116" t="inlineStr">
        <is>
          <t xml:space="preserve">NAMANGAN VILOYATI NAMANGAN TUMANI QORATEPA MFY BIRDAMLIK KO‘CHASI 12-UY</t>
        </is>
      </c>
      <c r="H409" s="117">
        <v>1.0</v>
      </c>
      <c r="I409" s="117">
        <v>2882657.03</v>
      </c>
      <c r="K409" s="116" t="inlineStr">
        <is>
          <t xml:space="preserve">Telefon ko'tarmadi | brorta nomer kotarmadi</t>
        </is>
      </c>
    </row>
    <row r="410">
      <c r="A410" s="116" t="inlineStr">
        <is>
          <t xml:space="preserve">НАМАНГАН ВИЛОЯТИ</t>
        </is>
      </c>
      <c r="C410" s="116" t="inlineStr">
        <is>
          <t xml:space="preserve">Недозвон</t>
        </is>
      </c>
      <c r="D410" s="116" t="inlineStr">
        <is>
          <t xml:space="preserve">Кр-99037202-1</t>
        </is>
      </c>
      <c r="E410" s="116" t="inlineStr">
        <is>
          <t xml:space="preserve">MAMAJONOV MIRZOXID NE’MATJON O’G’LI</t>
        </is>
      </c>
      <c r="F410" s="116" t="inlineStr">
        <is>
          <t xml:space="preserve">998944202213 SMS OZI, 998941872322 SMS TOGASI BEGONA, 998936603332 SMS AYOLI, 998947541016 SMS KELINOYISI,</t>
        </is>
      </c>
      <c r="G410" s="116" t="inlineStr">
        <is>
          <t xml:space="preserve">NAMANGAN VILOYATI UYCHI TUMANI BO’STON MFY SHAFTOLI KO’CHA 73 UY</t>
        </is>
      </c>
      <c r="H410" s="117">
        <v>8.0</v>
      </c>
      <c r="I410" s="117">
        <v>2756235.41</v>
      </c>
      <c r="K410" s="116" t="inlineStr">
        <is>
          <t xml:space="preserve">Telefon ko'tarmadi | brorta nomerini kotarmayabdi</t>
        </is>
      </c>
    </row>
    <row r="411">
      <c r="A411" s="116" t="inlineStr">
        <is>
          <t xml:space="preserve">НАМАНГАН ВИЛОЯТИ</t>
        </is>
      </c>
      <c r="C411" s="116" t="inlineStr">
        <is>
          <t xml:space="preserve">Недозвон</t>
        </is>
      </c>
      <c r="D411" s="116" t="inlineStr">
        <is>
          <t xml:space="preserve">Кр-99040468-3</t>
        </is>
      </c>
      <c r="E411" s="116" t="inlineStr">
        <is>
          <t xml:space="preserve">SOLIYEVA MALIKAXON ALIMJONOVNA</t>
        </is>
      </c>
      <c r="F411" s="116" t="inlineStr">
        <is>
          <t xml:space="preserve">998777290109 SMS OZI, 998950065809 SMS OZI 2, 998903003001 SARVAR AKA HAL QILADI, 998771490700 sms uzi new sarvarni opasi,</t>
        </is>
      </c>
      <c r="G411" s="116" t="inlineStr">
        <is>
          <t xml:space="preserve">NAMANGAN VILOYATI NORIN TUMANI BUSTON MFY UVAYSIY KO’CHASI 206 UY</t>
        </is>
      </c>
      <c r="I411" s="117">
        <v>2702001.24</v>
      </c>
    </row>
    <row r="412">
      <c r="A412" s="116" t="inlineStr">
        <is>
          <t xml:space="preserve">НАМАНГАН ВИЛОЯТИ</t>
        </is>
      </c>
      <c r="C412" s="116" t="inlineStr">
        <is>
          <t xml:space="preserve">Недозвон</t>
        </is>
      </c>
      <c r="D412" s="116" t="inlineStr">
        <is>
          <t xml:space="preserve">Кр-99027648-4</t>
        </is>
      </c>
      <c r="E412" s="116" t="inlineStr">
        <is>
          <t xml:space="preserve">MAMADJONOV OYBEK TURABAYEVICH</t>
        </is>
      </c>
      <c r="F412" s="116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412" s="116" t="inlineStr">
        <is>
          <t xml:space="preserve">NAMANGAN VILOYATI NAMANGAN SHAHAR MINGCHINOR MFY ZAVQIY 92 UY</t>
        </is>
      </c>
      <c r="H412" s="117">
        <v>8.0</v>
      </c>
      <c r="I412" s="117">
        <v>2566455.19</v>
      </c>
      <c r="K412" s="116" t="inlineStr">
        <is>
          <t xml:space="preserve">Telefon ko'tarmadi | telefonini kotarmayabdi tolab qoyish kerak lekin mashennikda</t>
        </is>
      </c>
    </row>
    <row r="413">
      <c r="A413" s="116" t="inlineStr">
        <is>
          <t xml:space="preserve">НАМАНГАН ВИЛОЯТИ</t>
        </is>
      </c>
      <c r="C413" s="116" t="inlineStr">
        <is>
          <t xml:space="preserve">Недозвон</t>
        </is>
      </c>
      <c r="D413" s="116" t="inlineStr">
        <is>
          <t xml:space="preserve">Кр-99037174-1</t>
        </is>
      </c>
      <c r="E413" s="116" t="inlineStr">
        <is>
          <t xml:space="preserve">VAXOBOV AZIZBEK VOXIDJON O’G’LI</t>
        </is>
      </c>
      <c r="F413" s="116" t="inlineStr">
        <is>
          <t xml:space="preserve">998330919599 SMS OZI qozogistinda, 998880368678 SMS AMMASI, 998936662067 SMS DADASI, 998975712323 SMS OSHNASI 2 yildan beri gaplashmagan,</t>
        </is>
      </c>
      <c r="G413" s="116" t="inlineStr">
        <is>
          <t xml:space="preserve">NAMANGAN VILOYATI NORIN TUMANI NORINKAPA MFY ISLOMOBOD KO’CHA 15 UY</t>
        </is>
      </c>
      <c r="H413" s="117">
        <v>11.0</v>
      </c>
      <c r="I413" s="117">
        <v>2558234.17</v>
      </c>
      <c r="K413" s="116" t="inlineStr">
        <is>
          <t xml:space="preserve">Telefon ko'tarmadi | sog nomer yoq tel kotarmayabdi</t>
        </is>
      </c>
    </row>
    <row r="414">
      <c r="A414" s="116" t="inlineStr">
        <is>
          <t xml:space="preserve">НАМАНГАН ВИЛОЯТИ</t>
        </is>
      </c>
      <c r="C414" s="116" t="inlineStr">
        <is>
          <t xml:space="preserve">Объезд</t>
        </is>
      </c>
      <c r="D414" s="116" t="inlineStr">
        <is>
          <t xml:space="preserve">Кр-99040792-1</t>
        </is>
      </c>
      <c r="E414" s="116" t="inlineStr">
        <is>
          <t xml:space="preserve">AXMADJANOVA MADINA MALIKJON QIZI</t>
        </is>
      </c>
      <c r="F414" s="116" t="inlineStr">
        <is>
          <t xml:space="preserve">998950451616 SMS TO'LOVCHI, 998955750016 SMS AYOLI,</t>
        </is>
      </c>
      <c r="G414" s="116" t="inlineStr">
        <is>
          <t xml:space="preserve">ЧИНОР МФЙ, ЛАНГАР, 22 БЕРК КЎЧАСИ,  uy:6</t>
        </is>
      </c>
      <c r="H414" s="117">
        <v>8.0</v>
      </c>
      <c r="I414" s="117">
        <v>2488476.76</v>
      </c>
      <c r="K414" s="116" t="inlineStr">
        <is>
          <t xml:space="preserve">Uyiga borildi | bugun yopib berarkan</t>
        </is>
      </c>
    </row>
    <row r="415">
      <c r="A415" s="116" t="inlineStr">
        <is>
          <t xml:space="preserve">НАМАНГАН ВИЛОЯТИ</t>
        </is>
      </c>
      <c r="C415" s="116" t="inlineStr">
        <is>
          <t xml:space="preserve">Недозвон</t>
        </is>
      </c>
      <c r="D415" s="116" t="inlineStr">
        <is>
          <t xml:space="preserve">Кр-99041537-1</t>
        </is>
      </c>
      <c r="E415" s="116" t="inlineStr">
        <is>
          <t xml:space="preserve">OLIMJONOV AZIZBEK XAYRULLO O’G’LI</t>
        </is>
      </c>
      <c r="F415" s="116" t="inlineStr">
        <is>
          <t xml:space="preserve">+998940046575 sms ozi, 998770116576 sms onasi, 998933616575 sms ozi 2, 998944011123 sms opasi tolovchi,</t>
        </is>
      </c>
      <c r="G415" s="116" t="inlineStr">
        <is>
          <t xml:space="preserve">Наманганская область, Чартакский район, Чорток ГСГ, Навбахор МСГ, ул. Ёш оила, дом 133</t>
        </is>
      </c>
      <c r="H415" s="117">
        <v>8.0</v>
      </c>
      <c r="I415" s="117">
        <v>2449727.41</v>
      </c>
    </row>
    <row r="416">
      <c r="A416" s="116" t="inlineStr">
        <is>
          <t xml:space="preserve">НАМАНГАН ВИЛОЯТИ</t>
        </is>
      </c>
      <c r="C416" s="116" t="inlineStr">
        <is>
          <t xml:space="preserve">Недозвон</t>
        </is>
      </c>
      <c r="D416" s="116" t="inlineStr">
        <is>
          <t xml:space="preserve">Кр-99041154-1</t>
        </is>
      </c>
      <c r="E416" s="116" t="inlineStr">
        <is>
          <t xml:space="preserve">RASULOV FAXRIDDIN NAZIROVICH</t>
        </is>
      </c>
      <c r="F416" s="116" t="inlineStr">
        <is>
          <t xml:space="preserve">998991755158 uzi BEGONA, 998948367375 ayoli, 998507235040 o'g'li,</t>
        </is>
      </c>
      <c r="G416" s="116" t="inlineStr">
        <is>
          <t xml:space="preserve">NAMANGAN VILOYATI NORIN TUMANI SAODAT MFY, 5-ISTIQLOL KO’CHASI 52-UY</t>
        </is>
      </c>
      <c r="I416" s="117">
        <v>2435740.98</v>
      </c>
    </row>
    <row r="417">
      <c r="A417" s="116" t="inlineStr">
        <is>
          <t xml:space="preserve">НАМАНГАН ВИЛОЯТИ</t>
        </is>
      </c>
      <c r="C417" s="116" t="inlineStr">
        <is>
          <t xml:space="preserve">Недозвон</t>
        </is>
      </c>
      <c r="D417" s="116" t="inlineStr">
        <is>
          <t xml:space="preserve">Кр-99039474-1</t>
        </is>
      </c>
      <c r="E417" s="116" t="inlineStr">
        <is>
          <t xml:space="preserve">ISMANOV AXMADALI MADAMINJONOVICH</t>
        </is>
      </c>
      <c r="F417" s="116" t="inlineStr">
        <is>
          <t xml:space="preserve">998941554021 SMS OZI, 998946008312 SMS JIYANI, 998944248183 SMS AYOLI, 998945131983 SMS TOLOVCHI JIYANI, 998505117100 tolovchi new,</t>
        </is>
      </c>
      <c r="G417" s="116" t="inlineStr">
        <is>
          <t xml:space="preserve">NAMANGAN VILOYATI CHORTOQ TUMANI BALIQKO’L MFY YANGIOBOD KO’CHA 36 UY</t>
        </is>
      </c>
      <c r="H417" s="117">
        <v>6.0</v>
      </c>
      <c r="I417" s="117">
        <v>2278500.42</v>
      </c>
    </row>
    <row r="418">
      <c r="A418" s="116" t="inlineStr">
        <is>
          <t xml:space="preserve">НАМАНГАН ВИЛОЯТИ</t>
        </is>
      </c>
      <c r="C418" s="116" t="inlineStr">
        <is>
          <t xml:space="preserve">Недозвон</t>
        </is>
      </c>
      <c r="D418" s="116" t="inlineStr">
        <is>
          <t xml:space="preserve">Кр-99063156-1</t>
        </is>
      </c>
      <c r="E418" s="116" t="inlineStr">
        <is>
          <t xml:space="preserve">MAMAJONOV ELMUROD DILMUROD O’G’LI</t>
        </is>
      </c>
      <c r="F418" s="116" t="inlineStr">
        <is>
          <t xml:space="preserve">998930025855 SMS DOSTI, 998998817101 SMS OZI, 998999960905 SMS JIYANI,</t>
        </is>
      </c>
      <c r="G418" s="116" t="inlineStr">
        <is>
          <t xml:space="preserve">YANGIXAYOT QFY XO’JAOBOD MFY P.PARPIYEV KO’CHASI 32-UY</t>
        </is>
      </c>
      <c r="H418" s="117">
        <v>8.0</v>
      </c>
      <c r="I418" s="117">
        <v>2251712.76</v>
      </c>
    </row>
    <row r="419">
      <c r="A419" s="116" t="inlineStr">
        <is>
          <t xml:space="preserve">НАМАНГАН ВИЛОЯТИ</t>
        </is>
      </c>
      <c r="C419" s="116" t="inlineStr">
        <is>
          <t xml:space="preserve">Недозвон</t>
        </is>
      </c>
      <c r="D419" s="116" t="inlineStr">
        <is>
          <t xml:space="preserve">Кр-99062669-1</t>
        </is>
      </c>
      <c r="E419" s="116" t="inlineStr">
        <is>
          <t xml:space="preserve">ABDUKADIROV RAXIM NEMATOVICH</t>
        </is>
      </c>
      <c r="F419" s="116" t="inlineStr">
        <is>
          <t xml:space="preserve">998934071179 OZI, 998946668815 AYOLI,</t>
        </is>
      </c>
      <c r="G419" s="116" t="inlineStr">
        <is>
          <t xml:space="preserve">NAMANGAN VILOYATI NAMANGAN SHAHRI SHIROK TUPIP 5-UY,1-XONADON</t>
        </is>
      </c>
      <c r="H419" s="117">
        <v>8.0</v>
      </c>
      <c r="I419" s="117">
        <v>2220548.38</v>
      </c>
    </row>
    <row r="420">
      <c r="A420" s="116" t="inlineStr">
        <is>
          <t xml:space="preserve">НАМАНГАН ВИЛОЯТИ</t>
        </is>
      </c>
      <c r="C420" s="116" t="inlineStr">
        <is>
          <t xml:space="preserve">Недозвон</t>
        </is>
      </c>
      <c r="D420" s="116" t="inlineStr">
        <is>
          <t xml:space="preserve">Кр-99063892-1</t>
        </is>
      </c>
      <c r="E420" s="116" t="inlineStr">
        <is>
          <t xml:space="preserve">MADAMINOV ISLOMJON QURBONALI O’G’LI</t>
        </is>
      </c>
      <c r="F420" s="116" t="inlineStr">
        <is>
          <t xml:space="preserve">+998941700101 SMS O’ZI, 998500013334 SMS UKASI, 998503002112 SMS AYOLI,</t>
        </is>
      </c>
      <c r="G420" s="116" t="inlineStr">
        <is>
          <t xml:space="preserve">НАМАНГАН ВИЛОЯТИ ЧОРТОҚ ТУМАНИ БОҒ МФЙ ЗИЛОЛ КЎЧАСИ 46А УЙ</t>
        </is>
      </c>
      <c r="H420" s="117">
        <v>8.0</v>
      </c>
      <c r="I420" s="117">
        <v>2186963.71</v>
      </c>
    </row>
    <row r="421">
      <c r="A421" s="116" t="inlineStr">
        <is>
          <t xml:space="preserve">НАМАНГАН ВИЛОЯТИ</t>
        </is>
      </c>
      <c r="C421" s="116" t="inlineStr">
        <is>
          <t xml:space="preserve">Недозвон</t>
        </is>
      </c>
      <c r="D421" s="116" t="inlineStr">
        <is>
          <t xml:space="preserve">Кр-99062959-1</t>
        </is>
      </c>
      <c r="E421" s="116" t="inlineStr">
        <is>
          <t xml:space="preserve">TESHABOYEV JALOLLIDIN ALIJON O’G’LI</t>
        </is>
      </c>
      <c r="F421" s="116" t="inlineStr">
        <is>
          <t xml:space="preserve">998884415393 SMS UKASI, 998911822221 SMS OZI, 998947505574 SMS TOLOVCHI,</t>
        </is>
      </c>
      <c r="G421" s="116" t="inlineStr">
        <is>
          <t xml:space="preserve">CHUST TUMANI KARNON 7-UY</t>
        </is>
      </c>
      <c r="H421" s="117">
        <v>8.0</v>
      </c>
      <c r="I421" s="117">
        <v>2185088.56</v>
      </c>
    </row>
    <row r="422">
      <c r="A422" s="116" t="inlineStr">
        <is>
          <t xml:space="preserve">НАМАНГАН ВИЛОЯТИ</t>
        </is>
      </c>
      <c r="C422" s="116" t="inlineStr">
        <is>
          <t xml:space="preserve">Недозвон</t>
        </is>
      </c>
      <c r="D422" s="116" t="inlineStr">
        <is>
          <t xml:space="preserve">Кр-99039722-2</t>
        </is>
      </c>
      <c r="E422" s="116" t="inlineStr">
        <is>
          <t xml:space="preserve">SULTANOV UMID IKROMOVICH</t>
        </is>
      </c>
      <c r="F422" s="116" t="inlineStr">
        <is>
          <t xml:space="preserve">998902780405 SMS OZI, 998934027767 SMS AYOLI, 998954634420 SMS DADASI, 998911820002 SMS ONASI, 998934010666 SMS TO’LOVCHI SHERIGI, +998902780405 SMS O’ZI,</t>
        </is>
      </c>
      <c r="G422" s="116" t="inlineStr">
        <is>
          <t xml:space="preserve">НАМАНГАН ВИЛОЯТИ ЯНГИ НАМАНГАН ТУМАНИ КЕЛАЖАК ТОНГИ МФЙ НАЗАР КЎЧАСИ 61 УЙ</t>
        </is>
      </c>
      <c r="H422" s="117">
        <v>8.0</v>
      </c>
      <c r="I422" s="117">
        <v>2116344.92</v>
      </c>
    </row>
    <row r="423">
      <c r="A423" s="116" t="inlineStr">
        <is>
          <t xml:space="preserve">НАМАНГАН ВИЛОЯТИ</t>
        </is>
      </c>
      <c r="C423" s="116" t="inlineStr">
        <is>
          <t xml:space="preserve">Недозвон</t>
        </is>
      </c>
      <c r="D423" s="116" t="inlineStr">
        <is>
          <t xml:space="preserve">Кр-99033222-1</t>
        </is>
      </c>
      <c r="E423" s="116" t="inlineStr">
        <is>
          <t xml:space="preserve">JO’RAYEV JAMSHIDBEK ALIJON O’G’LI</t>
        </is>
      </c>
      <c r="F423" s="116" t="inlineStr">
        <is>
          <t xml:space="preserve">998940605070 SMS O’ZI, 998880605070 SMS OSHNASI begona, 998934032524 SMS OSHNASI 2, 998931934323 SMS AYOLI,</t>
        </is>
      </c>
      <c r="G423" s="116" t="inlineStr">
        <is>
          <t xml:space="preserve">NAMANGAN VILOYATI UYCHI TUMANI MIRZAROVOT MFY MIRZAROVOT KO’CHA 93 UY</t>
        </is>
      </c>
      <c r="H423" s="117">
        <v>12.0</v>
      </c>
      <c r="I423" s="117">
        <v>1999276.96</v>
      </c>
      <c r="K423" s="116" t="inlineStr">
        <is>
          <t xml:space="preserve">Telefon ko'tarmadi | nomerlari ishlamayabdi kotarmayabdi</t>
        </is>
      </c>
    </row>
    <row r="424">
      <c r="A424" s="116" t="inlineStr">
        <is>
          <t xml:space="preserve">НАМАНГАН ВИЛОЯТИ</t>
        </is>
      </c>
      <c r="C424" s="116" t="inlineStr">
        <is>
          <t xml:space="preserve">Объезд</t>
        </is>
      </c>
      <c r="D424" s="116" t="inlineStr">
        <is>
          <t xml:space="preserve">Кр-99040750-1</t>
        </is>
      </c>
      <c r="E424" s="116" t="inlineStr">
        <is>
          <t xml:space="preserve">XAYDAROV IQBOLJON IMINJON O’G’LI</t>
        </is>
      </c>
      <c r="F424" s="116" t="inlineStr">
        <is>
          <t xml:space="preserve">998996581133 SMS OZI, 998774457826 SMS UYI, 998939453448 SMS OPASI, 998367416462 SMS OPASI 2,</t>
        </is>
      </c>
      <c r="G424" s="116" t="inlineStr">
        <is>
          <t xml:space="preserve">NAMANGAN VILOYATI NORIN TUMANI QO’SHCHEK MFY,QO’SHCHEK KO’CHASI 88-UY</t>
        </is>
      </c>
      <c r="H424" s="117">
        <v>8.0</v>
      </c>
      <c r="I424" s="117">
        <v>1980907.22</v>
      </c>
      <c r="K424" s="116" t="inlineStr">
        <is>
          <t xml:space="preserve">Uyiga borildi | qsman tolov qilb berdi onasi qolganini ham yopib berarkan bir ikki kunda</t>
        </is>
      </c>
    </row>
    <row r="425">
      <c r="A425" s="116" t="inlineStr">
        <is>
          <t xml:space="preserve">НАМАНГАН ВИЛОЯТИ</t>
        </is>
      </c>
      <c r="C425" s="116" t="inlineStr">
        <is>
          <t xml:space="preserve">Недозвон</t>
        </is>
      </c>
      <c r="D425" s="116" t="inlineStr">
        <is>
          <t xml:space="preserve">Кр-99058709-1</t>
        </is>
      </c>
      <c r="E425" s="116" t="inlineStr">
        <is>
          <t xml:space="preserve">ADASHEV RUSTAMJON G’OPIRJONOVICH</t>
        </is>
      </c>
      <c r="F425" s="116" t="inlineStr">
        <is>
          <t xml:space="preserve">998954553001 SMS OZI, 998939241075 SMS ONASI, 998998296527 SMS AYOLI,</t>
        </is>
      </c>
      <c r="G425" s="116" t="inlineStr">
        <is>
          <t xml:space="preserve">NAMANGAN VILOYATI UCHQO’RG’ON TUMANI ISTIQLOL MFY OLMAZOR KO’CHA 117 UY</t>
        </is>
      </c>
      <c r="H425" s="117">
        <v>8.0</v>
      </c>
      <c r="I425" s="117">
        <v>1955172.46</v>
      </c>
    </row>
    <row r="426">
      <c r="A426" s="116" t="inlineStr">
        <is>
          <t xml:space="preserve">НАМАНГАН ВИЛОЯТИ</t>
        </is>
      </c>
      <c r="C426" s="116" t="inlineStr">
        <is>
          <t xml:space="preserve">Недозвон</t>
        </is>
      </c>
      <c r="D426" s="116" t="inlineStr">
        <is>
          <t xml:space="preserve">Кр-99042661-1</t>
        </is>
      </c>
      <c r="E426" s="116" t="inlineStr">
        <is>
          <t xml:space="preserve">KARABOYEV ATXAM DAVLATOVICH</t>
        </is>
      </c>
      <c r="F426" s="116" t="inlineStr">
        <is>
          <t xml:space="preserve">+998886888847 SMS O’ZI, 998884888875 SMS OTASI, 998972555510 SMS O’ZI 2, 998990076489 SMS AYOLI,</t>
        </is>
      </c>
      <c r="G426" s="116" t="inlineStr">
        <is>
          <t xml:space="preserve">NAMANGAN VILOYATI CHUST TUMANI YANGI XAYOT MFY MUSTAQILLIK KO’CHASI 14-UY</t>
        </is>
      </c>
      <c r="H426" s="117">
        <v>8.0</v>
      </c>
      <c r="I426" s="117">
        <v>1893433.31</v>
      </c>
    </row>
    <row r="427">
      <c r="A427" s="116" t="inlineStr">
        <is>
          <t xml:space="preserve">НАМАНГАН ВИЛОЯТИ</t>
        </is>
      </c>
      <c r="C427" s="116" t="inlineStr">
        <is>
          <t xml:space="preserve">Недозвон</t>
        </is>
      </c>
      <c r="D427" s="116" t="inlineStr">
        <is>
          <t xml:space="preserve">Кр-99047221-1</t>
        </is>
      </c>
      <c r="E427" s="116" t="inlineStr">
        <is>
          <t xml:space="preserve">SATTAROVA SOJIDAXON RASHIDBEKOVNA</t>
        </is>
      </c>
      <c r="F427" s="116" t="inlineStr">
        <is>
          <t xml:space="preserve">+998884411967 SMS O’ZI, 998888271212 SMS O’G’LI 2, 998888285452 SMS O’G’LI,</t>
        </is>
      </c>
      <c r="G427" s="116" t="inlineStr">
        <is>
          <t xml:space="preserve">NAMANGAN  VILOYATI NAMANGAN SHAXAR YANGI NAMANGAN TUMANI SOXIL MFY ZIYOLI KO’CHASI 59 UY</t>
        </is>
      </c>
      <c r="H427" s="117">
        <v>8.0</v>
      </c>
      <c r="I427" s="117">
        <v>1889482.78</v>
      </c>
    </row>
    <row r="428">
      <c r="A428" s="116" t="inlineStr">
        <is>
          <t xml:space="preserve">НАМАНГАН ВИЛОЯТИ</t>
        </is>
      </c>
      <c r="C428" s="116" t="inlineStr">
        <is>
          <t xml:space="preserve">Недозвон</t>
        </is>
      </c>
      <c r="D428" s="116" t="inlineStr">
        <is>
          <t xml:space="preserve">Кр-99039103-3</t>
        </is>
      </c>
      <c r="E428" s="116" t="inlineStr">
        <is>
          <t xml:space="preserve">SODIQOV ABDUSAMAD SOBIRJONOVICH</t>
        </is>
      </c>
      <c r="F428" s="116" t="inlineStr">
        <is>
          <t xml:space="preserve">998932623838 SMS OZI, 998692262707 SMS UYI SHUNGA QILINSIN DOMASHNIY ISHLIDI , 998952732013 SMS OGLI, 998952161212 SMS UKASI, +998932623838 SMS O’ZI,</t>
        </is>
      </c>
      <c r="G428" s="116" t="inlineStr">
        <is>
          <t xml:space="preserve">NAMANGAN VILOYATI UYCHI TUMANI O’NXAYOT MFY NAVRO’Z KO’CHA 47 UY</t>
        </is>
      </c>
      <c r="H428" s="117">
        <v>8.0</v>
      </c>
      <c r="I428" s="117">
        <v>1844455.49</v>
      </c>
    </row>
    <row r="429">
      <c r="A429" s="116" t="inlineStr">
        <is>
          <t xml:space="preserve">НАМАНГАН ВИЛОЯТИ</t>
        </is>
      </c>
      <c r="C429" s="116" t="inlineStr">
        <is>
          <t xml:space="preserve">Недозвон</t>
        </is>
      </c>
      <c r="D429" s="116" t="inlineStr">
        <is>
          <t xml:space="preserve">Кр-99034976-1</t>
        </is>
      </c>
      <c r="E429" s="116" t="inlineStr">
        <is>
          <t xml:space="preserve">MASUMOV BOBIRXON ODILXONOVICH</t>
        </is>
      </c>
      <c r="F429" s="116" t="inlineStr">
        <is>
          <t xml:space="preserve">998950348883 SMS O’ZI, 998911852556 SMS DADASI, 998913621862 SMS ONASI, 998880328883 SMS NEW NOMER ,</t>
        </is>
      </c>
      <c r="G429" s="116" t="inlineStr">
        <is>
          <t xml:space="preserve">NAMANGAN VILOYATI CHUST TUMANI TEPAQO’RG’ON MFY MUSTAQILLIK KO’CHA</t>
        </is>
      </c>
      <c r="H429" s="117">
        <v>12.0</v>
      </c>
      <c r="I429" s="117">
        <v>1742852.67</v>
      </c>
      <c r="K429" s="116" t="inlineStr">
        <is>
          <t xml:space="preserve">Telefon ko'tarmadi | sog nomeri yoq kotarmayabdi</t>
        </is>
      </c>
    </row>
    <row r="430">
      <c r="A430" s="116" t="inlineStr">
        <is>
          <t xml:space="preserve">НАМАНГАН ВИЛОЯТИ</t>
        </is>
      </c>
      <c r="C430" s="116" t="inlineStr">
        <is>
          <t xml:space="preserve">Недозвон</t>
        </is>
      </c>
      <c r="D430" s="116" t="inlineStr">
        <is>
          <t xml:space="preserve">Кр-99029040-3</t>
        </is>
      </c>
      <c r="E430" s="116" t="inlineStr">
        <is>
          <t xml:space="preserve">IKRAMOV MA’RUFXON AYUBXON O’G’LI</t>
        </is>
      </c>
      <c r="F430" s="116" t="inlineStr">
        <is>
          <t xml:space="preserve">91-369-67-69  SMS O'ZI, 91-266-66-61  SMS OSHNASI, 93-497-65-72  SMS DEDASI, 93-675-41-81 SMS  ISH XONA,</t>
        </is>
      </c>
      <c r="G430" s="116" t="inlineStr">
        <is>
          <t xml:space="preserve">NAMANGAN VILOYATI NAMANGAN SHAHAR BUNYODKOR MFY USTALAR KO’CHASI 40-UY</t>
        </is>
      </c>
      <c r="H430" s="117">
        <v>8.0</v>
      </c>
      <c r="I430" s="117">
        <v>1715891.87</v>
      </c>
      <c r="K430" s="116" t="inlineStr">
        <is>
          <t xml:space="preserve">Telefon ko'tarmadi | tel kotarmayabdi</t>
        </is>
      </c>
    </row>
    <row r="431">
      <c r="A431" s="116" t="inlineStr">
        <is>
          <t xml:space="preserve">НАМАНГАН ВИЛОЯТИ</t>
        </is>
      </c>
      <c r="C431" s="116" t="inlineStr">
        <is>
          <t xml:space="preserve">Недозвон</t>
        </is>
      </c>
      <c r="D431" s="116" t="inlineStr">
        <is>
          <t xml:space="preserve">Кр-99035740-1</t>
        </is>
      </c>
      <c r="E431" s="116" t="inlineStr">
        <is>
          <t xml:space="preserve">BAXTIYOROVA GULCHEXRA BAXTIYOR QIZI</t>
        </is>
      </c>
      <c r="F431" s="116" t="inlineStr">
        <is>
          <t xml:space="preserve">998945099419 SMS OZI, 998998874348 SMS AKASI, 998993969419 SMS BEGONA,</t>
        </is>
      </c>
      <c r="G431" s="116" t="inlineStr">
        <is>
          <t xml:space="preserve">NAMANGAN VILOYATI UCHQO’RG’ON TUMANI KO’PRIKBOSHI MFY A TEMUR KO’CHASI 21 UY</t>
        </is>
      </c>
      <c r="H431" s="117">
        <v>13.0</v>
      </c>
      <c r="I431" s="117">
        <v>1600631.34</v>
      </c>
      <c r="K431" s="116" t="inlineStr">
        <is>
          <t xml:space="preserve">Telefon ko'tarmadi | sog nomeri yoq</t>
        </is>
      </c>
    </row>
    <row r="432">
      <c r="A432" s="116" t="inlineStr">
        <is>
          <t xml:space="preserve">НАМАНГАН ВИЛОЯТИ</t>
        </is>
      </c>
      <c r="C432" s="116" t="inlineStr">
        <is>
          <t xml:space="preserve">Недозвон</t>
        </is>
      </c>
      <c r="D432" s="116" t="inlineStr">
        <is>
          <t xml:space="preserve">Кр-99013517-3</t>
        </is>
      </c>
      <c r="E432" s="116" t="inlineStr">
        <is>
          <t xml:space="preserve">MAMADALIYEV TOLIB YUSUFJONOVICH</t>
        </is>
      </c>
      <c r="F432" s="116" t="inlineStr">
        <is>
          <t xml:space="preserve">97-372-48-47 SMS, 91-050-07-15  SMS OSHNASI, 94-121-89-87  SMS OSHNASI, 97-622-62-24  SMS AYOLI BEGONA, 88 551 47 47 SMS ozi,</t>
        </is>
      </c>
      <c r="G432" s="116" t="inlineStr">
        <is>
          <t xml:space="preserve">NAMANGAN VILOYATI NAMANGAN TUMANI G‘ALCHA MFY MUATTAR KO‘CHASI 32-UY</t>
        </is>
      </c>
      <c r="H432" s="117">
        <v>8.0</v>
      </c>
      <c r="I432" s="117">
        <v>1588638.63</v>
      </c>
      <c r="K432" s="116" t="inlineStr">
        <is>
          <t xml:space="preserve">Telefon ko'tarmadi | sog nomeri yoq</t>
        </is>
      </c>
    </row>
    <row r="433">
      <c r="A433" s="116" t="inlineStr">
        <is>
          <t xml:space="preserve">НАМАНГАН ВИЛОЯТИ</t>
        </is>
      </c>
      <c r="C433" s="116" t="inlineStr">
        <is>
          <t xml:space="preserve">Недозвон</t>
        </is>
      </c>
      <c r="D433" s="116" t="inlineStr">
        <is>
          <t xml:space="preserve">Кр-99040214-1</t>
        </is>
      </c>
      <c r="E433" s="116" t="inlineStr">
        <is>
          <t xml:space="preserve">O’LMASOV BARKAMOL BAXODIR O’G’LI</t>
        </is>
      </c>
      <c r="F433" s="116" t="inlineStr">
        <is>
          <t xml:space="preserve">998880708060 SMS OZI, 998901547476 SMS AYOLI, 998933636893 SMS AKASI,</t>
        </is>
      </c>
      <c r="G433" s="116" t="inlineStr">
        <is>
          <t xml:space="preserve">NAMANGAN VILOYATI NAMANGAN TUMANI OLAXAMAK MFY ZIYOKOR KO'CHASI 35 UY</t>
        </is>
      </c>
      <c r="H433" s="117">
        <v>8.0</v>
      </c>
      <c r="I433" s="117">
        <v>1555667.51</v>
      </c>
    </row>
    <row r="434">
      <c r="A434" s="116" t="inlineStr">
        <is>
          <t xml:space="preserve">НАМАНГАН ВИЛОЯТИ</t>
        </is>
      </c>
      <c r="C434" s="116" t="inlineStr">
        <is>
          <t xml:space="preserve">Недозвон</t>
        </is>
      </c>
      <c r="D434" s="116" t="inlineStr">
        <is>
          <t xml:space="preserve">Кр-99027060-3</t>
        </is>
      </c>
      <c r="E434" s="116" t="inlineStr">
        <is>
          <t xml:space="preserve">TO’RAYEV SOBITXON FAZLIDDIN O’G’LI</t>
        </is>
      </c>
      <c r="F434" s="116" t="inlineStr">
        <is>
          <t xml:space="preserve">93-757-34-77  SMS OZI, 91-052-77-00  SMS UY BEGONA, 88-052-19-97  SMS AYOLI, 90-251-02-00   SMS AKASI BEGONA, 998887275550 SMS UZI NEW chunga tel qilinsin.,</t>
        </is>
      </c>
      <c r="G434" s="116" t="inlineStr">
        <is>
          <t xml:space="preserve">NAMANGAN VILOYATI NAMANGAN TUMAN G’ALCHA MFY KO’RKAM KO’CHA 42 UY</t>
        </is>
      </c>
      <c r="H434" s="117">
        <v>8.0</v>
      </c>
      <c r="I434" s="117">
        <v>1555390.56</v>
      </c>
      <c r="K434" s="116" t="inlineStr">
        <is>
          <t xml:space="preserve">Telefon ko'tarmadi | brorta nomer ishhlamayabdi</t>
        </is>
      </c>
    </row>
    <row r="435">
      <c r="A435" s="116" t="inlineStr">
        <is>
          <t xml:space="preserve">НАМАНГАН ВИЛОЯТИ</t>
        </is>
      </c>
      <c r="C435" s="116" t="inlineStr">
        <is>
          <t xml:space="preserve">Недозвон</t>
        </is>
      </c>
      <c r="D435" s="116" t="inlineStr">
        <is>
          <t xml:space="preserve">Кр-99036496-1</t>
        </is>
      </c>
      <c r="E435" s="116" t="inlineStr">
        <is>
          <t xml:space="preserve">KARIMOV MUZAFFAR MAXAMMADJON O’G’LI</t>
        </is>
      </c>
      <c r="F435" s="116" t="inlineStr">
        <is>
          <t xml:space="preserve">998886888608 SMS OZI, 998881671727 SMS ZALOGADATEL, 998336068608 SMS UKASI, 998919543767 SMS ZALOGADATEL,</t>
        </is>
      </c>
      <c r="G435" s="116" t="inlineStr">
        <is>
          <t xml:space="preserve">NAMANGAN VILOYATI TO’RAQO’RG’ON TUMANI SHARQ MFY HAQIQAT KO’CHASI 197-UY</t>
        </is>
      </c>
      <c r="H435" s="117">
        <v>12.0</v>
      </c>
      <c r="I435" s="117">
        <v>1510878.02</v>
      </c>
      <c r="K435" s="116" t="inlineStr">
        <is>
          <t xml:space="preserve">Telefon ko'tarmadi | brorta nomerini kotarmayabdi</t>
        </is>
      </c>
    </row>
    <row r="436">
      <c r="A436" s="116" t="inlineStr">
        <is>
          <t xml:space="preserve">НАМАНГАН ВИЛОЯТИ</t>
        </is>
      </c>
      <c r="C436" s="116" t="inlineStr">
        <is>
          <t xml:space="preserve">Недозвон</t>
        </is>
      </c>
      <c r="D436" s="116" t="inlineStr">
        <is>
          <t xml:space="preserve">Кр-99041807-1</t>
        </is>
      </c>
      <c r="E436" s="116" t="inlineStr">
        <is>
          <t xml:space="preserve">MEXMONOVA MADINAXON MUSOXONOVNA</t>
        </is>
      </c>
      <c r="F436" s="116" t="inlineStr">
        <is>
          <t xml:space="preserve">+998940377383 SMS O’ZI BEGONA, 998500700319 SMS O’G’LI, 998943584848 SMS TOG’ASI,</t>
        </is>
      </c>
      <c r="G436" s="116" t="inlineStr">
        <is>
          <t xml:space="preserve">СОХИБКОР МФЙ, ЯХШИ НИЯТ КЎЧАСИ 92 УЙ</t>
        </is>
      </c>
      <c r="H436" s="117">
        <v>8.0</v>
      </c>
      <c r="I436" s="117">
        <v>1471646.44</v>
      </c>
    </row>
    <row r="437">
      <c r="A437" s="116" t="inlineStr">
        <is>
          <t xml:space="preserve">НАМАНГАН ВИЛОЯТИ</t>
        </is>
      </c>
      <c r="C437" s="116" t="inlineStr">
        <is>
          <t xml:space="preserve">Недозвон</t>
        </is>
      </c>
      <c r="D437" s="116" t="inlineStr">
        <is>
          <t xml:space="preserve">Кр-99063204-1</t>
        </is>
      </c>
      <c r="E437" s="116" t="inlineStr">
        <is>
          <t xml:space="preserve">BAYXANOV OBIDXON GULOM O’G’LI</t>
        </is>
      </c>
      <c r="F437" s="116" t="inlineStr">
        <is>
          <t xml:space="preserve">998872133313 OZI, 998953000016 UY, 998951005225 AYOLI, 998935700636 SHOGIRDI,</t>
        </is>
      </c>
      <c r="G437" s="116" t="inlineStr">
        <is>
          <t xml:space="preserve">NAMANGAN SHAHAR OBOD MFY 1 PR ILG’OR KO’CHASI 8A UY</t>
        </is>
      </c>
      <c r="H437" s="117">
        <v>8.0</v>
      </c>
      <c r="I437" s="117">
        <v>1419443.21</v>
      </c>
    </row>
    <row r="438">
      <c r="A438" s="116" t="inlineStr">
        <is>
          <t xml:space="preserve">НАМАНГАН ВИЛОЯТИ</t>
        </is>
      </c>
      <c r="C438" s="116" t="inlineStr">
        <is>
          <t xml:space="preserve">Недозвон</t>
        </is>
      </c>
      <c r="D438" s="116" t="inlineStr">
        <is>
          <t xml:space="preserve">Кр-99037088-1</t>
        </is>
      </c>
      <c r="E438" s="116" t="inlineStr">
        <is>
          <t xml:space="preserve">XOLMATOV DJAMOL NASRITDINOVICH</t>
        </is>
      </c>
      <c r="F438" s="116" t="inlineStr">
        <is>
          <t xml:space="preserve">998936776331 SMS OZI, 998993082727 SMS OGLI SHUNGA QILISH KERAK, 998336804040 SMS OGLI, 998900699993 SMS OGLI,</t>
        </is>
      </c>
      <c r="G438" s="116" t="inlineStr">
        <is>
          <t xml:space="preserve">NAMANGAN VILOYATI NAMANGAN SHAHAR SUMALAK GUZARI MFY  ISMOIL MAXDUM KO’CHASI TUPIK 6 A UY</t>
        </is>
      </c>
      <c r="H438" s="117">
        <v>13.0</v>
      </c>
      <c r="I438" s="117">
        <v>1379821.25</v>
      </c>
      <c r="K438" s="116" t="inlineStr">
        <is>
          <t xml:space="preserve">Telefon ko'tarmadi | brorta nomer kotarmayabdi</t>
        </is>
      </c>
    </row>
    <row r="439">
      <c r="A439" s="116" t="inlineStr">
        <is>
          <t xml:space="preserve">НАМАНГАН ВИЛОЯТИ</t>
        </is>
      </c>
      <c r="C439" s="116" t="inlineStr">
        <is>
          <t xml:space="preserve">Недозвон</t>
        </is>
      </c>
      <c r="D439" s="116" t="inlineStr">
        <is>
          <t xml:space="preserve">Кр-99036121-3</t>
        </is>
      </c>
      <c r="E439" s="116" t="inlineStr">
        <is>
          <t xml:space="preserve">NURMATOVA SABOXAT SADIKOVNA</t>
        </is>
      </c>
      <c r="F439" s="116" t="inlineStr">
        <is>
          <t xml:space="preserve">998949090002 SMS O’ZI , 998333700000 SMS O’G’LI , 998945007000 SMS O’G’LI, 998500405566 SMS O’G’LI  BEGONA, 998947102552 SMS KELINI, 998913599253 SMS O'ZI ,</t>
        </is>
      </c>
      <c r="G439" s="116" t="inlineStr">
        <is>
          <t xml:space="preserve">NAMANGAN VILOYATI CHUST TUMANI BOFANDA MFY UYG’UN KO’CHA 15 UY</t>
        </is>
      </c>
      <c r="H439" s="117">
        <v>8.0</v>
      </c>
      <c r="I439" s="117">
        <v>1330479.58</v>
      </c>
      <c r="K439" s="116" t="inlineStr">
        <is>
          <t xml:space="preserve">Telefon ko'tarmadi | telefonlarini kotarmayabdi</t>
        </is>
      </c>
    </row>
    <row r="440">
      <c r="A440" s="116" t="inlineStr">
        <is>
          <t xml:space="preserve">НАМАНГАН ВИЛОЯТИ</t>
        </is>
      </c>
      <c r="C440" s="116" t="inlineStr">
        <is>
          <t xml:space="preserve">Недозвон</t>
        </is>
      </c>
      <c r="D440" s="116" t="inlineStr">
        <is>
          <t xml:space="preserve">Кр-99050372-2</t>
        </is>
      </c>
      <c r="E440" s="116" t="inlineStr">
        <is>
          <t xml:space="preserve">MAMANAZAROV NODIRBEK ISROIL O’G’LI</t>
        </is>
      </c>
      <c r="F440" s="116" t="inlineStr">
        <is>
          <t xml:space="preserve">+998932534343 SMS O’ZI, 998993790909 SMS O’ZI 2 begona, 998995410505 SMS AYOLI BEGONA,</t>
        </is>
      </c>
      <c r="G440" s="116" t="inlineStr">
        <is>
          <t xml:space="preserve">NAMANGAN VILOYATI NAMANGAN SHAHAR SHODLIK MFY TO’RAQO’RG’ON KO’CHASI 12 UY</t>
        </is>
      </c>
      <c r="H440" s="117">
        <v>8.0</v>
      </c>
      <c r="I440" s="117">
        <v>1329896.37</v>
      </c>
    </row>
    <row r="441">
      <c r="A441" s="116" t="inlineStr">
        <is>
          <t xml:space="preserve">НАМАНГАН ВИЛОЯТИ</t>
        </is>
      </c>
      <c r="C441" s="116" t="inlineStr">
        <is>
          <t xml:space="preserve">Недозвон</t>
        </is>
      </c>
      <c r="D441" s="116" t="inlineStr">
        <is>
          <t xml:space="preserve">Кр-99037722-2</t>
        </is>
      </c>
      <c r="E441" s="116" t="inlineStr">
        <is>
          <t xml:space="preserve">SIDDIQOV ELYORJON KOMILJONOVICH</t>
        </is>
      </c>
      <c r="F441" s="116" t="inlineStr">
        <is>
          <t xml:space="preserve">998934037711 SMS OZI, 998996909292 SMS AYOLI, 998979437777 SMS OZI begona, 998938891109 rais OLAMURUT MFY Muzaffar aka bezovta qilavermanglar ha deb , 998880576757 SMS OZI,</t>
        </is>
      </c>
      <c r="G441" s="116" t="inlineStr">
        <is>
          <t xml:space="preserve">NAMANGAN VILOYATI UYCHI TUMANI OLAMURUT MFY MUSTQAILLIK KO’CHASI 81 UY</t>
        </is>
      </c>
      <c r="H441" s="117">
        <v>8.0</v>
      </c>
      <c r="I441" s="117">
        <v>1264450.12</v>
      </c>
      <c r="K441" s="116" t="inlineStr">
        <is>
          <t xml:space="preserve">Telefon ko'tarmadi | kotarmayabdi</t>
        </is>
      </c>
    </row>
    <row r="442">
      <c r="A442" s="116" t="inlineStr">
        <is>
          <t xml:space="preserve">НАМАНГАН ВИЛОЯТИ</t>
        </is>
      </c>
      <c r="C442" s="116" t="inlineStr">
        <is>
          <t xml:space="preserve">Недозвон</t>
        </is>
      </c>
      <c r="D442" s="116" t="inlineStr">
        <is>
          <t xml:space="preserve">Кр-99054605-1</t>
        </is>
      </c>
      <c r="E442" s="116" t="inlineStr">
        <is>
          <t xml:space="preserve">YULDASHEV JAXONGIR RADJABBOYEVICH</t>
        </is>
      </c>
      <c r="F442" s="116" t="inlineStr">
        <is>
          <t xml:space="preserve">998947390088 SMS OZI, 998887390088 SMS AYOLI, 998939380258 SMS DADASI,</t>
        </is>
      </c>
      <c r="G442" s="116" t="inlineStr">
        <is>
          <t xml:space="preserve">ANDIJON VILOYATI NORIN TUMANI  DO’MAR MFY, JAYXUN  KO’CHASI 174-UY</t>
        </is>
      </c>
      <c r="H442" s="117">
        <v>8.0</v>
      </c>
      <c r="I442" s="117">
        <v>1262094.91</v>
      </c>
    </row>
    <row r="443">
      <c r="A443" s="116" t="inlineStr">
        <is>
          <t xml:space="preserve">НАМАНГАН ВИЛОЯТИ</t>
        </is>
      </c>
      <c r="C443" s="116" t="inlineStr">
        <is>
          <t xml:space="preserve">Недозвон</t>
        </is>
      </c>
      <c r="D443" s="116" t="inlineStr">
        <is>
          <t xml:space="preserve">Кр-99038844-1</t>
        </is>
      </c>
      <c r="E443" s="116" t="inlineStr">
        <is>
          <t xml:space="preserve">SAYDIKRAMOV XABIBULLA JO’RAYEVICH</t>
        </is>
      </c>
      <c r="F443" s="116" t="inlineStr">
        <is>
          <t xml:space="preserve">998934925822 SMS OZI, 998931601106 SMS ZALOGTEL, 998948741970 SMS AYOLI,</t>
        </is>
      </c>
      <c r="G443" s="116" t="inlineStr">
        <is>
          <t xml:space="preserve">NAMANGAN SHAHAR</t>
        </is>
      </c>
      <c r="H443" s="117">
        <v>1.0</v>
      </c>
      <c r="I443" s="117">
        <v>1230247.25</v>
      </c>
    </row>
    <row r="444">
      <c r="A444" s="116" t="inlineStr">
        <is>
          <t xml:space="preserve">НАМАНГАН ВИЛОЯТИ</t>
        </is>
      </c>
      <c r="C444" s="116" t="inlineStr">
        <is>
          <t xml:space="preserve">Недозвон</t>
        </is>
      </c>
      <c r="D444" s="116" t="inlineStr">
        <is>
          <t xml:space="preserve">Кр-99040468-2</t>
        </is>
      </c>
      <c r="E444" s="116" t="inlineStr">
        <is>
          <t xml:space="preserve">SOLIYEVA MALIKAXON ALIMJONOVNA</t>
        </is>
      </c>
      <c r="F444" s="116" t="inlineStr">
        <is>
          <t xml:space="preserve">998777290109 SMS OZI, 998950065809 SMS OZI 2, 998903003001 SARVAR AKA HAL QILADI, 998771490700 sms uzi new sarvarni opasi,</t>
        </is>
      </c>
      <c r="G444" s="116" t="inlineStr">
        <is>
          <t xml:space="preserve">NAMANGAN VILOYATI NORIN TUMANI BUSTON MFY UVAYSIY KO’CHASI 206 UY</t>
        </is>
      </c>
      <c r="I444" s="117">
        <v>1213995.99</v>
      </c>
    </row>
    <row r="445">
      <c r="A445" s="116" t="inlineStr">
        <is>
          <t xml:space="preserve">НАМАНГАН ВИЛОЯТИ</t>
        </is>
      </c>
      <c r="C445" s="116" t="inlineStr">
        <is>
          <t xml:space="preserve">Недозвон</t>
        </is>
      </c>
      <c r="D445" s="116" t="inlineStr">
        <is>
          <t xml:space="preserve">Кр-99063923-1</t>
        </is>
      </c>
      <c r="E445" s="116" t="inlineStr">
        <is>
          <t xml:space="preserve">XAMRAYEVA MOXIRA UBAYDULLAYEVNA</t>
        </is>
      </c>
      <c r="F445" s="116" t="inlineStr">
        <is>
          <t xml:space="preserve">+998931591818 SMS O’ZI, 998941029895 SMS O’G’LI, 998942669895 SMS O’G’LI,</t>
        </is>
      </c>
      <c r="G445" s="116" t="inlineStr">
        <is>
          <t xml:space="preserve">НАМАНГАН ВИЛОЯТИ ТЎРАҚЎРҒОН ТУМАНМИ ТОШКЕНТ МФЙ КОСОНСОЙ КЎЧАСИ 298 УЙ</t>
        </is>
      </c>
      <c r="H445" s="117">
        <v>8.0</v>
      </c>
      <c r="I445" s="117">
        <v>1210806.3</v>
      </c>
    </row>
    <row r="446">
      <c r="A446" s="116" t="inlineStr">
        <is>
          <t xml:space="preserve">НАМАНГАН ВИЛОЯТИ</t>
        </is>
      </c>
      <c r="C446" s="116" t="inlineStr">
        <is>
          <t xml:space="preserve">Недозвон</t>
        </is>
      </c>
      <c r="D446" s="116" t="inlineStr">
        <is>
          <t xml:space="preserve">Кр-99027648-6</t>
        </is>
      </c>
      <c r="E446" s="116" t="inlineStr">
        <is>
          <t xml:space="preserve">MAMADJONOV OYBEK TURABAYEVICH</t>
        </is>
      </c>
      <c r="F446" s="116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446" s="116" t="inlineStr">
        <is>
          <t xml:space="preserve">NAMANGAN VILOYATI NAMANGAN SHAHAR MINGCHINOR MFY ZAVQIY 92 UY</t>
        </is>
      </c>
      <c r="H446" s="117">
        <v>8.0</v>
      </c>
      <c r="I446" s="117">
        <v>1193132.96</v>
      </c>
      <c r="K446" s="116" t="inlineStr">
        <is>
          <t xml:space="preserve">Telefon ko'tarmadi | telefonini kotarmayabdi tolab qoyish kerak lekin mashennikda</t>
        </is>
      </c>
    </row>
    <row r="447">
      <c r="A447" s="116" t="inlineStr">
        <is>
          <t xml:space="preserve">НАМАНГАН ВИЛОЯТИ</t>
        </is>
      </c>
      <c r="C447" s="116" t="inlineStr">
        <is>
          <t xml:space="preserve">Недозвон</t>
        </is>
      </c>
      <c r="D447" s="116" t="inlineStr">
        <is>
          <t xml:space="preserve">Кр-99039409-1</t>
        </is>
      </c>
      <c r="E447" s="116" t="inlineStr">
        <is>
          <t xml:space="preserve">SIDDIQOVA BARCHINOY G’ANIJON QIZI</t>
        </is>
      </c>
      <c r="F447" s="116" t="inlineStr">
        <is>
          <t xml:space="preserve">998906985658 SMS ERI, 998507171089 SMS ZALOGADATEL (BEGONA),</t>
        </is>
      </c>
      <c r="G447" s="116" t="inlineStr">
        <is>
          <t xml:space="preserve">NAMANGAN VILOYATI YANGIQO’RG’ON TUMANI YANGIARIQ MFY YANGIARIQ KO’CHA 76 UY</t>
        </is>
      </c>
      <c r="H447" s="117">
        <v>8.0</v>
      </c>
      <c r="I447" s="117">
        <v>1127059.82</v>
      </c>
    </row>
    <row r="448">
      <c r="A448" s="116" t="inlineStr">
        <is>
          <t xml:space="preserve">НАМАНГАН ВИЛОЯТИ</t>
        </is>
      </c>
      <c r="C448" s="116" t="inlineStr">
        <is>
          <t xml:space="preserve">Недозвон</t>
        </is>
      </c>
      <c r="D448" s="116" t="inlineStr">
        <is>
          <t xml:space="preserve">Кр-99064067-1</t>
        </is>
      </c>
      <c r="E448" s="116" t="inlineStr">
        <is>
          <t xml:space="preserve">BOZOROV RO’ZIBEK ABDUMUXTOR O’G’LI</t>
        </is>
      </c>
      <c r="F448" s="116" t="inlineStr">
        <is>
          <t xml:space="preserve">+998906962699 SMS O’ZI, 998940326406 SMS AYOLI, 998946713699 SMS ONASI,</t>
        </is>
      </c>
      <c r="G448" s="116" t="inlineStr">
        <is>
          <t xml:space="preserve">НАМАНГАН ВИЛОЯТИ ПОП ТУМАНИ ЮҚОРИ ХОНОБОД МФЙ МУСТАҚИЛЛИК КЎЧАСИ 23 УЙ</t>
        </is>
      </c>
      <c r="H448" s="117">
        <v>8.0</v>
      </c>
      <c r="I448" s="117">
        <v>1100519.48</v>
      </c>
    </row>
    <row r="449">
      <c r="A449" s="116" t="inlineStr">
        <is>
          <t xml:space="preserve">НАМАНГАН ВИЛОЯТИ</t>
        </is>
      </c>
      <c r="C449" s="116" t="inlineStr">
        <is>
          <t xml:space="preserve">Недозвон</t>
        </is>
      </c>
      <c r="D449" s="116" t="inlineStr">
        <is>
          <t xml:space="preserve">Кр-99064125-1</t>
        </is>
      </c>
      <c r="E449" s="116" t="inlineStr">
        <is>
          <t xml:space="preserve">O’TANOV MUXIDDIN TURSUNOVICH</t>
        </is>
      </c>
      <c r="F449" s="116" t="inlineStr">
        <is>
          <t xml:space="preserve">+998882053232 SMS O’ZI, 998888267475 SMS JIYANI, 998942783839 SMS AYOLI,</t>
        </is>
      </c>
      <c r="G449" s="116" t="inlineStr">
        <is>
          <t xml:space="preserve">НАМАНГАН ВИЛОЯТИ НОРИН ТУМАНИ МАРҒИЗОР МФЙ НАВО КЎЧАСИ 14 УЙ</t>
        </is>
      </c>
      <c r="H449" s="117">
        <v>8.0</v>
      </c>
      <c r="I449" s="117">
        <v>1057064.66</v>
      </c>
      <c r="K449" s="116" t="inlineStr">
        <is>
          <t xml:space="preserve">1</t>
        </is>
      </c>
    </row>
    <row r="450">
      <c r="A450" s="116" t="inlineStr">
        <is>
          <t xml:space="preserve">НАМАНГАН ВИЛОЯТИ</t>
        </is>
      </c>
      <c r="C450" s="116" t="inlineStr">
        <is>
          <t xml:space="preserve">Недозвон</t>
        </is>
      </c>
      <c r="D450" s="116" t="inlineStr">
        <is>
          <t xml:space="preserve">Кр-99046371-1</t>
        </is>
      </c>
      <c r="E450" s="116" t="inlineStr">
        <is>
          <t xml:space="preserve">ABDUXALILOV ASADBEK OYBEK O’G’LI</t>
        </is>
      </c>
      <c r="F450" s="116" t="inlineStr">
        <is>
          <t xml:space="preserve">+998932675161 SMS OZI, 998942776656 SMS OTASI, 998943079979 SMS UKASI,</t>
        </is>
      </c>
      <c r="G450" s="116" t="inlineStr">
        <is>
          <t xml:space="preserve">NAMANGAN VILOYATI UYCHI TUMANI XURRIYAT MFY S.MAMADALIYEVA KO’CHASI 29-UY</t>
        </is>
      </c>
      <c r="H450" s="117">
        <v>8.0</v>
      </c>
      <c r="I450" s="117">
        <v>1044373.53</v>
      </c>
    </row>
    <row r="451">
      <c r="A451" s="116" t="inlineStr">
        <is>
          <t xml:space="preserve">НАМАНГАН ВИЛОЯТИ</t>
        </is>
      </c>
      <c r="C451" s="116" t="inlineStr">
        <is>
          <t xml:space="preserve">Недозвон</t>
        </is>
      </c>
      <c r="D451" s="116" t="inlineStr">
        <is>
          <t xml:space="preserve">Кр-99039352-1</t>
        </is>
      </c>
      <c r="E451" s="116" t="inlineStr">
        <is>
          <t xml:space="preserve">YUSUFJONOV MURODJON MA’RUFJON O’G’LI</t>
        </is>
      </c>
      <c r="F451" s="116" t="inlineStr">
        <is>
          <t xml:space="preserve">998932656616 SMS OZI, 998932656616 SMS OZI 2, 998913526616 SMS UYI, 998994732622 SMS OPASI,</t>
        </is>
      </c>
      <c r="G451" s="116" t="inlineStr">
        <is>
          <t xml:space="preserve">NAMANGAN SHAXAR ZARBDOR  MFY BESHKAPA KO’CHA 16 UY</t>
        </is>
      </c>
      <c r="H451" s="117">
        <v>8.0</v>
      </c>
      <c r="I451" s="117">
        <v>859452.76</v>
      </c>
    </row>
    <row r="452">
      <c r="A452" s="116" t="inlineStr">
        <is>
          <t xml:space="preserve">НАМАНГАН ВИЛОЯТИ</t>
        </is>
      </c>
      <c r="C452" s="116" t="inlineStr">
        <is>
          <t xml:space="preserve">Недозвон</t>
        </is>
      </c>
      <c r="D452" s="116" t="inlineStr">
        <is>
          <t xml:space="preserve">Кр-99062909-2</t>
        </is>
      </c>
      <c r="E452" s="116" t="inlineStr">
        <is>
          <t xml:space="preserve">AZIZOV ZAKRIYO MUXAMATOVICH</t>
        </is>
      </c>
      <c r="F452" s="116" t="inlineStr">
        <is>
          <t xml:space="preserve">+998999160100 SMS O’ZI, 998911836800 SMS UY,</t>
        </is>
      </c>
      <c r="G452" s="116" t="inlineStr">
        <is>
          <t xml:space="preserve">НАМАНГАН ВИЛОЯТИ ЯНГИ НАМАНГАН ТУМАНИ КЕЛАЖАК ТОНГИ МФЙ 5-КУЗГУ КЎЧАСИ 1-УЙ</t>
        </is>
      </c>
      <c r="H452" s="117">
        <v>8.0</v>
      </c>
      <c r="I452" s="117">
        <v>810957.86</v>
      </c>
    </row>
    <row r="453">
      <c r="A453" s="116" t="inlineStr">
        <is>
          <t xml:space="preserve">НАМАНГАН ВИЛОЯТИ</t>
        </is>
      </c>
      <c r="C453" s="116" t="inlineStr">
        <is>
          <t xml:space="preserve">Недозвон</t>
        </is>
      </c>
      <c r="D453" s="116" t="inlineStr">
        <is>
          <t xml:space="preserve">Кр-99039111-2</t>
        </is>
      </c>
      <c r="E453" s="116" t="inlineStr">
        <is>
          <t xml:space="preserve">ISMAILOV BAXTIYOR ERGASHEVICH</t>
        </is>
      </c>
      <c r="F453" s="116" t="inlineStr">
        <is>
          <t xml:space="preserve">998934581968 SMS OZI, 998508071970 SMS OZI 2, 998934975550 SMS OGLI, 998937939200 SMS KELINI,</t>
        </is>
      </c>
      <c r="G453" s="116" t="inlineStr">
        <is>
          <t xml:space="preserve">NAMANGAN VILOYATI UYCHI TUMAI SOKU MFY SAMARA KO’CHASI 32 UY</t>
        </is>
      </c>
      <c r="H453" s="117">
        <v>8.0</v>
      </c>
      <c r="I453" s="117">
        <v>779962.3</v>
      </c>
    </row>
    <row r="454">
      <c r="A454" s="116" t="inlineStr">
        <is>
          <t xml:space="preserve">НАМАНГАН ВИЛОЯТИ</t>
        </is>
      </c>
      <c r="C454" s="116" t="inlineStr">
        <is>
          <t xml:space="preserve">Недозвон</t>
        </is>
      </c>
      <c r="D454" s="116" t="inlineStr">
        <is>
          <t xml:space="preserve">Кр-99025085-3</t>
        </is>
      </c>
      <c r="E454" s="116" t="inlineStr">
        <is>
          <t xml:space="preserve">XABIROV ELYORBEK ABDIMURODOVICH</t>
        </is>
      </c>
      <c r="F454" s="116" t="inlineStr">
        <is>
          <t xml:space="preserve">94-575-09-87 SMS OZI TULOVCHISI, 93-090-90-21 SMS AYOLI, 99-307-31-67  SMS ONASI, 93-511-84-24 SMS AKASI BEGONA,</t>
        </is>
      </c>
      <c r="G454" s="116" t="inlineStr">
        <is>
          <t xml:space="preserve">NAMANGAN VILOYATI NORIN TUMANI MARG'IZOR QFY KO'KMAZOR MFY </t>
        </is>
      </c>
      <c r="H454" s="117">
        <v>8.0</v>
      </c>
      <c r="I454" s="117">
        <v>588143.42</v>
      </c>
      <c r="K454" s="116" t="inlineStr">
        <is>
          <t xml:space="preserve">Telefon ko'tarmadi | sog nomeri yoq kotarmayabdi onasidan kechib ketgan gnida odam bu</t>
        </is>
      </c>
    </row>
    <row r="455">
      <c r="A455" s="116" t="inlineStr">
        <is>
          <t xml:space="preserve">НАМАНГАН ВИЛОЯТИ</t>
        </is>
      </c>
      <c r="C455" s="116" t="inlineStr">
        <is>
          <t xml:space="preserve">Недозвон</t>
        </is>
      </c>
      <c r="D455" s="116" t="inlineStr">
        <is>
          <t xml:space="preserve">Кр-99038355-2</t>
        </is>
      </c>
      <c r="E455" s="116" t="inlineStr">
        <is>
          <t xml:space="preserve">QURBANOV RAXIMBERDI PARPIYEVICH</t>
        </is>
      </c>
      <c r="F455" s="116" t="inlineStr">
        <is>
          <t xml:space="preserve">998941371520 SMS OZI, 998505102412 SMS KELINI begona, 998946757303 SMS BEGONA BU BOLA QIMELA, 998882641114 SMS O’G’LI,</t>
        </is>
      </c>
      <c r="G455" s="116" t="inlineStr">
        <is>
          <t xml:space="preserve">NAMANGAN VILOYATI UYCHI TUMANI XURRIYAT MFY RAVNAQ KO’CHASI  64 UY</t>
        </is>
      </c>
      <c r="H455" s="117">
        <v>8.0</v>
      </c>
      <c r="I455" s="117">
        <v>506931.6</v>
      </c>
      <c r="K455" s="116" t="inlineStr">
        <is>
          <t xml:space="preserve">Telefon ko'tarmadi | telefonlarini kotarmayabdi</t>
        </is>
      </c>
    </row>
    <row r="456">
      <c r="A456" s="116" t="inlineStr">
        <is>
          <t xml:space="preserve">НАМАНГАН ВИЛОЯТИ</t>
        </is>
      </c>
      <c r="C456" s="116" t="inlineStr">
        <is>
          <t xml:space="preserve">Недозвон</t>
        </is>
      </c>
      <c r="D456" s="116" t="inlineStr">
        <is>
          <t xml:space="preserve">Кр-99049112-2</t>
        </is>
      </c>
      <c r="E456" s="116" t="inlineStr">
        <is>
          <t xml:space="preserve">NURMATOVA YULDUZXON SODIQJONOVNA</t>
        </is>
      </c>
      <c r="F456" s="116" t="inlineStr">
        <is>
          <t xml:space="preserve">+998930021479 SMS OZI, 998934981479 SMS AYOLI, 998994061479 SMS AKASI, 998944061479 SMS TO'LOVCHI,</t>
        </is>
      </c>
      <c r="G456" s="116" t="inlineStr">
        <is>
          <t xml:space="preserve">NAMANGAN VILOYATI UYCHI TUMANI OLMURUT MFY BOBUR KO’CHASI 15-UY</t>
        </is>
      </c>
      <c r="H456" s="117">
        <v>8.0</v>
      </c>
      <c r="I456" s="117">
        <v>363030.0</v>
      </c>
    </row>
    <row r="457">
      <c r="A457" s="116" t="inlineStr">
        <is>
          <t xml:space="preserve">НАМАНГАН ВИЛОЯТИ</t>
        </is>
      </c>
      <c r="C457" s="116" t="inlineStr">
        <is>
          <t xml:space="preserve">Недозвон</t>
        </is>
      </c>
      <c r="D457" s="116" t="inlineStr">
        <is>
          <t xml:space="preserve">Кр-99059412-1</t>
        </is>
      </c>
      <c r="E457" s="116" t="inlineStr">
        <is>
          <t xml:space="preserve">NIZAMBAYEVA NODIRAXON BAXROMJON QIZI</t>
        </is>
      </c>
      <c r="F457" s="116" t="inlineStr">
        <is>
          <t xml:space="preserve">998508992843 SMS OZI, 998912948484 SMS ERI, 998902140092 SMS ONASI,</t>
        </is>
      </c>
      <c r="G457" s="116" t="inlineStr">
        <is>
          <t xml:space="preserve">NAMANGAN VILOYATI NAMANGAN SHAXAR DAMBOG’ MFY G’ALCHA KO’CHA 27 UY</t>
        </is>
      </c>
      <c r="H457" s="117">
        <v>8.0</v>
      </c>
      <c r="I457" s="117">
        <v>338205.94</v>
      </c>
    </row>
    <row r="458">
      <c r="A458" s="116" t="inlineStr">
        <is>
          <t xml:space="preserve">НАМАНГАН ВИЛОЯТИ</t>
        </is>
      </c>
      <c r="C458" s="116" t="inlineStr">
        <is>
          <t xml:space="preserve">Недозвон</t>
        </is>
      </c>
      <c r="D458" s="116" t="inlineStr">
        <is>
          <t xml:space="preserve">Кр-99026240-1</t>
        </is>
      </c>
      <c r="E458" s="116" t="inlineStr">
        <is>
          <t xml:space="preserve">ABDULLAYEV TEMUR QAXRAMON O’G’LI</t>
        </is>
      </c>
      <c r="F458" s="116" t="inlineStr">
        <is>
          <t xml:space="preserve">998944130776 NAFISA OPA , 998937723334 SMS O'ZI NEW, 93-259-67-75 SMS UKA, 94-011-90-05 SMS ONASI (бегона), 998931760237 TEMUR UZI, 998934050237 SMS OZI SHUNGA QILILAR ,</t>
        </is>
      </c>
      <c r="G458" s="116" t="inlineStr">
        <is>
          <t xml:space="preserve">NAMANGAN VILOYATI UCHQO’RG’ON TUMANI QURAMA MFY G’ALABA KO’CHASI 27 UY</t>
        </is>
      </c>
      <c r="H458" s="117">
        <v>4.0</v>
      </c>
      <c r="I458" s="117">
        <v>250156.38</v>
      </c>
      <c r="K458" s="116" t="inlineStr">
        <is>
          <t xml:space="preserve">Telefon ko'tarmadi | id dan tolab beraman deb vada bergan edi</t>
        </is>
      </c>
    </row>
    <row r="459">
      <c r="A459" s="116" t="inlineStr">
        <is>
          <t xml:space="preserve">НАМАНГАН ВИЛОЯТИ</t>
        </is>
      </c>
      <c r="C459" s="116" t="inlineStr">
        <is>
          <t xml:space="preserve">Недозвон</t>
        </is>
      </c>
      <c r="D459" s="116" t="inlineStr">
        <is>
          <t xml:space="preserve">Кр-99030304-1</t>
        </is>
      </c>
      <c r="E459" s="116" t="inlineStr">
        <is>
          <t xml:space="preserve">TOSHBOLTIYEV JASURBEK XOLMAMATOVICH</t>
        </is>
      </c>
      <c r="F459" s="116" t="inlineStr">
        <is>
          <t xml:space="preserve">99-516-37-47  SMS O’ZI, 99-147-05-86  SMS AYOLI, 94-309-20-05  SMS BEGONA, 998941883747 SMS O’ZI,</t>
        </is>
      </c>
      <c r="G459" s="116" t="inlineStr">
        <is>
          <t xml:space="preserve">NAMANGAN VILOYATI YANGIQO’RG’ON TUMANI NAVKENT MFY TUTZOR KO’CHASI 45 UY</t>
        </is>
      </c>
      <c r="I459" s="117">
        <v>207959.32</v>
      </c>
      <c r="K459" s="116" t="inlineStr">
        <is>
          <t xml:space="preserve">Telefon ko'tarmadi | sog nomer yoq watsap ham yoq</t>
        </is>
      </c>
    </row>
    <row r="460">
      <c r="A460" s="98" t="inlineStr">
        <is>
          <t xml:space="preserve">САМАРКАНД ВИЛОЯТИ</t>
        </is>
      </c>
      <c r="C460" s="98" t="inlineStr">
        <is>
          <t xml:space="preserve">Недозвон</t>
        </is>
      </c>
      <c r="D460" s="98" t="inlineStr">
        <is>
          <t xml:space="preserve">Кр-99035549-1</t>
        </is>
      </c>
      <c r="E460" s="98" t="inlineStr">
        <is>
          <t xml:space="preserve">EBODULLAYEVA DURDONA SHAHRIDINOVNA</t>
        </is>
      </c>
      <c r="F460" s="98" t="inlineStr">
        <is>
          <t xml:space="preserve">998770287773 SMS OZI, 998936166662 SMS AYOLI, 998947566565 SMStulovchi , 998940037948 SMS ERI,</t>
        </is>
      </c>
      <c r="G460" s="98" t="inlineStr">
        <is>
          <t xml:space="preserve">SAMARQAND VILOYATI SAMARQAND SHAHAR QQORASUV-2 MASSIVI BAHODIR YALANGTUSH MFY 168 UY 32-XONADON</t>
        </is>
      </c>
      <c r="H460" s="99">
        <v>145.0</v>
      </c>
      <c r="I460" s="99">
        <v>40957087.9</v>
      </c>
    </row>
    <row r="461">
      <c r="A461" s="98" t="inlineStr">
        <is>
          <t xml:space="preserve">САМАРКАНД ВИЛОЯТИ</t>
        </is>
      </c>
      <c r="C461" s="98" t="inlineStr">
        <is>
          <t xml:space="preserve">Недозвон</t>
        </is>
      </c>
      <c r="D461" s="98" t="inlineStr">
        <is>
          <t xml:space="preserve">Кр-99061834-2</t>
        </is>
      </c>
      <c r="E461" s="98" t="inlineStr">
        <is>
          <t xml:space="preserve">ERGASHEVA FERUZA NASRULLAYEVNA</t>
        </is>
      </c>
      <c r="F461" s="98" t="inlineStr">
        <is>
          <t xml:space="preserve">+998932335550 SMS OZI, 998915495026 SMS QIZI, 998915501666 SMS OZI 2,</t>
        </is>
      </c>
      <c r="G461" s="98" t="inlineStr">
        <is>
          <t xml:space="preserve">SAMARQAND VILOYATI SAMARQAND SHAHAR BOG’BONLAR MFY NAKSHBANDIY 2-TOR KO’CHASI 22-UY</t>
        </is>
      </c>
      <c r="H461" s="99">
        <v>8.0</v>
      </c>
      <c r="I461" s="99">
        <v>18904618.57</v>
      </c>
    </row>
    <row r="462">
      <c r="A462" s="98" t="inlineStr">
        <is>
          <t xml:space="preserve">САМАРКАНД ВИЛОЯТИ</t>
        </is>
      </c>
      <c r="C462" s="98" t="inlineStr">
        <is>
          <t xml:space="preserve">Недозвон</t>
        </is>
      </c>
      <c r="D462" s="98" t="inlineStr">
        <is>
          <t xml:space="preserve">Кр-99045220-1</t>
        </is>
      </c>
      <c r="E462" s="98" t="inlineStr">
        <is>
          <t xml:space="preserve">ABDIYEV FAXRIDDIN ASKAROVICH</t>
        </is>
      </c>
      <c r="F462" s="98" t="inlineStr">
        <is>
          <t xml:space="preserve">+998935157020 SMS OZI 2, 998937772322 SMS AYOLI, 998940994040 SMS OZI, 998953307020 SMS UYI,</t>
        </is>
      </c>
      <c r="G462" s="98" t="inlineStr">
        <is>
          <t xml:space="preserve">SAMARQAND VILOYATI PAYARIQ TUMANI ILG’OR MFY QOZI QISHLOG’I</t>
        </is>
      </c>
      <c r="H462" s="99">
        <v>71.0</v>
      </c>
      <c r="I462" s="99">
        <v>18737292.02</v>
      </c>
    </row>
    <row r="463">
      <c r="A463" s="98" t="inlineStr">
        <is>
          <t xml:space="preserve">САМАРКАНД ВИЛОЯТИ</t>
        </is>
      </c>
      <c r="C463" s="98" t="inlineStr">
        <is>
          <t xml:space="preserve">Недозвон</t>
        </is>
      </c>
      <c r="D463" s="98" t="inlineStr">
        <is>
          <t xml:space="preserve">Кр-99006415-2</t>
        </is>
      </c>
      <c r="E463" s="98" t="inlineStr">
        <is>
          <t xml:space="preserve">BOLIYEV ORIP XATAMOVICH</t>
        </is>
      </c>
      <c r="F463" s="98" t="inlineStr">
        <is>
          <t xml:space="preserve">99-202-58-88 SMS UKASI, sindor jovob SMS QIZI , 998938136568 SMS TULOVCHI, 998974055213 SMS OZI, 998991475888 SMS UKASI,</t>
        </is>
      </c>
      <c r="G463" s="98" t="inlineStr">
        <is>
          <t xml:space="preserve">SAMARQAND VILOYATI PASTDARG’OM TUMANI QUSHQUDUQ MFY ISTIQLOL KO’CHASI 76-UY</t>
        </is>
      </c>
      <c r="H463" s="99">
        <v>8.0</v>
      </c>
      <c r="I463" s="99">
        <v>18648150.12</v>
      </c>
    </row>
    <row r="464">
      <c r="A464" s="98" t="inlineStr">
        <is>
          <t xml:space="preserve">САМАРКАНД ВИЛОЯТИ</t>
        </is>
      </c>
      <c r="C464" s="98" t="inlineStr">
        <is>
          <t xml:space="preserve">Недозвон</t>
        </is>
      </c>
      <c r="D464" s="98" t="inlineStr">
        <is>
          <t xml:space="preserve">Кр-99034543-2</t>
        </is>
      </c>
      <c r="E464" s="98" t="inlineStr">
        <is>
          <t xml:space="preserve">KULIYEV XURSHID ISMAILOVICH</t>
        </is>
      </c>
      <c r="F464" s="98" t="inlineStr">
        <is>
          <t xml:space="preserve">998912975577 SMS O’ZI, 998913140077 SMS ERI, 998915494303 SMS , +998913140077 SMS OZI,</t>
        </is>
      </c>
      <c r="G464" s="98" t="inlineStr">
        <is>
          <t xml:space="preserve">SAMARQAND VILOYATI PASTDARG’OM TUMANI TURON MFY</t>
        </is>
      </c>
      <c r="H464" s="99">
        <v>8.0</v>
      </c>
      <c r="I464" s="99">
        <v>16580327.72</v>
      </c>
    </row>
    <row r="465">
      <c r="A465" s="98" t="inlineStr">
        <is>
          <t xml:space="preserve">САМАРКАНД ВИЛОЯТИ</t>
        </is>
      </c>
      <c r="C465" s="98" t="inlineStr">
        <is>
          <t xml:space="preserve">Недозвон</t>
        </is>
      </c>
      <c r="D465" s="98" t="inlineStr">
        <is>
          <t xml:space="preserve">Кр-99035656-3</t>
        </is>
      </c>
      <c r="E465" s="98" t="inlineStr">
        <is>
          <t xml:space="preserve">BO’LTAKOV SHUXRAT ACHILBAYEVICH</t>
        </is>
      </c>
      <c r="F465" s="98" t="inlineStr">
        <is>
          <t xml:space="preserve">998953970709 SMS OZI, 998902821188 SMS AKASI, 998533320702 SMS OZI, 998947670902 SMS UYI, 998953109692 УЗИ ШУНГА КЛИЛАР ,</t>
        </is>
      </c>
      <c r="G465" s="98" t="inlineStr">
        <is>
          <t xml:space="preserve">SAMARQAND VILOYATI JOMBOY TUMANI SHIRINKENT MFY ELATON QISHLOG'I 1-TOR KUCHA 1-UY JOMBOY TUMANI</t>
        </is>
      </c>
      <c r="H465" s="99">
        <v>11.0</v>
      </c>
      <c r="I465" s="99">
        <v>15356432.32</v>
      </c>
    </row>
    <row r="466">
      <c r="A466" s="98" t="inlineStr">
        <is>
          <t xml:space="preserve">САМАРКАНД ВИЛОЯТИ</t>
        </is>
      </c>
      <c r="C466" s="98" t="inlineStr">
        <is>
          <t xml:space="preserve">Недозвон</t>
        </is>
      </c>
      <c r="D466" s="98" t="inlineStr">
        <is>
          <t xml:space="preserve">Кр-99034542-1</t>
        </is>
      </c>
      <c r="E466" s="98" t="inlineStr">
        <is>
          <t xml:space="preserve">XUDAYNAZAROVA NASIBA ORTIKOVNA</t>
        </is>
      </c>
      <c r="F466" s="98" t="inlineStr">
        <is>
          <t xml:space="preserve">+998700155655 sms ozi, 998912975577 SMS OGLI, 998913140077 sms eri, 998915494303 SMS ERI 2,</t>
        </is>
      </c>
      <c r="G466" s="98" t="inlineStr">
        <is>
          <t xml:space="preserve">SAMARQAND SHAHRI BOGICHINOR MFY 81 UY 37 -XONADON</t>
        </is>
      </c>
      <c r="H466" s="99">
        <v>8.0</v>
      </c>
      <c r="I466" s="99">
        <v>14019625.89</v>
      </c>
    </row>
    <row r="467">
      <c r="A467" s="98" t="inlineStr">
        <is>
          <t xml:space="preserve">САМАРКАНД ВИЛОЯТИ</t>
        </is>
      </c>
      <c r="C467" s="98" t="inlineStr">
        <is>
          <t xml:space="preserve">Недозвон</t>
        </is>
      </c>
      <c r="D467" s="98" t="inlineStr">
        <is>
          <t xml:space="preserve">Кр-99060450-1</t>
        </is>
      </c>
      <c r="E467" s="98" t="inlineStr">
        <is>
          <t xml:space="preserve">ISMATOVA DILFUZA SHARAFOVNA</t>
        </is>
      </c>
      <c r="F467" s="98" t="inlineStr">
        <is>
          <t xml:space="preserve">+998773441611 SMS OZI, 998951261611 SMS UYI, 998951390408 SMS OZI 2,</t>
        </is>
      </c>
      <c r="G467" s="98" t="inlineStr">
        <is>
          <t xml:space="preserve">SAMARQAND VILOYATI ISHTIXON TUMANI JURA MAXMUDOV MFY PAXTOKOR KUCHASI 243-UY</t>
        </is>
      </c>
      <c r="H467" s="99">
        <v>71.0</v>
      </c>
      <c r="I467" s="99">
        <v>11219813.24</v>
      </c>
    </row>
    <row r="468">
      <c r="A468" s="98" t="inlineStr">
        <is>
          <t xml:space="preserve">САМАРКАНД ВИЛОЯТИ</t>
        </is>
      </c>
      <c r="C468" s="98" t="inlineStr">
        <is>
          <t xml:space="preserve">Недозвон</t>
        </is>
      </c>
      <c r="D468" s="98" t="inlineStr">
        <is>
          <t xml:space="preserve">Кр-99057463-1</t>
        </is>
      </c>
      <c r="E468" s="98" t="inlineStr">
        <is>
          <t xml:space="preserve">XOLMIRZAYEV ABDUMALIK MAVLONOVICH</t>
        </is>
      </c>
      <c r="F468" s="98" t="inlineStr">
        <is>
          <t xml:space="preserve">998950680384 SMS OZI, 998905993365 SMS OZI 2, 998923961302 SMS OZ UKASI, 998883586446 SMS OZ AYOLI,</t>
        </is>
      </c>
      <c r="G468" s="98" t="inlineStr">
        <is>
          <t xml:space="preserve">SAMARQAND VILOYATI URGUT TUMANI MANGITOBOD MFY MANGITOBOD KO'CHASI 1041-UY</t>
        </is>
      </c>
      <c r="H468" s="99">
        <v>11.0</v>
      </c>
      <c r="I468" s="99">
        <v>9560495.45</v>
      </c>
    </row>
    <row r="469">
      <c r="A469" s="98" t="inlineStr">
        <is>
          <t xml:space="preserve">САМАРКАНД ВИЛОЯТИ</t>
        </is>
      </c>
      <c r="C469" s="98" t="inlineStr">
        <is>
          <t xml:space="preserve">Недозвон</t>
        </is>
      </c>
      <c r="D469" s="98" t="inlineStr">
        <is>
          <t xml:space="preserve">Кр-99045550-1</t>
        </is>
      </c>
      <c r="E469" s="98" t="inlineStr">
        <is>
          <t xml:space="preserve">YO’LYAXSHIYEV MOHIR MANSUR O’G’LI</t>
        </is>
      </c>
      <c r="F469" s="98" t="inlineStr">
        <is>
          <t xml:space="preserve">+998952306777 SMS OZI, 998507068065 SMS AYASI, 998507757594 SMS AYOLI, 998940947545 SMS UKASI,</t>
        </is>
      </c>
      <c r="G469" s="98" t="inlineStr">
        <is>
          <t xml:space="preserve">SAMARQAND VILOYATI URGUT TUMANI YUQORI TEGANA MFY X.BAYQORO KUCHASI 24-UY</t>
        </is>
      </c>
      <c r="H469" s="99">
        <v>41.0</v>
      </c>
      <c r="I469" s="99">
        <v>9361960.98</v>
      </c>
    </row>
    <row r="470">
      <c r="A470" s="98" t="inlineStr">
        <is>
          <t xml:space="preserve">САМАРКАНД ВИЛОЯТИ</t>
        </is>
      </c>
      <c r="C470" s="98" t="inlineStr">
        <is>
          <t xml:space="preserve">Недозвон</t>
        </is>
      </c>
      <c r="D470" s="98" t="inlineStr">
        <is>
          <t xml:space="preserve">Кр-99049145-1</t>
        </is>
      </c>
      <c r="E470" s="98" t="inlineStr">
        <is>
          <t xml:space="preserve">NURIMOVA SHAXLO IBADULLAYEVNA</t>
        </is>
      </c>
      <c r="F470" s="98" t="inlineStr">
        <is>
          <t xml:space="preserve">+998953109692 SMS OZI, 998955792070 SMS UYI, 998972858189 SMS ERI,</t>
        </is>
      </c>
      <c r="G470" s="98" t="inlineStr">
        <is>
          <t xml:space="preserve">SAMARQAND VILOYATI PASTDARG’OM TUMANI QATORTERAK MFY QATORTERAK QISHLOG’I 64-UY</t>
        </is>
      </c>
      <c r="H470" s="99">
        <v>8.0</v>
      </c>
      <c r="I470" s="99">
        <v>9344657.63</v>
      </c>
    </row>
    <row r="471">
      <c r="A471" s="98" t="inlineStr">
        <is>
          <t xml:space="preserve">САМАРКАНД ВИЛОЯТИ</t>
        </is>
      </c>
      <c r="C471" s="98" t="inlineStr">
        <is>
          <t xml:space="preserve">Недозвон</t>
        </is>
      </c>
      <c r="D471" s="98" t="inlineStr">
        <is>
          <t xml:space="preserve">Кр-99062806-1</t>
        </is>
      </c>
      <c r="E471" s="98" t="inlineStr">
        <is>
          <t xml:space="preserve">SALIMOVA DILAFRUZ DJAMILEVNA</t>
        </is>
      </c>
      <c r="F471" s="98" t="inlineStr">
        <is>
          <t xml:space="preserve">+998904494478 SMS OZI, 998910305162 SMS ERI, 998915468649 SMS O’G’LI,</t>
        </is>
      </c>
      <c r="G471" s="98" t="inlineStr">
        <is>
          <t xml:space="preserve">SAMARQAND VILOYATI KATTAQO’RG’ON TUMANI A.TEMUR MFY A.TEMUR KUCHASI 25-DOM 6-KORPUS 41-KVARTERA</t>
        </is>
      </c>
      <c r="H471" s="99">
        <v>8.0</v>
      </c>
      <c r="I471" s="99">
        <v>6907788.03</v>
      </c>
      <c r="K471" s="98" t="inlineStr">
        <is>
          <t xml:space="preserve">Telefon ko'tarmadi</t>
        </is>
      </c>
    </row>
    <row r="472">
      <c r="A472" s="98" t="inlineStr">
        <is>
          <t xml:space="preserve">САМАРКАНД ВИЛОЯТИ</t>
        </is>
      </c>
      <c r="C472" s="98" t="inlineStr">
        <is>
          <t xml:space="preserve">Недозвон</t>
        </is>
      </c>
      <c r="D472" s="98" t="inlineStr">
        <is>
          <t xml:space="preserve">Кр-99061068-1</t>
        </is>
      </c>
      <c r="E472" s="98" t="inlineStr">
        <is>
          <t xml:space="preserve">ISHANKULOVA NAVBAXOR NEMADJONOVNA</t>
        </is>
      </c>
      <c r="F472" s="98" t="inlineStr">
        <is>
          <t xml:space="preserve">998771961020 SMS UYI, 998773822977 SMS OZI, 998777308477 SMS OZI 2, 998996209658 SMS O’G’LI,</t>
        </is>
      </c>
      <c r="G472" s="98" t="inlineStr">
        <is>
          <t xml:space="preserve">SAMARQAND VILOYATI BULUNG’UR TUMANI SAMARQAND MFY UVAYSIY KUCHASI 168/1 UY</t>
        </is>
      </c>
      <c r="H472" s="99">
        <v>41.0</v>
      </c>
      <c r="I472" s="99">
        <v>6620380.93</v>
      </c>
    </row>
    <row r="473">
      <c r="A473" s="98" t="inlineStr">
        <is>
          <t xml:space="preserve">САМАРКАНД ВИЛОЯТИ</t>
        </is>
      </c>
      <c r="C473" s="98" t="inlineStr">
        <is>
          <t xml:space="preserve">Недозвон</t>
        </is>
      </c>
      <c r="D473" s="98" t="inlineStr">
        <is>
          <t xml:space="preserve">Кр-99052964-2</t>
        </is>
      </c>
      <c r="E473" s="98" t="inlineStr">
        <is>
          <t xml:space="preserve">SHAVKATOV LAZIZJON ALISHER O’G’LI</t>
        </is>
      </c>
      <c r="F473" s="98" t="inlineStr">
        <is>
          <t xml:space="preserve">998901927774 SMS OZI, 998505891177 SMS ONASI, 998904501774 SMS OPASI, 998973959393 SMS AKASI,</t>
        </is>
      </c>
      <c r="G473" s="98" t="inlineStr">
        <is>
          <t xml:space="preserve">SAMARQAND VILOYATI SAMARQAND SHAHRI AL FAROVIY MFY IBIN XOLDUN 10 ’B’ DOM 89-KVARTERA</t>
        </is>
      </c>
      <c r="H473" s="99">
        <v>11.0</v>
      </c>
      <c r="I473" s="99">
        <v>6407712.53</v>
      </c>
    </row>
    <row r="474">
      <c r="A474" s="98" t="inlineStr">
        <is>
          <t xml:space="preserve">САМАРКАНД ВИЛОЯТИ</t>
        </is>
      </c>
      <c r="C474" s="98" t="inlineStr">
        <is>
          <t xml:space="preserve">Недозвон</t>
        </is>
      </c>
      <c r="D474" s="98" t="inlineStr">
        <is>
          <t xml:space="preserve">Кр-99052895-2</t>
        </is>
      </c>
      <c r="E474" s="98" t="inlineStr">
        <is>
          <t xml:space="preserve">NIYAZOV BOBUR BAXODIROVICH</t>
        </is>
      </c>
      <c r="F474" s="98" t="inlineStr">
        <is>
          <t xml:space="preserve">998507006600 SMS UKASI, 998950010000 SMS O'ZI, 998904505050 SMS O'ZI 2, 998712050607 ISHXONASI,</t>
        </is>
      </c>
      <c r="G474" s="98" t="inlineStr">
        <is>
          <t xml:space="preserve">IIV18807</t>
        </is>
      </c>
      <c r="H474" s="99">
        <v>8.0</v>
      </c>
      <c r="I474" s="99">
        <v>6353599.2</v>
      </c>
    </row>
    <row r="475">
      <c r="A475" s="98" t="inlineStr">
        <is>
          <t xml:space="preserve">САМАРКАНД ВИЛОЯТИ</t>
        </is>
      </c>
      <c r="C475" s="98" t="inlineStr">
        <is>
          <t xml:space="preserve">Недозвон</t>
        </is>
      </c>
      <c r="D475" s="98" t="inlineStr">
        <is>
          <t xml:space="preserve">Кр-99058301-1</t>
        </is>
      </c>
      <c r="E475" s="98" t="inlineStr">
        <is>
          <t xml:space="preserve">FAYZIYEVA RAFIKA URAKOVNA</t>
        </is>
      </c>
      <c r="F475" s="98" t="inlineStr">
        <is>
          <t xml:space="preserve">998979194772 SMS OZI, 998977374772 SMS ERI, 998505504143 SMS OGLI,</t>
        </is>
      </c>
      <c r="G475" s="98" t="inlineStr">
        <is>
          <t xml:space="preserve">SAMARQAND VILOYATI SAMARQAND SHAHAR SAYXUN MFY FARG'ONA KUCHASI 159-UY</t>
        </is>
      </c>
      <c r="H475" s="99">
        <v>8.0</v>
      </c>
      <c r="I475" s="99">
        <v>6352863.29</v>
      </c>
    </row>
    <row r="476">
      <c r="A476" s="98" t="inlineStr">
        <is>
          <t xml:space="preserve">САМАРКАНД ВИЛОЯТИ</t>
        </is>
      </c>
      <c r="C476" s="98" t="inlineStr">
        <is>
          <t xml:space="preserve">Недозвон</t>
        </is>
      </c>
      <c r="D476" s="98" t="inlineStr">
        <is>
          <t xml:space="preserve">Кр-99052895-1</t>
        </is>
      </c>
      <c r="E476" s="98" t="inlineStr">
        <is>
          <t xml:space="preserve">NIYAZOV BOBUR BAXODIROVICH</t>
        </is>
      </c>
      <c r="F476" s="98" t="inlineStr">
        <is>
          <t xml:space="preserve">998507006600 SMS UKASI, 998950010000 SMS O'ZI, 998904505050 SMS O'ZI 2, 998712050607 ISHXONASI,</t>
        </is>
      </c>
      <c r="G476" s="98" t="inlineStr">
        <is>
          <t xml:space="preserve">IIV18807</t>
        </is>
      </c>
      <c r="H476" s="99">
        <v>8.0</v>
      </c>
      <c r="I476" s="99">
        <v>6343984.79</v>
      </c>
    </row>
    <row r="477">
      <c r="A477" s="98" t="inlineStr">
        <is>
          <t xml:space="preserve">САМАРКАНД ВИЛОЯТИ</t>
        </is>
      </c>
      <c r="C477" s="98" t="inlineStr">
        <is>
          <t xml:space="preserve">Недозвон</t>
        </is>
      </c>
      <c r="D477" s="98" t="inlineStr">
        <is>
          <t xml:space="preserve">Кр-99033489-2</t>
        </is>
      </c>
      <c r="E477" s="98" t="inlineStr">
        <is>
          <t xml:space="preserve">JAMOLOV JAVLONBEK XUDOYBERDI O’G’LI</t>
        </is>
      </c>
      <c r="F477" s="98" t="inlineStr">
        <is>
          <t xml:space="preserve">998997428988 SMS O’ZI, 998935066993 SMS AYOLI, 998915587576 SMS AYASI, 998933525402 SMS UYI,</t>
        </is>
      </c>
      <c r="G477" s="98" t="inlineStr">
        <is>
          <t xml:space="preserve">SAMARQAND VILOYATI SAMARQAND SHAHRI AHMAD YASSAVIY MFY X.ABDULLAYEV KUCHASI 63 DOM 9-XONODON </t>
        </is>
      </c>
      <c r="H477" s="99">
        <v>4.0</v>
      </c>
      <c r="I477" s="99">
        <v>6321617.0</v>
      </c>
    </row>
    <row r="478">
      <c r="A478" s="98" t="inlineStr">
        <is>
          <t xml:space="preserve">САМАРКАНД ВИЛОЯТИ</t>
        </is>
      </c>
      <c r="C478" s="98" t="inlineStr">
        <is>
          <t xml:space="preserve">Недозвон</t>
        </is>
      </c>
      <c r="D478" s="98" t="inlineStr">
        <is>
          <t xml:space="preserve">Кр-99056900-1</t>
        </is>
      </c>
      <c r="E478" s="98" t="inlineStr">
        <is>
          <t xml:space="preserve">KO’BAYEV BOTIRBEK SHIRINBOYEVICH</t>
        </is>
      </c>
      <c r="F478" s="98" t="inlineStr">
        <is>
          <t xml:space="preserve">998930796111 SMS UZI, 998932202400 SMS O'G'LI, 998953216166 SMS KATTA UGLI, 998940686465 SMS AYOLI,</t>
        </is>
      </c>
      <c r="G478" s="98" t="inlineStr">
        <is>
          <t xml:space="preserve">SAMARQAND VILOYATI QO'SHRABOD TUMANI BULOQBOSHI MFY BULOQBOSHI QISHLOG'I 274-UY</t>
        </is>
      </c>
      <c r="H478" s="99">
        <v>8.0</v>
      </c>
      <c r="I478" s="99">
        <v>6320714.21</v>
      </c>
    </row>
    <row r="479">
      <c r="A479" s="98" t="inlineStr">
        <is>
          <t xml:space="preserve">САМАРКАНД ВИЛОЯТИ</t>
        </is>
      </c>
      <c r="C479" s="98" t="inlineStr">
        <is>
          <t xml:space="preserve">Недозвон</t>
        </is>
      </c>
      <c r="D479" s="98" t="inlineStr">
        <is>
          <t xml:space="preserve">Кр-99005214-4</t>
        </is>
      </c>
      <c r="E479" s="98" t="inlineStr">
        <is>
          <t xml:space="preserve">KARIMOV JAMSHID BAXROM-O’G’LI</t>
        </is>
      </c>
      <c r="F479" s="98" t="inlineStr">
        <is>
          <t xml:space="preserve">99-839-30-90 SMS UZI, 99-057-89-82 SMS mama, 90-808-05-53 SMS jena, 97-724-50-50 SMS TOLOVCHI HUMOYUN ,</t>
        </is>
      </c>
      <c r="G479" s="98" t="inlineStr">
        <is>
          <t xml:space="preserve">SAMARQAND VILOYATI KATTAQO’RG’ON SHAHAR O’ZBEKISTON KO’CHASI 174 UY</t>
        </is>
      </c>
      <c r="H479" s="99">
        <v>8.0</v>
      </c>
      <c r="I479" s="99">
        <v>6155117.18</v>
      </c>
    </row>
    <row r="480">
      <c r="A480" s="98" t="inlineStr">
        <is>
          <t xml:space="preserve">САМАРКАНД ВИЛОЯТИ</t>
        </is>
      </c>
      <c r="C480" s="98" t="inlineStr">
        <is>
          <t xml:space="preserve">Недозвон</t>
        </is>
      </c>
      <c r="D480" s="98" t="inlineStr">
        <is>
          <t xml:space="preserve">Кр-99041062-1</t>
        </is>
      </c>
      <c r="E480" s="98" t="inlineStr">
        <is>
          <t xml:space="preserve">ISMATOV OTABEK IZZATULLAYEVICH</t>
        </is>
      </c>
      <c r="F480" s="98" t="inlineStr">
        <is>
          <t xml:space="preserve">998500072339 SMS AKASI, 998772016630 SMS AKASI, 998906000972 SMS UKASI,</t>
        </is>
      </c>
      <c r="G480" s="98" t="inlineStr">
        <is>
          <t xml:space="preserve">YOMINIY CHIROQCHI KUCHASI 100-UY</t>
        </is>
      </c>
      <c r="H480" s="99">
        <v>11.0</v>
      </c>
      <c r="I480" s="99">
        <v>6109103.49</v>
      </c>
    </row>
    <row r="481">
      <c r="A481" s="98" t="inlineStr">
        <is>
          <t xml:space="preserve">САМАРКАНД ВИЛОЯТИ</t>
        </is>
      </c>
      <c r="C481" s="98" t="inlineStr">
        <is>
          <t xml:space="preserve">Недозвон</t>
        </is>
      </c>
      <c r="D481" s="98" t="inlineStr">
        <is>
          <t xml:space="preserve">Кр-99032823-2</t>
        </is>
      </c>
      <c r="E481" s="98" t="inlineStr">
        <is>
          <t xml:space="preserve">SHAVAYEV FILYAR BAXSHI-OGLI</t>
        </is>
      </c>
      <c r="F481" s="98" t="inlineStr">
        <is>
          <t xml:space="preserve">998910338884 SMS O’ZI, 998915492288 SMS DO’STI, 998979268884 SMS AYOLI, 998979308440 SMS O’G’LI, +998910338884 SMS OZI,</t>
        </is>
      </c>
      <c r="G481" s="98" t="inlineStr">
        <is>
          <t xml:space="preserve">SAMARQAND VILOYATI SAMARQAND SHAHAR SPITAMIN SHOX KUCHASI 2 TUPIK 14 UY</t>
        </is>
      </c>
      <c r="H481" s="99">
        <v>8.0</v>
      </c>
      <c r="I481" s="99">
        <v>5688716.15</v>
      </c>
    </row>
    <row r="482">
      <c r="A482" s="98" t="inlineStr">
        <is>
          <t xml:space="preserve">САМАРКАНД ВИЛОЯТИ</t>
        </is>
      </c>
      <c r="C482" s="98" t="inlineStr">
        <is>
          <t xml:space="preserve">Недозвон</t>
        </is>
      </c>
      <c r="D482" s="98" t="inlineStr">
        <is>
          <t xml:space="preserve">Кр-99060443-1</t>
        </is>
      </c>
      <c r="E482" s="98" t="inlineStr">
        <is>
          <t xml:space="preserve">IBRAGIMOV SIROJIDDIN ISMOILOVICH</t>
        </is>
      </c>
      <c r="F482" s="98" t="inlineStr">
        <is>
          <t xml:space="preserve">+998991859989 SMS OZI, 998952121246 SMS AKASI TULOVCHI, 998971121246 SMS AKASI, 998993333632 SMS UYI,</t>
        </is>
      </c>
      <c r="G482" s="98" t="inlineStr">
        <is>
          <t xml:space="preserve">SAMARQAND VILOYATI OQDARYO TUMANI UZUNQISHLOQ MFY XOLDOR QISHLOG’I</t>
        </is>
      </c>
      <c r="H482" s="99">
        <v>8.0</v>
      </c>
      <c r="I482" s="99">
        <v>5667865.47</v>
      </c>
    </row>
    <row r="483">
      <c r="A483" s="98" t="inlineStr">
        <is>
          <t xml:space="preserve">САМАРКАНД ВИЛОЯТИ</t>
        </is>
      </c>
      <c r="C483" s="98" t="inlineStr">
        <is>
          <t xml:space="preserve">Недозвон</t>
        </is>
      </c>
      <c r="D483" s="98" t="inlineStr">
        <is>
          <t xml:space="preserve">Кр-99040669-1</t>
        </is>
      </c>
      <c r="E483" s="98" t="inlineStr">
        <is>
          <t xml:space="preserve">NARZULLAYEVA SARVINOZ INAYATILLAYEVNA</t>
        </is>
      </c>
      <c r="F483" s="98" t="inlineStr">
        <is>
          <t xml:space="preserve">998904480702 SMS OZI, 998320910202 SMS OZI 2, 998330076111 SMS TOLOVCHI,</t>
        </is>
      </c>
      <c r="G483" s="98" t="inlineStr">
        <is>
          <t xml:space="preserve">SAMARQAND VILOYATI PAYARIQ TUMANI BESHQURG'ON MFY MOXLOROYIM KUCHASI 36-UY</t>
        </is>
      </c>
      <c r="H483" s="99">
        <v>8.0</v>
      </c>
      <c r="I483" s="99">
        <v>5450469.1</v>
      </c>
    </row>
    <row r="484">
      <c r="A484" s="98" t="inlineStr">
        <is>
          <t xml:space="preserve">САМАРКАНД ВИЛОЯТИ</t>
        </is>
      </c>
      <c r="C484" s="98" t="inlineStr">
        <is>
          <t xml:space="preserve">Недозвон</t>
        </is>
      </c>
      <c r="D484" s="98" t="inlineStr">
        <is>
          <t xml:space="preserve">Кр-99044296-1</t>
        </is>
      </c>
      <c r="E484" s="98" t="inlineStr">
        <is>
          <t xml:space="preserve">MURODQULOV YUSUF SOBIR O’G’LI</t>
        </is>
      </c>
      <c r="F484" s="98" t="inlineStr">
        <is>
          <t xml:space="preserve">+998770740909 Primary phone from road24, 998770740909 Primary phone from road24, 998978916565 SMS OZI, 998982797071 SMS AKASI,</t>
        </is>
      </c>
      <c r="G484" s="98" t="inlineStr">
        <is>
          <t xml:space="preserve">SAMARQAND VILOYATI URGUT TUMANI RASADXONA MFY ZARMETANSKIY 19-UY</t>
        </is>
      </c>
      <c r="H484" s="99">
        <v>8.0</v>
      </c>
      <c r="I484" s="99">
        <v>5379160.57</v>
      </c>
    </row>
    <row r="485">
      <c r="A485" s="98" t="inlineStr">
        <is>
          <t xml:space="preserve">САМАРКАНД ВИЛОЯТИ</t>
        </is>
      </c>
      <c r="C485" s="98" t="inlineStr">
        <is>
          <t xml:space="preserve">Объезд</t>
        </is>
      </c>
      <c r="D485" s="98" t="inlineStr">
        <is>
          <t xml:space="preserve">Кр-99026954-6</t>
        </is>
      </c>
      <c r="E485" s="98" t="inlineStr">
        <is>
          <t xml:space="preserve">AXROROV MEXROJ MASHRAFOVICH</t>
        </is>
      </c>
      <c r="F485" s="98" t="inlineStr">
        <is>
          <t xml:space="preserve">99-783-00-20 SMS OZI tolovchi, 33-799-20-20 SMS UKASI, 91-702-64-03 SMS AYASI, 97-958-70-11 SMS AKASI, +998992719999 Primary phone from road24( БЕГОНА), 998992719999 Primary phone from road24( БЕГОНА),</t>
        </is>
      </c>
      <c r="G485" s="98" t="inlineStr">
        <is>
          <t xml:space="preserve">SAMARQAND VILOYATI SAMARQAND TUMANI QO’SHTAMG’ALI QFY JO’YISOY MFY</t>
        </is>
      </c>
      <c r="H485" s="99">
        <v>8.0</v>
      </c>
      <c r="I485" s="99">
        <v>5150210.36</v>
      </c>
      <c r="J485" s="99">
        <v>5150210.36</v>
      </c>
      <c r="K485" s="98" t="inlineStr">
        <is>
          <t xml:space="preserve">Uyiga borildi - to'ladi | yopildi</t>
        </is>
      </c>
    </row>
    <row r="486">
      <c r="A486" s="98" t="inlineStr">
        <is>
          <t xml:space="preserve">САМАРКАНД ВИЛОЯТИ</t>
        </is>
      </c>
      <c r="C486" s="98" t="inlineStr">
        <is>
          <t xml:space="preserve">Недозвон</t>
        </is>
      </c>
      <c r="D486" s="98" t="inlineStr">
        <is>
          <t xml:space="preserve">Кр-99058774-2</t>
        </is>
      </c>
      <c r="E486" s="98" t="inlineStr">
        <is>
          <t xml:space="preserve">OCHILOV ZOHIR ANVARJON O’G’LI</t>
        </is>
      </c>
      <c r="F486" s="98" t="inlineStr">
        <is>
          <t xml:space="preserve">998932407007 SMS UZI, 998331410071 SMS akasi, 998982717100 SMS DADASI , 998943296317 SMS UY, +998932407007 SMS OZI,</t>
        </is>
      </c>
      <c r="G486" s="98" t="inlineStr">
        <is>
          <t xml:space="preserve">SAMARQAND VILOYATI KATTAQORGON TUMANI BALANT RAVOT MFY UZUN BUST KUCHASI 11-UY</t>
        </is>
      </c>
      <c r="H486" s="99">
        <v>8.0</v>
      </c>
      <c r="I486" s="99">
        <v>4506048.78</v>
      </c>
    </row>
    <row r="487">
      <c r="A487" s="98" t="inlineStr">
        <is>
          <t xml:space="preserve">САМАРКАНД ВИЛОЯТИ</t>
        </is>
      </c>
      <c r="C487" s="98" t="inlineStr">
        <is>
          <t xml:space="preserve">Недозвон</t>
        </is>
      </c>
      <c r="D487" s="98" t="inlineStr">
        <is>
          <t xml:space="preserve">Кр-99041524-1</t>
        </is>
      </c>
      <c r="E487" s="98" t="inlineStr">
        <is>
          <t xml:space="preserve">SAFAROVA SABINA KAMOLIDDIN QIZI</t>
        </is>
      </c>
      <c r="F487" s="98" t="inlineStr">
        <is>
          <t xml:space="preserve">998331593930 SM ERI, 998889589606 SMS OZI, 998915283929 SMS AYOLI TULOVCHI, 998915506813 TULOVCHI ELDOR AKA,</t>
        </is>
      </c>
      <c r="G487" s="98" t="inlineStr">
        <is>
          <t xml:space="preserve">Кургонча МФЙ, Қўрғонча-8 кучаси, 18-уй</t>
        </is>
      </c>
      <c r="H487" s="99">
        <v>8.0</v>
      </c>
      <c r="I487" s="99">
        <v>4258195.62</v>
      </c>
    </row>
    <row r="488">
      <c r="A488" s="98" t="inlineStr">
        <is>
          <t xml:space="preserve">САМАРКАНД ВИЛОЯТИ</t>
        </is>
      </c>
      <c r="C488" s="98" t="inlineStr">
        <is>
          <t xml:space="preserve">Недозвон</t>
        </is>
      </c>
      <c r="D488" s="98" t="inlineStr">
        <is>
          <t xml:space="preserve">Кр-99060719-2</t>
        </is>
      </c>
      <c r="E488" s="98" t="inlineStr">
        <is>
          <t xml:space="preserve">SADINOV JAMOLIDDIN SHAVKATOVICH</t>
        </is>
      </c>
      <c r="F488" s="98" t="inlineStr">
        <is>
          <t xml:space="preserve">+998870107789 SMS OZI, 998885773077 SMS AYOLI, 998940770186 SMS AKASI,</t>
        </is>
      </c>
      <c r="G488" s="98" t="inlineStr">
        <is>
          <t xml:space="preserve">SAMQARQAND VILOYATI PASTDARG’OM TUMANI TEMIRXUJA MFY BAGBONLAR KUCHASI 357-UY</t>
        </is>
      </c>
      <c r="H488" s="99">
        <v>8.0</v>
      </c>
      <c r="I488" s="99">
        <v>4235956.02</v>
      </c>
    </row>
    <row r="489">
      <c r="A489" s="98" t="inlineStr">
        <is>
          <t xml:space="preserve">САМАРКАНД ВИЛОЯТИ</t>
        </is>
      </c>
      <c r="C489" s="98" t="inlineStr">
        <is>
          <t xml:space="preserve">Объезд</t>
        </is>
      </c>
      <c r="D489" s="98" t="inlineStr">
        <is>
          <t xml:space="preserve">Кр-99038198-2</t>
        </is>
      </c>
      <c r="E489" s="98" t="inlineStr">
        <is>
          <t xml:space="preserve">ABDUVOXIDOVA MAVLYUDA TOLIBOVNA</t>
        </is>
      </c>
      <c r="F489" s="98" t="inlineStr">
        <is>
          <t xml:space="preserve">998902878483 SMS OZI, 998976156009 SMS ONASI, 998995514083 SMS SINGLISI, 998905059100 SMS YANGASI, +998902878483 SMS OZI,</t>
        </is>
      </c>
      <c r="G489" s="98" t="inlineStr">
        <is>
          <t xml:space="preserve">SAMARQAND VILOYATI PAYARIQ TUMANI JAVSHAR OTA MFY XIROSON KUCHASI 26-UY</t>
        </is>
      </c>
      <c r="H489" s="99">
        <v>8.0</v>
      </c>
      <c r="I489" s="99">
        <v>4146568.54</v>
      </c>
      <c r="J489" s="99">
        <v>4146568.54</v>
      </c>
      <c r="K489" s="98" t="inlineStr">
        <is>
          <t xml:space="preserve">Uyiga borildi - to'ladi | yopildi</t>
        </is>
      </c>
    </row>
    <row r="490">
      <c r="A490" s="98" t="inlineStr">
        <is>
          <t xml:space="preserve">САМАРКАНД ВИЛОЯТИ</t>
        </is>
      </c>
      <c r="C490" s="98" t="inlineStr">
        <is>
          <t xml:space="preserve">Недозвон</t>
        </is>
      </c>
      <c r="D490" s="98" t="inlineStr">
        <is>
          <t xml:space="preserve">Кр-99019789-11</t>
        </is>
      </c>
      <c r="E490" s="98" t="inlineStr">
        <is>
          <t xml:space="preserve">AXATOVA NARGIZA ILXOMOVNA</t>
        </is>
      </c>
      <c r="F490" s="98" t="inlineStr">
        <is>
          <t xml:space="preserve">99-771-09-30 SMS UZI , 99-599-69-66 SMS ERI, 93-353-56-07 SMS QIZI, 99-350-56-07 SMS UYI, +998997710930 SMS OZI,</t>
        </is>
      </c>
      <c r="G490" s="98" t="inlineStr">
        <is>
          <t xml:space="preserve">SAMARQAND VILOYATI SAMARQAND SHAHRI XO’JA QISHLOQ MFY LOCHIN KO’CHASI 2 YULAK 22-UY</t>
        </is>
      </c>
      <c r="H490" s="99">
        <v>8.0</v>
      </c>
      <c r="I490" s="99">
        <v>4097262.49</v>
      </c>
    </row>
    <row r="491">
      <c r="A491" s="98" t="inlineStr">
        <is>
          <t xml:space="preserve">САМАРКАНД ВИЛОЯТИ</t>
        </is>
      </c>
      <c r="C491" s="98" t="inlineStr">
        <is>
          <t xml:space="preserve">Недозвон</t>
        </is>
      </c>
      <c r="D491" s="98" t="inlineStr">
        <is>
          <t xml:space="preserve">Кр-99057430-1</t>
        </is>
      </c>
      <c r="E491" s="98" t="inlineStr">
        <is>
          <t xml:space="preserve">TOSHMURODOV JAVLONBEK ULUG’BEKOVICH</t>
        </is>
      </c>
      <c r="F491" s="98" t="inlineStr">
        <is>
          <t xml:space="preserve">998942894664 SMS UZI, 998918460505 SMS AKASI TULOVCHI, 998942870050 SMS AKASI, 998942131877 SMS AYASI,</t>
        </is>
      </c>
      <c r="G491" s="98" t="inlineStr">
        <is>
          <t xml:space="preserve">SAMARQAND VILOYATI PAXTACHI TUMANI MIRZO NODIM MFY REGISTON KUCHASI 97-UY</t>
        </is>
      </c>
      <c r="H491" s="99">
        <v>8.0</v>
      </c>
      <c r="I491" s="99">
        <v>4011354.42</v>
      </c>
    </row>
    <row r="492">
      <c r="A492" s="98" t="inlineStr">
        <is>
          <t xml:space="preserve">САМАРКАНД ВИЛОЯТИ</t>
        </is>
      </c>
      <c r="C492" s="98" t="inlineStr">
        <is>
          <t xml:space="preserve">Недозвон</t>
        </is>
      </c>
      <c r="D492" s="98" t="inlineStr">
        <is>
          <t xml:space="preserve">Кр-99044439-2</t>
        </is>
      </c>
      <c r="E492" s="98" t="inlineStr">
        <is>
          <t xml:space="preserve">ALIQULOVA SHAXNOZA MO’MINJONOVNA</t>
        </is>
      </c>
      <c r="F492" s="98" t="inlineStr">
        <is>
          <t xml:space="preserve">+998920528882 SMS OZI, 998916947069 SMS AYASI, 998917048268 SMS UKASI, 998997187671 SMS SINGLISI,</t>
        </is>
      </c>
      <c r="G492" s="98" t="inlineStr">
        <is>
          <t xml:space="preserve">Ферганская область, Учкуприкский район, Учкўприк МСГ, ул. Шодлик, дом 27, кор. 1, кв. 12</t>
        </is>
      </c>
      <c r="H492" s="99">
        <v>8.0</v>
      </c>
      <c r="I492" s="99">
        <v>3931338.8</v>
      </c>
    </row>
    <row r="493">
      <c r="A493" s="98" t="inlineStr">
        <is>
          <t xml:space="preserve">САМАРКАНД ВИЛОЯТИ</t>
        </is>
      </c>
      <c r="C493" s="98" t="inlineStr">
        <is>
          <t xml:space="preserve">Недозвон</t>
        </is>
      </c>
      <c r="D493" s="98" t="inlineStr">
        <is>
          <t xml:space="preserve">Кр-99041181-1</t>
        </is>
      </c>
      <c r="E493" s="98" t="inlineStr">
        <is>
          <t xml:space="preserve">SAIDOV SHOHRO’Z FARHOD O’G’LI</t>
        </is>
      </c>
      <c r="F493" s="98" t="inlineStr">
        <is>
          <t xml:space="preserve">+998934160099 SM OZI, 998886134717 SMS KATTA AKASI, 998930094197 SMS AKASI, 998979071269 SMS DADASI,</t>
        </is>
      </c>
      <c r="G493" s="98" t="inlineStr">
        <is>
          <t xml:space="preserve">БЕШКАХРАМОН ҚФЙ, КУШКУДУК МФЙ,  uy:Р/С</t>
        </is>
      </c>
      <c r="H493" s="99">
        <v>8.0</v>
      </c>
      <c r="I493" s="99">
        <v>3919376.91</v>
      </c>
    </row>
    <row r="494">
      <c r="A494" s="98" t="inlineStr">
        <is>
          <t xml:space="preserve">САМАРКАНД ВИЛОЯТИ</t>
        </is>
      </c>
      <c r="C494" s="98" t="inlineStr">
        <is>
          <t xml:space="preserve">Недозвон</t>
        </is>
      </c>
      <c r="D494" s="98" t="inlineStr">
        <is>
          <t xml:space="preserve">Кр-99041854-1</t>
        </is>
      </c>
      <c r="E494" s="98" t="inlineStr">
        <is>
          <t xml:space="preserve">IZAYEV SHUHRAT DAMIN UGLI</t>
        </is>
      </c>
      <c r="F494" s="98" t="inlineStr">
        <is>
          <t xml:space="preserve">+998979204774 SMS OZI, 998974056026 SMS AAYAASI, 998985733304 SMS UYI, 998997045708 SMS UKASI,</t>
        </is>
      </c>
      <c r="G494" s="98" t="inlineStr">
        <is>
          <t xml:space="preserve">SAMARQAND VILOYATI PASTDARG’OM TUMANI GUNBAZ MFY JANBUL KUCHASI 21-UY</t>
        </is>
      </c>
      <c r="H494" s="99">
        <v>8.0</v>
      </c>
      <c r="I494" s="99">
        <v>3826805.67</v>
      </c>
    </row>
    <row r="495">
      <c r="A495" s="98" t="inlineStr">
        <is>
          <t xml:space="preserve">САМАРКАНД ВИЛОЯТИ</t>
        </is>
      </c>
      <c r="C495" s="98" t="inlineStr">
        <is>
          <t xml:space="preserve">Недозвон</t>
        </is>
      </c>
      <c r="D495" s="98" t="inlineStr">
        <is>
          <t xml:space="preserve">Кр-99062322-1</t>
        </is>
      </c>
      <c r="E495" s="98" t="inlineStr">
        <is>
          <t xml:space="preserve">NARZULLAYEV NODIRBEK BAHODIR O’G’LI</t>
        </is>
      </c>
      <c r="F495" s="98" t="inlineStr">
        <is>
          <t xml:space="preserve">+998889307779 SMS OZI, 998880907779 SMS OZI 2, 998889769799 SMS POCHCHASI, 998976587779 SMS AYASI,</t>
        </is>
      </c>
      <c r="G495" s="98" t="inlineStr">
        <is>
          <t xml:space="preserve">SAMARQAND VILOYATI QUSHRABOD TUMANI QIYQIM MFY</t>
        </is>
      </c>
      <c r="H495" s="99">
        <v>8.0</v>
      </c>
      <c r="I495" s="99">
        <v>3799287.18</v>
      </c>
    </row>
    <row r="496">
      <c r="A496" s="98" t="inlineStr">
        <is>
          <t xml:space="preserve">САМАРКАНД ВИЛОЯТИ</t>
        </is>
      </c>
      <c r="C496" s="98" t="inlineStr">
        <is>
          <t xml:space="preserve">Недозвон</t>
        </is>
      </c>
      <c r="D496" s="98" t="inlineStr">
        <is>
          <t xml:space="preserve">Кр-99032879-3</t>
        </is>
      </c>
      <c r="E496" s="98" t="inlineStr">
        <is>
          <t xml:space="preserve">RUSTAMOVA FIRUZA DJURAYEVNA</t>
        </is>
      </c>
      <c r="F496" s="98" t="inlineStr">
        <is>
          <t xml:space="preserve">998330058044 SMS O’ZI, 998933332525 SMS O’G’LI, 998940133932 SMS QIZI, 998508816056 SMS KELINI, 998931898044 SMS O’ZI,</t>
        </is>
      </c>
      <c r="G496" s="98" t="inlineStr">
        <is>
          <t xml:space="preserve">SAMARQAND VILOYATI KATTAQURG’ON TUMANI MULLAKICHKINA MFY NAVBAHOR KUCHASI 811 -UY</t>
        </is>
      </c>
      <c r="H496" s="99">
        <v>8.0</v>
      </c>
      <c r="I496" s="99">
        <v>3774280.52</v>
      </c>
    </row>
    <row r="497">
      <c r="A497" s="98" t="inlineStr">
        <is>
          <t xml:space="preserve">САМАРКАНД ВИЛОЯТИ</t>
        </is>
      </c>
      <c r="C497" s="98" t="inlineStr">
        <is>
          <t xml:space="preserve">Объезд</t>
        </is>
      </c>
      <c r="D497" s="98" t="inlineStr">
        <is>
          <t xml:space="preserve">Кр-99020836-8</t>
        </is>
      </c>
      <c r="E497" s="98" t="inlineStr">
        <is>
          <t xml:space="preserve">ISMOILOV MUZAFFAR ALISHEROVICH</t>
        </is>
      </c>
      <c r="F497" s="98" t="inlineStr">
        <is>
          <t xml:space="preserve">91-628-00-02 SMS, 90-286-00-02  SMS AKASI, 99-596-97-97 SMS ZALOGADATEL, 93-728-96-96 SMS ZALOGADATEL UKASI, 998902860002 SMS ZALOGADATEL,</t>
        </is>
      </c>
      <c r="G497" s="98" t="inlineStr">
        <is>
          <t xml:space="preserve">SAMARQAND CILOYATI PAYARIQ TUMANI GUZAL  MFY OTABEK QUVVATOV KUCHASI 22-UY</t>
        </is>
      </c>
      <c r="H497" s="99">
        <v>8.0</v>
      </c>
      <c r="I497" s="99">
        <v>3766674.36</v>
      </c>
      <c r="K497" s="98" t="inlineStr">
        <is>
          <t xml:space="preserve">Uyiga borildi - va'da berdi</t>
        </is>
      </c>
    </row>
    <row r="498">
      <c r="A498" s="98" t="inlineStr">
        <is>
          <t xml:space="preserve">САМАРКАНД ВИЛОЯТИ</t>
        </is>
      </c>
      <c r="C498" s="98" t="inlineStr">
        <is>
          <t xml:space="preserve">Недозвон</t>
        </is>
      </c>
      <c r="D498" s="98" t="inlineStr">
        <is>
          <t xml:space="preserve">Кр-99005773-1</t>
        </is>
      </c>
      <c r="E498" s="98" t="inlineStr">
        <is>
          <t xml:space="preserve">SAYID-AXMEDOV TEMUR-MALIK NURITDIN O’G’LI</t>
        </is>
      </c>
      <c r="F498" s="98" t="inlineStr">
        <is>
          <t xml:space="preserve">+998932335550 SMS OZI, 998915495026 SMS UYI, 998915501666 SMS AYASI, 998942424244 SMS OPASI,</t>
        </is>
      </c>
      <c r="G498" s="98" t="inlineStr">
        <is>
          <t xml:space="preserve">SAMARQAND VILOYATI SAMARQAND SHAHAR BOG’BONLAR MFY NAQISHBANDIY KUCHASI 2 PROYEZD 22-UY</t>
        </is>
      </c>
      <c r="H498" s="99">
        <v>8.0</v>
      </c>
      <c r="I498" s="99">
        <v>3756810.72</v>
      </c>
    </row>
    <row r="499">
      <c r="A499" s="98" t="inlineStr">
        <is>
          <t xml:space="preserve">САМАРКАНД ВИЛОЯТИ</t>
        </is>
      </c>
      <c r="C499" s="98" t="inlineStr">
        <is>
          <t xml:space="preserve">Недозвон</t>
        </is>
      </c>
      <c r="D499" s="98" t="inlineStr">
        <is>
          <t xml:space="preserve">Кр-99057329-1</t>
        </is>
      </c>
      <c r="E499" s="98" t="inlineStr">
        <is>
          <t xml:space="preserve">SODIQOV ANVARJON VORISJONOVICH</t>
        </is>
      </c>
      <c r="F499" s="98" t="inlineStr">
        <is>
          <t xml:space="preserve">998953976067 SMS UZI, 998500579222 SMS TULOVCHI, 998997798472 SMS TULOVCHI ZALOGATEL , 998910320010 SMS UY,</t>
        </is>
      </c>
      <c r="G499" s="98" t="inlineStr">
        <is>
          <t xml:space="preserve">SAMARQAND TUMANI</t>
        </is>
      </c>
      <c r="H499" s="99">
        <v>8.0</v>
      </c>
      <c r="I499" s="99">
        <v>3615115.16</v>
      </c>
    </row>
    <row r="500">
      <c r="A500" s="98" t="inlineStr">
        <is>
          <t xml:space="preserve">САМАРКАНД ВИЛОЯТИ</t>
        </is>
      </c>
      <c r="C500" s="98" t="inlineStr">
        <is>
          <t xml:space="preserve">Объезд</t>
        </is>
      </c>
      <c r="D500" s="98" t="inlineStr">
        <is>
          <t xml:space="preserve">Кр-99059521-1</t>
        </is>
      </c>
      <c r="E500" s="98" t="inlineStr">
        <is>
          <t xml:space="preserve">NEMATOVA LOLAXON FARXODJON QIZI</t>
        </is>
      </c>
      <c r="F500" s="98" t="inlineStr">
        <is>
          <t xml:space="preserve">+998944600370 SMS OZI, 998500105600 SMS UKASI, 998949230370 SMS ERI, 998979290370 SMS UYI,</t>
        </is>
      </c>
      <c r="G500" s="98" t="inlineStr">
        <is>
          <t xml:space="preserve">SAMARQAND VILOYATI PAYARIQ TUMANI ERNAZARQURG’ON MFY YANGI ZAMON KUCHASI 54-UY</t>
        </is>
      </c>
      <c r="H500" s="99">
        <v>8.0</v>
      </c>
      <c r="I500" s="99">
        <v>3575132.95</v>
      </c>
      <c r="K500" s="98" t="inlineStr">
        <is>
          <t xml:space="preserve">Uyiga borildi - va'da berdi</t>
        </is>
      </c>
    </row>
    <row r="501">
      <c r="A501" s="98" t="inlineStr">
        <is>
          <t xml:space="preserve">САМАРКАНД ВИЛОЯТИ</t>
        </is>
      </c>
      <c r="C501" s="98" t="inlineStr">
        <is>
          <t xml:space="preserve">Недозвон</t>
        </is>
      </c>
      <c r="D501" s="98" t="inlineStr">
        <is>
          <t xml:space="preserve">Кр-99038089-1</t>
        </is>
      </c>
      <c r="E501" s="98" t="inlineStr">
        <is>
          <t xml:space="preserve">BEKNAZAROV SHERMAMAT XAKBERDIYEVICH</t>
        </is>
      </c>
      <c r="F501" s="98" t="inlineStr">
        <is>
          <t xml:space="preserve">998882891993 SMS OZI, 998913168726 SMSOGLI, 998983381993 SMS UYI бегона ,</t>
        </is>
      </c>
      <c r="G501" s="98" t="inlineStr">
        <is>
          <t xml:space="preserve">SAMARQAND VILOYATI PASTDARG'OM TUMANI YANGI OBOD MFY BOBUR KUCHASI 22-UY</t>
        </is>
      </c>
      <c r="H501" s="99">
        <v>1.0</v>
      </c>
      <c r="I501" s="99">
        <v>3554306.7</v>
      </c>
    </row>
    <row r="502">
      <c r="A502" s="98" t="inlineStr">
        <is>
          <t xml:space="preserve">САМАРКАНД ВИЛОЯТИ</t>
        </is>
      </c>
      <c r="C502" s="98" t="inlineStr">
        <is>
          <t xml:space="preserve">Недозвон</t>
        </is>
      </c>
      <c r="D502" s="98" t="inlineStr">
        <is>
          <t xml:space="preserve">Кр-99042821-1</t>
        </is>
      </c>
      <c r="E502" s="98" t="inlineStr">
        <is>
          <t xml:space="preserve">SHARIPOV QARSHI SHAROPOVICH</t>
        </is>
      </c>
      <c r="F502" s="98" t="inlineStr">
        <is>
          <t xml:space="preserve">+998507082787 SMS OZI, 998507282500 SMS UYI, 998941508228 SMS KUYOVI, 998950088956 SMS OZI,</t>
        </is>
      </c>
      <c r="G502" s="98" t="inlineStr">
        <is>
          <t xml:space="preserve">SAMARQAND VILOYATI KATTAQO’RG’ON SHAHAR KUNJUPAY MFY KUNJUPAY KUCHASI 61-UY</t>
        </is>
      </c>
      <c r="H502" s="99">
        <v>8.0</v>
      </c>
      <c r="I502" s="99">
        <v>3553206.25</v>
      </c>
    </row>
    <row r="503">
      <c r="A503" s="98" t="inlineStr">
        <is>
          <t xml:space="preserve">САМАРКАНД ВИЛОЯТИ</t>
        </is>
      </c>
      <c r="C503" s="98" t="inlineStr">
        <is>
          <t xml:space="preserve">Объезд</t>
        </is>
      </c>
      <c r="D503" s="98" t="inlineStr">
        <is>
          <t xml:space="preserve">Кр-99030337-1</t>
        </is>
      </c>
      <c r="E503" s="98" t="inlineStr">
        <is>
          <t xml:space="preserve">NABIYEV ABDUVORIS ABDUVOXIDOVCH</t>
        </is>
      </c>
      <c r="F503" s="98" t="inlineStr">
        <is>
          <t xml:space="preserve">88-577-20-02  SMS UZI , 88-917-93-39  SMS AYOLI, 97-918-00-62  SMS uchaskavoy, 99-625-08-41  SMS UYI,</t>
        </is>
      </c>
      <c r="G503" s="98" t="inlineStr">
        <is>
          <t xml:space="preserve">SAMARQAND VILOYATI SAMARQAND TUMANI KO'LBA MFY KO'LBA QISHLOG'I </t>
        </is>
      </c>
      <c r="H503" s="99">
        <v>11.0</v>
      </c>
      <c r="I503" s="99">
        <v>3452322.43</v>
      </c>
      <c r="K503" s="98" t="inlineStr">
        <is>
          <t xml:space="preserve">Uyiga borildi - va'da berdi</t>
        </is>
      </c>
    </row>
    <row r="504">
      <c r="A504" s="98" t="inlineStr">
        <is>
          <t xml:space="preserve">САМАРКАНД ВИЛОЯТИ</t>
        </is>
      </c>
      <c r="C504" s="98" t="inlineStr">
        <is>
          <t xml:space="preserve">Недозвон</t>
        </is>
      </c>
      <c r="D504" s="98" t="inlineStr">
        <is>
          <t xml:space="preserve">Кр-99046120-1</t>
        </is>
      </c>
      <c r="E504" s="98" t="inlineStr">
        <is>
          <t xml:space="preserve">KARIMOV NURJON ADHAM O’G’LI</t>
        </is>
      </c>
      <c r="F504" s="98" t="inlineStr">
        <is>
          <t xml:space="preserve">+998979360722 SMS OZI, 998500048835 SMS UYI, 998930364525 SMS AKASI, 998944111279 SMS DADASI,</t>
        </is>
      </c>
      <c r="G504" s="98" t="inlineStr">
        <is>
          <t xml:space="preserve">SAMARQAND VILOYATI QO’SHRABOD TUMANI XONNAZAR MFY</t>
        </is>
      </c>
      <c r="H504" s="99">
        <v>11.0</v>
      </c>
      <c r="I504" s="99">
        <v>3417795.48</v>
      </c>
    </row>
    <row r="505">
      <c r="A505" s="98" t="inlineStr">
        <is>
          <t xml:space="preserve">САМАРКАНД ВИЛОЯТИ</t>
        </is>
      </c>
      <c r="C505" s="98" t="inlineStr">
        <is>
          <t xml:space="preserve">Недозвон</t>
        </is>
      </c>
      <c r="D505" s="98" t="inlineStr">
        <is>
          <t xml:space="preserve">Кр-99019881-1</t>
        </is>
      </c>
      <c r="E505" s="98" t="inlineStr">
        <is>
          <t xml:space="preserve">AKRAMOV NODIRJON AKRAMOVICH</t>
        </is>
      </c>
      <c r="F505" s="98" t="inlineStr">
        <is>
          <t xml:space="preserve">90-282-11-88  SMS UZI, 90-502-07-83  SMS ZALOGADATEL uzi, 98-251-11-88  SMS UKASI, 99-014-89-07  SMS AKASI, +998905020783 SMS OZI, 998905020603 SMS AYOLI, 998905020715 SMS UYI, 998953109692 SMS AKASI,</t>
        </is>
      </c>
      <c r="G505" s="98" t="inlineStr">
        <is>
          <t xml:space="preserve">SAMARQAND VILOYATI PASTDARG’OM TUMANI ESKI JUMA MFY   CHINOQ QISHLOG’I USTOZLAR KO’CHASI 152-UY</t>
        </is>
      </c>
      <c r="H505" s="99">
        <v>8.0</v>
      </c>
      <c r="I505" s="99">
        <v>3374848.57</v>
      </c>
    </row>
    <row r="506">
      <c r="A506" s="98" t="inlineStr">
        <is>
          <t xml:space="preserve">САМАРКАНД ВИЛОЯТИ</t>
        </is>
      </c>
      <c r="C506" s="98" t="inlineStr">
        <is>
          <t xml:space="preserve">Недозвон</t>
        </is>
      </c>
      <c r="D506" s="98" t="inlineStr">
        <is>
          <t xml:space="preserve">Кр-99040479-1</t>
        </is>
      </c>
      <c r="E506" s="98" t="inlineStr">
        <is>
          <t xml:space="preserve">ISKANDAROVA OYGUL ABDURAXMONOVNA</t>
        </is>
      </c>
      <c r="F506" s="98" t="inlineStr">
        <is>
          <t xml:space="preserve">+998338090082 SMS OZ, 998901007940 SINGLISI, 998953385382 UYI, 998979218712 ERI, 998948164046 туловчини номери Азамат,</t>
        </is>
      </c>
      <c r="G506" s="98" t="inlineStr">
        <is>
          <t xml:space="preserve">SANCHIQUL MFY ISTIBOL  KUCHASI 35</t>
        </is>
      </c>
      <c r="H506" s="99">
        <v>8.0</v>
      </c>
      <c r="I506" s="99">
        <v>3330677.81</v>
      </c>
    </row>
    <row r="507">
      <c r="A507" s="98" t="inlineStr">
        <is>
          <t xml:space="preserve">САМАРКАНД ВИЛОЯТИ</t>
        </is>
      </c>
      <c r="C507" s="98" t="inlineStr">
        <is>
          <t xml:space="preserve">Объезд</t>
        </is>
      </c>
      <c r="D507" s="98" t="inlineStr">
        <is>
          <t xml:space="preserve">Кр-99020836-6</t>
        </is>
      </c>
      <c r="E507" s="98" t="inlineStr">
        <is>
          <t xml:space="preserve">ISMOILOV MUZAFFAR ALISHEROVICH</t>
        </is>
      </c>
      <c r="F507" s="98" t="inlineStr">
        <is>
          <t xml:space="preserve">91-628-00-02 SMS, 90-286-00-02  SMS AKASI, 99-596-97-97 SMS ZALOGADATEL, 93-728-96-96 SMS ZALOGADATEL UKASI, 998902860002 SMS ZALOGADATEL,</t>
        </is>
      </c>
      <c r="G507" s="98" t="inlineStr">
        <is>
          <t xml:space="preserve">SAMARQAND CILOYATI PAYARIQ TUMANI GUZAL  MFY OTABEK QUVVATOV KUCHASI 22-UY</t>
        </is>
      </c>
      <c r="H507" s="99">
        <v>8.0</v>
      </c>
      <c r="I507" s="99">
        <v>3319104.91</v>
      </c>
      <c r="K507" s="98" t="inlineStr">
        <is>
          <t xml:space="preserve">Uyiga borildi - va'da berdi</t>
        </is>
      </c>
    </row>
    <row r="508">
      <c r="A508" s="98" t="inlineStr">
        <is>
          <t xml:space="preserve">САМАРКАНД ВИЛОЯТИ</t>
        </is>
      </c>
      <c r="C508" s="98" t="inlineStr">
        <is>
          <t xml:space="preserve">Объезд</t>
        </is>
      </c>
      <c r="D508" s="98" t="inlineStr">
        <is>
          <t xml:space="preserve">Кр-99040279-1</t>
        </is>
      </c>
      <c r="E508" s="98" t="inlineStr">
        <is>
          <t xml:space="preserve">PARDAYEV MUHAMMAD ISLOMJON O’G’LI</t>
        </is>
      </c>
      <c r="F508" s="98" t="inlineStr">
        <is>
          <t xml:space="preserve">998901030414 SMS OZI, 998915316369 SMS ZALOGATEL , 998906000208 SMS AKASI tulovchi,</t>
        </is>
      </c>
      <c r="G508" s="98" t="inlineStr">
        <is>
          <t xml:space="preserve">SAMARQAND VILOYATI PASTDARG'OM TUMANI QUYI DARG'OM MFY YOSHLAR KUCHASI 9-UY</t>
        </is>
      </c>
      <c r="H508" s="99">
        <v>8.0</v>
      </c>
      <c r="I508" s="99">
        <v>3306336.04</v>
      </c>
      <c r="J508" s="99">
        <v>3306336.04</v>
      </c>
      <c r="K508" s="98" t="inlineStr">
        <is>
          <t xml:space="preserve">Uyiga borildi - to'ladi | yopildi</t>
        </is>
      </c>
    </row>
    <row r="509">
      <c r="A509" s="98" t="inlineStr">
        <is>
          <t xml:space="preserve">САМАРКАНД ВИЛОЯТИ</t>
        </is>
      </c>
      <c r="C509" s="98" t="inlineStr">
        <is>
          <t xml:space="preserve">Недозвон</t>
        </is>
      </c>
      <c r="D509" s="98" t="inlineStr">
        <is>
          <t xml:space="preserve">Кр-99039114-1</t>
        </is>
      </c>
      <c r="E509" s="98" t="inlineStr">
        <is>
          <t xml:space="preserve">XAYDAROV JAMSHID NORIMKULOVICH</t>
        </is>
      </c>
      <c r="F509" s="98" t="inlineStr">
        <is>
          <t xml:space="preserve">998932224222 SMS OZI, 998377777732 SMS OZI, 998934480448 SMS AYOLI,</t>
        </is>
      </c>
      <c r="G509" s="98" t="inlineStr">
        <is>
          <t xml:space="preserve">SAMARQAND VILOYATI SAMARQAND TUMANI QAYNAMA QFY MIRISHKOR MFY </t>
        </is>
      </c>
      <c r="H509" s="99">
        <v>8.0</v>
      </c>
      <c r="I509" s="99">
        <v>3299303.09</v>
      </c>
    </row>
    <row r="510">
      <c r="A510" s="98" t="inlineStr">
        <is>
          <t xml:space="preserve">САМАРКАНД ВИЛОЯТИ</t>
        </is>
      </c>
      <c r="C510" s="98" t="inlineStr">
        <is>
          <t xml:space="preserve">Недозвон</t>
        </is>
      </c>
      <c r="D510" s="98" t="inlineStr">
        <is>
          <t xml:space="preserve">Кр-99047479-1</t>
        </is>
      </c>
      <c r="E510" s="98" t="inlineStr">
        <is>
          <t xml:space="preserve">SAIDKULOVA GULMIRA MURODJONOVNA</t>
        </is>
      </c>
      <c r="F510" s="98" t="inlineStr">
        <is>
          <t xml:space="preserve">998902244986 SMS ERI, 998909952018 SMS OGLI, 998915301700 SM OZI, 998953309600 SMS OGLI,</t>
        </is>
      </c>
      <c r="G510" s="98" t="inlineStr">
        <is>
          <t xml:space="preserve">SAMARQAND VILOYATI SAMARQAND SHAHRI MIRZO ULUGBEK 48 UY</t>
        </is>
      </c>
      <c r="H510" s="99">
        <v>8.0</v>
      </c>
      <c r="I510" s="99">
        <v>3207551.08</v>
      </c>
    </row>
    <row r="511">
      <c r="A511" s="98" t="inlineStr">
        <is>
          <t xml:space="preserve">САМАРКАНД ВИЛОЯТИ</t>
        </is>
      </c>
      <c r="C511" s="98" t="inlineStr">
        <is>
          <t xml:space="preserve">Недозвон</t>
        </is>
      </c>
      <c r="D511" s="98" t="inlineStr">
        <is>
          <t xml:space="preserve">Кр-99047479-3</t>
        </is>
      </c>
      <c r="E511" s="98" t="inlineStr">
        <is>
          <t xml:space="preserve">SAIDKULOVA GULMIRA MURODJONOVNA</t>
        </is>
      </c>
      <c r="F511" s="98" t="inlineStr">
        <is>
          <t xml:space="preserve">998902244986 SMS ERI, 998909952018 SMS OGLI, 998915301700 SM OZI, 998953309600 SMS OGLI,</t>
        </is>
      </c>
      <c r="G511" s="98" t="inlineStr">
        <is>
          <t xml:space="preserve">SAMARQAND VILOYATI SAMARQAND SHAHRI MIRZO ULUGBEK 48 UY</t>
        </is>
      </c>
      <c r="H511" s="99">
        <v>8.0</v>
      </c>
      <c r="I511" s="99">
        <v>3179791.93</v>
      </c>
    </row>
    <row r="512">
      <c r="A512" s="98" t="inlineStr">
        <is>
          <t xml:space="preserve">САМАРКАНД ВИЛОЯТИ</t>
        </is>
      </c>
      <c r="C512" s="98" t="inlineStr">
        <is>
          <t xml:space="preserve">Недозвон</t>
        </is>
      </c>
      <c r="D512" s="98" t="inlineStr">
        <is>
          <t xml:space="preserve">Кр-99045552-1</t>
        </is>
      </c>
      <c r="E512" s="98" t="inlineStr">
        <is>
          <t xml:space="preserve">SODIQOV SAIDUMAR FURQAT O’G’LI</t>
        </is>
      </c>
      <c r="F512" s="98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512" s="98" t="inlineStr">
        <is>
          <t xml:space="preserve">SAMARQAND VILOYATI NUROBOD TUMANI MASHAL MFY DALABOG’ KUCHASI 126-UY</t>
        </is>
      </c>
      <c r="H512" s="99">
        <v>12.0</v>
      </c>
      <c r="I512" s="99">
        <v>3124740.52</v>
      </c>
    </row>
    <row r="513">
      <c r="A513" s="98" t="inlineStr">
        <is>
          <t xml:space="preserve">САМАРКАНД ВИЛОЯТИ</t>
        </is>
      </c>
      <c r="C513" s="98" t="inlineStr">
        <is>
          <t xml:space="preserve">Объезд</t>
        </is>
      </c>
      <c r="D513" s="98" t="inlineStr">
        <is>
          <t xml:space="preserve">Кр-99040174-1</t>
        </is>
      </c>
      <c r="E513" s="98" t="inlineStr">
        <is>
          <t xml:space="preserve">ABSALOMOVA SADOKAT UCHKUNOVNA</t>
        </is>
      </c>
      <c r="F513" s="98" t="inlineStr">
        <is>
          <t xml:space="preserve">998973421686 SMS OZI, 998977022672 SMS ERI, 998904491943 SMS QIZI, 998889151718 SMS UYI,</t>
        </is>
      </c>
      <c r="G513" s="98" t="inlineStr">
        <is>
          <t xml:space="preserve">SAMARQAND VILOYATI PAYARIQ TUMANI FIDAKOR MFY YOSHLIK KUCHASI 4-UY</t>
        </is>
      </c>
      <c r="H513" s="99">
        <v>8.0</v>
      </c>
      <c r="I513" s="99">
        <v>3107666.47</v>
      </c>
      <c r="K513" s="98" t="inlineStr">
        <is>
          <t xml:space="preserve">Uyiga borildi - va'da berdi</t>
        </is>
      </c>
    </row>
    <row r="514">
      <c r="A514" s="98" t="inlineStr">
        <is>
          <t xml:space="preserve">САМАРКАНД ВИЛОЯТИ</t>
        </is>
      </c>
      <c r="C514" s="98" t="inlineStr">
        <is>
          <t xml:space="preserve">Недозвон</t>
        </is>
      </c>
      <c r="D514" s="98" t="inlineStr">
        <is>
          <t xml:space="preserve">Кр-99041918-1</t>
        </is>
      </c>
      <c r="E514" s="98" t="inlineStr">
        <is>
          <t xml:space="preserve">TURSUNOV G’AYRAT DAVLATOVICH</t>
        </is>
      </c>
      <c r="F514" s="98" t="inlineStr">
        <is>
          <t xml:space="preserve">+998884706797 SMS OZI BEGONA , 998883932255 UKASI, 998951833829 SMS ZALOGADATEL, 998981303304 SMS JIYANI,</t>
        </is>
      </c>
      <c r="G514" s="98" t="inlineStr">
        <is>
          <t xml:space="preserve">SAMARQAND VILOYATI URGUT TUMANI  KATTA KAMONGARON MFY XUJAAXROR 55-UY</t>
        </is>
      </c>
      <c r="H514" s="99">
        <v>8.0</v>
      </c>
      <c r="I514" s="99">
        <v>3043582.33</v>
      </c>
    </row>
    <row r="515">
      <c r="A515" s="98" t="inlineStr">
        <is>
          <t xml:space="preserve">САМАРКАНД ВИЛОЯТИ</t>
        </is>
      </c>
      <c r="C515" s="98" t="inlineStr">
        <is>
          <t xml:space="preserve">Недозвон</t>
        </is>
      </c>
      <c r="D515" s="98" t="inlineStr">
        <is>
          <t xml:space="preserve">Кр-99055924-1</t>
        </is>
      </c>
      <c r="E515" s="98" t="inlineStr">
        <is>
          <t xml:space="preserve">JUMABOYEV SARDORBEK TULQIN O’G’LI</t>
        </is>
      </c>
      <c r="F515" s="98" t="inlineStr">
        <is>
          <t xml:space="preserve">998502109535 SMS O’ZI, 998933325203 SMS UKASI, 998771271616 SMS UYI, 998933315203 SMS DADASI,</t>
        </is>
      </c>
      <c r="G515" s="98" t="inlineStr">
        <is>
          <t xml:space="preserve">SAMARQAND VILOYATI PASTDARG’OM TUMAN IIB</t>
        </is>
      </c>
      <c r="H515" s="99">
        <v>8.0</v>
      </c>
      <c r="I515" s="99">
        <v>2986323.72</v>
      </c>
    </row>
    <row r="516">
      <c r="A516" s="98" t="inlineStr">
        <is>
          <t xml:space="preserve">САМАРКАНД ВИЛОЯТИ</t>
        </is>
      </c>
      <c r="C516" s="98" t="inlineStr">
        <is>
          <t xml:space="preserve">Недозвон</t>
        </is>
      </c>
      <c r="D516" s="98" t="inlineStr">
        <is>
          <t xml:space="preserve">Кр-99008241-5</t>
        </is>
      </c>
      <c r="E516" s="98" t="inlineStr">
        <is>
          <t xml:space="preserve">KOMILOV SHERZOD NAJIMOVICH</t>
        </is>
      </c>
      <c r="F516" s="98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516" s="98" t="inlineStr">
        <is>
          <t xml:space="preserve">SAMARQAND VILOYATI KATTAQO’RG’ON TUMANI MULLAKICHKINA</t>
        </is>
      </c>
      <c r="H516" s="99">
        <v>1.0</v>
      </c>
      <c r="I516" s="99">
        <v>2920966.89</v>
      </c>
      <c r="K516" s="98" t="inlineStr">
        <is>
          <t xml:space="preserve">Telefon ko'tarmadi | bugun yopad</t>
        </is>
      </c>
    </row>
    <row r="517">
      <c r="A517" s="98" t="inlineStr">
        <is>
          <t xml:space="preserve">САМАРКАНД ВИЛОЯТИ</t>
        </is>
      </c>
      <c r="C517" s="98" t="inlineStr">
        <is>
          <t xml:space="preserve">Недозвон</t>
        </is>
      </c>
      <c r="D517" s="98" t="inlineStr">
        <is>
          <t xml:space="preserve">Кр-99036486-1</t>
        </is>
      </c>
      <c r="E517" s="98" t="inlineStr">
        <is>
          <t xml:space="preserve">QODIROV BOBURJON TEMUR O’G’LI</t>
        </is>
      </c>
      <c r="F517" s="98" t="inlineStr">
        <is>
          <t xml:space="preserve">998944700095 SMS OZI, 998954290607 SMS UKASI , 998933440395 SMS AYOLI, 998990919186 SMS UKASI ,</t>
        </is>
      </c>
      <c r="G517" s="98" t="inlineStr">
        <is>
          <t xml:space="preserve">SAMARQAND VILOYATI JOMBOY TUMANI BESH BOLA MFY BESH BOLA 11-UY</t>
        </is>
      </c>
      <c r="H517" s="99">
        <v>12.0</v>
      </c>
      <c r="I517" s="99">
        <v>2890151.29</v>
      </c>
    </row>
    <row r="518">
      <c r="A518" s="98" t="inlineStr">
        <is>
          <t xml:space="preserve">САМАРКАНД ВИЛОЯТИ</t>
        </is>
      </c>
      <c r="C518" s="98" t="inlineStr">
        <is>
          <t xml:space="preserve">Недозвон</t>
        </is>
      </c>
      <c r="D518" s="98" t="inlineStr">
        <is>
          <t xml:space="preserve">Кр-99041917-1</t>
        </is>
      </c>
      <c r="E518" s="98" t="inlineStr">
        <is>
          <t xml:space="preserve">SUYUNOV SHERQO’ZI SHERALIYEVICH</t>
        </is>
      </c>
      <c r="F518" s="98" t="inlineStr">
        <is>
          <t xml:space="preserve">+998995705918 SMS OZI, 998335892110 SMS ZALOGADATEL, 998870200058 SMS UKASI, 998902766001 SMS UYI,</t>
        </is>
      </c>
      <c r="G518" s="98" t="inlineStr">
        <is>
          <t xml:space="preserve">SAMARQAND VILOYATI TAYLOQ TUMANI XUJAYUZ MFY</t>
        </is>
      </c>
      <c r="H518" s="99">
        <v>8.0</v>
      </c>
      <c r="I518" s="99">
        <v>2889283.41</v>
      </c>
    </row>
    <row r="519">
      <c r="A519" s="98" t="inlineStr">
        <is>
          <t xml:space="preserve">САМАРКАНД ВИЛОЯТИ</t>
        </is>
      </c>
      <c r="C519" s="98" t="inlineStr">
        <is>
          <t xml:space="preserve">Недозвон</t>
        </is>
      </c>
      <c r="D519" s="98" t="inlineStr">
        <is>
          <t xml:space="preserve">Кр-99062811-2</t>
        </is>
      </c>
      <c r="E519" s="98" t="inlineStr">
        <is>
          <t xml:space="preserve">SHOKIROV SAVRIDDIN SALOHIDDIN O’G’LI</t>
        </is>
      </c>
      <c r="F519" s="98" t="inlineStr">
        <is>
          <t xml:space="preserve">+998931430020 SMS OZI, 998505711620 SMS OPASI, 998937243255 SMS UKASI,</t>
        </is>
      </c>
      <c r="G519" s="98" t="inlineStr">
        <is>
          <t xml:space="preserve">SAMARQAND VILOYATI TAYLOQ TUMANI YANGI XAYOT MFY CHOVONDOZ KUCHASI</t>
        </is>
      </c>
      <c r="H519" s="99">
        <v>8.0</v>
      </c>
      <c r="I519" s="99">
        <v>2876472.34</v>
      </c>
      <c r="K519" s="98" t="inlineStr">
        <is>
          <t xml:space="preserve">Telefon ko'tarmadi</t>
        </is>
      </c>
    </row>
    <row r="520">
      <c r="A520" s="98" t="inlineStr">
        <is>
          <t xml:space="preserve">САМАРКАНД ВИЛОЯТИ</t>
        </is>
      </c>
      <c r="C520" s="98" t="inlineStr">
        <is>
          <t xml:space="preserve">Недозвон</t>
        </is>
      </c>
      <c r="D520" s="98" t="inlineStr">
        <is>
          <t xml:space="preserve">Кр-99041600-1</t>
        </is>
      </c>
      <c r="E520" s="98" t="inlineStr">
        <is>
          <t xml:space="preserve">URUNOVA MARJONA FIRDAUS QIZI</t>
        </is>
      </c>
      <c r="F520" s="98" t="inlineStr">
        <is>
          <t xml:space="preserve">+998775073515 SMS UZI, 998901911511 SMS POCHCHASI, 998901981511 SMS UYI, 998915380300 SMS UKASI,</t>
        </is>
      </c>
      <c r="G520" s="98" t="inlineStr">
        <is>
          <t xml:space="preserve">SAMARQAND SHAHRI FURQAT MFY N.SHUKUROV KUCHASI 44-UY</t>
        </is>
      </c>
      <c r="H520" s="99">
        <v>8.0</v>
      </c>
      <c r="I520" s="99">
        <v>2803805.7</v>
      </c>
    </row>
    <row r="521">
      <c r="A521" s="98" t="inlineStr">
        <is>
          <t xml:space="preserve">САМАРКАНД ВИЛОЯТИ</t>
        </is>
      </c>
      <c r="C521" s="98" t="inlineStr">
        <is>
          <t xml:space="preserve">Недозвон</t>
        </is>
      </c>
      <c r="D521" s="98" t="inlineStr">
        <is>
          <t xml:space="preserve">Кр-99053024-1</t>
        </is>
      </c>
      <c r="E521" s="98" t="inlineStr">
        <is>
          <t xml:space="preserve">SUYUNOV SINDOR PARDABOYEVICH</t>
        </is>
      </c>
      <c r="F521" s="98" t="inlineStr">
        <is>
          <t xml:space="preserve">998979172388 SMS OZI, 998773732287 SMS AKSI, 998979302291 SMS AYOLI, 998979195432 SMS UYI,</t>
        </is>
      </c>
      <c r="G521" s="98" t="inlineStr">
        <is>
          <t xml:space="preserve">SAMARQAND VILOYATI PASTDARG'OM TUMANI ISTIQBOL MFY </t>
        </is>
      </c>
      <c r="H521" s="99">
        <v>8.0</v>
      </c>
      <c r="I521" s="99">
        <v>2801670.34</v>
      </c>
    </row>
    <row r="522">
      <c r="A522" s="98" t="inlineStr">
        <is>
          <t xml:space="preserve">САМАРКАНД ВИЛОЯТИ</t>
        </is>
      </c>
      <c r="C522" s="98" t="inlineStr">
        <is>
          <t xml:space="preserve">Недозвон</t>
        </is>
      </c>
      <c r="D522" s="98" t="inlineStr">
        <is>
          <t xml:space="preserve">Кр-99020984-4</t>
        </is>
      </c>
      <c r="E522" s="98" t="inlineStr">
        <is>
          <t xml:space="preserve">SHARIPOVA UMIDA MUZAFAROVNA</t>
        </is>
      </c>
      <c r="F522" s="98" t="inlineStr">
        <is>
          <t xml:space="preserve">90-604-54-33 SMS UZI, 90-227-27-26 SMS ZALOGADATEL KUYOV 90-212-53-51 QIZI, 91-531-74-20 SMS ZALOGADATEL DADASI, 90-470-60-03 SMS OGLI, 998700800600 akasi jahon ,</t>
        </is>
      </c>
      <c r="G522" s="98" t="inlineStr">
        <is>
          <t xml:space="preserve">SAMARQAND VILOYATI SAMARQAND SHAHRI BOG’BONLAR MFY BAXOUDDIN NAQISHBANDIY KUCHASI 2-YULAK 19-UY</t>
        </is>
      </c>
      <c r="H522" s="99">
        <v>11.0</v>
      </c>
      <c r="I522" s="99">
        <v>2801132.74</v>
      </c>
      <c r="K522" s="98" t="inlineStr">
        <is>
          <t xml:space="preserve">Telefon ko'tarmadi</t>
        </is>
      </c>
    </row>
    <row r="523">
      <c r="A523" s="98" t="inlineStr">
        <is>
          <t xml:space="preserve">САМАРКАНД ВИЛОЯТИ</t>
        </is>
      </c>
      <c r="C523" s="98" t="inlineStr">
        <is>
          <t xml:space="preserve">Недозвон</t>
        </is>
      </c>
      <c r="D523" s="98" t="inlineStr">
        <is>
          <t xml:space="preserve">Кр-99045808-2</t>
        </is>
      </c>
      <c r="E523" s="98" t="inlineStr">
        <is>
          <t xml:space="preserve">BOBOMURODOV SHERZOD UROLBOY O’G’LI</t>
        </is>
      </c>
      <c r="F523" s="98" t="inlineStr">
        <is>
          <t xml:space="preserve">+998979011090 SMS OZI, 998934144600 SMS YANGASI, 998973955590 SMS AYOLI, 998976661516 SMS AKASI,</t>
        </is>
      </c>
      <c r="G523" s="98" t="inlineStr">
        <is>
          <t xml:space="preserve">SAMARQAND VILOYATI QO’SHRABOD TUMANI PANGAT MFY 16-UY</t>
        </is>
      </c>
      <c r="H523" s="99">
        <v>12.0</v>
      </c>
      <c r="I523" s="99">
        <v>2780281.06</v>
      </c>
    </row>
    <row r="524">
      <c r="A524" s="98" t="inlineStr">
        <is>
          <t xml:space="preserve">САМАРКАНД ВИЛОЯТИ</t>
        </is>
      </c>
      <c r="C524" s="98" t="inlineStr">
        <is>
          <t xml:space="preserve">Недозвон</t>
        </is>
      </c>
      <c r="D524" s="98" t="inlineStr">
        <is>
          <t xml:space="preserve">Кр-99053028-1</t>
        </is>
      </c>
      <c r="E524" s="98" t="inlineStr">
        <is>
          <t xml:space="preserve">UMAROV JASUR JUMABOYEVICH</t>
        </is>
      </c>
      <c r="F524" s="98" t="inlineStr">
        <is>
          <t xml:space="preserve">998996737947 SMS OZI , 998915557947 SMS UKASI, 998907427947 SMS UKASI, 998948700083 SMS UYI, 998996737947 SMS OZI,</t>
        </is>
      </c>
      <c r="G524" s="98" t="inlineStr">
        <is>
          <t xml:space="preserve">SMARQANDVILOYATI SMARQAND TUMANI IIB </t>
        </is>
      </c>
      <c r="H524" s="99">
        <v>8.0</v>
      </c>
      <c r="I524" s="99">
        <v>2748716.68</v>
      </c>
    </row>
    <row r="525">
      <c r="A525" s="98" t="inlineStr">
        <is>
          <t xml:space="preserve">САМАРКАНД ВИЛОЯТИ</t>
        </is>
      </c>
      <c r="C525" s="98" t="inlineStr">
        <is>
          <t xml:space="preserve">Объезд</t>
        </is>
      </c>
      <c r="D525" s="98" t="inlineStr">
        <is>
          <t xml:space="preserve">Кр-99040360-1</t>
        </is>
      </c>
      <c r="E525" s="98" t="inlineStr">
        <is>
          <t xml:space="preserve">KUSHMURODOV RASHID XUROZOVICH</t>
        </is>
      </c>
      <c r="F525" s="98" t="inlineStr">
        <is>
          <t xml:space="preserve">+998936002584 SMS O’ZI, 998505003878 SMS AKASI 2, 998935692069 SMS AKASI, 998501202552 SMS TULOVCHI, 998889007404 SMS AYOLI, 998919650304 SMS AKASI,</t>
        </is>
      </c>
      <c r="G525" s="98" t="inlineStr">
        <is>
          <t xml:space="preserve">SAMARQAND VILOYATI PAYARIQ TUMANI BAXRIN MFY SARXOUS KUCHASI 71-UY</t>
        </is>
      </c>
      <c r="H525" s="99">
        <v>8.0</v>
      </c>
      <c r="I525" s="99">
        <v>2693401.87</v>
      </c>
      <c r="K525" s="98" t="inlineStr">
        <is>
          <t xml:space="preserve">Uyiga borildi - va'da berdi | borildi</t>
        </is>
      </c>
    </row>
    <row r="526">
      <c r="A526" s="98" t="inlineStr">
        <is>
          <t xml:space="preserve">САМАРКАНД ВИЛОЯТИ</t>
        </is>
      </c>
      <c r="C526" s="98" t="inlineStr">
        <is>
          <t xml:space="preserve">Недозвон</t>
        </is>
      </c>
      <c r="D526" s="98" t="inlineStr">
        <is>
          <t xml:space="preserve">Кр-99047915-1</t>
        </is>
      </c>
      <c r="E526" s="98" t="inlineStr">
        <is>
          <t xml:space="preserve">NAMAZOVA DILOROM XIDIROVNA</t>
        </is>
      </c>
      <c r="F526" s="98" t="inlineStr">
        <is>
          <t xml:space="preserve">+998904481719 SMS OZI, 998931202837 SMS O’G’LI, 998941929705 SMS OZI 2, 998945020297 SMS QIZI,</t>
        </is>
      </c>
      <c r="G526" s="98" t="inlineStr">
        <is>
          <t xml:space="preserve">SAMARQAND VILOYATI PAYARIQ TUMANI XOSA MFY CHUQUR QISHLOG’I</t>
        </is>
      </c>
      <c r="H526" s="99">
        <v>8.0</v>
      </c>
      <c r="I526" s="99">
        <v>2668111.47</v>
      </c>
    </row>
    <row r="527">
      <c r="A527" s="98" t="inlineStr">
        <is>
          <t xml:space="preserve">САМАРКАНД ВИЛОЯТИ</t>
        </is>
      </c>
      <c r="C527" s="98" t="inlineStr">
        <is>
          <t xml:space="preserve">Недозвон</t>
        </is>
      </c>
      <c r="D527" s="98" t="inlineStr">
        <is>
          <t xml:space="preserve">Кр-99016263-3</t>
        </is>
      </c>
      <c r="E527" s="98" t="inlineStr">
        <is>
          <t xml:space="preserve">QUDRATOV SHEHROZ SHAKARBOY O’G’LI</t>
        </is>
      </c>
      <c r="F527" s="98" t="inlineStr">
        <is>
          <t xml:space="preserve">99-553-56-33 SMS DADASI, 88-990-02-03 SMS BEGONA EKAN SHALLAQI, 97-394-35-05 SMS UKASI, 998770392002 туловчи ,</t>
        </is>
      </c>
      <c r="G527" s="98" t="inlineStr">
        <is>
          <t xml:space="preserve">SAMARQAND VILOYATI PAYARIQ TUMANI ERNAZARQO’RG’ON QFY</t>
        </is>
      </c>
      <c r="H527" s="99">
        <v>13.0</v>
      </c>
      <c r="I527" s="99">
        <v>2548777.88</v>
      </c>
      <c r="K527" s="98" t="inlineStr">
        <is>
          <t xml:space="preserve">Telefon ko'tarmadi</t>
        </is>
      </c>
    </row>
    <row r="528">
      <c r="A528" s="98" t="inlineStr">
        <is>
          <t xml:space="preserve">САМАРКАНД ВИЛОЯТИ</t>
        </is>
      </c>
      <c r="C528" s="98" t="inlineStr">
        <is>
          <t xml:space="preserve">Недозвон</t>
        </is>
      </c>
      <c r="D528" s="98" t="inlineStr">
        <is>
          <t xml:space="preserve">Кр-99030028-2</t>
        </is>
      </c>
      <c r="E528" s="98" t="inlineStr">
        <is>
          <t xml:space="preserve">VAFOYEV AVAZ RABBIMOVICH</t>
        </is>
      </c>
      <c r="F528" s="98" t="inlineStr">
        <is>
          <t xml:space="preserve">93-724-90-87  SMS O’ZI, 93-330-72-27  SMS AKASI  , 93-555-03-77  SMS AKASI  2, 93-795-41-44  SMS AYOLI , +998935550377 SMS OZI,</t>
        </is>
      </c>
      <c r="G528" s="98" t="inlineStr">
        <is>
          <t xml:space="preserve">SAMARQAND VILOYATI TAYLOQ TUMANI  KUSHCHINOR MFY PAYSHABASIYOB QISHLOGI 19-UY</t>
        </is>
      </c>
      <c r="H528" s="99">
        <v>8.0</v>
      </c>
      <c r="I528" s="99">
        <v>2528595.29</v>
      </c>
    </row>
    <row r="529">
      <c r="A529" s="98" t="inlineStr">
        <is>
          <t xml:space="preserve">САМАРКАНД ВИЛОЯТИ</t>
        </is>
      </c>
      <c r="C529" s="98" t="inlineStr">
        <is>
          <t xml:space="preserve">Недозвон</t>
        </is>
      </c>
      <c r="D529" s="98" t="inlineStr">
        <is>
          <t xml:space="preserve">Кр-99036451-4</t>
        </is>
      </c>
      <c r="E529" s="98" t="inlineStr">
        <is>
          <t xml:space="preserve">AZAMOVA NAFISA MAHAMADAMINOVNA</t>
        </is>
      </c>
      <c r="F529" s="98" t="inlineStr">
        <is>
          <t xml:space="preserve">998936428110 SMS OZI, 998936498110 SMS ERI , 998936433099 SMS O’G’LI, 998944724664 SMS UYI, +998936428110 SMS OZI,</t>
        </is>
      </c>
      <c r="G529" s="98" t="inlineStr">
        <is>
          <t xml:space="preserve">SAMARQAND VILOYATI SAMARQAND SHAHRI QORASUV MASSIVI 129-DOM 27-XONODON</t>
        </is>
      </c>
      <c r="H529" s="99">
        <v>8.0</v>
      </c>
      <c r="I529" s="99">
        <v>2522083.03</v>
      </c>
    </row>
    <row r="530">
      <c r="A530" s="98" t="inlineStr">
        <is>
          <t xml:space="preserve">САМАРКАНД ВИЛОЯТИ</t>
        </is>
      </c>
      <c r="C530" s="98" t="inlineStr">
        <is>
          <t xml:space="preserve">Недозвон</t>
        </is>
      </c>
      <c r="D530" s="98" t="inlineStr">
        <is>
          <t xml:space="preserve">Кр-99036681-1</t>
        </is>
      </c>
      <c r="E530" s="98" t="inlineStr">
        <is>
          <t xml:space="preserve">NAZAROV UMIDJON RAZZOQ O’G’LI</t>
        </is>
      </c>
      <c r="F530" s="98" t="inlineStr">
        <is>
          <t xml:space="preserve">998500532665 SMS OZI, 998933512665 SMS AYASI , 998502302665 SMS OPASI, 998930633907 SMS UKASI, 998507162665 SMS UZI NEWW,</t>
        </is>
      </c>
      <c r="G530" s="98" t="inlineStr">
        <is>
          <t xml:space="preserve">SAMARQAND VILOYATI URGUT TUMANI UKRACH QISHLOG'I </t>
        </is>
      </c>
      <c r="H530" s="99">
        <v>1.0</v>
      </c>
      <c r="I530" s="99">
        <v>2519083.57</v>
      </c>
    </row>
    <row r="531">
      <c r="A531" s="98" t="inlineStr">
        <is>
          <t xml:space="preserve">САМАРКАНД ВИЛОЯТИ</t>
        </is>
      </c>
      <c r="C531" s="98" t="inlineStr">
        <is>
          <t xml:space="preserve">Недозвон</t>
        </is>
      </c>
      <c r="D531" s="98" t="inlineStr">
        <is>
          <t xml:space="preserve">Кр-99049652-1</t>
        </is>
      </c>
      <c r="E531" s="98" t="inlineStr">
        <is>
          <t xml:space="preserve">SINDOROV MUZAFFAR BEKPULATOVICH</t>
        </is>
      </c>
      <c r="F531" s="98" t="inlineStr">
        <is>
          <t xml:space="preserve">+998938333888 SMS OZI, 998773113571 SMS YANGASI, 998944161091 SMS ZALOGADATEL, 998995717588 SMS UYI,</t>
        </is>
      </c>
      <c r="G531" s="98" t="inlineStr">
        <is>
          <t xml:space="preserve">SAMARQAND VILOYATI PAYARIQ TUMANI PALVONARIQ MFY NURONIYLAR KUCHASI 8-UY</t>
        </is>
      </c>
      <c r="H531" s="99">
        <v>8.0</v>
      </c>
      <c r="I531" s="99">
        <v>2497777.09</v>
      </c>
    </row>
    <row r="532">
      <c r="A532" s="98" t="inlineStr">
        <is>
          <t xml:space="preserve">САМАРКАНД ВИЛОЯТИ</t>
        </is>
      </c>
      <c r="C532" s="98" t="inlineStr">
        <is>
          <t xml:space="preserve">Недозвон</t>
        </is>
      </c>
      <c r="D532" s="98" t="inlineStr">
        <is>
          <t xml:space="preserve">Кр-99058169-1</t>
        </is>
      </c>
      <c r="E532" s="98" t="inlineStr">
        <is>
          <t xml:space="preserve">KURBANOV BAXODIR SAITMUROD O’G’LI</t>
        </is>
      </c>
      <c r="F532" s="98" t="inlineStr">
        <is>
          <t xml:space="preserve">998881677778 SMS OZI, 998009677782 SMS OZI2, 998933332034 SMS AKASI, 998946391004 SMS UYI,</t>
        </is>
      </c>
      <c r="G532" s="98" t="inlineStr">
        <is>
          <t xml:space="preserve">SAMARQAND VILOYATI SAMARQAND SHAHAR NAFOSAT MFY MIRZO ULUG'BEK KUCHASI 130-UY 5</t>
        </is>
      </c>
      <c r="H532" s="99">
        <v>8.0</v>
      </c>
      <c r="I532" s="99">
        <v>2451945.41</v>
      </c>
    </row>
    <row r="533">
      <c r="A533" s="98" t="inlineStr">
        <is>
          <t xml:space="preserve">САМАРКАНД ВИЛОЯТИ</t>
        </is>
      </c>
      <c r="C533" s="98" t="inlineStr">
        <is>
          <t xml:space="preserve">Недозвон</t>
        </is>
      </c>
      <c r="D533" s="98" t="inlineStr">
        <is>
          <t xml:space="preserve">Кр-99040022-2</t>
        </is>
      </c>
      <c r="E533" s="98" t="inlineStr">
        <is>
          <t xml:space="preserve">BEGMURODOV KOMILJON SHAVKAT O’G’LI</t>
        </is>
      </c>
      <c r="F533" s="98" t="inlineStr">
        <is>
          <t xml:space="preserve">998997005776 SMS OZZI, 998999502266 SMS UKASI, 998930855276 SMS AKASI, 998932271678 SMS UYI, 998943133180 SMS AKASI,</t>
        </is>
      </c>
      <c r="G533" s="98" t="inlineStr">
        <is>
          <t xml:space="preserve">SAMARQAND VILOYATI KATTAQO’RG’ON TUMANI YANGI OBOD MFY MADANIYAT KUCHASI 19-UY</t>
        </is>
      </c>
      <c r="H533" s="99">
        <v>8.0</v>
      </c>
      <c r="I533" s="99">
        <v>2396681.67</v>
      </c>
    </row>
    <row r="534">
      <c r="A534" s="98" t="inlineStr">
        <is>
          <t xml:space="preserve">САМАРКАНД ВИЛОЯТИ</t>
        </is>
      </c>
      <c r="C534" s="98" t="inlineStr">
        <is>
          <t xml:space="preserve">Недозвон</t>
        </is>
      </c>
      <c r="D534" s="98" t="inlineStr">
        <is>
          <t xml:space="preserve">Кр-99040231-1</t>
        </is>
      </c>
      <c r="E534" s="98" t="inlineStr">
        <is>
          <t xml:space="preserve">KUVAYEV MUHRIDDIN G’ULOMJON O’G’LI</t>
        </is>
      </c>
      <c r="F534" s="98" t="inlineStr">
        <is>
          <t xml:space="preserve">998701051101 SMS OZI, 998121114322 SMS OZI2, 998700511972 SMS ZALOGATEL,</t>
        </is>
      </c>
      <c r="G534" s="98" t="inlineStr">
        <is>
          <t xml:space="preserve">SAMARQAND VILOYATI PASTDARG'OM TUMANI XAMZO OBOD MFY SINCHI KUCHASI 35-UY</t>
        </is>
      </c>
      <c r="H534" s="99">
        <v>8.0</v>
      </c>
      <c r="I534" s="99">
        <v>2384048.69</v>
      </c>
    </row>
    <row r="535">
      <c r="A535" s="98" t="inlineStr">
        <is>
          <t xml:space="preserve">САМАРКАНД ВИЛОЯТИ</t>
        </is>
      </c>
      <c r="C535" s="98" t="inlineStr">
        <is>
          <t xml:space="preserve">Недозвон</t>
        </is>
      </c>
      <c r="D535" s="98" t="inlineStr">
        <is>
          <t xml:space="preserve">Кр-99042245-1</t>
        </is>
      </c>
      <c r="E535" s="98" t="inlineStr">
        <is>
          <t xml:space="preserve">NORMURADOV ELYOR RASULOVICH</t>
        </is>
      </c>
      <c r="F535" s="98" t="inlineStr">
        <is>
          <t xml:space="preserve">+998941882897 SMS OZI, 998904480702 SMS UKASI, 998931882987 SMS AYOLI, 998990693739 SMS UYI,</t>
        </is>
      </c>
      <c r="G535" s="98" t="inlineStr">
        <is>
          <t xml:space="preserve">SAMARQAND VILOYATI JONBOY TUMANI QANGLI MFY KURKAM DIYOR KUCHASI</t>
        </is>
      </c>
      <c r="I535" s="99">
        <v>2367581.67</v>
      </c>
    </row>
    <row r="536">
      <c r="A536" s="98" t="inlineStr">
        <is>
          <t xml:space="preserve">САМАРКАНД ВИЛОЯТИ</t>
        </is>
      </c>
      <c r="C536" s="98" t="inlineStr">
        <is>
          <t xml:space="preserve">Объезд</t>
        </is>
      </c>
      <c r="D536" s="98" t="inlineStr">
        <is>
          <t xml:space="preserve">Кр-99038198-1</t>
        </is>
      </c>
      <c r="E536" s="98" t="inlineStr">
        <is>
          <t xml:space="preserve">ABDUVOXIDOVA MAVLYUDA TOLIBOVNA</t>
        </is>
      </c>
      <c r="F536" s="98" t="inlineStr">
        <is>
          <t xml:space="preserve">998902878483 SMS OZI, 998976156009 SMS ONASI, 998995514083 SMS SINGLISI, 998905059100 SMS YANGASI, +998902878483 SMS OZI,</t>
        </is>
      </c>
      <c r="G536" s="98" t="inlineStr">
        <is>
          <t xml:space="preserve">SAMARQAND VILOYATI PAYARIQ TUMANI JAVSHAR OTA MFY XIROSON KUCHASI 26-UY</t>
        </is>
      </c>
      <c r="I536" s="99">
        <v>2339584.52</v>
      </c>
      <c r="K536" s="98" t="inlineStr">
        <is>
          <t xml:space="preserve">Uyiga borildi - va'da berdi</t>
        </is>
      </c>
    </row>
    <row r="537">
      <c r="A537" s="98" t="inlineStr">
        <is>
          <t xml:space="preserve">САМАРКАНД ВИЛОЯТИ</t>
        </is>
      </c>
      <c r="C537" s="98" t="inlineStr">
        <is>
          <t xml:space="preserve">Недозвон</t>
        </is>
      </c>
      <c r="D537" s="98" t="inlineStr">
        <is>
          <t xml:space="preserve">Кр-99058383-1</t>
        </is>
      </c>
      <c r="E537" s="98" t="inlineStr">
        <is>
          <t xml:space="preserve">SHODIYOROV UCHQUN ERKIN O’G’LI</t>
        </is>
      </c>
      <c r="F537" s="98" t="inlineStr">
        <is>
          <t xml:space="preserve">+998955433545 SMS OZI, 998704747545 SMS AYOLI, 998904621910 SMS OZI 2, 998930721512 SMS UYI,</t>
        </is>
      </c>
      <c r="G537" s="98" t="inlineStr">
        <is>
          <t xml:space="preserve">SAMARQAND VILOYATI ISHTIXON TUMANI CHOG’OTOY MFY</t>
        </is>
      </c>
      <c r="H537" s="99">
        <v>8.0</v>
      </c>
      <c r="I537" s="99">
        <v>2328525.79</v>
      </c>
    </row>
    <row r="538">
      <c r="A538" s="98" t="inlineStr">
        <is>
          <t xml:space="preserve">САМАРКАНД ВИЛОЯТИ</t>
        </is>
      </c>
      <c r="C538" s="98" t="inlineStr">
        <is>
          <t xml:space="preserve">Объезд</t>
        </is>
      </c>
      <c r="D538" s="98" t="inlineStr">
        <is>
          <t xml:space="preserve">Кр-99012698-7</t>
        </is>
      </c>
      <c r="E538" s="98" t="inlineStr">
        <is>
          <t xml:space="preserve">XAYDAROVA MOXIRA ESANOVNA</t>
        </is>
      </c>
      <c r="F538" s="98" t="inlineStr">
        <is>
          <t xml:space="preserve">998954305444 SMS QIZI TOLOVCHI, 998885790746 SMS UZI, 998973948333 SMS QIZI, 97-223-07-46  SMS ERI, 998502206526 УЗИ МОХИРА, 998875010746 SMS OZI, 998889425455 SMS OZI 2,</t>
        </is>
      </c>
      <c r="G538" s="98" t="inlineStr">
        <is>
          <t xml:space="preserve">SAMARQAND VILOYATI SAMARQAND TUMANI OXALIK MFY OQ BUYRO QQ  19-UY</t>
        </is>
      </c>
      <c r="H538" s="99">
        <v>8.0</v>
      </c>
      <c r="I538" s="99">
        <v>2321085.44</v>
      </c>
      <c r="J538" s="99">
        <v>2321085.44</v>
      </c>
      <c r="K538" s="98" t="inlineStr">
        <is>
          <t xml:space="preserve">Uyiga borildi - to'ladi | yopildi</t>
        </is>
      </c>
    </row>
    <row r="539">
      <c r="A539" s="98" t="inlineStr">
        <is>
          <t xml:space="preserve">САМАРКАНД ВИЛОЯТИ</t>
        </is>
      </c>
      <c r="C539" s="98" t="inlineStr">
        <is>
          <t xml:space="preserve">Недозвон</t>
        </is>
      </c>
      <c r="D539" s="98" t="inlineStr">
        <is>
          <t xml:space="preserve">Кр-99036483-1</t>
        </is>
      </c>
      <c r="E539" s="98" t="inlineStr">
        <is>
          <t xml:space="preserve">HASANOV XURSHID ABDURASHIDOVICH</t>
        </is>
      </c>
      <c r="F539" s="98" t="inlineStr">
        <is>
          <t xml:space="preserve">998881911012 SMS OZI, 998995111012 SMS AYOLI, 998995711037 SMS ONASI , 998992767791 SMS UKASI ,</t>
        </is>
      </c>
      <c r="G539" s="98" t="inlineStr">
        <is>
          <t xml:space="preserve">SAMARQAND VILOYATI ISHTIXON TUMANI QAYIRMA MFY TUYABOY OVUL QISHLOG`I 75-UY</t>
        </is>
      </c>
      <c r="H539" s="99">
        <v>12.0</v>
      </c>
      <c r="I539" s="99">
        <v>2307496.06</v>
      </c>
    </row>
    <row r="540">
      <c r="A540" s="98" t="inlineStr">
        <is>
          <t xml:space="preserve">САМАРКАНД ВИЛОЯТИ</t>
        </is>
      </c>
      <c r="C540" s="98" t="inlineStr">
        <is>
          <t xml:space="preserve">Недозвон</t>
        </is>
      </c>
      <c r="D540" s="98" t="inlineStr">
        <is>
          <t xml:space="preserve">Кр-99033491-1</t>
        </is>
      </c>
      <c r="E540" s="98" t="inlineStr">
        <is>
          <t xml:space="preserve">XAYDAROV G’AYRATJON ABDUSAIDOVICH</t>
        </is>
      </c>
      <c r="F540" s="98" t="inlineStr">
        <is>
          <t xml:space="preserve">998509986314 SMS O’ZI, 998932214141 SMS TO’LOVCHISI, 998946797965 SMS UKASI, 998399874554 SMS UY, 998773437901 oilasi,</t>
        </is>
      </c>
      <c r="G540" s="98" t="inlineStr">
        <is>
          <t xml:space="preserve">SAMARQAND VILOYATI NARPAY TUMANI KUK OTA MFY KUK OTA QISHLOG’I 119-UY</t>
        </is>
      </c>
      <c r="H540" s="99">
        <v>4.0</v>
      </c>
      <c r="I540" s="99">
        <v>2288572.87</v>
      </c>
    </row>
    <row r="541">
      <c r="A541" s="98" t="inlineStr">
        <is>
          <t xml:space="preserve">САМАРКАНД ВИЛОЯТИ</t>
        </is>
      </c>
      <c r="C541" s="98" t="inlineStr">
        <is>
          <t xml:space="preserve">Недозвон</t>
        </is>
      </c>
      <c r="D541" s="98" t="inlineStr">
        <is>
          <t xml:space="preserve">Кр-99037081-1</t>
        </is>
      </c>
      <c r="E541" s="98" t="inlineStr">
        <is>
          <t xml:space="preserve">QUZIYEV SHERZOD HAMDAMKULOVICH</t>
        </is>
      </c>
      <c r="F541" s="98" t="inlineStr">
        <is>
          <t xml:space="preserve">998944771277 SMS OZI, 998940090440 SMS AYOLI, 998990215277 SMS OGLI, 998930388336 SMS QIZI, 998700444786 SMS UZI NEW, 998700111786 SMS XOTINI NEW, 998990215277 SMS UY,</t>
        </is>
      </c>
      <c r="G541" s="98" t="inlineStr">
        <is>
          <t xml:space="preserve">SAMARQAND VILOYATI TAYLOQ TUMANI NAYMAN MFY JASORAT KUCHASI 1-UY</t>
        </is>
      </c>
      <c r="H541" s="99">
        <v>13.0</v>
      </c>
      <c r="I541" s="99">
        <v>2218726.71</v>
      </c>
    </row>
    <row r="542">
      <c r="A542" s="98" t="inlineStr">
        <is>
          <t xml:space="preserve">САМАРКАНД ВИЛОЯТИ</t>
        </is>
      </c>
      <c r="C542" s="98" t="inlineStr">
        <is>
          <t xml:space="preserve">Недозвон</t>
        </is>
      </c>
      <c r="D542" s="98" t="inlineStr">
        <is>
          <t xml:space="preserve">Кр-99042992-1</t>
        </is>
      </c>
      <c r="E542" s="98" t="inlineStr">
        <is>
          <t xml:space="preserve">JONUZOQOV MIRZOHID G’OFUR O’G’LI</t>
        </is>
      </c>
      <c r="F542" s="98" t="inlineStr">
        <is>
          <t xml:space="preserve">+998913309695 SMS UZI, 998938569795 TURMUSH URTOGI, 998938579895 UZI 2 NOMERI, 998972973262 UKASI,</t>
        </is>
      </c>
      <c r="G542" s="98" t="inlineStr">
        <is>
          <t xml:space="preserve">НУГАЙ МФЙ, НУГАЙ ҚИШЛОҒИ,  uy:Р/С</t>
        </is>
      </c>
      <c r="H542" s="99">
        <v>8.0</v>
      </c>
      <c r="I542" s="99">
        <v>2217160.65</v>
      </c>
    </row>
    <row r="543">
      <c r="A543" s="98" t="inlineStr">
        <is>
          <t xml:space="preserve">САМАРКАНД ВИЛОЯТИ</t>
        </is>
      </c>
      <c r="C543" s="98" t="inlineStr">
        <is>
          <t xml:space="preserve">Недозвон</t>
        </is>
      </c>
      <c r="D543" s="98" t="inlineStr">
        <is>
          <t xml:space="preserve">Кр-99035817-5</t>
        </is>
      </c>
      <c r="E543" s="98" t="inlineStr">
        <is>
          <t xml:space="preserve">TURDIYEV FARIDUN MARDONKULOVICH</t>
        </is>
      </c>
      <c r="F543" s="98" t="inlineStr">
        <is>
          <t xml:space="preserve">998995886001 SMS OZI, 998953460102 SMS OZI, 998953460112 SMS OTASI, 998997377768 SMS AYOLI, +998995886001 SMS OZI,</t>
        </is>
      </c>
      <c r="G543" s="98" t="inlineStr">
        <is>
          <t xml:space="preserve">SAMARQAND VILOYATI SAMARQAND SHAHARI XO’JAQISHLOQ MFY LOCHIN KO’CHASI  BIRINCHI YULAK 3-UY</t>
        </is>
      </c>
      <c r="H543" s="99">
        <v>8.0</v>
      </c>
      <c r="I543" s="99">
        <v>2201323.23</v>
      </c>
    </row>
    <row r="544">
      <c r="A544" s="98" t="inlineStr">
        <is>
          <t xml:space="preserve">САМАРКАНД ВИЛОЯТИ</t>
        </is>
      </c>
      <c r="C544" s="98" t="inlineStr">
        <is>
          <t xml:space="preserve">Недозвон</t>
        </is>
      </c>
      <c r="D544" s="98" t="inlineStr">
        <is>
          <t xml:space="preserve">Кр-99049192-3</t>
        </is>
      </c>
      <c r="E544" s="98" t="inlineStr">
        <is>
          <t xml:space="preserve">ASLAMOV SARDOR AMRIDDINOVICH</t>
        </is>
      </c>
      <c r="F544" s="98" t="inlineStr">
        <is>
          <t xml:space="preserve">+998770240797 SMS OZI, 998770564141 SMA UYI, 998941292652 SMS OZI 2, 998997700246 SMS UKASI,</t>
        </is>
      </c>
      <c r="G544" s="98" t="inlineStr">
        <is>
          <t xml:space="preserve">Самаркандская область, Нурабадский район, Сазаган ССГ, ул. Сазағон-1, дом 67-уй</t>
        </is>
      </c>
      <c r="H544" s="99">
        <v>8.0</v>
      </c>
      <c r="I544" s="99">
        <v>2199693.01</v>
      </c>
    </row>
    <row r="545">
      <c r="A545" s="98" t="inlineStr">
        <is>
          <t xml:space="preserve">САМАРКАНД ВИЛОЯТИ</t>
        </is>
      </c>
      <c r="C545" s="98" t="inlineStr">
        <is>
          <t xml:space="preserve">Недозвон</t>
        </is>
      </c>
      <c r="D545" s="98" t="inlineStr">
        <is>
          <t xml:space="preserve">Кр-99018831-4</t>
        </is>
      </c>
      <c r="E545" s="98" t="inlineStr">
        <is>
          <t xml:space="preserve">XAYDAROVA GULNOZA XASANBAYEVNA</t>
        </is>
      </c>
      <c r="F545" s="98" t="inlineStr">
        <is>
          <t xml:space="preserve">94-245-79-57 SMS UZI, 94-182-79-57 SMS UZI 2, 91-708-18-83 SMS UYI, 91-708-18-87 SMS O’G’LI,</t>
        </is>
      </c>
      <c r="G545" s="98" t="inlineStr">
        <is>
          <t xml:space="preserve">SAMARQAND VILOYATI JOMBOY TUMANI SOXIBKOR MFY ERGANAKLI QISHLOG’I </t>
        </is>
      </c>
      <c r="H545" s="99">
        <v>1.0</v>
      </c>
      <c r="I545" s="99">
        <v>2199306.85</v>
      </c>
    </row>
    <row r="546">
      <c r="A546" s="98" t="inlineStr">
        <is>
          <t xml:space="preserve">САМАРКАНД ВИЛОЯТИ</t>
        </is>
      </c>
      <c r="C546" s="98" t="inlineStr">
        <is>
          <t xml:space="preserve">Недозвон</t>
        </is>
      </c>
      <c r="D546" s="98" t="inlineStr">
        <is>
          <t xml:space="preserve">Кр-99049630-1</t>
        </is>
      </c>
      <c r="E546" s="98" t="inlineStr">
        <is>
          <t xml:space="preserve">KARIMOV JAXONGIR KILICHBEKOVICH</t>
        </is>
      </c>
      <c r="F546" s="98" t="inlineStr">
        <is>
          <t xml:space="preserve">+998507264646 SMS OZI, 998933497271 SMS OZI 2, 998938371505 SMS AKASI,</t>
        </is>
      </c>
      <c r="G546" s="98" t="inlineStr">
        <is>
          <t xml:space="preserve">SAMARQAND VILOYATI JOMBOY TUMANI TUT MFY</t>
        </is>
      </c>
      <c r="H546" s="99">
        <v>8.0</v>
      </c>
      <c r="I546" s="99">
        <v>2197015.73</v>
      </c>
    </row>
    <row r="547">
      <c r="A547" s="98" t="inlineStr">
        <is>
          <t xml:space="preserve">САМАРКАНД ВИЛОЯТИ</t>
        </is>
      </c>
      <c r="C547" s="98" t="inlineStr">
        <is>
          <t xml:space="preserve">Недозвон</t>
        </is>
      </c>
      <c r="D547" s="98" t="inlineStr">
        <is>
          <t xml:space="preserve">Кр-99036674-4</t>
        </is>
      </c>
      <c r="E547" s="98" t="inlineStr">
        <is>
          <t xml:space="preserve">ZOKIROV LAZIZBEK ULUG’BEK O’G’LI</t>
        </is>
      </c>
      <c r="F547" s="98" t="inlineStr">
        <is>
          <t xml:space="preserve">998935446351 SMS O’ZI, 998995546351 SMS OZI 2, 998500256351 SMS AYOLI, 998942825358 SMS UKASI,</t>
        </is>
      </c>
      <c r="G547" s="98" t="inlineStr">
        <is>
          <t xml:space="preserve">SAMARQAND VILOYATI KATTAQO’RG’ON TUMANI OMONBOY KUPRIK MFY IFTIXOR KUCHASI</t>
        </is>
      </c>
      <c r="H547" s="99">
        <v>8.0</v>
      </c>
      <c r="I547" s="99">
        <v>2145846.6</v>
      </c>
    </row>
    <row r="548">
      <c r="A548" s="98" t="inlineStr">
        <is>
          <t xml:space="preserve">САМАРКАНД ВИЛОЯТИ</t>
        </is>
      </c>
      <c r="C548" s="98" t="inlineStr">
        <is>
          <t xml:space="preserve">Объезд</t>
        </is>
      </c>
      <c r="D548" s="98" t="inlineStr">
        <is>
          <t xml:space="preserve">Кр-99027921-1</t>
        </is>
      </c>
      <c r="E548" s="98" t="inlineStr">
        <is>
          <t xml:space="preserve">MIRASHIMOVA BASHORAT ORTIQOVNA</t>
        </is>
      </c>
      <c r="F548" s="98" t="inlineStr">
        <is>
          <t xml:space="preserve">97-915-12-67  SMS OZI, 97-926-65-85  SMS OGLI, 97-931-00-85  SMS KATTA OGLI, 97-405-24-91  SMS KELINI, 998994270066 ogli bic ,</t>
        </is>
      </c>
      <c r="G548" s="98" t="inlineStr">
        <is>
          <t xml:space="preserve">SAMARQAND VVILOYATI QO'SHROBOT TUMANI JO'SH OTA MFY JO'SH QFY</t>
        </is>
      </c>
      <c r="H548" s="99">
        <v>1.0</v>
      </c>
      <c r="I548" s="99">
        <v>2023323.43</v>
      </c>
      <c r="J548" s="99">
        <v>2023323.43</v>
      </c>
      <c r="K548" s="98" t="inlineStr">
        <is>
          <t xml:space="preserve">Uyiga borildi - to'ladi | yopildi</t>
        </is>
      </c>
    </row>
    <row r="549">
      <c r="A549" s="98" t="inlineStr">
        <is>
          <t xml:space="preserve">САМАРКАНД ВИЛОЯТИ</t>
        </is>
      </c>
      <c r="C549" s="98" t="inlineStr">
        <is>
          <t xml:space="preserve">Объезд</t>
        </is>
      </c>
      <c r="D549" s="98" t="inlineStr">
        <is>
          <t xml:space="preserve">Кр-99040775-1</t>
        </is>
      </c>
      <c r="E549" s="98" t="inlineStr">
        <is>
          <t xml:space="preserve">UMIRZOQOV JASURBEK NEYATULLO O’G’LI</t>
        </is>
      </c>
      <c r="F549" s="98" t="inlineStr">
        <is>
          <t xml:space="preserve">998773446252 SMS OZI, 998771353464 SMS UKASI, 998930833517 SMS  DADASI, 998940140909 SMS UY, 998773446252 SMS OZI,</t>
        </is>
      </c>
      <c r="G549" s="98" t="inlineStr">
        <is>
          <t xml:space="preserve">ISHTIXON TUMANI</t>
        </is>
      </c>
      <c r="H549" s="99">
        <v>8.0</v>
      </c>
      <c r="I549" s="99">
        <v>1967467.83</v>
      </c>
      <c r="K549" s="98" t="inlineStr">
        <is>
          <t xml:space="preserve">Uyiga borildi - va'da berdi | uyiga borildi</t>
        </is>
      </c>
    </row>
    <row r="550">
      <c r="A550" s="98" t="inlineStr">
        <is>
          <t xml:space="preserve">САМАРКАНД ВИЛОЯТИ</t>
        </is>
      </c>
      <c r="C550" s="98" t="inlineStr">
        <is>
          <t xml:space="preserve">Недозвон</t>
        </is>
      </c>
      <c r="D550" s="98" t="inlineStr">
        <is>
          <t xml:space="preserve">Кр-99036059-1</t>
        </is>
      </c>
      <c r="E550" s="98" t="inlineStr">
        <is>
          <t xml:space="preserve">SINDAROVA SHAXRINISO ANVAROVNA</t>
        </is>
      </c>
      <c r="F550" s="98" t="inlineStr">
        <is>
          <t xml:space="preserve">998951923051 SMS O’ZI, 998932380012 SMS XAMKASBI, 998903314201 SMS XAMKASBI 2, 998972020301 SMS QARINDOSHI,</t>
        </is>
      </c>
      <c r="G550" s="98" t="inlineStr">
        <is>
          <t xml:space="preserve">SAMARQAND VILOYATI PAYARIQ TUMANI BO’STON O’YMOVUT Q/Q</t>
        </is>
      </c>
      <c r="H550" s="99">
        <v>1.0</v>
      </c>
      <c r="I550" s="99">
        <v>1916997.24</v>
      </c>
    </row>
    <row r="551">
      <c r="A551" s="98" t="inlineStr">
        <is>
          <t xml:space="preserve">САМАРКАНД ВИЛОЯТИ</t>
        </is>
      </c>
      <c r="C551" s="98" t="inlineStr">
        <is>
          <t xml:space="preserve">Недозвон</t>
        </is>
      </c>
      <c r="D551" s="98" t="inlineStr">
        <is>
          <t xml:space="preserve">Кр-99052969-1</t>
        </is>
      </c>
      <c r="E551" s="98" t="inlineStr">
        <is>
          <t xml:space="preserve">BERDIYEV G’OLIB ELMURATOVICH</t>
        </is>
      </c>
      <c r="F551" s="98" t="inlineStr">
        <is>
          <t xml:space="preserve">998902703815 SMS OZI, 998934908907 SMS QIZI, 998944498087 SMS AYOLI, 998935515209 SMS O`G`LI, 998902703815 SMS OZI,</t>
        </is>
      </c>
      <c r="G551" s="98" t="inlineStr">
        <is>
          <t xml:space="preserve">SAMARQAND VILOYATI PASTDARG'OM TUMANI PARCHA CHANDIR MFY SHIFO NUR KUCHASI 12-UY</t>
        </is>
      </c>
      <c r="H551" s="99">
        <v>8.0</v>
      </c>
      <c r="I551" s="99">
        <v>1892110.45</v>
      </c>
    </row>
    <row r="552">
      <c r="A552" s="98" t="inlineStr">
        <is>
          <t xml:space="preserve">САМАРКАНД ВИЛОЯТИ</t>
        </is>
      </c>
      <c r="C552" s="98" t="inlineStr">
        <is>
          <t xml:space="preserve">Недозвон</t>
        </is>
      </c>
      <c r="D552" s="98" t="inlineStr">
        <is>
          <t xml:space="preserve">Кр-99044329-1</t>
        </is>
      </c>
      <c r="E552" s="98" t="inlineStr">
        <is>
          <t xml:space="preserve">ALIXONOV AKOBIRXON SHEROZJON O’G’LI</t>
        </is>
      </c>
      <c r="F552" s="98" t="inlineStr">
        <is>
          <t xml:space="preserve">+998957100776 Primary phone from road24, 998957100776 Primary phone from road24, +998985753505 SMS OZI, 998770720710 SMS OZI 2, 998950040117 SMS UYI,</t>
        </is>
      </c>
      <c r="G552" s="98" t="inlineStr">
        <is>
          <t xml:space="preserve">SAMARQAND VILOYATI SAMARQAND SHAHAR PANJOB MFY TAMDINSKAYA  1 TOR KUCHASI 18-UY</t>
        </is>
      </c>
      <c r="H552" s="99">
        <v>8.0</v>
      </c>
      <c r="I552" s="99">
        <v>1869124.77</v>
      </c>
    </row>
    <row r="553">
      <c r="A553" s="98" t="inlineStr">
        <is>
          <t xml:space="preserve">САМАРКАНД ВИЛОЯТИ</t>
        </is>
      </c>
      <c r="C553" s="98" t="inlineStr">
        <is>
          <t xml:space="preserve">Недозвон</t>
        </is>
      </c>
      <c r="D553" s="98" t="inlineStr">
        <is>
          <t xml:space="preserve">Кр-99050656-2</t>
        </is>
      </c>
      <c r="E553" s="98" t="inlineStr">
        <is>
          <t xml:space="preserve">BERDIMURODOV NUMONJON KOMILJONOVICH</t>
        </is>
      </c>
      <c r="F553" s="98" t="inlineStr">
        <is>
          <t xml:space="preserve">+998939705584 SMS OZI, 998770530720 SMS UYI, 998933599647 SMS AYOLI, 998997189688 SMS ZALOGADATEL,</t>
        </is>
      </c>
      <c r="G553" s="98" t="inlineStr">
        <is>
          <t xml:space="preserve">SAMARQAND VILOYATI PAYARIQ TUMANI ZARAFSHON MFY KASHFIYOT 49-UY</t>
        </is>
      </c>
      <c r="I553" s="99">
        <v>1852074.84</v>
      </c>
    </row>
    <row r="554">
      <c r="A554" s="98" t="inlineStr">
        <is>
          <t xml:space="preserve">САМАРКАНД ВИЛОЯТИ</t>
        </is>
      </c>
      <c r="C554" s="98" t="inlineStr">
        <is>
          <t xml:space="preserve">Недозвон</t>
        </is>
      </c>
      <c r="D554" s="98" t="inlineStr">
        <is>
          <t xml:space="preserve">Кр-99041918-2</t>
        </is>
      </c>
      <c r="E554" s="98" t="inlineStr">
        <is>
          <t xml:space="preserve">TURSUNOV G’AYRAT DAVLATOVICH</t>
        </is>
      </c>
      <c r="F554" s="98" t="inlineStr">
        <is>
          <t xml:space="preserve">+998884706797 SMS OZI BEGONA , 998883932255 UKASI, 998951833829 SMS ZALOGADATEL, 998981303304 SMS JIYANI,</t>
        </is>
      </c>
      <c r="G554" s="98" t="inlineStr">
        <is>
          <t xml:space="preserve">SAMARQAND VILOYATI URGUT TUMANI  KATTA KAMONGARON MFY XUJAAXROR 55-UY</t>
        </is>
      </c>
      <c r="H554" s="99">
        <v>8.0</v>
      </c>
      <c r="I554" s="99">
        <v>1791206.98</v>
      </c>
    </row>
    <row r="555">
      <c r="A555" s="98" t="inlineStr">
        <is>
          <t xml:space="preserve">САМАРКАНД ВИЛОЯТИ</t>
        </is>
      </c>
      <c r="C555" s="98" t="inlineStr">
        <is>
          <t xml:space="preserve">Объезд</t>
        </is>
      </c>
      <c r="D555" s="98" t="inlineStr">
        <is>
          <t xml:space="preserve">Кр-99007936-14</t>
        </is>
      </c>
      <c r="E555" s="98" t="inlineStr">
        <is>
          <t xml:space="preserve">MAMASHARIPOV UTKIR MAMARZAYEVICH</t>
        </is>
      </c>
      <c r="F555" s="98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555" s="98" t="inlineStr">
        <is>
          <t xml:space="preserve">SAMARQAND VILOYATI OQDARYO TUMANI A.TEMUR MFY KALLAR QISHLOG’I</t>
        </is>
      </c>
      <c r="H555" s="99">
        <v>8.0</v>
      </c>
      <c r="I555" s="99">
        <v>1772928.68</v>
      </c>
      <c r="K555" s="98" t="inlineStr">
        <is>
          <t xml:space="preserve">Uyiga borildi - va'da berdi</t>
        </is>
      </c>
    </row>
    <row r="556">
      <c r="A556" s="98" t="inlineStr">
        <is>
          <t xml:space="preserve">САМАРКАНД ВИЛОЯТИ</t>
        </is>
      </c>
      <c r="C556" s="98" t="inlineStr">
        <is>
          <t xml:space="preserve">Недозвон</t>
        </is>
      </c>
      <c r="D556" s="98" t="inlineStr">
        <is>
          <t xml:space="preserve">Кр-99041312-1</t>
        </is>
      </c>
      <c r="E556" s="98" t="inlineStr">
        <is>
          <t xml:space="preserve">XO’JAYEV G’AYRAT AMONTURDIYEVICH</t>
        </is>
      </c>
      <c r="F556" s="98" t="inlineStr">
        <is>
          <t xml:space="preserve">+998999818643 SMS OZI, 998909298903 SMS UKASI, 998990743194 SMS QAYNISI, 998996118822 SMS AYOLI,</t>
        </is>
      </c>
      <c r="G556" s="98" t="inlineStr">
        <is>
          <t xml:space="preserve">Тошкент Вилояти Зангиота Тумани Абдужалил боб МФЙ, Матрудий кучаси, 15-уй</t>
        </is>
      </c>
      <c r="H556" s="99">
        <v>8.0</v>
      </c>
      <c r="I556" s="99">
        <v>1768447.6</v>
      </c>
    </row>
    <row r="557">
      <c r="A557" s="98" t="inlineStr">
        <is>
          <t xml:space="preserve">САМАРКАНД ВИЛОЯТИ</t>
        </is>
      </c>
      <c r="C557" s="98" t="inlineStr">
        <is>
          <t xml:space="preserve">Недозвон</t>
        </is>
      </c>
      <c r="D557" s="98" t="inlineStr">
        <is>
          <t xml:space="preserve">Кр-99053428-1</t>
        </is>
      </c>
      <c r="E557" s="98" t="inlineStr">
        <is>
          <t xml:space="preserve">MELIBOYEVA AZIZA AZIMJONOVNA</t>
        </is>
      </c>
      <c r="F557" s="98" t="inlineStr">
        <is>
          <t xml:space="preserve">998944291093 SMS OZI, 998945222790 SMS ERI, 998902830777 SMS UYI, 998948059212 SMS QIZI, 998944291093 SMS QIZI,</t>
        </is>
      </c>
      <c r="G557" s="98" t="inlineStr">
        <is>
          <t xml:space="preserve">SAMARQAND VILOYATI NARPAY TUMANI UMID MFY UMID KUCHASI 4-UY</t>
        </is>
      </c>
      <c r="H557" s="99">
        <v>8.0</v>
      </c>
      <c r="I557" s="99">
        <v>1763365.52</v>
      </c>
    </row>
    <row r="558">
      <c r="A558" s="98" t="inlineStr">
        <is>
          <t xml:space="preserve">САМАРКАНД ВИЛОЯТИ</t>
        </is>
      </c>
      <c r="C558" s="98" t="inlineStr">
        <is>
          <t xml:space="preserve">Недозвон</t>
        </is>
      </c>
      <c r="D558" s="98" t="inlineStr">
        <is>
          <t xml:space="preserve">Кр-99040012-1</t>
        </is>
      </c>
      <c r="E558" s="98" t="inlineStr">
        <is>
          <t xml:space="preserve">QURBONOVA MOXIGUL MELIQULOVNA</t>
        </is>
      </c>
      <c r="F558" s="98" t="inlineStr">
        <is>
          <t xml:space="preserve">999895870313 SMS OZI, 998889384114 SMS ERI, 998883670313 SMS OGLI, 998993764700 SMS UYI,</t>
        </is>
      </c>
      <c r="G558" s="98" t="inlineStr">
        <is>
          <t xml:space="preserve">SAMARQAND VILOYATI URGUT TUMANI QORATEPA MFY QUZICHI QISHLOG'I </t>
        </is>
      </c>
      <c r="I558" s="99">
        <v>1732924.96</v>
      </c>
    </row>
    <row r="559">
      <c r="A559" s="98" t="inlineStr">
        <is>
          <t xml:space="preserve">САМАРКАНД ВИЛОЯТИ</t>
        </is>
      </c>
      <c r="C559" s="98" t="inlineStr">
        <is>
          <t xml:space="preserve">Недозвон</t>
        </is>
      </c>
      <c r="D559" s="98" t="inlineStr">
        <is>
          <t xml:space="preserve">Кр-99025772-8</t>
        </is>
      </c>
      <c r="E559" s="98" t="inlineStr">
        <is>
          <t xml:space="preserve">SHAROPOV SHERZOD O’RUNOVICH</t>
        </is>
      </c>
      <c r="F559" s="98" t="inlineStr">
        <is>
          <t xml:space="preserve">99-193-84-84  SMS UZI, 90-600-66-78 SMS ZALOGADATEL, 90-600-66-78 SMS UYI, 99-161-66-78  SMS UKASI 2, +998991938484 SMS OZI,</t>
        </is>
      </c>
      <c r="G559" s="98" t="inlineStr">
        <is>
          <t xml:space="preserve">SAMARQAND VILOYATI URGUT TUMANI DUSTLIK MFY A.TEMUR KUCHASI 83-UY</t>
        </is>
      </c>
      <c r="H559" s="99">
        <v>11.0</v>
      </c>
      <c r="I559" s="99">
        <v>1716553.76</v>
      </c>
    </row>
    <row r="560">
      <c r="A560" s="98" t="inlineStr">
        <is>
          <t xml:space="preserve">САМАРКАНД ВИЛОЯТИ</t>
        </is>
      </c>
      <c r="C560" s="98" t="inlineStr">
        <is>
          <t xml:space="preserve">Недозвон</t>
        </is>
      </c>
      <c r="D560" s="98" t="inlineStr">
        <is>
          <t xml:space="preserve">Кр-99040926-1</t>
        </is>
      </c>
      <c r="E560" s="98" t="inlineStr">
        <is>
          <t xml:space="preserve">ABDIVALIYEVA IRODA URAQOVNA</t>
        </is>
      </c>
      <c r="F560" s="98" t="inlineStr">
        <is>
          <t xml:space="preserve">+998993827337 SMS OZI, 998701085409 SMS OPASI, 998945378668 SMS UZI 2, 998993837337 SMS ERI,</t>
        </is>
      </c>
      <c r="G560" s="98" t="inlineStr">
        <is>
          <t xml:space="preserve">А.НАВОИЙ ҚФЙ, ЯНГИОБОД МФЙ, МУЗОН ҚИШЛОҒИ,  uy:Р/С</t>
        </is>
      </c>
      <c r="H560" s="99">
        <v>13.0</v>
      </c>
      <c r="I560" s="99">
        <v>1706849.66</v>
      </c>
    </row>
    <row r="561">
      <c r="A561" s="98" t="inlineStr">
        <is>
          <t xml:space="preserve">САМАРКАНД ВИЛОЯТИ</t>
        </is>
      </c>
      <c r="C561" s="98" t="inlineStr">
        <is>
          <t xml:space="preserve">Недозвон</t>
        </is>
      </c>
      <c r="D561" s="98" t="inlineStr">
        <is>
          <t xml:space="preserve">Кр-99049697-1</t>
        </is>
      </c>
      <c r="E561" s="98" t="inlineStr">
        <is>
          <t xml:space="preserve">YUSUPOV NURSULTON QIRG’IZBOY O’G’LI</t>
        </is>
      </c>
      <c r="F561" s="98" t="inlineStr">
        <is>
          <t xml:space="preserve">998770665195 SMS OZI, 998933551673 SMS AKASI, 998947534666 SMS UKASI, 998947534667 SM AYOLI,</t>
        </is>
      </c>
      <c r="G561" s="98" t="inlineStr">
        <is>
          <t xml:space="preserve">SAMARQAND VILOYATI URGUT TUMANI QIZILBOSH MFY SOY BUYI KUCHASI 58- UY</t>
        </is>
      </c>
      <c r="H561" s="99">
        <v>8.0</v>
      </c>
      <c r="I561" s="99">
        <v>1694747.83</v>
      </c>
    </row>
    <row r="562">
      <c r="A562" s="98" t="inlineStr">
        <is>
          <t xml:space="preserve">САМАРКАНД ВИЛОЯТИ</t>
        </is>
      </c>
      <c r="C562" s="98" t="inlineStr">
        <is>
          <t xml:space="preserve">Недозвон</t>
        </is>
      </c>
      <c r="D562" s="98" t="inlineStr">
        <is>
          <t xml:space="preserve">Кр-99010746-3</t>
        </is>
      </c>
      <c r="E562" s="98" t="inlineStr">
        <is>
          <t xml:space="preserve">AXMEDOVA JAMILA ADILOVNA</t>
        </is>
      </c>
      <c r="F562" s="98" t="inlineStr">
        <is>
          <t xml:space="preserve">99-447-40-78 SMS, 93-334-79-19  SMS UKASI, 99-056-85-11  SMS ERI, 93-350-60-65  SMS AKASI, 95-557-11-85 sms ozi, 93-638-38-53  SMS OPASI, +998955571185 SMS OZI, 998333522627 SMS UYI, 998339850816 SMS OZI 2, 998940304433 SMS UKASI,</t>
        </is>
      </c>
      <c r="G562" s="98" t="inlineStr">
        <is>
          <t xml:space="preserve">SAMARQAND VILOYATI TAYLOQ TUMANI G’ULBA MFY KATTADARG’OM KUCHASI 66-UY</t>
        </is>
      </c>
      <c r="H562" s="99">
        <v>8.0</v>
      </c>
      <c r="I562" s="99">
        <v>1653399.12</v>
      </c>
      <c r="K562" s="98" t="inlineStr">
        <is>
          <t xml:space="preserve">Telefon ko'tarmadi</t>
        </is>
      </c>
    </row>
    <row r="563">
      <c r="A563" s="98" t="inlineStr">
        <is>
          <t xml:space="preserve">САМАРКАНД ВИЛОЯТИ</t>
        </is>
      </c>
      <c r="C563" s="98" t="inlineStr">
        <is>
          <t xml:space="preserve">Недозвон</t>
        </is>
      </c>
      <c r="D563" s="98" t="inlineStr">
        <is>
          <t xml:space="preserve">Кр-99039207-2</t>
        </is>
      </c>
      <c r="E563" s="98" t="inlineStr">
        <is>
          <t xml:space="preserve">MOVLONOV RAHIMJON MURODJON O’G’LI</t>
        </is>
      </c>
      <c r="F563" s="98" t="inlineStr">
        <is>
          <t xml:space="preserve">998331005091 SMS UZI, 998947454504 SMS UKASI, 998771219609 SMS JIYANI, 998770742777 SMS UYI, +998331005091 SMS OZI,</t>
        </is>
      </c>
      <c r="G563" s="98" t="inlineStr">
        <is>
          <t xml:space="preserve">SAMARQAND VILOYATI URGUT TUMANI SARIQTEPQ MFY CHAMANZOR KUCHASI 25-UY</t>
        </is>
      </c>
      <c r="H563" s="99">
        <v>8.0</v>
      </c>
      <c r="I563" s="99">
        <v>1463964.25</v>
      </c>
    </row>
    <row r="564">
      <c r="A564" s="98" t="inlineStr">
        <is>
          <t xml:space="preserve">САМАРКАНД ВИЛОЯТИ</t>
        </is>
      </c>
      <c r="C564" s="98" t="inlineStr">
        <is>
          <t xml:space="preserve">Объезд</t>
        </is>
      </c>
      <c r="D564" s="98" t="inlineStr">
        <is>
          <t xml:space="preserve">Кр-99044880-1</t>
        </is>
      </c>
      <c r="E564" s="98" t="inlineStr">
        <is>
          <t xml:space="preserve">SHAMSUTDINOV ALIBEK AMRITDIN O’G’LI</t>
        </is>
      </c>
      <c r="F564" s="98" t="inlineStr">
        <is>
          <t xml:space="preserve">+998775030831 SMS OZI, 998889181101 SMS AKASI, 998915294327 SMS UYI, 998990840360 SMS APASI,</t>
        </is>
      </c>
      <c r="G564" s="98" t="inlineStr">
        <is>
          <t xml:space="preserve">SAMARQAND VILOYATI PASTDARG’OM TUMANI JAG’OLBOYLI MFY JAG’OLBOYLI KUCHASI 16-UY</t>
        </is>
      </c>
      <c r="H564" s="99">
        <v>8.0</v>
      </c>
      <c r="I564" s="99">
        <v>1401165.06</v>
      </c>
      <c r="J564" s="99">
        <v>1401165.06</v>
      </c>
      <c r="K564" s="98" t="inlineStr">
        <is>
          <t xml:space="preserve">Uyiga borildi - to'ladi | yopildui</t>
        </is>
      </c>
    </row>
    <row r="565">
      <c r="A565" s="98" t="inlineStr">
        <is>
          <t xml:space="preserve">САМАРКАНД ВИЛОЯТИ</t>
        </is>
      </c>
      <c r="C565" s="98" t="inlineStr">
        <is>
          <t xml:space="preserve">Недозвон</t>
        </is>
      </c>
      <c r="D565" s="98" t="inlineStr">
        <is>
          <t xml:space="preserve">Кр-99035506-3</t>
        </is>
      </c>
      <c r="E565" s="98" t="inlineStr">
        <is>
          <t xml:space="preserve">ERGASHEV FURKAT NUMONOVICH</t>
        </is>
      </c>
      <c r="F565" s="98" t="inlineStr">
        <is>
          <t xml:space="preserve">998906032929 SMS OZI, 998996202929 SMS OZI, 998975780005 SMS OGLI, 998995871818 SMS OGLI, 998977777779 укаси , 998880004020 sms ug`li , +998996202929 SMS OZI, 998996632929 SMS AYOLI,</t>
        </is>
      </c>
      <c r="G565" s="98" t="inlineStr">
        <is>
          <t xml:space="preserve">SAMARQAND TUMANI JOY SOY MFY SAMARQAND DARVOZA KO’CHASI 107-UY</t>
        </is>
      </c>
      <c r="H565" s="99">
        <v>8.0</v>
      </c>
      <c r="I565" s="99">
        <v>1343960.69</v>
      </c>
      <c r="K565" s="98" t="inlineStr">
        <is>
          <t xml:space="preserve">Telefon ko'tarmadi</t>
        </is>
      </c>
    </row>
    <row r="566">
      <c r="A566" s="98" t="inlineStr">
        <is>
          <t xml:space="preserve">САМАРКАНД ВИЛОЯТИ</t>
        </is>
      </c>
      <c r="C566" s="98" t="inlineStr">
        <is>
          <t xml:space="preserve">Недозвон</t>
        </is>
      </c>
      <c r="D566" s="98" t="inlineStr">
        <is>
          <t xml:space="preserve">Кр-99038807-1</t>
        </is>
      </c>
      <c r="E566" s="98" t="inlineStr">
        <is>
          <t xml:space="preserve">ABDULLAYEV JAHONGIR NASIRILLO O’G’LI</t>
        </is>
      </c>
      <c r="F566" s="98" t="inlineStr">
        <is>
          <t xml:space="preserve">998881721414 SMS O’ZI, 998958331418 SMS AYOLI M, 998901987711 SMS AKASI, 998907426937 SMS UY, +998881721414 SMS OZI, 998939940478 SMS JURASI,</t>
        </is>
      </c>
      <c r="G566" s="98" t="inlineStr">
        <is>
          <t xml:space="preserve">SAMARQAND VILOYATI JONBOY TUMANI SHODLIK MFY</t>
        </is>
      </c>
      <c r="H566" s="99">
        <v>4.0</v>
      </c>
      <c r="I566" s="99">
        <v>1343781.47</v>
      </c>
    </row>
    <row r="567">
      <c r="A567" s="98" t="inlineStr">
        <is>
          <t xml:space="preserve">САМАРКАНД ВИЛОЯТИ</t>
        </is>
      </c>
      <c r="C567" s="98" t="inlineStr">
        <is>
          <t xml:space="preserve">Недозвон</t>
        </is>
      </c>
      <c r="D567" s="98" t="inlineStr">
        <is>
          <t xml:space="preserve">Кр-99044880-2</t>
        </is>
      </c>
      <c r="E567" s="98" t="inlineStr">
        <is>
          <t xml:space="preserve">SHAMSUTDINOV ALIBEK AMRITDIN O’G’LI</t>
        </is>
      </c>
      <c r="F567" s="98" t="inlineStr">
        <is>
          <t xml:space="preserve">+998775030831 SMS OZI, 998889181101 SMS AKASI, 998915294327 SMS UYI, 998990840360 SMS APASI,</t>
        </is>
      </c>
      <c r="G567" s="98" t="inlineStr">
        <is>
          <t xml:space="preserve">SAMARQAND VILOYATI PASTDARG’OM TUMANI JAG’OLBOYLI MFY JAG’OLBOYLI KUCHASI 16-UY</t>
        </is>
      </c>
      <c r="H567" s="99">
        <v>8.0</v>
      </c>
      <c r="I567" s="99">
        <v>1338546.84</v>
      </c>
    </row>
    <row r="568">
      <c r="A568" s="98" t="inlineStr">
        <is>
          <t xml:space="preserve">САМАРКАНД ВИЛОЯТИ</t>
        </is>
      </c>
      <c r="C568" s="98" t="inlineStr">
        <is>
          <t xml:space="preserve">Недозвон</t>
        </is>
      </c>
      <c r="D568" s="98" t="inlineStr">
        <is>
          <t xml:space="preserve">Кр-99028617-5</t>
        </is>
      </c>
      <c r="E568" s="98" t="inlineStr">
        <is>
          <t xml:space="preserve">KUSHVAKTOVA ADOLAT SADULLAYEVNA</t>
        </is>
      </c>
      <c r="F568" s="98" t="inlineStr">
        <is>
          <t xml:space="preserve">94-118-88-18 SMS UKASI, 99-504-89-51 SMS UZI, 77-336-03-83 SMS KELINI, 33-582-20-29 SMS AYOLI 2,</t>
        </is>
      </c>
      <c r="G568" s="98" t="inlineStr">
        <is>
          <t xml:space="preserve">SAMARQAND VILOYATI PAYARIQ TUMANI FIDOKOR MFY RAXAT KUCHASI 50-UY</t>
        </is>
      </c>
      <c r="H568" s="99">
        <v>8.0</v>
      </c>
      <c r="I568" s="99">
        <v>1326547.48</v>
      </c>
    </row>
    <row r="569">
      <c r="A569" s="98" t="inlineStr">
        <is>
          <t xml:space="preserve">САМАРКАНД ВИЛОЯТИ</t>
        </is>
      </c>
      <c r="C569" s="98" t="inlineStr">
        <is>
          <t xml:space="preserve">Недозвон</t>
        </is>
      </c>
      <c r="D569" s="98" t="inlineStr">
        <is>
          <t xml:space="preserve">Кр-99028617-4</t>
        </is>
      </c>
      <c r="E569" s="98" t="inlineStr">
        <is>
          <t xml:space="preserve">KUSHVAKTOVA ADOLAT SADULLAYEVNA</t>
        </is>
      </c>
      <c r="F569" s="98" t="inlineStr">
        <is>
          <t xml:space="preserve">94-118-88-18 SMS UKASI, 99-504-89-51 SMS UZI, 77-336-03-83 SMS KELINI, 33-582-20-29 SMS AYOLI 2,</t>
        </is>
      </c>
      <c r="G569" s="98" t="inlineStr">
        <is>
          <t xml:space="preserve">SAMARQAND VILOYATI PAYARIQ TUMANI FIDOKOR MFY RAXAT KUCHASI 50-UY</t>
        </is>
      </c>
      <c r="H569" s="99">
        <v>8.0</v>
      </c>
      <c r="I569" s="99">
        <v>1267495.11</v>
      </c>
    </row>
    <row r="570">
      <c r="A570" s="98" t="inlineStr">
        <is>
          <t xml:space="preserve">САМАРКАНД ВИЛОЯТИ</t>
        </is>
      </c>
      <c r="C570" s="98" t="inlineStr">
        <is>
          <t xml:space="preserve">Недозвон</t>
        </is>
      </c>
      <c r="D570" s="98" t="inlineStr">
        <is>
          <t xml:space="preserve">Кр-99045552-2</t>
        </is>
      </c>
      <c r="E570" s="98" t="inlineStr">
        <is>
          <t xml:space="preserve">SODIQOV SAIDUMAR FURQAT O’G’LI</t>
        </is>
      </c>
      <c r="F570" s="98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570" s="98" t="inlineStr">
        <is>
          <t xml:space="preserve">SAMARQAND VILOYATI NUROBOD TUMANI MASHAL MFY DALABOG’ KUCHASI 126-UY</t>
        </is>
      </c>
      <c r="H570" s="99">
        <v>8.0</v>
      </c>
      <c r="I570" s="99">
        <v>1248278.54</v>
      </c>
    </row>
    <row r="571">
      <c r="A571" s="98" t="inlineStr">
        <is>
          <t xml:space="preserve">САМАРКАНД ВИЛОЯТИ</t>
        </is>
      </c>
      <c r="C571" s="98" t="inlineStr">
        <is>
          <t xml:space="preserve">Недозвон</t>
        </is>
      </c>
      <c r="D571" s="98" t="inlineStr">
        <is>
          <t xml:space="preserve">Кр-99025772-7</t>
        </is>
      </c>
      <c r="E571" s="98" t="inlineStr">
        <is>
          <t xml:space="preserve">SHAROPOV SHERZOD O’RUNOVICH</t>
        </is>
      </c>
      <c r="F571" s="98" t="inlineStr">
        <is>
          <t xml:space="preserve">99-193-84-84  SMS UZI, 90-600-66-78 SMS ZALOGADATEL, 90-600-66-78 SMS UYI, 99-161-66-78  SMS UKASI 2, +998991938484 SMS OZI,</t>
        </is>
      </c>
      <c r="G571" s="98" t="inlineStr">
        <is>
          <t xml:space="preserve">SAMARQAND VILOYATI URGUT TUMANI DUSTLIK MFY A.TEMUR KUCHASI 83-UY</t>
        </is>
      </c>
      <c r="I571" s="99">
        <v>1247329.17</v>
      </c>
    </row>
    <row r="572">
      <c r="A572" s="98" t="inlineStr">
        <is>
          <t xml:space="preserve">САМАРКАНД ВИЛОЯТИ</t>
        </is>
      </c>
      <c r="C572" s="98" t="inlineStr">
        <is>
          <t xml:space="preserve">Недозвон</t>
        </is>
      </c>
      <c r="D572" s="98" t="inlineStr">
        <is>
          <t xml:space="preserve">Кр-99062665-1</t>
        </is>
      </c>
      <c r="E572" s="98" t="inlineStr">
        <is>
          <t xml:space="preserve">UMMATOV BOTIR SHOBERDI O’G’LI</t>
        </is>
      </c>
      <c r="F572" s="98" t="inlineStr">
        <is>
          <t xml:space="preserve">+998979304999 SMS OZI, 998889304999 SMS OZI 2, 998973644999 SMS DADASI, 998977845657 SMS ONASI,</t>
        </is>
      </c>
      <c r="G572" s="98" t="inlineStr">
        <is>
          <t xml:space="preserve">SAMARQAND VILOYATI URGUT TUMANI G’IJDUVON MFY G’IJDUVON KUCHASI</t>
        </is>
      </c>
      <c r="H572" s="99">
        <v>8.0</v>
      </c>
      <c r="I572" s="99">
        <v>1246960.82</v>
      </c>
    </row>
    <row r="573">
      <c r="A573" s="98" t="inlineStr">
        <is>
          <t xml:space="preserve">САМАРКАНД ВИЛОЯТИ</t>
        </is>
      </c>
      <c r="C573" s="98" t="inlineStr">
        <is>
          <t xml:space="preserve">Объезд</t>
        </is>
      </c>
      <c r="D573" s="98" t="inlineStr">
        <is>
          <t xml:space="preserve">Кр-99007936-12</t>
        </is>
      </c>
      <c r="E573" s="98" t="inlineStr">
        <is>
          <t xml:space="preserve">MAMASHARIPOV UTKIR MAMARZAYEVICH</t>
        </is>
      </c>
      <c r="F573" s="98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573" s="98" t="inlineStr">
        <is>
          <t xml:space="preserve">SAMARQAND VILOYATI OQDARYO TUMANI A.TEMUR MFY KALLAR QISHLOG’I</t>
        </is>
      </c>
      <c r="H573" s="99">
        <v>8.0</v>
      </c>
      <c r="I573" s="99">
        <v>1193053.14</v>
      </c>
      <c r="K573" s="98" t="inlineStr">
        <is>
          <t xml:space="preserve">Uyiga borildi - va'da berdi</t>
        </is>
      </c>
    </row>
    <row r="574">
      <c r="A574" s="98" t="inlineStr">
        <is>
          <t xml:space="preserve">САМАРКАНД ВИЛОЯТИ</t>
        </is>
      </c>
      <c r="C574" s="98" t="inlineStr">
        <is>
          <t xml:space="preserve">Объезд</t>
        </is>
      </c>
      <c r="D574" s="98" t="inlineStr">
        <is>
          <t xml:space="preserve">Кр-99007936-11</t>
        </is>
      </c>
      <c r="E574" s="98" t="inlineStr">
        <is>
          <t xml:space="preserve">MAMASHARIPOV UTKIR MAMARZAYEVICH</t>
        </is>
      </c>
      <c r="F574" s="98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574" s="98" t="inlineStr">
        <is>
          <t xml:space="preserve">SAMARQAND VILOYATI OQDARYO TUMANI A.TEMUR MFY KALLAR QISHLOG’I</t>
        </is>
      </c>
      <c r="H574" s="99">
        <v>1.0</v>
      </c>
      <c r="I574" s="99">
        <v>1176359.03</v>
      </c>
      <c r="K574" s="98" t="inlineStr">
        <is>
          <t xml:space="preserve">Uyiga borildi - va'da berdi</t>
        </is>
      </c>
    </row>
    <row r="575">
      <c r="A575" s="98" t="inlineStr">
        <is>
          <t xml:space="preserve">САМАРКАНД ВИЛОЯТИ</t>
        </is>
      </c>
      <c r="C575" s="98" t="inlineStr">
        <is>
          <t xml:space="preserve">Недозвон</t>
        </is>
      </c>
      <c r="D575" s="98" t="inlineStr">
        <is>
          <t xml:space="preserve">Кр-99030240-4</t>
        </is>
      </c>
      <c r="E575" s="98" t="inlineStr">
        <is>
          <t xml:space="preserve">BABAJONOV MASHIROB OLMASOVICH</t>
        </is>
      </c>
      <c r="F575" s="98" t="inlineStr">
        <is>
          <t xml:space="preserve">50-552-16-74  SMS O’ZI, 93-045-82-83  SMS UKASI JASUR TULOVCHI , 93-037-26-83  SMS AYOLI, 93-990-90-27 SMS UYI, 998949032282 SMS ukasi tulovchi,</t>
        </is>
      </c>
      <c r="G575" s="98" t="inlineStr">
        <is>
          <t xml:space="preserve">SAMARQAND VIL PASTDARG'OM TUM P.BOG'ANALI QISHLOG'I YANGI UZBEKISTON koch</t>
        </is>
      </c>
      <c r="H575" s="99">
        <v>8.0</v>
      </c>
      <c r="I575" s="99">
        <v>1167951.51</v>
      </c>
    </row>
    <row r="576">
      <c r="A576" s="98" t="inlineStr">
        <is>
          <t xml:space="preserve">САМАРКАНД ВИЛОЯТИ</t>
        </is>
      </c>
      <c r="C576" s="98" t="inlineStr">
        <is>
          <t xml:space="preserve">Недозвон</t>
        </is>
      </c>
      <c r="D576" s="98" t="inlineStr">
        <is>
          <t xml:space="preserve">Кр-99040499-3</t>
        </is>
      </c>
      <c r="E576" s="98" t="inlineStr">
        <is>
          <t xml:space="preserve">AXMEDOV FURKAT XAMROKULOVICH</t>
        </is>
      </c>
      <c r="F576" s="98" t="inlineStr">
        <is>
          <t xml:space="preserve">+998887459090 sms ozi, 998902138444 sms ayoli, 998904477444 sms ukasi, 998915558442 sms ozi 2,</t>
        </is>
      </c>
      <c r="G576" s="98" t="inlineStr">
        <is>
          <t xml:space="preserve">САМАРКАНД ВИЛОЯТИ САМАРКАНД ШАХАР ПАНЖОБ МФЙ, ФИРДАВСИЙ (СОБИК ШАУМЯНА) КЎЧАСИ,  uy:153</t>
        </is>
      </c>
      <c r="H576" s="99">
        <v>8.0</v>
      </c>
      <c r="I576" s="99">
        <v>1130315.42</v>
      </c>
    </row>
    <row r="577">
      <c r="A577" s="98" t="inlineStr">
        <is>
          <t xml:space="preserve">САМАРКАНД ВИЛОЯТИ</t>
        </is>
      </c>
      <c r="C577" s="98" t="inlineStr">
        <is>
          <t xml:space="preserve">Недозвон</t>
        </is>
      </c>
      <c r="D577" s="98" t="inlineStr">
        <is>
          <t xml:space="preserve">Кр-99028617-3</t>
        </is>
      </c>
      <c r="E577" s="98" t="inlineStr">
        <is>
          <t xml:space="preserve">KUSHVAKTOVA ADOLAT SADULLAYEVNA</t>
        </is>
      </c>
      <c r="F577" s="98" t="inlineStr">
        <is>
          <t xml:space="preserve">94-118-88-18 SMS UKASI, 99-504-89-51 SMS UZI, 77-336-03-83 SMS KELINI, 33-582-20-29 SMS AYOLI 2,</t>
        </is>
      </c>
      <c r="G577" s="98" t="inlineStr">
        <is>
          <t xml:space="preserve">SAMARQAND VILOYATI PAYARIQ TUMANI FIDOKOR MFY RAXAT KUCHASI 50-UY</t>
        </is>
      </c>
      <c r="H577" s="99">
        <v>8.0</v>
      </c>
      <c r="I577" s="99">
        <v>1126528.9</v>
      </c>
    </row>
    <row r="578">
      <c r="A578" s="98" t="inlineStr">
        <is>
          <t xml:space="preserve">САМАРКАНД ВИЛОЯТИ</t>
        </is>
      </c>
      <c r="C578" s="98" t="inlineStr">
        <is>
          <t xml:space="preserve">Недозвон</t>
        </is>
      </c>
      <c r="D578" s="98" t="inlineStr">
        <is>
          <t xml:space="preserve">Кр-99059346-1</t>
        </is>
      </c>
      <c r="E578" s="98" t="inlineStr">
        <is>
          <t xml:space="preserve">ACHILOV SHERXON SHAKAROVICH</t>
        </is>
      </c>
      <c r="F578" s="98" t="inlineStr">
        <is>
          <t xml:space="preserve">+998330041688 SMS OZI, 998932375188 SMS OZI, 998933492556 SMS DADASI, 998939911888 SMS AYOLI,</t>
        </is>
      </c>
      <c r="G578" s="98" t="inlineStr">
        <is>
          <t xml:space="preserve">SAMARQAND VILOYATI NUROBOD TUMANI ULUS MFY SOY BUYI KUCHASI 196-UY</t>
        </is>
      </c>
      <c r="H578" s="99">
        <v>8.0</v>
      </c>
      <c r="I578" s="99">
        <v>1110244.89</v>
      </c>
    </row>
    <row r="579">
      <c r="A579" s="98" t="inlineStr">
        <is>
          <t xml:space="preserve">САМАРКАНД ВИЛОЯТИ</t>
        </is>
      </c>
      <c r="C579" s="98" t="inlineStr">
        <is>
          <t xml:space="preserve">Недозвон</t>
        </is>
      </c>
      <c r="D579" s="98" t="inlineStr">
        <is>
          <t xml:space="preserve">Кр-99039312-1</t>
        </is>
      </c>
      <c r="E579" s="98" t="inlineStr">
        <is>
          <t xml:space="preserve">BOBONAZAROV ADHAM BOBONAZAR O’G’LI</t>
        </is>
      </c>
      <c r="F579" s="98" t="inlineStr">
        <is>
          <t xml:space="preserve">+998990812054 SMS O’ZI, 998952529206 SMS DOSTI, 998953549499 DOSTI, 998997710495 SMS DOSTI 2,</t>
        </is>
      </c>
      <c r="G579" s="98" t="inlineStr">
        <is>
          <t xml:space="preserve">SAMARQAND VILOYATI KATTAQO'RG'ON TUMANI YONBOSHSOY MFY YONBOSH QISHLOG'I 44-UY</t>
        </is>
      </c>
      <c r="H579" s="99">
        <v>12.0</v>
      </c>
      <c r="I579" s="99">
        <v>1025716.14</v>
      </c>
    </row>
    <row r="580">
      <c r="A580" s="98" t="inlineStr">
        <is>
          <t xml:space="preserve">САМАРКАНД ВИЛОЯТИ</t>
        </is>
      </c>
      <c r="C580" s="98" t="inlineStr">
        <is>
          <t xml:space="preserve">Недозвон</t>
        </is>
      </c>
      <c r="D580" s="98" t="inlineStr">
        <is>
          <t xml:space="preserve">Кр-99033239-3</t>
        </is>
      </c>
      <c r="E580" s="98" t="inlineStr">
        <is>
          <t xml:space="preserve">KOBILOV XURSHED SHUXRATOVICH</t>
        </is>
      </c>
      <c r="F580" s="98" t="inlineStr">
        <is>
          <t xml:space="preserve">998941333868 SMS O’ZI, 998942822026 SMS AKASI TO’LOVCHI, 998991364741 SMS UY, 998933388883 SMS AYOLI,</t>
        </is>
      </c>
      <c r="G580" s="98" t="inlineStr">
        <is>
          <t xml:space="preserve">SAMARQAND VILOYATI SAMARQAND SHAHRI PARRANDACHILIK MFY </t>
        </is>
      </c>
      <c r="H580" s="99">
        <v>8.0</v>
      </c>
      <c r="I580" s="99">
        <v>1004243.14</v>
      </c>
    </row>
    <row r="581">
      <c r="A581" s="98" t="inlineStr">
        <is>
          <t xml:space="preserve">САМАРКАНД ВИЛОЯТИ</t>
        </is>
      </c>
      <c r="C581" s="98" t="inlineStr">
        <is>
          <t xml:space="preserve">Недозвон</t>
        </is>
      </c>
      <c r="D581" s="98" t="inlineStr">
        <is>
          <t xml:space="preserve">Кр-99007504-14</t>
        </is>
      </c>
      <c r="E581" s="98" t="inlineStr">
        <is>
          <t xml:space="preserve">SAMIYEVA BOXOROY AHTAMOVNA</t>
        </is>
      </c>
      <c r="F581" s="98" t="inlineStr">
        <is>
          <t xml:space="preserve"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581" s="98" t="inlineStr">
        <is>
          <t xml:space="preserve">SAMARQAND VILOYATI JOMBOY TUMANI ZARAFSHON MFY O’RTABUZ QISHLOG’I 4-UY</t>
        </is>
      </c>
      <c r="H581" s="99">
        <v>8.0</v>
      </c>
      <c r="I581" s="99">
        <v>972776.73</v>
      </c>
    </row>
    <row r="582">
      <c r="A582" s="98" t="inlineStr">
        <is>
          <t xml:space="preserve">САМАРКАНД ВИЛОЯТИ</t>
        </is>
      </c>
      <c r="C582" s="98" t="inlineStr">
        <is>
          <t xml:space="preserve">Недозвон</t>
        </is>
      </c>
      <c r="D582" s="98" t="inlineStr">
        <is>
          <t xml:space="preserve">Кр-99035866-3</t>
        </is>
      </c>
      <c r="E582" s="98" t="inlineStr">
        <is>
          <t xml:space="preserve">TUXTAMISHEV ALISHER TIRKASHEVICH</t>
        </is>
      </c>
      <c r="F582" s="98" t="inlineStr">
        <is>
          <t xml:space="preserve">998337482407 SMS OZI, 998991228972 SMS AYOLI, 998998910609 SMS AYOLI, 998991228932 SMS OGLI,</t>
        </is>
      </c>
      <c r="G582" s="98" t="inlineStr">
        <is>
          <t xml:space="preserve">SAMARQAND VILOYATI  OQDARYO TUMANI CHORBOG’ 2 MFY BOLTOBOY QQ </t>
        </is>
      </c>
      <c r="H582" s="99">
        <v>8.0</v>
      </c>
      <c r="I582" s="99">
        <v>928823.45</v>
      </c>
    </row>
    <row r="583">
      <c r="A583" s="98" t="inlineStr">
        <is>
          <t xml:space="preserve">САМАРКАНД ВИЛОЯТИ</t>
        </is>
      </c>
      <c r="C583" s="98" t="inlineStr">
        <is>
          <t xml:space="preserve">Недозвон</t>
        </is>
      </c>
      <c r="D583" s="98" t="inlineStr">
        <is>
          <t xml:space="preserve">Кр-99035569-2</t>
        </is>
      </c>
      <c r="E583" s="98" t="inlineStr">
        <is>
          <t xml:space="preserve">MANSUROV NODIRBEK SIROJITDINOVICH</t>
        </is>
      </c>
      <c r="F583" s="98" t="inlineStr">
        <is>
          <t xml:space="preserve">998992365131 SMS OZI, 998942265131 SMS AYOLI, 998992984910 SMS OPASI, 998423551312 SMS OZI,</t>
        </is>
      </c>
      <c r="G583" s="98" t="inlineStr">
        <is>
          <t xml:space="preserve">SAMARQAND VILOYATI NARPAY TUMANI KOZIKENT MFY DAMCHA KUCHASI 139-UY</t>
        </is>
      </c>
      <c r="H583" s="99">
        <v>12.0</v>
      </c>
      <c r="I583" s="99">
        <v>818162.24</v>
      </c>
    </row>
    <row r="584">
      <c r="A584" s="98" t="inlineStr">
        <is>
          <t xml:space="preserve">САМАРКАНД ВИЛОЯТИ</t>
        </is>
      </c>
      <c r="C584" s="98" t="inlineStr">
        <is>
          <t xml:space="preserve">Недозвон</t>
        </is>
      </c>
      <c r="D584" s="98" t="inlineStr">
        <is>
          <t xml:space="preserve">Кр-99041107-1</t>
        </is>
      </c>
      <c r="E584" s="98" t="inlineStr">
        <is>
          <t xml:space="preserve">VAFOYEV LAZIZJON MEXROJOVICH</t>
        </is>
      </c>
      <c r="F584" s="98" t="inlineStr">
        <is>
          <t xml:space="preserve">+998906065765 SMS OZI, 998933573336 SMS AKASI, 998938279995 AKASI,</t>
        </is>
      </c>
      <c r="G584" s="98" t="inlineStr">
        <is>
          <t xml:space="preserve">SAMARQAND VILOYATI SAMARQAND TUMANI  SHALGAMAN MFY USTOZLAR KUCHASI 21-UY</t>
        </is>
      </c>
      <c r="H584" s="99">
        <v>8.0</v>
      </c>
      <c r="I584" s="99">
        <v>811857.95</v>
      </c>
    </row>
    <row r="585">
      <c r="A585" s="98" t="inlineStr">
        <is>
          <t xml:space="preserve">САМАРКАНД ВИЛОЯТИ</t>
        </is>
      </c>
      <c r="C585" s="98" t="inlineStr">
        <is>
          <t xml:space="preserve">Недозвон</t>
        </is>
      </c>
      <c r="D585" s="98" t="inlineStr">
        <is>
          <t xml:space="preserve">Кр-99034419-1</t>
        </is>
      </c>
      <c r="E585" s="98" t="inlineStr">
        <is>
          <t xml:space="preserve">ABDULLAYEVA SOADAT ALLAMURADOVNA</t>
        </is>
      </c>
      <c r="F585" s="98" t="inlineStr">
        <is>
          <t xml:space="preserve">998991332753 SMS O’ZI, 998942561450 SMS O’G’LI, 998992742115 SMS  NABIRASI,</t>
        </is>
      </c>
      <c r="G585" s="98" t="inlineStr">
        <is>
          <t xml:space="preserve">SAMARQAND VILOYATI PAXTACHI TUMANI ZARAFSHON MFY ORZU KUCHASI 34-UY</t>
        </is>
      </c>
      <c r="I585" s="99">
        <v>777575.78</v>
      </c>
    </row>
    <row r="586">
      <c r="A586" s="98" t="inlineStr">
        <is>
          <t xml:space="preserve">САМАРКАНД ВИЛОЯТИ</t>
        </is>
      </c>
      <c r="C586" s="98" t="inlineStr">
        <is>
          <t xml:space="preserve">Недозвон</t>
        </is>
      </c>
      <c r="D586" s="98" t="inlineStr">
        <is>
          <t xml:space="preserve">Кр-99037081-3</t>
        </is>
      </c>
      <c r="E586" s="98" t="inlineStr">
        <is>
          <t xml:space="preserve">QUZIYEV SHERZOD HAMDAMKULOVICH</t>
        </is>
      </c>
      <c r="F586" s="98" t="inlineStr">
        <is>
          <t xml:space="preserve">998944771277 SMS OZI, 998940090440 SMS AYOLI, 998990215277 SMS OGLI, 998930388336 SMS QIZI, 998700444786 SMS UZI NEW, 998700111786 SMS XOTINI NEW, 998990215277 SMS UY,</t>
        </is>
      </c>
      <c r="G586" s="98" t="inlineStr">
        <is>
          <t xml:space="preserve">SAMARQAND VILOYATI TAYLOQ TUMANI NAYMAN MFY JASORAT KUCHASI 1-UY</t>
        </is>
      </c>
      <c r="H586" s="99">
        <v>8.0</v>
      </c>
      <c r="I586" s="99">
        <v>682464.05</v>
      </c>
    </row>
    <row r="587">
      <c r="A587" s="98" t="inlineStr">
        <is>
          <t xml:space="preserve">САМАРКАНД ВИЛОЯТИ</t>
        </is>
      </c>
      <c r="C587" s="98" t="inlineStr">
        <is>
          <t xml:space="preserve">Недозвон</t>
        </is>
      </c>
      <c r="D587" s="98" t="inlineStr">
        <is>
          <t xml:space="preserve">Кр-99055726-1</t>
        </is>
      </c>
      <c r="E587" s="98" t="inlineStr">
        <is>
          <t xml:space="preserve">TO’RAYEVA ZUMRAD JO’RABEK QIZI</t>
        </is>
      </c>
      <c r="F587" s="98" t="inlineStr">
        <is>
          <t xml:space="preserve">998997767207 SMS  ERI , 998995857802 SMS OZI , 998979180228 SMS UYI, 998904638777 SMS UKASI,</t>
        </is>
      </c>
      <c r="G587" s="98" t="inlineStr">
        <is>
          <t xml:space="preserve">SAMARQAND VILOYATI PASTDARG'OM TUMANI IIB томонидан 09.03.2017 йилда берилган</t>
        </is>
      </c>
      <c r="H587" s="99">
        <v>8.0</v>
      </c>
      <c r="I587" s="99">
        <v>656710.36</v>
      </c>
    </row>
    <row r="588">
      <c r="A588" s="98" t="inlineStr">
        <is>
          <t xml:space="preserve">САМАРКАНД ВИЛОЯТИ</t>
        </is>
      </c>
      <c r="C588" s="98" t="inlineStr">
        <is>
          <t xml:space="preserve">Недозвон</t>
        </is>
      </c>
      <c r="D588" s="98" t="inlineStr">
        <is>
          <t xml:space="preserve">Кр-99057434-1</t>
        </is>
      </c>
      <c r="E588" s="98" t="inlineStr">
        <is>
          <t xml:space="preserve">AKRAMOV KOMIL MAVLONOVICH</t>
        </is>
      </c>
      <c r="F588" s="98" t="inlineStr">
        <is>
          <t xml:space="preserve">998996215271 SMS UZI, 998994131573 SMS AYOLI, 998993114953 SMS UGLI, 998953469498 SMS UYI,</t>
        </is>
      </c>
      <c r="G588" s="98" t="inlineStr">
        <is>
          <t xml:space="preserve">SAMARQAND VILOYATI OQDARYO TUMANI DO'STLIK MFY YANGI QISHLOQ QISHLOG'I</t>
        </is>
      </c>
      <c r="H588" s="99">
        <v>8.0</v>
      </c>
      <c r="I588" s="99">
        <v>643048.27</v>
      </c>
    </row>
    <row r="589">
      <c r="A589" s="98" t="inlineStr">
        <is>
          <t xml:space="preserve">САМАРКАНД ВИЛОЯТИ</t>
        </is>
      </c>
      <c r="C589" s="98" t="inlineStr">
        <is>
          <t xml:space="preserve">Объезд</t>
        </is>
      </c>
      <c r="D589" s="98" t="inlineStr">
        <is>
          <t xml:space="preserve">Кр-99040360-2</t>
        </is>
      </c>
      <c r="E589" s="98" t="inlineStr">
        <is>
          <t xml:space="preserve">KUSHMURODOV RASHID XUROZOVICH</t>
        </is>
      </c>
      <c r="F589" s="98" t="inlineStr">
        <is>
          <t xml:space="preserve">+998936002584 SMS O’ZI, 998505003878 SMS AKASI 2, 998935692069 SMS AKASI, 998501202552 SMS TULOVCHI, 998889007404 SMS AYOLI, 998919650304 SMS AKASI,</t>
        </is>
      </c>
      <c r="G589" s="98" t="inlineStr">
        <is>
          <t xml:space="preserve">SAMARQAND VILOYATI PAYARIQ TUMANI BAXRIN MFY SARXOUS KUCHASI 71-UY</t>
        </is>
      </c>
      <c r="H589" s="99">
        <v>8.0</v>
      </c>
      <c r="I589" s="99">
        <v>572435.68</v>
      </c>
      <c r="K589" s="98" t="inlineStr">
        <is>
          <t xml:space="preserve">Uyiga borildi - va'da berdi | borildi</t>
        </is>
      </c>
    </row>
    <row r="590">
      <c r="A590" s="98" t="inlineStr">
        <is>
          <t xml:space="preserve">САМАРКАНД ВИЛОЯТИ</t>
        </is>
      </c>
      <c r="C590" s="98" t="inlineStr">
        <is>
          <t xml:space="preserve">Недозвон</t>
        </is>
      </c>
      <c r="D590" s="98" t="inlineStr">
        <is>
          <t xml:space="preserve">Кр-99035358-2</t>
        </is>
      </c>
      <c r="E590" s="98" t="inlineStr">
        <is>
          <t xml:space="preserve">QILICHEV O’ROLBEK FARHOD O’G’LI</t>
        </is>
      </c>
      <c r="F590" s="98" t="inlineStr">
        <is>
          <t xml:space="preserve">998337373606 SMS O’ZI, 998901093838 SMS O’ZI, 998995944807 SMS AKASI, 998979372508 SMS YANGASI, 998995676309 SMS tulovchi Anvar aka , +998337373606 SMS OZI,</t>
        </is>
      </c>
      <c r="G590" s="98" t="inlineStr">
        <is>
          <t xml:space="preserve">SAMARQAND VILOYATI URGUT TUMANI QORATEPA MFY QORATEPA QQ</t>
        </is>
      </c>
      <c r="H590" s="99">
        <v>8.0</v>
      </c>
      <c r="I590" s="99">
        <v>570060.43</v>
      </c>
      <c r="K590" s="98" t="inlineStr">
        <is>
          <t xml:space="preserve">Telefon ko'tarmadi | ertaga tolid</t>
        </is>
      </c>
    </row>
    <row r="591">
      <c r="A591" s="98" t="inlineStr">
        <is>
          <t xml:space="preserve">САМАРКАНД ВИЛОЯТИ</t>
        </is>
      </c>
      <c r="C591" s="98" t="inlineStr">
        <is>
          <t xml:space="preserve">Недозвон</t>
        </is>
      </c>
      <c r="D591" s="98" t="inlineStr">
        <is>
          <t xml:space="preserve">Кр-99031289-3</t>
        </is>
      </c>
      <c r="E591" s="98" t="inlineStr">
        <is>
          <t xml:space="preserve">GAFUROV SUXROB SATTTAROVICH</t>
        </is>
      </c>
      <c r="F591" s="98" t="inlineStr">
        <is>
          <t xml:space="preserve">94-283-06-62 SMS O’ZI, 88-409-37-37  SMS O'G'LI  wu tolovchi bich , 95-217-27-63  SMS AYOLI, 99-116-68-87  SMS UYI,</t>
        </is>
      </c>
      <c r="G591" s="98" t="inlineStr">
        <is>
          <t xml:space="preserve">SAMARQAND VILOYATI SAMARQAND SHAHAR ISTIKBOL MFY 39-UY</t>
        </is>
      </c>
      <c r="H591" s="99">
        <v>8.0</v>
      </c>
      <c r="I591" s="99">
        <v>504067.55</v>
      </c>
    </row>
    <row r="592">
      <c r="A592" s="98" t="inlineStr">
        <is>
          <t xml:space="preserve">САМАРКАНД ВИЛОЯТИ</t>
        </is>
      </c>
      <c r="C592" s="98" t="inlineStr">
        <is>
          <t xml:space="preserve">Недозвон</t>
        </is>
      </c>
      <c r="D592" s="98" t="inlineStr">
        <is>
          <t xml:space="preserve">Кр-99035866-1</t>
        </is>
      </c>
      <c r="E592" s="98" t="inlineStr">
        <is>
          <t xml:space="preserve">TUXTAMISHEV ALISHER TIRKASHEVICH</t>
        </is>
      </c>
      <c r="F592" s="98" t="inlineStr">
        <is>
          <t xml:space="preserve">998337482407 SMS OZI, 998991228972 SMS AYOLI, 998998910609 SMS AYOLI, 998991228932 SMS OGLI,</t>
        </is>
      </c>
      <c r="G592" s="98" t="inlineStr">
        <is>
          <t xml:space="preserve">SAMARQAND VILOYATI  OQDARYO TUMANI CHORBOG’ 2 MFY BOLTOBOY QQ </t>
        </is>
      </c>
      <c r="I592" s="99">
        <v>352824.42</v>
      </c>
    </row>
    <row r="593">
      <c r="A593" s="98" t="inlineStr">
        <is>
          <t xml:space="preserve">САМАРКАНД ВИЛОЯТИ</t>
        </is>
      </c>
      <c r="C593" s="98" t="inlineStr">
        <is>
          <t xml:space="preserve">Объезд</t>
        </is>
      </c>
      <c r="D593" s="98" t="inlineStr">
        <is>
          <t xml:space="preserve">Кр-99038439-2</t>
        </is>
      </c>
      <c r="E593" s="98" t="inlineStr">
        <is>
          <t xml:space="preserve">RAXMATOV ASILBEK OTABEK O’G’LI</t>
        </is>
      </c>
      <c r="F593" s="98" t="inlineStr">
        <is>
          <t xml:space="preserve">998931744999 SMS OZI, 998934977010 SMS UKASI, 998939111879 SMS DADASI, 998775171404 SMS UYI,</t>
        </is>
      </c>
      <c r="G593" s="98" t="inlineStr">
        <is>
          <t xml:space="preserve">SAMARQAND VILOYATI PAYARIQ TUMANI MADANIYAT MFY BAXMALSOY KUCHASI 171-UY</t>
        </is>
      </c>
      <c r="H593" s="99">
        <v>13.0</v>
      </c>
      <c r="I593" s="99">
        <v>342959.3</v>
      </c>
      <c r="J593" s="99">
        <v>342959.3</v>
      </c>
      <c r="K593" s="98" t="inlineStr">
        <is>
          <t xml:space="preserve">Uyiga borildi - to'ladi | yopildi</t>
        </is>
      </c>
    </row>
    <row r="594">
      <c r="A594" s="100" t="inlineStr">
        <is>
          <t xml:space="preserve">СИРДАРЁ ВИЛОЯТИ</t>
        </is>
      </c>
      <c r="C594" s="100" t="inlineStr">
        <is>
          <t xml:space="preserve">Недозвон</t>
        </is>
      </c>
      <c r="D594" s="100" t="inlineStr">
        <is>
          <t xml:space="preserve">Кр-99038468-1</t>
        </is>
      </c>
      <c r="E594" s="100" t="inlineStr">
        <is>
          <t xml:space="preserve">NORQULOV SHOKIRJON BAXRIDDIN O’G’LI</t>
        </is>
      </c>
      <c r="F594" s="100" t="inlineStr">
        <is>
          <t xml:space="preserve">998979021400 SMS OZI, 998336821000 SMS UKASI begona , 998975237707 SMS AKASI,</t>
        </is>
      </c>
      <c r="G594" s="100" t="inlineStr">
        <is>
          <t xml:space="preserve">SIRDARYO VILOYATI SIRDARYO TUMANI,DEXKONOBOD MFY,BAYRAM KO’CHASI ,20-UY</t>
        </is>
      </c>
      <c r="H594" s="101">
        <v>85.0</v>
      </c>
      <c r="I594" s="101">
        <v>20219164.18</v>
      </c>
    </row>
    <row r="595">
      <c r="A595" s="100" t="inlineStr">
        <is>
          <t xml:space="preserve">СИРДАРЁ ВИЛОЯТИ</t>
        </is>
      </c>
      <c r="C595" s="100" t="inlineStr">
        <is>
          <t xml:space="preserve">Недозвон</t>
        </is>
      </c>
      <c r="D595" s="100" t="inlineStr">
        <is>
          <t xml:space="preserve">Кр-99063441-3</t>
        </is>
      </c>
      <c r="E595" s="100" t="inlineStr">
        <is>
          <t xml:space="preserve">NURMATOVA DILRABO NISHANOVNA</t>
        </is>
      </c>
      <c r="F595" s="100" t="inlineStr">
        <is>
          <t xml:space="preserve">998777273062 KICHIK O’G’LI, 998870001705 SMS O’ZO, 998971052101 O’G’LI,</t>
        </is>
      </c>
      <c r="G595" s="100" t="inlineStr">
        <is>
          <t xml:space="preserve">SIRDARYO VILOYATI GULISTON SHAHRI AXILLIK MFY BAXT KO’CHASI 18 UY</t>
        </is>
      </c>
      <c r="H595" s="101">
        <v>41.0</v>
      </c>
      <c r="I595" s="101">
        <v>13370946.38</v>
      </c>
    </row>
    <row r="596">
      <c r="A596" s="100" t="inlineStr">
        <is>
          <t xml:space="preserve">СИРДАРЁ ВИЛОЯТИ</t>
        </is>
      </c>
      <c r="C596" s="100" t="inlineStr">
        <is>
          <t xml:space="preserve">Недозвон</t>
        </is>
      </c>
      <c r="D596" s="100" t="inlineStr">
        <is>
          <t xml:space="preserve">Кр-99063182-1</t>
        </is>
      </c>
      <c r="E596" s="100" t="inlineStr">
        <is>
          <t xml:space="preserve">SIN ELZA XXX</t>
        </is>
      </c>
      <c r="F596" s="100" t="inlineStr">
        <is>
          <t xml:space="preserve">998999941925 OZI, 998906104509 QOSHNISI, 998994351703 QOSHNISI 2, 998999941925 узи 2,</t>
        </is>
      </c>
      <c r="G596" s="100" t="inlineStr">
        <is>
          <t xml:space="preserve">SIRDARYO VILOYATI YANGIYER,SHODIYONA MFY TALABALAR KO'CHASI 2-UY 46-XONADON </t>
        </is>
      </c>
      <c r="H596" s="101">
        <v>71.0</v>
      </c>
      <c r="I596" s="101">
        <v>13098262.96</v>
      </c>
    </row>
    <row r="597">
      <c r="A597" s="100" t="inlineStr">
        <is>
          <t xml:space="preserve">СИРДАРЁ ВИЛОЯТИ</t>
        </is>
      </c>
      <c r="C597" s="100" t="inlineStr">
        <is>
          <t xml:space="preserve">Недозвон</t>
        </is>
      </c>
      <c r="D597" s="100" t="inlineStr">
        <is>
          <t xml:space="preserve">Кр-99062686-1</t>
        </is>
      </c>
      <c r="E597" s="100" t="inlineStr">
        <is>
          <t xml:space="preserve">TOJIBOYEVA KUNDUZXON XXX</t>
        </is>
      </c>
      <c r="F597" s="100" t="inlineStr">
        <is>
          <t xml:space="preserve">998885378870 SMS OZI, 998871898886 SMS OGLI, 918888788218 SMS KELINI бегона нишонов махмуд номери бу, 998773641963 SMS ONASI ,</t>
        </is>
      </c>
      <c r="G597" s="100" t="inlineStr">
        <is>
          <t xml:space="preserve">SIRDARYO VILOYATI OQOLTIN TUMANI KO'RKAMDIYOR MFY MULKDOR KO'CHASI 11-UY </t>
        </is>
      </c>
      <c r="H597" s="101">
        <v>41.0</v>
      </c>
      <c r="I597" s="101">
        <v>9803417.62</v>
      </c>
    </row>
    <row r="598">
      <c r="A598" s="100" t="inlineStr">
        <is>
          <t xml:space="preserve">СИРДАРЁ ВИЛОЯТИ</t>
        </is>
      </c>
      <c r="C598" s="100" t="inlineStr">
        <is>
          <t xml:space="preserve">Недозвон</t>
        </is>
      </c>
      <c r="D598" s="100" t="inlineStr">
        <is>
          <t xml:space="preserve">Кр-99057470-1</t>
        </is>
      </c>
      <c r="E598" s="100" t="inlineStr">
        <is>
          <t xml:space="preserve">ABDUXOLIQOV JAVLON SHAVKATJON O’G’LI</t>
        </is>
      </c>
      <c r="F598" s="100" t="inlineStr">
        <is>
          <t xml:space="preserve">998999105595 SMS UZI, 998994360212 SMS AYOLI, 998904044343 AMA AKASI,</t>
        </is>
      </c>
      <c r="G598" s="100" t="inlineStr">
        <is>
          <t xml:space="preserve">SIRDARYO VILOYATI BOYOVUT TUMANI YANGI AVLOD MFY XUR O'LKA KUCHASI 22 UY </t>
        </is>
      </c>
      <c r="H598" s="101">
        <v>11.0</v>
      </c>
      <c r="I598" s="101">
        <v>9567288.76</v>
      </c>
    </row>
    <row r="599">
      <c r="A599" s="100" t="inlineStr">
        <is>
          <t xml:space="preserve">СИРДАРЁ ВИЛОЯТИ</t>
        </is>
      </c>
      <c r="C599" s="100" t="inlineStr">
        <is>
          <t xml:space="preserve">Недозвон</t>
        </is>
      </c>
      <c r="D599" s="100" t="inlineStr">
        <is>
          <t xml:space="preserve">Кр-99063455-3</t>
        </is>
      </c>
      <c r="E599" s="100" t="inlineStr">
        <is>
          <t xml:space="preserve">TASHKULOV BAXROM BAXRIDIN O’G’LI</t>
        </is>
      </c>
      <c r="F599" s="100" t="inlineStr">
        <is>
          <t xml:space="preserve">998882241205 UKASI, 998884049413 SMS O’ZI, 998884099802 AYOLI,</t>
        </is>
      </c>
      <c r="G599" s="100" t="inlineStr">
        <is>
          <t xml:space="preserve">SIRDARYO VILOYATI MIRZAOBOD TUMANI, NAVRO’Z MFY,CHO’LPON KO’CHASI 1-UY</t>
        </is>
      </c>
      <c r="H599" s="101">
        <v>8.0</v>
      </c>
      <c r="I599" s="101">
        <v>8557156.71</v>
      </c>
    </row>
    <row r="600">
      <c r="A600" s="100" t="inlineStr">
        <is>
          <t xml:space="preserve">СИРДАРЁ ВИЛОЯТИ</t>
        </is>
      </c>
      <c r="C600" s="100" t="inlineStr">
        <is>
          <t xml:space="preserve">Недозвон</t>
        </is>
      </c>
      <c r="D600" s="100" t="inlineStr">
        <is>
          <t xml:space="preserve">Кр-99059532-1</t>
        </is>
      </c>
      <c r="E600" s="100" t="inlineStr">
        <is>
          <t xml:space="preserve">MUXTOROV SHUHRAT HAZRATQUL O’G’LI</t>
        </is>
      </c>
      <c r="F600" s="100" t="inlineStr">
        <is>
          <t xml:space="preserve">998996161117 ozi BEGONA , 998332285050 akasi BEGONA , 998990473840 akasi,</t>
        </is>
      </c>
      <c r="G600" s="100" t="inlineStr">
        <is>
          <t xml:space="preserve">SIRDARYO VILOYATI SARDOBA TUMANI IIB</t>
        </is>
      </c>
      <c r="H600" s="101">
        <v>11.0</v>
      </c>
      <c r="I600" s="101">
        <v>8073005.5</v>
      </c>
    </row>
    <row r="601">
      <c r="A601" s="100" t="inlineStr">
        <is>
          <t xml:space="preserve">СИРДАРЁ ВИЛОЯТИ</t>
        </is>
      </c>
      <c r="C601" s="100" t="inlineStr">
        <is>
          <t xml:space="preserve">Недозвон</t>
        </is>
      </c>
      <c r="D601" s="100" t="inlineStr">
        <is>
          <t xml:space="preserve">Кр-99063040-1</t>
        </is>
      </c>
      <c r="E601" s="100" t="inlineStr">
        <is>
          <t xml:space="preserve">SODIKOVA MUXABBAT EGAMBERDIYEVNA</t>
        </is>
      </c>
      <c r="F601" s="100" t="inlineStr">
        <is>
          <t xml:space="preserve">998775019717 OZI, 998993737400 OGLI, 998996059944 JIYANI,</t>
        </is>
      </c>
      <c r="G601" s="100" t="inlineStr">
        <is>
          <t xml:space="preserve">SIRDARYO VILOYATI SARDOBA TUMANI DOSTLIK MFY NURAFSHON KOCHASI 23 UY 18 XONADON</t>
        </is>
      </c>
      <c r="H601" s="101">
        <v>11.0</v>
      </c>
      <c r="I601" s="101">
        <v>6827533.61</v>
      </c>
    </row>
    <row r="602">
      <c r="A602" s="100" t="inlineStr">
        <is>
          <t xml:space="preserve">СИРДАРЁ ВИЛОЯТИ</t>
        </is>
      </c>
      <c r="C602" s="100" t="inlineStr">
        <is>
          <t xml:space="preserve">Недозвон</t>
        </is>
      </c>
      <c r="D602" s="100" t="inlineStr">
        <is>
          <t xml:space="preserve">Кр-99063625-1</t>
        </is>
      </c>
      <c r="E602" s="100" t="inlineStr">
        <is>
          <t xml:space="preserve">MIRAXMEDOVA XIMOYAT LAPASOVNA</t>
        </is>
      </c>
      <c r="F602" s="100" t="inlineStr">
        <is>
          <t xml:space="preserve">998941619857 ONASI, 998945857070 ERI, 998976247717 SMS O’ZI,</t>
        </is>
      </c>
      <c r="G602" s="100" t="inlineStr">
        <is>
          <t xml:space="preserve">SIRDARYO VILOYATI</t>
        </is>
      </c>
      <c r="H602" s="101">
        <v>8.0</v>
      </c>
      <c r="I602" s="101">
        <v>6746580.33</v>
      </c>
    </row>
    <row r="603">
      <c r="A603" s="100" t="inlineStr">
        <is>
          <t xml:space="preserve">СИРДАРЁ ВИЛОЯТИ</t>
        </is>
      </c>
      <c r="C603" s="100" t="inlineStr">
        <is>
          <t xml:space="preserve">Недозвон</t>
        </is>
      </c>
      <c r="D603" s="100" t="inlineStr">
        <is>
          <t xml:space="preserve">Кр-99062786-1</t>
        </is>
      </c>
      <c r="E603" s="100" t="inlineStr">
        <is>
          <t xml:space="preserve">NORKUSHAKOVA GAVXAR DJUMANOVNA</t>
        </is>
      </c>
      <c r="F603" s="100" t="inlineStr">
        <is>
          <t xml:space="preserve">998904048101 OZI, 998906867177 ERI, 998888195159 QAYNONASI,</t>
        </is>
      </c>
      <c r="G603" s="100" t="inlineStr">
        <is>
          <t xml:space="preserve">SIRDARYO VILOYATI MIRZAOBOD TUMANI TINCHLIK MFY TOTUVLIK KO'CHASI 35-UY  </t>
        </is>
      </c>
      <c r="H603" s="101">
        <v>11.0</v>
      </c>
      <c r="I603" s="101">
        <v>6656903.85</v>
      </c>
    </row>
    <row r="604">
      <c r="A604" s="100" t="inlineStr">
        <is>
          <t xml:space="preserve">СИРДАРЁ ВИЛОЯТИ</t>
        </is>
      </c>
      <c r="C604" s="100" t="inlineStr">
        <is>
          <t xml:space="preserve">Недозвон</t>
        </is>
      </c>
      <c r="D604" s="100" t="inlineStr">
        <is>
          <t xml:space="preserve">Кр-99051337-1</t>
        </is>
      </c>
      <c r="E604" s="100" t="inlineStr">
        <is>
          <t xml:space="preserve">NURMATOV ISLOMJON MUSTAFAKULOVICH</t>
        </is>
      </c>
      <c r="F604" s="100" t="inlineStr">
        <is>
          <t xml:space="preserve">998910226530 SMS OZI,</t>
        </is>
      </c>
      <c r="G604" s="100" t="inlineStr">
        <is>
          <t xml:space="preserve">SIRDARYO VILOYATI SAYXUNOBOD TUMAN NUROBOD MFY RAVOKLI KUCHASI 36-UY</t>
        </is>
      </c>
      <c r="H604" s="101">
        <v>8.0</v>
      </c>
      <c r="I604" s="101">
        <v>6348182.98</v>
      </c>
    </row>
    <row r="605">
      <c r="A605" s="100" t="inlineStr">
        <is>
          <t xml:space="preserve">СИРДАРЁ ВИЛОЯТИ</t>
        </is>
      </c>
      <c r="C605" s="100" t="inlineStr">
        <is>
          <t xml:space="preserve">Недозвон</t>
        </is>
      </c>
      <c r="D605" s="100" t="inlineStr">
        <is>
          <t xml:space="preserve">Кр-99062897-1</t>
        </is>
      </c>
      <c r="E605" s="100" t="inlineStr">
        <is>
          <t xml:space="preserve">XASANOV RO’ZIMUROD ASATULLA O’G’LI</t>
        </is>
      </c>
      <c r="F605" s="100" t="inlineStr">
        <is>
          <t xml:space="preserve">+998994359620 SMS O’ZI, 998200069521 O’RTOG’I, 998883313037 O’RTOG’I, 998998019620 AYOLI,</t>
        </is>
      </c>
      <c r="G605" s="100" t="inlineStr">
        <is>
          <t xml:space="preserve">Сырдарьинская область, Сардобинский район, Янгиқишлоқ МСГ, ул. Ахиллик, дом 2-2</t>
        </is>
      </c>
      <c r="H605" s="101">
        <v>8.0</v>
      </c>
      <c r="I605" s="101">
        <v>6330859.49</v>
      </c>
    </row>
    <row r="606">
      <c r="A606" s="100" t="inlineStr">
        <is>
          <t xml:space="preserve">СИРДАРЁ ВИЛОЯТИ</t>
        </is>
      </c>
      <c r="C606" s="100" t="inlineStr">
        <is>
          <t xml:space="preserve">Недозвон</t>
        </is>
      </c>
      <c r="D606" s="100" t="inlineStr">
        <is>
          <t xml:space="preserve">Кр-99063984-1</t>
        </is>
      </c>
      <c r="E606" s="100" t="inlineStr">
        <is>
          <t xml:space="preserve">TURDIYEV MUROD FAYZIYEVICH</t>
        </is>
      </c>
      <c r="F606" s="100" t="inlineStr">
        <is>
          <t xml:space="preserve">+998947178184 SMS O’ZI, 998507708184 O’G’LI, 998932316955 AYOLI,</t>
        </is>
      </c>
      <c r="G606" s="100" t="inlineStr">
        <is>
          <t xml:space="preserve">SIRDARYO VILOYATI SIRDARYO TUMANI NAVRUZ MFY JASORAT KO’CHASI 25-UY</t>
        </is>
      </c>
      <c r="H606" s="101">
        <v>8.0</v>
      </c>
      <c r="I606" s="101">
        <v>5206015.39</v>
      </c>
    </row>
    <row r="607">
      <c r="A607" s="100" t="inlineStr">
        <is>
          <t xml:space="preserve">СИРДАРЁ ВИЛОЯТИ</t>
        </is>
      </c>
      <c r="C607" s="100" t="inlineStr">
        <is>
          <t xml:space="preserve">Недозвон</t>
        </is>
      </c>
      <c r="D607" s="100" t="inlineStr">
        <is>
          <t xml:space="preserve">Кр-99041345-1</t>
        </is>
      </c>
      <c r="E607" s="100" t="inlineStr">
        <is>
          <t xml:space="preserve">VALIYEV HURSHIDBEK SHERALI-O’G’LI</t>
        </is>
      </c>
      <c r="F607" s="100" t="inlineStr">
        <is>
          <t xml:space="preserve">+998979030596 SMS O’ZI, 998941500970 SMS OTASI, 998990069371 SMS AKASI, 998993909874 SMS ONASI,</t>
        </is>
      </c>
      <c r="G607" s="100" t="inlineStr">
        <is>
          <t xml:space="preserve">МЕХНАТОБОД КФЙ, ЯНГИ ЙЎЛ МФЙ, ОХУНБОБОЕВ КЎЧАСИ,  uy:Р/С</t>
        </is>
      </c>
      <c r="H607" s="101">
        <v>8.0</v>
      </c>
      <c r="I607" s="101">
        <v>4963257.67</v>
      </c>
    </row>
    <row r="608">
      <c r="A608" s="100" t="inlineStr">
        <is>
          <t xml:space="preserve">СИРДАРЁ ВИЛОЯТИ</t>
        </is>
      </c>
      <c r="C608" s="100" t="inlineStr">
        <is>
          <t xml:space="preserve">Недозвон</t>
        </is>
      </c>
      <c r="D608" s="100" t="inlineStr">
        <is>
          <t xml:space="preserve">Кр-99063295-1</t>
        </is>
      </c>
      <c r="E608" s="100" t="inlineStr">
        <is>
          <t xml:space="preserve">SAIDOVA DILSHODA AZIZOVNA</t>
        </is>
      </c>
      <c r="F608" s="100" t="inlineStr">
        <is>
          <t xml:space="preserve">998507240493 UY EGASI AYOLI, 998880201093 SMS O’ZI, 998950421226 uY EGASI OPACHASI, 998990080493 UY EGASI,</t>
        </is>
      </c>
      <c r="G608" s="100" t="inlineStr">
        <is>
          <t xml:space="preserve">SIRDARYO VILOYATI OQOLTIN TUMANI  KO’RKAMDIYOR MFY INTILISH KO’CHASI 10-UY 6-XONADON</t>
        </is>
      </c>
      <c r="H608" s="101">
        <v>8.0</v>
      </c>
      <c r="I608" s="101">
        <v>4738743.67</v>
      </c>
    </row>
    <row r="609">
      <c r="A609" s="100" t="inlineStr">
        <is>
          <t xml:space="preserve">СИРДАРЁ ВИЛОЯТИ</t>
        </is>
      </c>
      <c r="C609" s="100" t="inlineStr">
        <is>
          <t xml:space="preserve">Недозвон</t>
        </is>
      </c>
      <c r="D609" s="100" t="inlineStr">
        <is>
          <t xml:space="preserve">Кр-99062723-1</t>
        </is>
      </c>
      <c r="E609" s="100" t="inlineStr">
        <is>
          <t xml:space="preserve">YOQUBOVA DILDORA BAHODIR QIZI</t>
        </is>
      </c>
      <c r="F609" s="100" t="inlineStr">
        <is>
          <t xml:space="preserve">998770023943 UY EGASI, 998935644021 DADASI, 998505208080 OPACHASI,</t>
        </is>
      </c>
      <c r="G609" s="100" t="inlineStr">
        <is>
          <t xml:space="preserve">SIRDARYO VILOYATI MIRZAOBOD TUMANI  OYDIN MFY DO'STLIK KO'CHASI 19-UY</t>
        </is>
      </c>
      <c r="H609" s="101">
        <v>13.0</v>
      </c>
      <c r="I609" s="101">
        <v>4664075.06</v>
      </c>
    </row>
    <row r="610">
      <c r="A610" s="100" t="inlineStr">
        <is>
          <t xml:space="preserve">СИРДАРЁ ВИЛОЯТИ</t>
        </is>
      </c>
      <c r="C610" s="100" t="inlineStr">
        <is>
          <t xml:space="preserve">Недозвон</t>
        </is>
      </c>
      <c r="D610" s="100" t="inlineStr">
        <is>
          <t xml:space="preserve">Кр-99032279-2</t>
        </is>
      </c>
      <c r="E610" s="100" t="inlineStr">
        <is>
          <t xml:space="preserve">RUZIYEVA ZILOLA XIRAJIDDINOVNA</t>
        </is>
      </c>
      <c r="F610" s="100" t="inlineStr">
        <is>
          <t xml:space="preserve">998996188285 SMS ERI, 998900348284 SMS O’ZI, 998953601108 SMS UY, 998330622025 SMS O’RTOG’I TOYIR,</t>
        </is>
      </c>
      <c r="G610" s="100" t="inlineStr">
        <is>
          <t xml:space="preserve">SIRDARYO VILOYATI SAYXUNOBOD TUMANI NURMATOBOD MFY ISTIQLOL QFY 6-UY</t>
        </is>
      </c>
      <c r="H610" s="101">
        <v>8.0</v>
      </c>
      <c r="I610" s="101">
        <v>4422274.76</v>
      </c>
    </row>
    <row r="611">
      <c r="A611" s="100" t="inlineStr">
        <is>
          <t xml:space="preserve">СИРДАРЁ ВИЛОЯТИ</t>
        </is>
      </c>
      <c r="C611" s="100" t="inlineStr">
        <is>
          <t xml:space="preserve">Недозвон</t>
        </is>
      </c>
      <c r="D611" s="100" t="inlineStr">
        <is>
          <t xml:space="preserve">Кр-99041552-1</t>
        </is>
      </c>
      <c r="E611" s="100" t="inlineStr">
        <is>
          <t xml:space="preserve">LATIPOV SHODIYOR SHAXRIYOROVICH</t>
        </is>
      </c>
      <c r="F611" s="100" t="inlineStr">
        <is>
          <t xml:space="preserve">+998772941972 SMS O’ZI, 998770358083 SMS AYOLI, 998977002825 SMS O’G’LI,</t>
        </is>
      </c>
      <c r="G611" s="100" t="inlineStr">
        <is>
          <t xml:space="preserve">Бахмалсой МФЙ, Ахиллик кучаси, 23-уй</t>
        </is>
      </c>
      <c r="H611" s="101">
        <v>8.0</v>
      </c>
      <c r="I611" s="101">
        <v>3875930.82</v>
      </c>
    </row>
    <row r="612">
      <c r="A612" s="100" t="inlineStr">
        <is>
          <t xml:space="preserve">СИРДАРЁ ВИЛОЯТИ</t>
        </is>
      </c>
      <c r="C612" s="100" t="inlineStr">
        <is>
          <t xml:space="preserve">Недозвон</t>
        </is>
      </c>
      <c r="D612" s="100" t="inlineStr">
        <is>
          <t xml:space="preserve">Кр-99041885-2</t>
        </is>
      </c>
      <c r="E612" s="100" t="inlineStr">
        <is>
          <t xml:space="preserve">KUPAYEV ALIDJON JUMONOVICH</t>
        </is>
      </c>
      <c r="F612" s="100" t="inlineStr">
        <is>
          <t xml:space="preserve">+998945897003 SMS O’ZI, 998911044487 SMS UKASI, 998949184343 SMS AYOLI 2, 998994774851 SMS AYOLI,</t>
        </is>
      </c>
      <c r="G612" s="100" t="inlineStr">
        <is>
          <t xml:space="preserve">СИРДАРЁ ВИЛОЯТИ ХАВАСТ ТУМАНИ МУСТАКИЛЛИК МФЙ,Мустакиллик кучаси   uy:53/2</t>
        </is>
      </c>
      <c r="H612" s="101">
        <v>8.0</v>
      </c>
      <c r="I612" s="101">
        <v>3849375.41</v>
      </c>
    </row>
    <row r="613">
      <c r="A613" s="100" t="inlineStr">
        <is>
          <t xml:space="preserve">СИРДАРЁ ВИЛОЯТИ</t>
        </is>
      </c>
      <c r="C613" s="100" t="inlineStr">
        <is>
          <t xml:space="preserve">Недозвон</t>
        </is>
      </c>
      <c r="D613" s="100" t="inlineStr">
        <is>
          <t xml:space="preserve">Кр-99062711-1</t>
        </is>
      </c>
      <c r="E613" s="100" t="inlineStr">
        <is>
          <t xml:space="preserve">URALOV ABDURASHID SINDAROVICH</t>
        </is>
      </c>
      <c r="F613" s="100" t="inlineStr">
        <is>
          <t xml:space="preserve">998771293776 SMS OZI, 998995373778 SMS AYOLI, 998991293776 SMS OGLI BEGONA,</t>
        </is>
      </c>
      <c r="G613" s="100" t="inlineStr">
        <is>
          <t xml:space="preserve">SIRDARYO VILOYATI SAYXUNOBOD TUMANI FAROVON MFY BAYNALMILAL KO'CHASI 4-UY  </t>
        </is>
      </c>
      <c r="H613" s="101">
        <v>13.0</v>
      </c>
      <c r="I613" s="101">
        <v>3835617.98</v>
      </c>
    </row>
    <row r="614">
      <c r="A614" s="100" t="inlineStr">
        <is>
          <t xml:space="preserve">СИРДАРЁ ВИЛОЯТИ</t>
        </is>
      </c>
      <c r="C614" s="100" t="inlineStr">
        <is>
          <t xml:space="preserve">Недозвон</t>
        </is>
      </c>
      <c r="D614" s="100" t="inlineStr">
        <is>
          <t xml:space="preserve">Кр-99035766-1</t>
        </is>
      </c>
      <c r="E614" s="100" t="inlineStr">
        <is>
          <t xml:space="preserve">MUXITDINOVA FERUZA IMMATOVNA</t>
        </is>
      </c>
      <c r="F614" s="100" t="inlineStr">
        <is>
          <t xml:space="preserve">998995087337 SMS O’ZI , 998931987121 SMS ERI алдавоти пидарас манмасман диб, 998999141683 SMS QIZI , 998996115773 SMS UY TELEFONI,</t>
        </is>
      </c>
      <c r="G614" s="100" t="inlineStr">
        <is>
          <t xml:space="preserve">SIRDARYO VILOYATI MIRZAOBOD TUMANI NAVRUZ SHAXARCHASI BAXOR KO’CHASI 24-UY</t>
        </is>
      </c>
      <c r="H614" s="101">
        <v>1.0</v>
      </c>
      <c r="I614" s="101">
        <v>3793453.36</v>
      </c>
    </row>
    <row r="615">
      <c r="A615" s="100" t="inlineStr">
        <is>
          <t xml:space="preserve">СИРДАРЁ ВИЛОЯТИ</t>
        </is>
      </c>
      <c r="C615" s="100" t="inlineStr">
        <is>
          <t xml:space="preserve">Недозвон</t>
        </is>
      </c>
      <c r="D615" s="100" t="inlineStr">
        <is>
          <t xml:space="preserve">Кр-99058772-1</t>
        </is>
      </c>
      <c r="E615" s="100" t="inlineStr">
        <is>
          <t xml:space="preserve">XAITKULOV NURILLO UBAYDULLAYEVICH</t>
        </is>
      </c>
      <c r="F615" s="100" t="inlineStr">
        <is>
          <t xml:space="preserve">998888348087 SMS OZI, 998910233161 SMS AYOLI, 998915069232 SMS ONASI,</t>
        </is>
      </c>
      <c r="G615" s="100" t="inlineStr">
        <is>
          <t xml:space="preserve">SIRDARYO VILOYATI SIRDARYO TUMANI BESHBULOQ MFY CHAROGON KO'CHASI 4-UY </t>
        </is>
      </c>
      <c r="H615" s="101">
        <v>8.0</v>
      </c>
      <c r="I615" s="101">
        <v>3371675.91</v>
      </c>
    </row>
    <row r="616">
      <c r="A616" s="100" t="inlineStr">
        <is>
          <t xml:space="preserve">СИРДАРЁ ВИЛОЯТИ</t>
        </is>
      </c>
      <c r="C616" s="100" t="inlineStr">
        <is>
          <t xml:space="preserve">Недозвон</t>
        </is>
      </c>
      <c r="D616" s="100" t="inlineStr">
        <is>
          <t xml:space="preserve">Кр-99034037-1</t>
        </is>
      </c>
      <c r="E616" s="100" t="inlineStr">
        <is>
          <t xml:space="preserve">XUSANBAYEVA XOLIDA MIRXALILOVNA</t>
        </is>
      </c>
      <c r="F616" s="100" t="inlineStr">
        <is>
          <t xml:space="preserve">998993722072 SMS OZI qizi tolidi , 998978761991 SMS OGLI, 998884756464 SMS OGLI БЕГОНА,</t>
        </is>
      </c>
      <c r="G616" s="100" t="inlineStr">
        <is>
          <t xml:space="preserve">SIRDARYO VILOYATI, SIRDARYO TUMANI, YOSHLIK MFY, M. AXMEDOV KUCHASI 89 UY </t>
        </is>
      </c>
      <c r="H616" s="101">
        <v>11.0</v>
      </c>
      <c r="I616" s="101">
        <v>3341665.18</v>
      </c>
    </row>
    <row r="617">
      <c r="A617" s="100" t="inlineStr">
        <is>
          <t xml:space="preserve">СИРДАРЁ ВИЛОЯТИ</t>
        </is>
      </c>
      <c r="C617" s="100" t="inlineStr">
        <is>
          <t xml:space="preserve">Недозвон</t>
        </is>
      </c>
      <c r="D617" s="100" t="inlineStr">
        <is>
          <t xml:space="preserve">Кр-99063055-1</t>
        </is>
      </c>
      <c r="E617" s="100" t="inlineStr">
        <is>
          <t xml:space="preserve">BOBOYEVA DILNOZA O’RINXODJAYEVNA</t>
        </is>
      </c>
      <c r="F617" s="100" t="inlineStr">
        <is>
          <t xml:space="preserve">998918032785 OZI, 998908520497 QIZI, 998901092365 ONASI,</t>
        </is>
      </c>
      <c r="G617" s="100" t="inlineStr">
        <is>
          <t xml:space="preserve">SIRDARYO VILOYATI SHIRIN SHAHRI A.TEMUR MFY HALQLAR DO'STLIGI SHOX KO'CHASI 9-UY 70-XONADON</t>
        </is>
      </c>
      <c r="H617" s="101">
        <v>8.0</v>
      </c>
      <c r="I617" s="101">
        <v>3308940.4</v>
      </c>
    </row>
    <row r="618">
      <c r="A618" s="100" t="inlineStr">
        <is>
          <t xml:space="preserve">СИРДАРЁ ВИЛОЯТИ</t>
        </is>
      </c>
      <c r="C618" s="100" t="inlineStr">
        <is>
          <t xml:space="preserve">Недозвон</t>
        </is>
      </c>
      <c r="D618" s="100" t="inlineStr">
        <is>
          <t xml:space="preserve">Кр-99062749-1</t>
        </is>
      </c>
      <c r="E618" s="100" t="inlineStr">
        <is>
          <t xml:space="preserve">NASRIDDINOV ZOIRJON TOJIKULOVICH</t>
        </is>
      </c>
      <c r="F618" s="100" t="inlineStr">
        <is>
          <t xml:space="preserve">998994778022 UY EGASI, 998999242571 ERI, 998918897878 O’G’LI,</t>
        </is>
      </c>
      <c r="G618" s="100" t="inlineStr">
        <is>
          <t xml:space="preserve">SIRDARYO VILOYATI XAVAST TUMANI YANGIER MFY MARVARID KUCHASI 34-UY  </t>
        </is>
      </c>
      <c r="H618" s="101">
        <v>12.0</v>
      </c>
      <c r="I618" s="101">
        <v>3143915.76</v>
      </c>
    </row>
    <row r="619">
      <c r="A619" s="100" t="inlineStr">
        <is>
          <t xml:space="preserve">СИРДАРЁ ВИЛОЯТИ</t>
        </is>
      </c>
      <c r="C619" s="100" t="inlineStr">
        <is>
          <t xml:space="preserve">Недозвон</t>
        </is>
      </c>
      <c r="D619" s="100" t="inlineStr">
        <is>
          <t xml:space="preserve">Кр-99041076-1</t>
        </is>
      </c>
      <c r="E619" s="100" t="inlineStr">
        <is>
          <t xml:space="preserve">TAJIBAYEVA MAVLYUDA ABDURASULOVNA</t>
        </is>
      </c>
      <c r="F619" s="100" t="inlineStr">
        <is>
          <t xml:space="preserve">+998880876663 SMS O’ZI, 998882374048 SMS O’G’LI, 998902385727 SMS O’G’LI 2, 998906857682 SMS QIZI,</t>
        </is>
      </c>
      <c r="G619" s="100" t="inlineStr">
        <is>
          <t xml:space="preserve">ДЕХКОНОБОД ШФЙ; ДЎСТЛИК МФЙ, ДЕХКОНОБОД ШФЙ, ДЎСТЛИК МФЙ, НАВБАХОР,  uy:10</t>
        </is>
      </c>
      <c r="H619" s="101">
        <v>8.0</v>
      </c>
      <c r="I619" s="101">
        <v>2882140.6</v>
      </c>
    </row>
    <row r="620">
      <c r="A620" s="100" t="inlineStr">
        <is>
          <t xml:space="preserve">СИРДАРЁ ВИЛОЯТИ</t>
        </is>
      </c>
      <c r="C620" s="100" t="inlineStr">
        <is>
          <t xml:space="preserve">Недозвон</t>
        </is>
      </c>
      <c r="D620" s="100" t="inlineStr">
        <is>
          <t xml:space="preserve">Кр-99063455-4</t>
        </is>
      </c>
      <c r="E620" s="100" t="inlineStr">
        <is>
          <t xml:space="preserve">TASHKULOV BAXROM BAXRIDIN O’G’LI</t>
        </is>
      </c>
      <c r="F620" s="100" t="inlineStr">
        <is>
          <t xml:space="preserve">998882241205 UKASI, 998884049413 SMS O’ZI, 998884099802 AYOLI,</t>
        </is>
      </c>
      <c r="G620" s="100" t="inlineStr">
        <is>
          <t xml:space="preserve">SIRDARYO VILOYATI MIRZAOBOD TUMANI, NAVRO’Z MFY,CHO’LPON KO’CHASI 1-UY</t>
        </is>
      </c>
      <c r="H620" s="101">
        <v>8.0</v>
      </c>
      <c r="I620" s="101">
        <v>2829568.64</v>
      </c>
    </row>
    <row r="621">
      <c r="A621" s="100" t="inlineStr">
        <is>
          <t xml:space="preserve">СИРДАРЁ ВИЛОЯТИ</t>
        </is>
      </c>
      <c r="C621" s="100" t="inlineStr">
        <is>
          <t xml:space="preserve">Недозвон</t>
        </is>
      </c>
      <c r="D621" s="100" t="inlineStr">
        <is>
          <t xml:space="preserve">Кр-99063676-1</t>
        </is>
      </c>
      <c r="E621" s="100" t="inlineStr">
        <is>
          <t xml:space="preserve">XAZRATQULOV ORIFJON ESONBEK O’G’LI</t>
        </is>
      </c>
      <c r="F621" s="100" t="inlineStr">
        <is>
          <t xml:space="preserve">998902559443 SMS O’ZI, 998906889443 AYOLI, 998910213112 UKASI,</t>
        </is>
      </c>
      <c r="G621" s="100" t="inlineStr">
        <is>
          <t xml:space="preserve">MIRZAOBOD TUMANI</t>
        </is>
      </c>
      <c r="H621" s="101">
        <v>8.0</v>
      </c>
      <c r="I621" s="101">
        <v>2799250.93</v>
      </c>
    </row>
    <row r="622">
      <c r="A622" s="100" t="inlineStr">
        <is>
          <t xml:space="preserve">СИРДАРЁ ВИЛОЯТИ</t>
        </is>
      </c>
      <c r="C622" s="100" t="inlineStr">
        <is>
          <t xml:space="preserve">Недозвон</t>
        </is>
      </c>
      <c r="D622" s="100" t="inlineStr">
        <is>
          <t xml:space="preserve">Кр-99041027-1</t>
        </is>
      </c>
      <c r="E622" s="100" t="inlineStr">
        <is>
          <t xml:space="preserve">NOSIROV UMIDJON ABDUNAZAROVICH</t>
        </is>
      </c>
      <c r="F622" s="100" t="inlineStr">
        <is>
          <t xml:space="preserve">+998949064060 SMS O’ZI, 998994725252 SMS AYOLI, 998999351062 SMS AYOLI BEGONA ,</t>
        </is>
      </c>
      <c r="G622" s="100" t="inlineStr">
        <is>
          <t xml:space="preserve">Ижодкор МФЙ, Огахий кучаси, 8-уй</t>
        </is>
      </c>
      <c r="H622" s="101">
        <v>11.0</v>
      </c>
      <c r="I622" s="101">
        <v>2752660.66</v>
      </c>
    </row>
    <row r="623">
      <c r="A623" s="100" t="inlineStr">
        <is>
          <t xml:space="preserve">СИРДАРЁ ВИЛОЯТИ</t>
        </is>
      </c>
      <c r="C623" s="100" t="inlineStr">
        <is>
          <t xml:space="preserve">Недозвон</t>
        </is>
      </c>
      <c r="D623" s="100" t="inlineStr">
        <is>
          <t xml:space="preserve">Кр-99032500-1</t>
        </is>
      </c>
      <c r="E623" s="100" t="inlineStr">
        <is>
          <t xml:space="preserve">ISAYEVA SHARAFAT NARBAYEVNA</t>
        </is>
      </c>
      <c r="F623" s="100" t="inlineStr">
        <is>
          <t xml:space="preserve">998993094812 SMS O’ZI, 998994421212 SMS QO’SHNISI, 998994720137 SMS QAYNISI, 998993909644 туловчисини номери ERI,</t>
        </is>
      </c>
      <c r="G623" s="100" t="inlineStr">
        <is>
          <t xml:space="preserve">SIRDARYO VILOYATI, SIRDARYO TUMANI, XALQOBOD QFY, QUYOSH MFY, BAXT KO’CHASI 7-UY</t>
        </is>
      </c>
      <c r="H623" s="101">
        <v>6.0</v>
      </c>
      <c r="I623" s="101">
        <v>2671251.69</v>
      </c>
    </row>
    <row r="624">
      <c r="A624" s="100" t="inlineStr">
        <is>
          <t xml:space="preserve">СИРДАРЁ ВИЛОЯТИ</t>
        </is>
      </c>
      <c r="C624" s="100" t="inlineStr">
        <is>
          <t xml:space="preserve">Недозвон</t>
        </is>
      </c>
      <c r="D624" s="100" t="inlineStr">
        <is>
          <t xml:space="preserve">Кр-99024872-2</t>
        </is>
      </c>
      <c r="E624" s="100" t="inlineStr">
        <is>
          <t xml:space="preserve">EGAMKULOVA SALOMAT XXX</t>
        </is>
      </c>
      <c r="F624" s="100" t="inlineStr">
        <is>
          <t xml:space="preserve">88-245-40-40  SMS OZI, 91-508-10-07  SMS O'G'LI, 33-639-90-93  SMS KELINI, 93-322-00-29  SMS QIZI, 998871901007 SMS O'ZI,</t>
        </is>
      </c>
      <c r="G624" s="100" t="inlineStr">
        <is>
          <t xml:space="preserve">JIZZAX VILOYATI MIRZACHO'L TUMANI G'ALABA MFY PAXTAKOR KO’CHASI 19-UY 19-XONADON</t>
        </is>
      </c>
      <c r="H624" s="101">
        <v>13.0</v>
      </c>
      <c r="I624" s="101">
        <v>2635648.47</v>
      </c>
    </row>
    <row r="625">
      <c r="A625" s="100" t="inlineStr">
        <is>
          <t xml:space="preserve">СИРДАРЁ ВИЛОЯТИ</t>
        </is>
      </c>
      <c r="C625" s="100" t="inlineStr">
        <is>
          <t xml:space="preserve">Недозвон</t>
        </is>
      </c>
      <c r="D625" s="100" t="inlineStr">
        <is>
          <t xml:space="preserve">Кр-99038062-2</t>
        </is>
      </c>
      <c r="E625" s="100" t="inlineStr">
        <is>
          <t xml:space="preserve">ELIBAYEV ALISHER AXMATOVICH</t>
        </is>
      </c>
      <c r="F625" s="100" t="inlineStr">
        <is>
          <t xml:space="preserve">998977520115 SMS  OZI, 998974417602 SMS OPASI, 998977807602 SMS POCHASI begona, 998943531331 aliwer sms,</t>
        </is>
      </c>
      <c r="G625" s="100" t="inlineStr">
        <is>
          <t xml:space="preserve">SIRDARYO VILOYATI SIRDARYO SHAHAR DUSTLIK MFY,X.OLIMJON 172-UY</t>
        </is>
      </c>
      <c r="H625" s="101">
        <v>8.0</v>
      </c>
      <c r="I625" s="101">
        <v>2534081.13</v>
      </c>
    </row>
    <row r="626">
      <c r="A626" s="100" t="inlineStr">
        <is>
          <t xml:space="preserve">СИРДАРЁ ВИЛОЯТИ</t>
        </is>
      </c>
      <c r="C626" s="100" t="inlineStr">
        <is>
          <t xml:space="preserve">Недозвон</t>
        </is>
      </c>
      <c r="D626" s="100" t="inlineStr">
        <is>
          <t xml:space="preserve">Кр-99050588-2</t>
        </is>
      </c>
      <c r="E626" s="100" t="inlineStr">
        <is>
          <t xml:space="preserve">KUSHIMOVA NIGORA NARZIKULOVNA</t>
        </is>
      </c>
      <c r="F626" s="100" t="inlineStr">
        <is>
          <t xml:space="preserve">+998774080577 SMS O’ZI, 998774300577 SMS QIZI, 998956248585 SMS ERI,</t>
        </is>
      </c>
      <c r="G626" s="100" t="inlineStr">
        <is>
          <t xml:space="preserve">SIRDARYO VILOYATI GULISTON SHAHAR BUSTON MFY 4-MAVZE KUCHASI 21A-UY 16-XONADON</t>
        </is>
      </c>
      <c r="H626" s="101">
        <v>8.0</v>
      </c>
      <c r="I626" s="101">
        <v>2424487.83</v>
      </c>
    </row>
    <row r="627">
      <c r="A627" s="100" t="inlineStr">
        <is>
          <t xml:space="preserve">СИРДАРЁ ВИЛОЯТИ</t>
        </is>
      </c>
      <c r="C627" s="100" t="inlineStr">
        <is>
          <t xml:space="preserve">Недозвон</t>
        </is>
      </c>
      <c r="D627" s="100" t="inlineStr">
        <is>
          <t xml:space="preserve">Кр-99040239-1</t>
        </is>
      </c>
      <c r="E627" s="100" t="inlineStr">
        <is>
          <t xml:space="preserve">ABDULLAYEV DONIYOR BAXTIYOR O’G’LI</t>
        </is>
      </c>
      <c r="F627" s="100" t="inlineStr">
        <is>
          <t xml:space="preserve">998945717201 SMS OZI, 998949817201 SMS AYOLI, 998881470222 SMS UKASI, 998856502222 SMS UKASI 2,</t>
        </is>
      </c>
      <c r="G627" s="100" t="inlineStr">
        <is>
          <t xml:space="preserve">SIRDARYO VILOYATI SARDOBA TUMANI BIRLIK MFY TINCHLIKSEVAR KUCHASI 28A-UY</t>
        </is>
      </c>
      <c r="H627" s="101">
        <v>8.0</v>
      </c>
      <c r="I627" s="101">
        <v>2397684.3</v>
      </c>
    </row>
    <row r="628">
      <c r="A628" s="100" t="inlineStr">
        <is>
          <t xml:space="preserve">СИРДАРЁ ВИЛОЯТИ</t>
        </is>
      </c>
      <c r="C628" s="100" t="inlineStr">
        <is>
          <t xml:space="preserve">Недозвон</t>
        </is>
      </c>
      <c r="D628" s="100" t="inlineStr">
        <is>
          <t xml:space="preserve">Кр-99038640-1</t>
        </is>
      </c>
      <c r="E628" s="100" t="inlineStr">
        <is>
          <t xml:space="preserve">USMANOVA MUXABAT XXX</t>
        </is>
      </c>
      <c r="F628" s="100" t="inlineStr">
        <is>
          <t xml:space="preserve">998904005505 SMS OZI, 998918024040 SMS OGLI begona, 998904044005 SMS NEVARASI, 998995355511 SMS KELINI,</t>
        </is>
      </c>
      <c r="G628" s="100" t="inlineStr">
        <is>
          <t xml:space="preserve">SIRDARYO VILOYATI GULISTON SHAHAR  ULUGOBOD  MFY NASTARIN KUCHASI 2/1-UY</t>
        </is>
      </c>
      <c r="H628" s="101">
        <v>11.0</v>
      </c>
      <c r="I628" s="101">
        <v>2024851.89</v>
      </c>
    </row>
    <row r="629">
      <c r="A629" s="100" t="inlineStr">
        <is>
          <t xml:space="preserve">СИРДАРЁ ВИЛОЯТИ</t>
        </is>
      </c>
      <c r="C629" s="100" t="inlineStr">
        <is>
          <t xml:space="preserve">Недозвон</t>
        </is>
      </c>
      <c r="D629" s="100" t="inlineStr">
        <is>
          <t xml:space="preserve">Кр-99050710-1</t>
        </is>
      </c>
      <c r="E629" s="100" t="inlineStr">
        <is>
          <t xml:space="preserve">XUSANOVA GULBAXOR RAXMATULLAYEVNA</t>
        </is>
      </c>
      <c r="F629" s="100" t="inlineStr">
        <is>
          <t xml:space="preserve">998933227666 узи, 998971048884 эри, 998906838188 укаси, 998932783322 yiban eri,</t>
        </is>
      </c>
      <c r="G629" s="100" t="inlineStr">
        <is>
          <t xml:space="preserve">XOVOS TUMANI</t>
        </is>
      </c>
      <c r="H629" s="101">
        <v>8.0</v>
      </c>
      <c r="I629" s="101">
        <v>1967078.92</v>
      </c>
    </row>
    <row r="630">
      <c r="A630" s="100" t="inlineStr">
        <is>
          <t xml:space="preserve">СИРДАРЁ ВИЛОЯТИ</t>
        </is>
      </c>
      <c r="C630" s="100" t="inlineStr">
        <is>
          <t xml:space="preserve">Недозвон</t>
        </is>
      </c>
      <c r="D630" s="100" t="inlineStr">
        <is>
          <t xml:space="preserve">Кр-99057383-1</t>
        </is>
      </c>
      <c r="E630" s="100" t="inlineStr">
        <is>
          <t xml:space="preserve">ALIBERDIYEVA IRODA DAVLAT QIZI</t>
        </is>
      </c>
      <c r="F630" s="100" t="inlineStr">
        <is>
          <t xml:space="preserve">998901069392 SMS UZI, 998990495033 SMS ERI, 998150150022 SMS ERI 2,</t>
        </is>
      </c>
      <c r="G630" s="100" t="inlineStr">
        <is>
          <t xml:space="preserve">SIRDARYO VILOYATI XOVOS TUMANI XOVOSOBOD MFY G'ALABA KUCHASI 22-UY</t>
        </is>
      </c>
      <c r="H630" s="101">
        <v>8.0</v>
      </c>
      <c r="I630" s="101">
        <v>1792564.6</v>
      </c>
    </row>
    <row r="631">
      <c r="A631" s="100" t="inlineStr">
        <is>
          <t xml:space="preserve">СИРДАРЁ ВИЛОЯТИ</t>
        </is>
      </c>
      <c r="C631" s="100" t="inlineStr">
        <is>
          <t xml:space="preserve">Недозвон</t>
        </is>
      </c>
      <c r="D631" s="100" t="inlineStr">
        <is>
          <t xml:space="preserve">Кр-99063157-2</t>
        </is>
      </c>
      <c r="E631" s="100" t="inlineStr">
        <is>
          <t xml:space="preserve">KUNAROVA SHAXNOZA ANORKUL QIZI</t>
        </is>
      </c>
      <c r="F631" s="100" t="inlineStr">
        <is>
          <t xml:space="preserve">+998933471411 SMS O’ZI, 998949416631 UY EGASI TO'LOVCHI, 998996501458 QIZI, 998933233588 SMS O'ZI NEW,</t>
        </is>
      </c>
      <c r="G631" s="100" t="inlineStr">
        <is>
          <t xml:space="preserve">SIRDARYO VILOYATI GULISTON TUMANI ISHONCH MFY ADOLAT KO’CHASI 67-UY</t>
        </is>
      </c>
      <c r="H631" s="101">
        <v>8.0</v>
      </c>
      <c r="I631" s="101">
        <v>1744173.68</v>
      </c>
    </row>
    <row r="632">
      <c r="A632" s="100" t="inlineStr">
        <is>
          <t xml:space="preserve">СИРДАРЁ ВИЛОЯТИ</t>
        </is>
      </c>
      <c r="C632" s="100" t="inlineStr">
        <is>
          <t xml:space="preserve">Недозвон</t>
        </is>
      </c>
      <c r="D632" s="100" t="inlineStr">
        <is>
          <t xml:space="preserve">Кр-99038054-1</t>
        </is>
      </c>
      <c r="E632" s="100" t="inlineStr">
        <is>
          <t xml:space="preserve">DEHQONOV KAMOLIDDIN NE’MATJON O’G’LI</t>
        </is>
      </c>
      <c r="F632" s="100" t="inlineStr">
        <is>
          <t xml:space="preserve">998889090646 SMS OZI, 998887017444 SMS AKASI begana tel qilinmasin, 998980105220 SMS AKASI,</t>
        </is>
      </c>
      <c r="G632" s="100" t="inlineStr">
        <is>
          <t xml:space="preserve">SIRDRAYO VILOYATI MIRZAOBOD TUMANI MIRZO ULUG'BEK MFY KAMOLAT KUCHASI 1 UY</t>
        </is>
      </c>
      <c r="H632" s="101">
        <v>4.0</v>
      </c>
      <c r="I632" s="101">
        <v>1693950.55</v>
      </c>
    </row>
    <row r="633">
      <c r="A633" s="100" t="inlineStr">
        <is>
          <t xml:space="preserve">СИРДАРЁ ВИЛОЯТИ</t>
        </is>
      </c>
      <c r="C633" s="100" t="inlineStr">
        <is>
          <t xml:space="preserve">Недозвон</t>
        </is>
      </c>
      <c r="D633" s="100" t="inlineStr">
        <is>
          <t xml:space="preserve">Кр-99041286-1</t>
        </is>
      </c>
      <c r="E633" s="100" t="inlineStr">
        <is>
          <t xml:space="preserve">TOYCHIYEV G’AYRATJON TO’LQINOVICH</t>
        </is>
      </c>
      <c r="F633" s="100" t="inlineStr">
        <is>
          <t xml:space="preserve">+998979777919 SMS O’ZI, 998889777919 SMS ONASI, 998941670281 SMS AYOLI, 998972777919 SMS O’ZI 2,</t>
        </is>
      </c>
      <c r="G633" s="100" t="inlineStr">
        <is>
          <t xml:space="preserve">МИРЗАЧУЛ КФЙ, ЯНГИОВУЛ МФЙ, НИХОЛ КЎЧАСИ,  uy:1/2</t>
        </is>
      </c>
      <c r="H633" s="101">
        <v>8.0</v>
      </c>
      <c r="I633" s="101">
        <v>1543983.68</v>
      </c>
    </row>
    <row r="634">
      <c r="A634" s="100" t="inlineStr">
        <is>
          <t xml:space="preserve">СИРДАРЁ ВИЛОЯТИ</t>
        </is>
      </c>
      <c r="C634" s="100" t="inlineStr">
        <is>
          <t xml:space="preserve">Недозвон</t>
        </is>
      </c>
      <c r="D634" s="100" t="inlineStr">
        <is>
          <t xml:space="preserve">Кр-99057415-1</t>
        </is>
      </c>
      <c r="E634" s="100" t="inlineStr">
        <is>
          <t xml:space="preserve">KUCHKAROVA SALIMA FAYZULLAYEVNA</t>
        </is>
      </c>
      <c r="F634" s="100" t="inlineStr">
        <is>
          <t xml:space="preserve">998949191078 SMS UZI, 998701811477 SMS ERI, 998953367774 SMS QIZI,</t>
        </is>
      </c>
      <c r="G634" s="100" t="inlineStr">
        <is>
          <t xml:space="preserve">SIRDARYO VILOYATI SIRDARYO TUMANI ISHONCH MFY TIKUVCHI KO'CHASI 7/2-UY </t>
        </is>
      </c>
      <c r="H634" s="101">
        <v>8.0</v>
      </c>
      <c r="I634" s="101">
        <v>1504281.15</v>
      </c>
    </row>
    <row r="635">
      <c r="A635" s="100" t="inlineStr">
        <is>
          <t xml:space="preserve">СИРДАРЁ ВИЛОЯТИ</t>
        </is>
      </c>
      <c r="C635" s="100" t="inlineStr">
        <is>
          <t xml:space="preserve">Недозвон</t>
        </is>
      </c>
      <c r="D635" s="100" t="inlineStr">
        <is>
          <t xml:space="preserve">Кр-99037280-1</t>
        </is>
      </c>
      <c r="E635" s="100" t="inlineStr">
        <is>
          <t xml:space="preserve">SAIDOV G’ULAMJON RAIMBERDIYEVICH</t>
        </is>
      </c>
      <c r="F635" s="100" t="inlineStr">
        <is>
          <t xml:space="preserve">998902249087 SMS OZI, 998931536554 SMS AYOLI, 998900209100 SMS UKASI,</t>
        </is>
      </c>
      <c r="G635" s="100" t="inlineStr">
        <is>
          <t xml:space="preserve">SIRDARYO VILOYATI GULISTON SHAHAR BUYUK KELAJAK MFY SHABNAM KUCHASI 37-UY 30-XONADON </t>
        </is>
      </c>
      <c r="H635" s="101">
        <v>5.0</v>
      </c>
      <c r="I635" s="101">
        <v>1254734.84</v>
      </c>
    </row>
    <row r="636">
      <c r="A636" s="100" t="inlineStr">
        <is>
          <t xml:space="preserve">СИРДАРЁ ВИЛОЯТИ</t>
        </is>
      </c>
      <c r="C636" s="100" t="inlineStr">
        <is>
          <t xml:space="preserve">Недозвон</t>
        </is>
      </c>
      <c r="D636" s="100" t="inlineStr">
        <is>
          <t xml:space="preserve">Кр-99034932-1</t>
        </is>
      </c>
      <c r="E636" s="100" t="inlineStr">
        <is>
          <t xml:space="preserve">NAZAROV NASIMJON XOLBEKOVICH</t>
        </is>
      </c>
      <c r="F636" s="100" t="inlineStr">
        <is>
          <t xml:space="preserve">998994774851 SMS OZI, 998941884851 SMS OZI, 998995244112 SMS OGLI,</t>
        </is>
      </c>
      <c r="G636" s="100" t="inlineStr">
        <is>
          <t xml:space="preserve">SIRDARYO VILOYATI XOVOS TUMANI YANGI O'ZBEKISTON MFY MUXANDISLIK KUCHASI 6 UY</t>
        </is>
      </c>
      <c r="H636" s="101">
        <v>8.0</v>
      </c>
      <c r="I636" s="101">
        <v>1229959.84</v>
      </c>
    </row>
    <row r="637">
      <c r="A637" s="100" t="inlineStr">
        <is>
          <t xml:space="preserve">СИРДАРЁ ВИЛОЯТИ</t>
        </is>
      </c>
      <c r="C637" s="100" t="inlineStr">
        <is>
          <t xml:space="preserve">Недозвон</t>
        </is>
      </c>
      <c r="D637" s="100" t="inlineStr">
        <is>
          <t xml:space="preserve">Кр-99036631-1</t>
        </is>
      </c>
      <c r="E637" s="100" t="inlineStr">
        <is>
          <t xml:space="preserve">USAROV ELMUROD IBROXIMXALILOVICH</t>
        </is>
      </c>
      <c r="F637" s="100" t="inlineStr">
        <is>
          <t xml:space="preserve">998970231183 SMS OZI ukasiga qilinsin , 998770151590 SMS UKASI tolovchi bobomurod, 998999906102 SMS UKASI, 998915012607 SMS OGLI,</t>
        </is>
      </c>
      <c r="G637" s="100" t="inlineStr">
        <is>
          <t xml:space="preserve">SIRDARYO VILOYATI GULISTON TUMANI NUROBOD QFY OLTIN VODIY  MFY BULOQBOSHI KUCHASI 13-UY</t>
        </is>
      </c>
      <c r="I637" s="101">
        <v>1049319.15</v>
      </c>
    </row>
    <row r="638">
      <c r="A638" s="100" t="inlineStr">
        <is>
          <t xml:space="preserve">СИРДАРЁ ВИЛОЯТИ</t>
        </is>
      </c>
      <c r="C638" s="100" t="inlineStr">
        <is>
          <t xml:space="preserve">Недозвон</t>
        </is>
      </c>
      <c r="D638" s="100" t="inlineStr">
        <is>
          <t xml:space="preserve">Кр-99029471-1</t>
        </is>
      </c>
      <c r="E638" s="100" t="inlineStr">
        <is>
          <t xml:space="preserve">KARIMBERDIYEV G’ANIJON VALIJON O’G’LI</t>
        </is>
      </c>
      <c r="F638" s="100" t="inlineStr">
        <is>
          <t xml:space="preserve">91-018-98-98 SMS , 93-021-73-30  SMS , 95-073-41-41  SMS ORTOGI AZIZBEK, 90-105-05-81  SMS UKASI ISLOMJON, 998994776593 SMS baxrom pochasi , 998998066098 SMS TOLOVCHI NEW, 998918034774 SMS AYOLI,</t>
        </is>
      </c>
      <c r="G638" s="100" t="inlineStr">
        <is>
          <t xml:space="preserve">SIRDARYO VILOYATI BOYOVUT TUMANI MARKAZ MFY AVESTO KOCHASI 11-UY</t>
        </is>
      </c>
      <c r="H638" s="101">
        <v>4.0</v>
      </c>
      <c r="I638" s="101">
        <v>617077.51</v>
      </c>
    </row>
    <row r="639">
      <c r="A639" s="100" t="inlineStr">
        <is>
          <t xml:space="preserve">СИРДАРЁ ВИЛОЯТИ</t>
        </is>
      </c>
      <c r="C639" s="100" t="inlineStr">
        <is>
          <t xml:space="preserve">Недозвон</t>
        </is>
      </c>
      <c r="D639" s="100" t="inlineStr">
        <is>
          <t xml:space="preserve">Кр-99049724-1</t>
        </is>
      </c>
      <c r="E639" s="100" t="inlineStr">
        <is>
          <t xml:space="preserve">ABDURAXMANOV FARXOD KUSHBAKOVICH</t>
        </is>
      </c>
      <c r="F639" s="100" t="inlineStr">
        <is>
          <t xml:space="preserve">+998993402169 SMS O’ZI, 998958260927 SMS QIZI, 998973315687 SMS AYOLI,</t>
        </is>
      </c>
      <c r="G639" s="100" t="inlineStr">
        <is>
          <t xml:space="preserve">SIRDARYO VILOYATI GULISTON TUMANI A.NAVOIY MFY AL-XORAZMIY KUCHASI 13-UY</t>
        </is>
      </c>
      <c r="H639" s="101">
        <v>8.0</v>
      </c>
      <c r="I639" s="101">
        <v>569821.85</v>
      </c>
    </row>
    <row r="640">
      <c r="A640" s="100" t="inlineStr">
        <is>
          <t xml:space="preserve">СИРДАРЁ ВИЛОЯТИ</t>
        </is>
      </c>
      <c r="C640" s="100" t="inlineStr">
        <is>
          <t xml:space="preserve">Недозвон</t>
        </is>
      </c>
      <c r="D640" s="100" t="inlineStr">
        <is>
          <t xml:space="preserve">Кр-99058183-1</t>
        </is>
      </c>
      <c r="E640" s="100" t="inlineStr">
        <is>
          <t xml:space="preserve">AXMADOV HUSAN SAFAR O’G’LI</t>
        </is>
      </c>
      <c r="F640" s="100" t="inlineStr">
        <is>
          <t xml:space="preserve">998942318413 SMS OZI, 998933257262 SMS OTASI, 998509004558 SMS OPASI,</t>
        </is>
      </c>
      <c r="G640" s="100" t="inlineStr">
        <is>
          <t xml:space="preserve">SIRDARYO VILOYATI YANGIYER SHAHAR ABDURAHMON JOMIY MFY AMIR TEMUR SHOH KO'CHASI 30-UY 1 XONADON  </t>
        </is>
      </c>
      <c r="H640" s="101">
        <v>8.0</v>
      </c>
      <c r="I640" s="101">
        <v>170920.14</v>
      </c>
    </row>
    <row r="641">
      <c r="A641" s="100" t="inlineStr">
        <is>
          <t xml:space="preserve">СИРДАРЁ ВИЛОЯТИ</t>
        </is>
      </c>
      <c r="C641" s="100" t="inlineStr">
        <is>
          <t xml:space="preserve">Недозвон</t>
        </is>
      </c>
      <c r="D641" s="100" t="inlineStr">
        <is>
          <t xml:space="preserve">Кр-99062604-1</t>
        </is>
      </c>
      <c r="E641" s="100" t="inlineStr">
        <is>
          <t xml:space="preserve">MINGBAYEVA SHOXISTA TASHPULOTOVNA</t>
        </is>
      </c>
      <c r="F641" s="100" t="inlineStr">
        <is>
          <t xml:space="preserve">998943368627 узи, 998954543282 эри, 998335701015 кизи, +998943368627 смс узи,</t>
        </is>
      </c>
      <c r="G641" s="100" t="inlineStr">
        <is>
          <t xml:space="preserve">SIRDARYO VILOYATI BOYOVUT TUMANI MUKUMIY MFY ISTE’DOD KO’CHASI 11-UY</t>
        </is>
      </c>
      <c r="H641" s="101">
        <v>8.0</v>
      </c>
      <c r="I641" s="101">
        <v>80725.9</v>
      </c>
    </row>
    <row r="642">
      <c r="A642" s="100" t="inlineStr">
        <is>
          <t xml:space="preserve">СИРДАРЁ ВИЛОЯТИ</t>
        </is>
      </c>
      <c r="C642" s="100" t="inlineStr">
        <is>
          <t xml:space="preserve">Недозвон</t>
        </is>
      </c>
      <c r="D642" s="100" t="inlineStr">
        <is>
          <t xml:space="preserve">Кр-99063578-3</t>
        </is>
      </c>
      <c r="E642" s="100" t="inlineStr">
        <is>
          <t xml:space="preserve">NORMATOV ABDUMALIK CHINBERDIYEVICH</t>
        </is>
      </c>
      <c r="F642" s="100" t="inlineStr">
        <is>
          <t xml:space="preserve">998200341997 O’GLI, 998901052966 AYOLI, 998903126012 SMS O’ZI,</t>
        </is>
      </c>
      <c r="G642" s="100" t="inlineStr">
        <is>
          <t xml:space="preserve">SIRDARYO VILOYATI GULISTON, NAVBAXOR MFY,YANGI TURMUSH KO’CHASI 5A-UY</t>
        </is>
      </c>
      <c r="H642" s="101">
        <v>8.0</v>
      </c>
      <c r="I642" s="101">
        <v>76084.58</v>
      </c>
    </row>
    <row r="643">
      <c r="A643" s="100" t="inlineStr">
        <is>
          <t xml:space="preserve">СИРДАРЁ ВИЛОЯТИ</t>
        </is>
      </c>
      <c r="C643" s="100" t="inlineStr">
        <is>
          <t xml:space="preserve">Недозвон</t>
        </is>
      </c>
      <c r="D643" s="100" t="inlineStr">
        <is>
          <t xml:space="preserve">Кр-99048917-1</t>
        </is>
      </c>
      <c r="E643" s="100" t="inlineStr">
        <is>
          <t xml:space="preserve">ABDURAXMANOV XALIMJON ABDUXALILOVICH</t>
        </is>
      </c>
      <c r="F643" s="100" t="inlineStr">
        <is>
          <t xml:space="preserve">+998990634588 SMS O’ZI, 998950453061 SMS UKASI, 998951180401 SMS DADASI, 998990504588 SMS AYOLI,</t>
        </is>
      </c>
      <c r="G643" s="100" t="inlineStr">
        <is>
          <t xml:space="preserve">SIRDARYO VILOYATI SIRDARYO TUMANI FURQAT MFY UYGUN KUCHASI 53-UY</t>
        </is>
      </c>
      <c r="H643" s="101">
        <v>8.0</v>
      </c>
      <c r="I643" s="101">
        <v>45286.9</v>
      </c>
    </row>
    <row r="644">
      <c r="A644" s="100" t="inlineStr">
        <is>
          <t xml:space="preserve">СИРДАРЁ ВИЛОЯТИ</t>
        </is>
      </c>
      <c r="C644" s="100" t="inlineStr">
        <is>
          <t xml:space="preserve">Недозвон</t>
        </is>
      </c>
      <c r="D644" s="100" t="inlineStr">
        <is>
          <t xml:space="preserve">Кр-99063851-3</t>
        </is>
      </c>
      <c r="E644" s="100" t="inlineStr">
        <is>
          <t xml:space="preserve">USANBAYEV JAMOLIDDIN ARTIKBAYEVICH</t>
        </is>
      </c>
      <c r="F644" s="100" t="inlineStr">
        <is>
          <t xml:space="preserve">998874360990 UY EGASI O’G’LI, 998884772862 UY EGASI, 998993992202 SMS O’ZI,</t>
        </is>
      </c>
      <c r="G644" s="100" t="inlineStr">
        <is>
          <t xml:space="preserve">SIRDARYO VILOYATI BOYOVUT TUMANI,LAYLAKKUL MFY, ELOBOD KO’CHASI 28-UY</t>
        </is>
      </c>
      <c r="H644" s="101">
        <v>8.0</v>
      </c>
      <c r="I644" s="101">
        <v>40390.95</v>
      </c>
    </row>
    <row r="645">
      <c r="A645" s="102" t="inlineStr">
        <is>
          <t xml:space="preserve">СУРХОНДАРЁ ВИЛОЯТИ</t>
        </is>
      </c>
      <c r="C645" s="102" t="inlineStr">
        <is>
          <t xml:space="preserve">Недозвон</t>
        </is>
      </c>
      <c r="D645" s="102" t="inlineStr">
        <is>
          <t xml:space="preserve">Кр-99031106-8</t>
        </is>
      </c>
      <c r="E645" s="102" t="inlineStr">
        <is>
          <t xml:space="preserve">ESHONQULOVA MALOXAT DONIYOROVNA</t>
        </is>
      </c>
      <c r="F645" s="102" t="inlineStr">
        <is>
          <t xml:space="preserve">998994258000 SMS O’ZI TULOVCHI, 998998278000 SMS OZI, 97-076-99-01  SMS SINGLISI, 998770889901 SMS uzi new raqami, 998996799892 SMS UKASI, 998997113009 SMS O’ZI,</t>
        </is>
      </c>
      <c r="G645" s="102" t="inlineStr">
        <is>
          <t xml:space="preserve">SH.RASHIDOV 186-UY 7-XONADON</t>
        </is>
      </c>
      <c r="H645" s="103">
        <v>102.0</v>
      </c>
      <c r="I645" s="103">
        <v>74251736.87</v>
      </c>
    </row>
    <row r="646">
      <c r="A646" s="102" t="inlineStr">
        <is>
          <t xml:space="preserve">СУРХОНДАРЁ ВИЛОЯТИ</t>
        </is>
      </c>
      <c r="C646" s="102" t="inlineStr">
        <is>
          <t xml:space="preserve">Недозвон</t>
        </is>
      </c>
      <c r="D646" s="102" t="inlineStr">
        <is>
          <t xml:space="preserve">Кр-99062062-1</t>
        </is>
      </c>
      <c r="E646" s="102" t="inlineStr">
        <is>
          <t xml:space="preserve">QAMBAROV ZUXRUDDIN IKROMIDDIN O’G’LI</t>
        </is>
      </c>
      <c r="F646" s="102" t="inlineStr">
        <is>
          <t xml:space="preserve">998997113009 SMS Шахноз тўловчи,</t>
        </is>
      </c>
      <c r="G646" s="102" t="inlineStr">
        <is>
          <t xml:space="preserve">SURXONDARYO VILOYATI DENOV SHAHRI NURLI MANZIL MFY MADANIYAT 152-UY 27-XONADON</t>
        </is>
      </c>
      <c r="H646" s="103">
        <v>102.0</v>
      </c>
      <c r="I646" s="103">
        <v>64347418.97</v>
      </c>
      <c r="K646" s="102" t="inlineStr">
        <is>
          <t xml:space="preserve">Telefon ko'tarmadi | wahnoz krediti | 1566</t>
        </is>
      </c>
    </row>
    <row r="647">
      <c r="A647" s="102" t="inlineStr">
        <is>
          <t xml:space="preserve">СУРХОНДАРЁ ВИЛОЯТИ</t>
        </is>
      </c>
      <c r="C647" s="102" t="inlineStr">
        <is>
          <t xml:space="preserve">Недозвон</t>
        </is>
      </c>
      <c r="D647" s="102" t="inlineStr">
        <is>
          <t xml:space="preserve">Кр-99040524-1</t>
        </is>
      </c>
      <c r="E647" s="102" t="inlineStr">
        <is>
          <t xml:space="preserve">BOBORAJABOV MUSLIMBEK OLIMJONOVICH</t>
        </is>
      </c>
      <c r="F647" s="102" t="inlineStr">
        <is>
          <t xml:space="preserve">998910774888 SMS OZI, 998915119511 SMS UY otasi, 998917117900 SMS onasi,</t>
        </is>
      </c>
      <c r="G647" s="102" t="inlineStr">
        <is>
          <t xml:space="preserve">ДЕНОВ ҚФЙ, ГУЛИСТОН МФЙ,  uy:Б/Н</t>
        </is>
      </c>
      <c r="H647" s="103">
        <v>194.0</v>
      </c>
      <c r="I647" s="103">
        <v>58642752.94</v>
      </c>
      <c r="K647" s="102" t="inlineStr">
        <is>
          <t xml:space="preserve">Telefon ko'tarmadi | abrorga tolaga | 993</t>
        </is>
      </c>
    </row>
    <row r="648">
      <c r="A648" s="102" t="inlineStr">
        <is>
          <t xml:space="preserve">СУРХОНДАРЁ ВИЛОЯТИ</t>
        </is>
      </c>
      <c r="C648" s="102" t="inlineStr">
        <is>
          <t xml:space="preserve">Недозвон</t>
        </is>
      </c>
      <c r="D648" s="102" t="inlineStr">
        <is>
          <t xml:space="preserve">Кр-99038710-1</t>
        </is>
      </c>
      <c r="E648" s="102" t="inlineStr">
        <is>
          <t xml:space="preserve">MURATOV JALOLIDDIN FAZLIDDIN O’G’LI</t>
        </is>
      </c>
      <c r="F648" s="102" t="inlineStr">
        <is>
          <t xml:space="preserve">998330007577 SMS OZI, 998997577136 SMS OZI , 998777779397 SMS OTASI,</t>
        </is>
      </c>
      <c r="G648" s="102" t="inlineStr">
        <is>
          <t xml:space="preserve">SURAXNDARYO VILOYATI DENOV TUMANI OLAYURT KO’CHASI 29-UY</t>
        </is>
      </c>
      <c r="H648" s="103">
        <v>160.0</v>
      </c>
      <c r="I648" s="103">
        <v>43817088.18</v>
      </c>
    </row>
    <row r="649">
      <c r="A649" s="102" t="inlineStr">
        <is>
          <t xml:space="preserve">СУРХОНДАРЁ ВИЛОЯТИ</t>
        </is>
      </c>
      <c r="C649" s="102" t="inlineStr">
        <is>
          <t xml:space="preserve">Недозвон</t>
        </is>
      </c>
      <c r="D649" s="102" t="inlineStr">
        <is>
          <t xml:space="preserve">Кр-99039336-1</t>
        </is>
      </c>
      <c r="E649" s="102" t="inlineStr">
        <is>
          <t xml:space="preserve">AXMEDOV SARDOR SALIMOVICH</t>
        </is>
      </c>
      <c r="F649" s="102" t="inlineStr">
        <is>
          <t xml:space="preserve">998990466913 SMS OZI, 998338530304 SMS UY, 998952426616 SMS UKASI, 998885030488 SMS PAOCHCHASI,</t>
        </is>
      </c>
      <c r="G649" s="102" t="inlineStr">
        <is>
          <t xml:space="preserve">SURXONDARYO VILOYATI DENOV TUMANI GULISTON MFY GULISTON 22-UY</t>
        </is>
      </c>
      <c r="H649" s="103">
        <v>251.0</v>
      </c>
      <c r="I649" s="103">
        <v>43149014.11</v>
      </c>
    </row>
    <row r="650">
      <c r="A650" s="102" t="inlineStr">
        <is>
          <t xml:space="preserve">СУРХОНДАРЁ ВИЛОЯТИ</t>
        </is>
      </c>
      <c r="C650" s="102" t="inlineStr">
        <is>
          <t xml:space="preserve">Недозвон</t>
        </is>
      </c>
      <c r="D650" s="102" t="inlineStr">
        <is>
          <t xml:space="preserve">Кр-99041196-1</t>
        </is>
      </c>
      <c r="E650" s="102" t="inlineStr">
        <is>
          <t xml:space="preserve">AZIZOVA GULZAR TAJIYEVNA</t>
        </is>
      </c>
      <c r="F650" s="102" t="inlineStr">
        <is>
          <t xml:space="preserve">+998904196364 SMS O’ZI, 998915773010 SMS UY, 998917277694 SMS O’G’LI,</t>
        </is>
      </c>
      <c r="G650" s="102" t="inlineStr">
        <is>
          <t xml:space="preserve">ТЕЛПАКЧИНОР ҚФЙ, УЗУН ҚИШЛОҚ МФЙ, ТЕЛПАКЧИНОР ҚФЙ, УЗУН ҚИШЛОҚ МФЙ, ЧАНГАК КИШЛОГИ,  uy:.</t>
        </is>
      </c>
      <c r="H650" s="103">
        <v>133.0</v>
      </c>
      <c r="I650" s="103">
        <v>36508492.3</v>
      </c>
      <c r="K650" s="102" t="inlineStr">
        <is>
          <t xml:space="preserve">Telefon ko'tarmadi | abrorga tolaga | 1069</t>
        </is>
      </c>
    </row>
    <row r="651">
      <c r="A651" s="102" t="inlineStr">
        <is>
          <t xml:space="preserve">СУРХОНДАРЁ ВИЛОЯТИ</t>
        </is>
      </c>
      <c r="C651" s="102" t="inlineStr">
        <is>
          <t xml:space="preserve">Недозвон</t>
        </is>
      </c>
      <c r="D651" s="102" t="inlineStr">
        <is>
          <t xml:space="preserve">Кр-99039532-1</t>
        </is>
      </c>
      <c r="E651" s="102" t="inlineStr">
        <is>
          <t xml:space="preserve">MUSIRMONOVA SABRINISO MURODALI QIZI</t>
        </is>
      </c>
      <c r="F651" s="102" t="inlineStr">
        <is>
          <t xml:space="preserve">998990625405 SMS OZI, 998991287784 SMS ONASI, 998881062555 SMS OILASI,</t>
        </is>
      </c>
      <c r="G651" s="102" t="inlineStr">
        <is>
          <t xml:space="preserve">SURXONDARYO VILOYATI TUMANI UMANI BOG'ISHAMOL  MFY SHARQ GAVHARI KO‘CHASI 40-UY</t>
        </is>
      </c>
      <c r="H651" s="103">
        <v>189.0</v>
      </c>
      <c r="I651" s="103">
        <v>36373247.65</v>
      </c>
    </row>
    <row r="652">
      <c r="A652" s="102" t="inlineStr">
        <is>
          <t xml:space="preserve">СУРХОНДАРЁ ВИЛОЯТИ</t>
        </is>
      </c>
      <c r="C652" s="102" t="inlineStr">
        <is>
          <t xml:space="preserve">Недозвон</t>
        </is>
      </c>
      <c r="D652" s="102" t="inlineStr">
        <is>
          <t xml:space="preserve">Кр-99035360-1</t>
        </is>
      </c>
      <c r="E652" s="102" t="inlineStr">
        <is>
          <t xml:space="preserve">JO’RAYEV ILYOS SHAXRIYOROVICH</t>
        </is>
      </c>
      <c r="F652" s="102" t="inlineStr">
        <is>
          <t xml:space="preserve">998973507711 SMS O’ZI, 999880757000 SMS UY, 998771073599 SMS OILASI, 998919095500 SMS AKASI, 998500088102 SMS UZI 2,</t>
        </is>
      </c>
      <c r="G652" s="102" t="inlineStr">
        <is>
          <t xml:space="preserve">SURXONDARYO VILOYATI DENOV TUMANI FARG’ONA QFY OLOVUDDIN MFY SHAXROBOD 27-UY</t>
        </is>
      </c>
      <c r="H652" s="103">
        <v>91.0</v>
      </c>
      <c r="I652" s="103">
        <v>35077207.43</v>
      </c>
      <c r="K652" s="102" t="inlineStr">
        <is>
          <t xml:space="preserve">Telefon ko'tarmadi | sms yozvordm | 569</t>
        </is>
      </c>
    </row>
    <row r="653">
      <c r="A653" s="102" t="inlineStr">
        <is>
          <t xml:space="preserve">СУРХОНДАРЁ ВИЛОЯТИ</t>
        </is>
      </c>
      <c r="C653" s="102" t="inlineStr">
        <is>
          <t xml:space="preserve">Недозвон</t>
        </is>
      </c>
      <c r="D653" s="102" t="inlineStr">
        <is>
          <t xml:space="preserve">Кр-99037390-1</t>
        </is>
      </c>
      <c r="E653" s="102" t="inlineStr">
        <is>
          <t xml:space="preserve">TURSUNBADALOVA SAIDABONU TOLIBJON QIZI</t>
        </is>
      </c>
      <c r="F653" s="102" t="inlineStr">
        <is>
          <t xml:space="preserve">998908159906 SMS, 998888109694 SMS UY, 998908159697 SMS UKASI, 998919700206 SMS,</t>
        </is>
      </c>
      <c r="G653" s="102" t="inlineStr">
        <is>
          <t xml:space="preserve">SURXONDARYO VILOYATI SARIOSIYO TUMANI SHARG'UN SHFY SHAXTIYORLAR KO’CHASI 53-UY 5-XONADON</t>
        </is>
      </c>
      <c r="H653" s="103">
        <v>92.0</v>
      </c>
      <c r="I653" s="103">
        <v>33260258.77</v>
      </c>
      <c r="K653" s="102" t="inlineStr">
        <is>
          <t xml:space="preserve">Telefon ko'tarmadi | abror ogan | 708</t>
        </is>
      </c>
    </row>
    <row r="654">
      <c r="A654" s="102" t="inlineStr">
        <is>
          <t xml:space="preserve">СУРХОНДАРЁ ВИЛОЯТИ</t>
        </is>
      </c>
      <c r="C654" s="102" t="inlineStr">
        <is>
          <t xml:space="preserve">Недозвон</t>
        </is>
      </c>
      <c r="D654" s="102" t="inlineStr">
        <is>
          <t xml:space="preserve">Кр-99038761-1</t>
        </is>
      </c>
      <c r="E654" s="102" t="inlineStr">
        <is>
          <t xml:space="preserve">JUMAYEV MIRZOBEK BAHODIROVICH</t>
        </is>
      </c>
      <c r="F654" s="102" t="inlineStr">
        <is>
          <t xml:space="preserve">998994284567 SMS O’ZI, 998952264343 SMS AKASI, 998881910375 SMS ONASI, 998881512151 SMS UYI,</t>
        </is>
      </c>
      <c r="G654" s="102" t="inlineStr">
        <is>
          <t xml:space="preserve">SURXONDARYO VILOYATI DENOV TUMANI DAXANA QFY MEXNATOBOD MFY SINA  KO’CHASI 3-UY  </t>
        </is>
      </c>
      <c r="H654" s="103">
        <v>153.0</v>
      </c>
      <c r="I654" s="103">
        <v>29155854.97</v>
      </c>
    </row>
    <row r="655">
      <c r="A655" s="102" t="inlineStr">
        <is>
          <t xml:space="preserve">СУРХОНДАРЁ ВИЛОЯТИ</t>
        </is>
      </c>
      <c r="C655" s="102" t="inlineStr">
        <is>
          <t xml:space="preserve">Недозвон</t>
        </is>
      </c>
      <c r="D655" s="102" t="inlineStr">
        <is>
          <t xml:space="preserve">Кр-99028747-1</t>
        </is>
      </c>
      <c r="E655" s="102" t="inlineStr">
        <is>
          <t xml:space="preserve">PIRMATOV SHOMUROD EGAMBERDI O’G’LI</t>
        </is>
      </c>
      <c r="F655" s="102" t="inlineStr">
        <is>
          <t xml:space="preserve">99-169-60-68 SMS uzi, 95-257-44-05 SMS akasi, 91-991-09-67 SMS uy, 77-173-73-89 SMS oilasi,</t>
        </is>
      </c>
      <c r="G655" s="102" t="inlineStr">
        <is>
          <t xml:space="preserve">SURXONDARYO VILOYATI DENOV TUMANI</t>
        </is>
      </c>
      <c r="H655" s="103">
        <v>180.0</v>
      </c>
      <c r="I655" s="103">
        <v>28020402.5</v>
      </c>
    </row>
    <row r="656">
      <c r="A656" s="102" t="inlineStr">
        <is>
          <t xml:space="preserve">СУРХОНДАРЁ ВИЛОЯТИ</t>
        </is>
      </c>
      <c r="C656" s="102" t="inlineStr">
        <is>
          <t xml:space="preserve">Недозвон</t>
        </is>
      </c>
      <c r="D656" s="102" t="inlineStr">
        <is>
          <t xml:space="preserve">Кр-99047243-1</t>
        </is>
      </c>
      <c r="E656" s="102" t="inlineStr">
        <is>
          <t xml:space="preserve">XOLMO’MINOV ZAFARBEK ILHOM O’G’LI</t>
        </is>
      </c>
      <c r="F656" s="102" t="inlineStr">
        <is>
          <t xml:space="preserve">+998931295565 SMS O’ZI, 998774107913 SMS ONASI, 998935993630 SMS TO'LOVCHI,</t>
        </is>
      </c>
      <c r="G656" s="102" t="inlineStr">
        <is>
          <t xml:space="preserve">ТОРЗОР КУЧАСИ 13А УЙ</t>
        </is>
      </c>
      <c r="H656" s="103">
        <v>162.0</v>
      </c>
      <c r="I656" s="103">
        <v>26394832.44</v>
      </c>
      <c r="K656" s="102" t="inlineStr">
        <is>
          <t xml:space="preserve">Telefon ko'tarmadi | abrorga tolaga | 1254</t>
        </is>
      </c>
    </row>
    <row r="657">
      <c r="A657" s="102" t="inlineStr">
        <is>
          <t xml:space="preserve">СУРХОНДАРЁ ВИЛОЯТИ</t>
        </is>
      </c>
      <c r="C657" s="102" t="inlineStr">
        <is>
          <t xml:space="preserve">Недозвон</t>
        </is>
      </c>
      <c r="D657" s="102" t="inlineStr">
        <is>
          <t xml:space="preserve">Кр-99024295-1</t>
        </is>
      </c>
      <c r="E657" s="102" t="inlineStr">
        <is>
          <t xml:space="preserve">QAHHOROVA MA’RIFAT AMONOVNA</t>
        </is>
      </c>
      <c r="F657" s="102" t="inlineStr">
        <is>
          <t xml:space="preserve">+998937270186 SMS O’ZI, 998947131008 SMS QIZI, 998990866375 SMS O’ZI,</t>
        </is>
      </c>
      <c r="G657" s="102" t="inlineStr">
        <is>
          <t xml:space="preserve">ШЕРОБОД ТУМАН САРИҚАМИШ ҚФЙ, МЕХРОБОД МФЙ, СЕПЛОН КУЧ uy:51А</t>
        </is>
      </c>
      <c r="H657" s="103">
        <v>162.0</v>
      </c>
      <c r="I657" s="103">
        <v>25730423.45</v>
      </c>
    </row>
    <row r="658">
      <c r="A658" s="102" t="inlineStr">
        <is>
          <t xml:space="preserve">СУРХОНДАРЁ ВИЛОЯТИ</t>
        </is>
      </c>
      <c r="C658" s="102" t="inlineStr">
        <is>
          <t xml:space="preserve">Недозвон</t>
        </is>
      </c>
      <c r="D658" s="102" t="inlineStr">
        <is>
          <t xml:space="preserve">Кр-99040622-1</t>
        </is>
      </c>
      <c r="E658" s="102" t="inlineStr">
        <is>
          <t xml:space="preserve">TURDIYEV ASLIDDIN CHORIYEVICH</t>
        </is>
      </c>
      <c r="F658" s="102" t="inlineStr">
        <is>
          <t xml:space="preserve">+998906450323 SMS O’ZI, 998774540323 SMS OILASI, 998997179198 SMS UY,</t>
        </is>
      </c>
      <c r="G658" s="102" t="inlineStr">
        <is>
          <t xml:space="preserve">АНБАРСОЙ ҚФЙ, ОБОДОН МФЙ,  uy:Б/Н</t>
        </is>
      </c>
      <c r="H658" s="103">
        <v>102.0</v>
      </c>
      <c r="I658" s="103">
        <v>24485024.51</v>
      </c>
      <c r="K658" s="102" t="inlineStr">
        <is>
          <t xml:space="preserve">Telefon ko'tarmadi | abrorga tolaga | 998</t>
        </is>
      </c>
    </row>
    <row r="659">
      <c r="A659" s="102" t="inlineStr">
        <is>
          <t xml:space="preserve">СУРХОНДАРЁ ВИЛОЯТИ</t>
        </is>
      </c>
      <c r="C659" s="102" t="inlineStr">
        <is>
          <t xml:space="preserve">Недозвон</t>
        </is>
      </c>
      <c r="D659" s="102" t="inlineStr">
        <is>
          <t xml:space="preserve">Кр-99039320-1</t>
        </is>
      </c>
      <c r="E659" s="102" t="inlineStr">
        <is>
          <t xml:space="preserve">KURBANOV FAZLIDDIN ABDUKAXOROVICH</t>
        </is>
      </c>
      <c r="F659" s="102" t="inlineStr">
        <is>
          <t xml:space="preserve">998991354667 SMS OZI, 998991205994 SMS AYOLI, 998994513084 SMS AKASI, 998745116760 SMS UY,</t>
        </is>
      </c>
      <c r="G659" s="102" t="inlineStr">
        <is>
          <t xml:space="preserve">SURXONDARYO VILOYATI DENOV TUMANI OYBARAK MFY CHINORSOY  KO’CHASI 42-UY</t>
        </is>
      </c>
      <c r="H659" s="103">
        <v>165.0</v>
      </c>
      <c r="I659" s="103">
        <v>20832794.66</v>
      </c>
    </row>
    <row r="660">
      <c r="A660" s="102" t="inlineStr">
        <is>
          <t xml:space="preserve">СУРХОНДАРЁ ВИЛОЯТИ</t>
        </is>
      </c>
      <c r="C660" s="102" t="inlineStr">
        <is>
          <t xml:space="preserve">Недозвон</t>
        </is>
      </c>
      <c r="D660" s="102" t="inlineStr">
        <is>
          <t xml:space="preserve">Кр-99032943-1</t>
        </is>
      </c>
      <c r="E660" s="102" t="inlineStr">
        <is>
          <t xml:space="preserve">RAXIMBADALOV ALISHER NAMAZALIYEVICH</t>
        </is>
      </c>
      <c r="F660" s="102" t="inlineStr">
        <is>
          <t xml:space="preserve">998978490308 SMS O’ZI, 998995767713 SMS OTASI, 998904101090 SMS ONASI, 998950442969 SMS AMAKISI,</t>
        </is>
      </c>
      <c r="G660" s="102" t="inlineStr">
        <is>
          <t xml:space="preserve">SURXONDARYO VILOYATI UZUN TUMANI ITTIFOQ MFY SHODLIK KO’CHASI 98-UY</t>
        </is>
      </c>
      <c r="H660" s="103">
        <v>146.0</v>
      </c>
      <c r="I660" s="103">
        <v>20532398.33</v>
      </c>
    </row>
    <row r="661">
      <c r="A661" s="102" t="inlineStr">
        <is>
          <t xml:space="preserve">СУРХОНДАРЁ ВИЛОЯТИ</t>
        </is>
      </c>
      <c r="C661" s="102" t="inlineStr">
        <is>
          <t xml:space="preserve">Недозвон</t>
        </is>
      </c>
      <c r="D661" s="102" t="inlineStr">
        <is>
          <t xml:space="preserve">Кр-99037217-1</t>
        </is>
      </c>
      <c r="E661" s="102" t="inlineStr">
        <is>
          <t xml:space="preserve">XUDOYBERDIYEV RUSTAM ASHIROVICH</t>
        </is>
      </c>
      <c r="F661" s="102" t="inlineStr">
        <is>
          <t xml:space="preserve">998888080583 SMS OZI, 998952608388 SMS UKASI, 998952688984 SMS AKASI, 998990619488 SMS UY,</t>
        </is>
      </c>
      <c r="G661" s="102" t="inlineStr">
        <is>
          <t xml:space="preserve">SURXONDARYO VILOYATI DENOV TUMANI SH.RASHIDOV  SIU OQQO’RG’ON MFY TONYULDUZU  112-UY</t>
        </is>
      </c>
      <c r="H661" s="103">
        <v>131.0</v>
      </c>
      <c r="I661" s="103">
        <v>20054550.4</v>
      </c>
      <c r="K661" s="102" t="inlineStr">
        <is>
          <t xml:space="preserve">Telefon ko'tarmadi | abror ogan | 693</t>
        </is>
      </c>
    </row>
    <row r="662">
      <c r="A662" s="102" t="inlineStr">
        <is>
          <t xml:space="preserve">СУРХОНДАРЁ ВИЛОЯТИ</t>
        </is>
      </c>
      <c r="C662" s="102" t="inlineStr">
        <is>
          <t xml:space="preserve">Недозвон</t>
        </is>
      </c>
      <c r="D662" s="102" t="inlineStr">
        <is>
          <t xml:space="preserve">Кр-99029760-1</t>
        </is>
      </c>
      <c r="E662" s="102" t="inlineStr">
        <is>
          <t xml:space="preserve">MENGNAROV ERKIN DJABBAROVICH</t>
        </is>
      </c>
      <c r="F662" s="102" t="inlineStr">
        <is>
          <t xml:space="preserve">90-294-46-11 uzi, 97-331-00-95 UY, 88-617-09-99 OILASI, 998959405510 SMS OGLI ,</t>
        </is>
      </c>
      <c r="G662" s="102" t="inlineStr">
        <is>
          <t xml:space="preserve">SURXANDARYO VILOYATI DENOV TUMANI CHUQURQISHLOQ MFY SURXONOBOD KO’CHASI 58-UY</t>
        </is>
      </c>
      <c r="H662" s="103">
        <v>120.0</v>
      </c>
      <c r="I662" s="103">
        <v>19463413.93</v>
      </c>
    </row>
    <row r="663">
      <c r="A663" s="102" t="inlineStr">
        <is>
          <t xml:space="preserve">СУРХОНДАРЁ ВИЛОЯТИ</t>
        </is>
      </c>
      <c r="C663" s="102" t="inlineStr">
        <is>
          <t xml:space="preserve">Недозвон</t>
        </is>
      </c>
      <c r="D663" s="102" t="inlineStr">
        <is>
          <t xml:space="preserve">Кр-99044052-1</t>
        </is>
      </c>
      <c r="E663" s="102" t="inlineStr">
        <is>
          <t xml:space="preserve">DJABBOROVA NODIRA MELIQULOVNA</t>
        </is>
      </c>
      <c r="F663" s="102" t="inlineStr">
        <is>
          <t xml:space="preserve">+998887191000 SMS O’ZI, 998902493639 SMS UY, 998910791549 SMS ONASI,</t>
        </is>
      </c>
      <c r="G663" s="102" t="inlineStr">
        <is>
          <t xml:space="preserve">СУРХОНДАРЁ ВИЛОЯТИ ДЕНОВ ТУМАНИ И.ТУРАЕВ СИУ, НАМУНА МФЙ,  uy:48</t>
        </is>
      </c>
      <c r="H663" s="103">
        <v>102.0</v>
      </c>
      <c r="I663" s="103">
        <v>19224214.23</v>
      </c>
      <c r="K663" s="102" t="inlineStr">
        <is>
          <t xml:space="preserve">Telefon ko'tarmadi | abror ogan | 1193</t>
        </is>
      </c>
    </row>
    <row r="664">
      <c r="A664" s="102" t="inlineStr">
        <is>
          <t xml:space="preserve">СУРХОНДАРЁ ВИЛОЯТИ</t>
        </is>
      </c>
      <c r="C664" s="102" t="inlineStr">
        <is>
          <t xml:space="preserve">Недозвон</t>
        </is>
      </c>
      <c r="D664" s="102" t="inlineStr">
        <is>
          <t xml:space="preserve">Кр-99040308-1</t>
        </is>
      </c>
      <c r="E664" s="102" t="inlineStr">
        <is>
          <t xml:space="preserve">SUVONOV NURBEK OYBEK O’G’LI</t>
        </is>
      </c>
      <c r="F664" s="102" t="inlineStr">
        <is>
          <t xml:space="preserve">998997511064 SMS OZI, 998952191064 SMS UY begona, 998997310499 SMS KELINI, 998996848911 SMS KELINI 2,</t>
        </is>
      </c>
      <c r="G664" s="102" t="inlineStr">
        <is>
          <t xml:space="preserve">SURXONDARYO VILOYATI BANDIXON TUMANI OBADTURMUSH MFY BEXIZOR 48-UY</t>
        </is>
      </c>
      <c r="H664" s="103">
        <v>162.0</v>
      </c>
      <c r="I664" s="103">
        <v>18704091.4</v>
      </c>
      <c r="K664" s="102" t="inlineStr">
        <is>
          <t xml:space="preserve">Telefon ko'tarmadi | abrorga tolaga | 963</t>
        </is>
      </c>
    </row>
    <row r="665">
      <c r="A665" s="102" t="inlineStr">
        <is>
          <t xml:space="preserve">СУРХОНДАРЁ ВИЛОЯТИ</t>
        </is>
      </c>
      <c r="C665" s="102" t="inlineStr">
        <is>
          <t xml:space="preserve">Недозвон</t>
        </is>
      </c>
      <c r="D665" s="102" t="inlineStr">
        <is>
          <t xml:space="preserve">Кр-99030594-1</t>
        </is>
      </c>
      <c r="E665" s="102" t="inlineStr">
        <is>
          <t xml:space="preserve">SHAIMOV NODIRBEK ISMOILOVICH</t>
        </is>
      </c>
      <c r="F665" s="102" t="inlineStr">
        <is>
          <t xml:space="preserve">97-076-89-99 SMS O’ZI, 97-194-39-99  SMS UKASI, 99-599-99-43  SMS UKASI 2 begona tel qimanglar, 50-071-10-03  SMS UY begona,</t>
        </is>
      </c>
      <c r="G665" s="102" t="inlineStr">
        <is>
          <t xml:space="preserve">SURXONDARYO VILOYATI DENOV TUMANI XAZARBOG QFY CHORGUL MFY TARQULAT KO’CHASI 12-UY</t>
        </is>
      </c>
      <c r="H665" s="103">
        <v>155.0</v>
      </c>
      <c r="I665" s="103">
        <v>18273642.98</v>
      </c>
    </row>
    <row r="666">
      <c r="A666" s="102" t="inlineStr">
        <is>
          <t xml:space="preserve">СУРХОНДАРЁ ВИЛОЯТИ</t>
        </is>
      </c>
      <c r="C666" s="102" t="inlineStr">
        <is>
          <t xml:space="preserve">Недозвон</t>
        </is>
      </c>
      <c r="D666" s="102" t="inlineStr">
        <is>
          <t xml:space="preserve">Кр-99025609-1</t>
        </is>
      </c>
      <c r="E666" s="102" t="inlineStr">
        <is>
          <t xml:space="preserve">XOLMAMATOV ULUG’BEK JO’RA O’G’LI</t>
        </is>
      </c>
      <c r="F666" s="102" t="inlineStr">
        <is>
          <t xml:space="preserve">93-419-96-96 SMS, 99-032-26-20 SMS UY, 99-042-26-20 SMS AYOLI, 93-933-59-28 SMS DADASI,</t>
        </is>
      </c>
      <c r="G666" s="102" t="inlineStr">
        <is>
          <t xml:space="preserve">QASHQADARYO VILOYATI DEHQONOBOD TUMANI</t>
        </is>
      </c>
      <c r="H666" s="103">
        <v>90.0</v>
      </c>
      <c r="I666" s="103">
        <v>17440375.91</v>
      </c>
    </row>
    <row r="667">
      <c r="A667" s="102" t="inlineStr">
        <is>
          <t xml:space="preserve">СУРХОНДАРЁ ВИЛОЯТИ</t>
        </is>
      </c>
      <c r="C667" s="102" t="inlineStr">
        <is>
          <t xml:space="preserve">Недозвон</t>
        </is>
      </c>
      <c r="D667" s="102" t="inlineStr">
        <is>
          <t xml:space="preserve">Кр-99062676-1</t>
        </is>
      </c>
      <c r="E667" s="102" t="inlineStr">
        <is>
          <t xml:space="preserve">MAMASIDIQOVA GULSUNOY ALIMOVNA</t>
        </is>
      </c>
      <c r="F667" s="102" t="inlineStr">
        <is>
          <t xml:space="preserve">998940773072 OZI, 998700530521 QIZI, 998915882110 UY,</t>
        </is>
      </c>
      <c r="G667" s="102" t="inlineStr">
        <is>
          <t xml:space="preserve">SURXONDARYO VILOYATI SARIOSIYO TUMANI FERUZ MFY DONISHMAND KUCHASI 25-UY</t>
        </is>
      </c>
      <c r="H667" s="103">
        <v>71.0</v>
      </c>
      <c r="I667" s="103">
        <v>17158737.48</v>
      </c>
      <c r="K667" s="102" t="inlineStr">
        <is>
          <t xml:space="preserve">Telefon ko'tarmadi | kreditni toliq omagan abrorlardan | 1601</t>
        </is>
      </c>
    </row>
    <row r="668">
      <c r="A668" s="102" t="inlineStr">
        <is>
          <t xml:space="preserve">СУРХОНДАРЁ ВИЛОЯТИ</t>
        </is>
      </c>
      <c r="C668" s="102" t="inlineStr">
        <is>
          <t xml:space="preserve">Недозвон</t>
        </is>
      </c>
      <c r="D668" s="102" t="inlineStr">
        <is>
          <t xml:space="preserve">Кр-99044355-1</t>
        </is>
      </c>
      <c r="E668" s="102" t="inlineStr">
        <is>
          <t xml:space="preserve">O’RINOV TO’LQIN KENJAYEVICH</t>
        </is>
      </c>
      <c r="F668" s="102" t="inlineStr">
        <is>
          <t xml:space="preserve">+998939320993 SMS O’ZI, 998932220070 SMS AKASI, 998932933095 SMS AYOLI,</t>
        </is>
      </c>
      <c r="G668" s="102" t="inlineStr">
        <is>
          <t xml:space="preserve">СЕПЛОН ҚФЙ, ЧУКУРКЎЛ МФЙ, ГУЛЗОР КУЧАСИ uy:46W/43 UY</t>
        </is>
      </c>
      <c r="H668" s="103">
        <v>102.0</v>
      </c>
      <c r="I668" s="103">
        <v>17120008.52</v>
      </c>
      <c r="K668" s="102" t="inlineStr">
        <is>
          <t xml:space="preserve">Telefon ko'tarmadi | 12 ta ariza tuwgan ustidan | 1207</t>
        </is>
      </c>
    </row>
    <row r="669">
      <c r="A669" s="102" t="inlineStr">
        <is>
          <t xml:space="preserve">СУРХОНДАРЁ ВИЛОЯТИ</t>
        </is>
      </c>
      <c r="C669" s="102" t="inlineStr">
        <is>
          <t xml:space="preserve">Недозвон</t>
        </is>
      </c>
      <c r="D669" s="102" t="inlineStr">
        <is>
          <t xml:space="preserve">Кр-99034176-1</t>
        </is>
      </c>
      <c r="E669" s="102" t="inlineStr">
        <is>
          <t xml:space="preserve">QIYOMOV NAJMIDDIN ZAYNIDDINOVICH</t>
        </is>
      </c>
      <c r="F669" s="102" t="inlineStr">
        <is>
          <t xml:space="preserve">998992936777 SMS O’ZI BEGONA, 998339537475 SMS AYOLI BEGONA, 998947642040 SMS UKASI, 998772030192 SMS O’G’LI, 998944670661 SMS AYOLI, 998700536767 SMS uzi new,</t>
        </is>
      </c>
      <c r="G669" s="102" t="inlineStr">
        <is>
          <t xml:space="preserve">SURXON DARYO VILOYATI SHEROBOD TUMANI GURJAK-1 MFY QORI NIYOZIY KO’CHASI 52-UY</t>
        </is>
      </c>
      <c r="H669" s="103">
        <v>103.0</v>
      </c>
      <c r="I669" s="103">
        <v>16842124.17</v>
      </c>
    </row>
    <row r="670">
      <c r="A670" s="102" t="inlineStr">
        <is>
          <t xml:space="preserve">СУРХОНДАРЁ ВИЛОЯТИ</t>
        </is>
      </c>
      <c r="C670" s="102" t="inlineStr">
        <is>
          <t xml:space="preserve">Недозвон</t>
        </is>
      </c>
      <c r="D670" s="102" t="inlineStr">
        <is>
          <t xml:space="preserve">Кр-99038067-1</t>
        </is>
      </c>
      <c r="E670" s="102" t="inlineStr">
        <is>
          <t xml:space="preserve">MURODOVA ZULFINA MIRZOQUL QIZI</t>
        </is>
      </c>
      <c r="F670" s="102" t="inlineStr">
        <is>
          <t xml:space="preserve">998910788393 SMS OZI, 998903783727 SMS QAYNONBASI, 998907497870 SMS SINGLISI,</t>
        </is>
      </c>
      <c r="G670" s="102" t="inlineStr">
        <is>
          <t xml:space="preserve">SURXONDARYO VILOYATI SARIOSIYO TUMANI AIRABORT MFY OQYO'L KUCHASI 1/1-UY 25-XONADON</t>
        </is>
      </c>
      <c r="H670" s="103">
        <v>96.0</v>
      </c>
      <c r="I670" s="103">
        <v>16429340.02</v>
      </c>
    </row>
    <row r="671">
      <c r="A671" s="102" t="inlineStr">
        <is>
          <t xml:space="preserve">СУРХОНДАРЁ ВИЛОЯТИ</t>
        </is>
      </c>
      <c r="C671" s="102" t="inlineStr">
        <is>
          <t xml:space="preserve">Недозвон</t>
        </is>
      </c>
      <c r="D671" s="102" t="inlineStr">
        <is>
          <t xml:space="preserve">Кр-99031556-1</t>
        </is>
      </c>
      <c r="E671" s="102" t="inlineStr">
        <is>
          <t xml:space="preserve">NAMOZOV SHAXOBIDDIN NORMO’MIN O’G’LI</t>
        </is>
      </c>
      <c r="F671" s="102" t="inlineStr">
        <is>
          <t xml:space="preserve">998500060437 SMS O’ZI, 998915137425 SMS DADASI, 998972389298 SMS AKASI, 998970752889 SMS UKASI,</t>
        </is>
      </c>
      <c r="G671" s="102" t="inlineStr">
        <is>
          <t xml:space="preserve">SURXONDARYO VILOYATI UZUN  TUMANI O’ZBEKISTON MFY N.JABOROV KO’CHASI 1-UY  </t>
        </is>
      </c>
      <c r="H671" s="103">
        <v>71.0</v>
      </c>
      <c r="I671" s="103">
        <v>15314377.28</v>
      </c>
    </row>
    <row r="672">
      <c r="A672" s="102" t="inlineStr">
        <is>
          <t xml:space="preserve">СУРХОНДАРЁ ВИЛОЯТИ</t>
        </is>
      </c>
      <c r="C672" s="102" t="inlineStr">
        <is>
          <t xml:space="preserve">Недозвон</t>
        </is>
      </c>
      <c r="D672" s="102" t="inlineStr">
        <is>
          <t xml:space="preserve">Кр-99028836-1</t>
        </is>
      </c>
      <c r="E672" s="102" t="inlineStr">
        <is>
          <t xml:space="preserve">SALOHOV ABDULQODIR MUHIDDIN O’G’LI</t>
        </is>
      </c>
      <c r="F672" s="102" t="inlineStr">
        <is>
          <t xml:space="preserve">998995394343 SMS OZI, 88-176-56-61   SMS DADASI, 97-863-08-02  SMS ONASI, 77-097-54-97  SMS OSHNOSI,</t>
        </is>
      </c>
      <c r="G672" s="102" t="inlineStr">
        <is>
          <t xml:space="preserve">SURXONDARYO VILOYATI DENOV  TUMANI TOTUVLIK MFY XAYOT  KO’CHASI   40-UY</t>
        </is>
      </c>
      <c r="H672" s="103">
        <v>113.0</v>
      </c>
      <c r="I672" s="103">
        <v>15218949.12</v>
      </c>
    </row>
    <row r="673">
      <c r="A673" s="102" t="inlineStr">
        <is>
          <t xml:space="preserve">СУРХОНДАРЁ ВИЛОЯТИ</t>
        </is>
      </c>
      <c r="C673" s="102" t="inlineStr">
        <is>
          <t xml:space="preserve">Недозвон</t>
        </is>
      </c>
      <c r="D673" s="102" t="inlineStr">
        <is>
          <t xml:space="preserve">Кр-99032770-1</t>
        </is>
      </c>
      <c r="E673" s="102" t="inlineStr">
        <is>
          <t xml:space="preserve">ZIYAYEVA ZAMIRA ERDONOVNA</t>
        </is>
      </c>
      <c r="F673" s="102" t="inlineStr">
        <is>
          <t xml:space="preserve">998992021978 SMS OZI, 998979719601 SMS OGLI, 998952364545 SMS AZAMAT AKASI, 998952673434 SMS AKSI TOLOVCHI,</t>
        </is>
      </c>
      <c r="G673" s="102" t="inlineStr">
        <is>
          <t xml:space="preserve">SURXONDARYO VILOYATI DENOV TUMANI DENOV SHAHAR JOMIY MFY, MIRXOND 1-UY</t>
        </is>
      </c>
      <c r="H673" s="103">
        <v>162.0</v>
      </c>
      <c r="I673" s="103">
        <v>14891585.04</v>
      </c>
    </row>
    <row r="674">
      <c r="A674" s="102" t="inlineStr">
        <is>
          <t xml:space="preserve">СУРХОНДАРЁ ВИЛОЯТИ</t>
        </is>
      </c>
      <c r="C674" s="102" t="inlineStr">
        <is>
          <t xml:space="preserve">Недозвон</t>
        </is>
      </c>
      <c r="D674" s="102" t="inlineStr">
        <is>
          <t xml:space="preserve">Кр-99039034-2</t>
        </is>
      </c>
      <c r="E674" s="102" t="inlineStr">
        <is>
          <t xml:space="preserve">MUSURMONOV TOXIR TUYCHU O'G'LI</t>
        </is>
      </c>
      <c r="F674" s="102" t="inlineStr">
        <is>
          <t xml:space="preserve">998978415005 SMS OZI, 998880171892 SMS OZI 2, 998880932593 SMS POCHCHASI, 998885367472 SMS UYI,</t>
        </is>
      </c>
      <c r="G674" s="102" t="inlineStr">
        <is>
          <t xml:space="preserve">SURXONDARYO VILOYATI DENOV TUMANI VODIY MFY SHIFOKORLAR KO’CHASI  87-UY</t>
        </is>
      </c>
      <c r="H674" s="103">
        <v>71.0</v>
      </c>
      <c r="I674" s="103">
        <v>14326645.78</v>
      </c>
    </row>
    <row r="675">
      <c r="A675" s="102" t="inlineStr">
        <is>
          <t xml:space="preserve">СУРХОНДАРЁ ВИЛОЯТИ</t>
        </is>
      </c>
      <c r="C675" s="102" t="inlineStr">
        <is>
          <t xml:space="preserve">Недозвон</t>
        </is>
      </c>
      <c r="D675" s="102" t="inlineStr">
        <is>
          <t xml:space="preserve">Кр-99026971-2</t>
        </is>
      </c>
      <c r="E675" s="102" t="inlineStr">
        <is>
          <t xml:space="preserve">YANGIBAYEV RUSLAN ABDUNABIYEVICH</t>
        </is>
      </c>
      <c r="F675" s="102" t="inlineStr">
        <is>
          <t xml:space="preserve">91-716-26-70  OZI begona, 91-573-42-11   UY begona, 90-955-49-49  SMS ISHXONA, 95-779-34-34  SMS O’ZI, 998990269712 SMS ISH JOYI RAXBARI , 917162670997 SMS OZI,</t>
        </is>
      </c>
      <c r="G675" s="102" t="inlineStr">
        <is>
          <t xml:space="preserve">SURXONDARYO VILOYATI DENOV TUMANI XAZARBOG’ QFY OBOD TASMASOY MFY TORTUVLIK KO’CHASI 4-UY</t>
        </is>
      </c>
      <c r="H675" s="103">
        <v>71.0</v>
      </c>
      <c r="I675" s="103">
        <v>13844029.57</v>
      </c>
    </row>
    <row r="676">
      <c r="A676" s="102" t="inlineStr">
        <is>
          <t xml:space="preserve">СУРХОНДАРЁ ВИЛОЯТИ</t>
        </is>
      </c>
      <c r="C676" s="102" t="inlineStr">
        <is>
          <t xml:space="preserve">Недозвон</t>
        </is>
      </c>
      <c r="D676" s="102" t="inlineStr">
        <is>
          <t xml:space="preserve">Кр-99032282-1</t>
        </is>
      </c>
      <c r="E676" s="102" t="inlineStr">
        <is>
          <t xml:space="preserve">NORMINGLIYEV ABDUMALIK ABDULLAYEVICH</t>
        </is>
      </c>
      <c r="F676" s="102" t="inlineStr">
        <is>
          <t xml:space="preserve">998330105393 SMS O’ZI, 998955554493 SMS UKASI zokir tulovchi, 998991759555 SMS AKASI BEGONA, 998775773093 SMS UY,</t>
        </is>
      </c>
      <c r="G676" s="102" t="inlineStr">
        <is>
          <t xml:space="preserve">SURXONDARYO VILOYATI DENOV TUMANI NONOZOR  MFY GULBOG KO’CHASI 121-UY</t>
        </is>
      </c>
      <c r="H676" s="103">
        <v>162.0</v>
      </c>
      <c r="I676" s="103">
        <v>13838074.27</v>
      </c>
    </row>
    <row r="677">
      <c r="A677" s="102" t="inlineStr">
        <is>
          <t xml:space="preserve">СУРХОНДАРЁ ВИЛОЯТИ</t>
        </is>
      </c>
      <c r="C677" s="102" t="inlineStr">
        <is>
          <t xml:space="preserve">Недозвон</t>
        </is>
      </c>
      <c r="D677" s="102" t="inlineStr">
        <is>
          <t xml:space="preserve">Кр-99031931-1</t>
        </is>
      </c>
      <c r="E677" s="102" t="inlineStr">
        <is>
          <t xml:space="preserve">KASIMOVA IZZAT USANOVNA</t>
        </is>
      </c>
      <c r="F677" s="102" t="inlineStr">
        <is>
          <t xml:space="preserve">998912285230 SMS O’ZI, 998997782862 SMS KELINI, 998996722862 SMS O’G’LI, 998903156993 SMS begona, 998996722862 SMS ERI,</t>
        </is>
      </c>
      <c r="G677" s="102" t="inlineStr">
        <is>
          <t xml:space="preserve">SURXONDARYO VILOYATI QUMQO’RG’ON TUMANI TO’G’ON MFY PARDA USANOV 37-UY</t>
        </is>
      </c>
      <c r="H677" s="103">
        <v>120.0</v>
      </c>
      <c r="I677" s="103">
        <v>12424186.11</v>
      </c>
    </row>
    <row r="678">
      <c r="A678" s="102" t="inlineStr">
        <is>
          <t xml:space="preserve">СУРХОНДАРЁ ВИЛОЯТИ</t>
        </is>
      </c>
      <c r="C678" s="102" t="inlineStr">
        <is>
          <t xml:space="preserve">Недозвон</t>
        </is>
      </c>
      <c r="D678" s="102" t="inlineStr">
        <is>
          <t xml:space="preserve">Кр-99022570-7</t>
        </is>
      </c>
      <c r="E678" s="102" t="inlineStr">
        <is>
          <t xml:space="preserve">MAXAMADIYEVA SHAHNOZA RAXMATULLEVNA</t>
        </is>
      </c>
      <c r="F678" s="102" t="inlineStr">
        <is>
          <t xml:space="preserve">998997113009 SMS OZI SHAXNOZA OPANI KREDITI, 99-575-30-09 SMS OPASI, 91-734-30-09 SMS UY,</t>
        </is>
      </c>
      <c r="G678" s="102" t="inlineStr">
        <is>
          <t xml:space="preserve">SURXONDARYO VILOYATI DENOV SHSHAR GULISTON  4-UY</t>
        </is>
      </c>
      <c r="H678" s="103">
        <v>41.0</v>
      </c>
      <c r="I678" s="103">
        <v>12203590.72</v>
      </c>
    </row>
    <row r="679">
      <c r="A679" s="102" t="inlineStr">
        <is>
          <t xml:space="preserve">СУРХОНДАРЁ ВИЛОЯТИ</t>
        </is>
      </c>
      <c r="C679" s="102" t="inlineStr">
        <is>
          <t xml:space="preserve">Недозвон</t>
        </is>
      </c>
      <c r="D679" s="102" t="inlineStr">
        <is>
          <t xml:space="preserve">Кр-99039071-1</t>
        </is>
      </c>
      <c r="E679" s="102" t="inlineStr">
        <is>
          <t xml:space="preserve">NOROV OYBEK ABDUSATTOR O’G’LI</t>
        </is>
      </c>
      <c r="F679" s="102" t="inlineStr">
        <is>
          <t xml:space="preserve">998990324390 SMS O’ZI, 998919039933 SMS UY, 998995637474 SMS TO’LOVCHI, 998949420686 SMS O’ZI,</t>
        </is>
      </c>
      <c r="G679" s="102" t="inlineStr">
        <is>
          <t xml:space="preserve">SURXONDARYO VILOYATI SARIOSIYO TUMANI SHARG'UN SHFY BOG' 21-UY</t>
        </is>
      </c>
      <c r="H679" s="103">
        <v>148.0</v>
      </c>
      <c r="I679" s="103">
        <v>11833653.66</v>
      </c>
    </row>
    <row r="680">
      <c r="A680" s="102" t="inlineStr">
        <is>
          <t xml:space="preserve">СУРХОНДАРЁ ВИЛОЯТИ</t>
        </is>
      </c>
      <c r="C680" s="102" t="inlineStr">
        <is>
          <t xml:space="preserve">Недозвон</t>
        </is>
      </c>
      <c r="D680" s="102" t="inlineStr">
        <is>
          <t xml:space="preserve">Кр-99030613-1</t>
        </is>
      </c>
      <c r="E680" s="102" t="inlineStr">
        <is>
          <t xml:space="preserve">QURBONOV NURSULTON BEGALIYEVICH</t>
        </is>
      </c>
      <c r="F680" s="102" t="inlineStr">
        <is>
          <t xml:space="preserve">998905232918 SMS UY, 998916339707 SMS UKASI ERALI, 998941624149 SMS AYOLI, 998771091897 SMS OZI TOLOVCHI,</t>
        </is>
      </c>
      <c r="G680" s="102" t="inlineStr">
        <is>
          <t xml:space="preserve">SURXONDARYO VILOYATI DENOV  TUMANI XAZARBOG’ QFY QOVUNLI SOY MFY QOVUNLISOY KUCHASI  11-UY</t>
        </is>
      </c>
      <c r="H680" s="103">
        <v>126.0</v>
      </c>
      <c r="I680" s="103">
        <v>11697357.56</v>
      </c>
    </row>
    <row r="681">
      <c r="A681" s="102" t="inlineStr">
        <is>
          <t xml:space="preserve">СУРХОНДАРЁ ВИЛОЯТИ</t>
        </is>
      </c>
      <c r="C681" s="102" t="inlineStr">
        <is>
          <t xml:space="preserve">Недозвон</t>
        </is>
      </c>
      <c r="D681" s="102" t="inlineStr">
        <is>
          <t xml:space="preserve">Кр-99033371-1</t>
        </is>
      </c>
      <c r="E681" s="102" t="inlineStr">
        <is>
          <t xml:space="preserve">JAPPOROVA NIGORA USMONOVNA</t>
        </is>
      </c>
      <c r="F681" s="102" t="inlineStr">
        <is>
          <t xml:space="preserve">998976999602 SMS O’ZI, 998888457780 SMS  UY, 998949539602 SMS UY 2, 998888449602 SMS QIZI,</t>
        </is>
      </c>
      <c r="G681" s="102" t="inlineStr">
        <is>
          <t xml:space="preserve">SURXONDARYO VILOYATI DENOV TUMANI YANGIKUCH MFY TARAQQIYOT YO'LI KO’CHASI 26-UY</t>
        </is>
      </c>
      <c r="H681" s="103">
        <v>99.0</v>
      </c>
      <c r="I681" s="103">
        <v>11657643.8</v>
      </c>
    </row>
    <row r="682">
      <c r="A682" s="102" t="inlineStr">
        <is>
          <t xml:space="preserve">СУРХОНДАРЁ ВИЛОЯТИ</t>
        </is>
      </c>
      <c r="C682" s="102" t="inlineStr">
        <is>
          <t xml:space="preserve">Недозвон</t>
        </is>
      </c>
      <c r="D682" s="102" t="inlineStr">
        <is>
          <t xml:space="preserve">Кр-99038650-1</t>
        </is>
      </c>
      <c r="E682" s="102" t="inlineStr">
        <is>
          <t xml:space="preserve">MIRZAYEV MURODJON SAMADOVICH</t>
        </is>
      </c>
      <c r="F682" s="102" t="inlineStr">
        <is>
          <t xml:space="preserve">998959402120 SMS OZI , 998337725850 SMS OZI 2, 998978475999 SMS KUYOVI, 998990953755 SMS OGLI,</t>
        </is>
      </c>
      <c r="G682" s="102" t="inlineStr">
        <is>
          <t xml:space="preserve">SURXONDARYO VILOYATI DENOV TUMANI JOMIY MFY JOMIY 159-UY</t>
        </is>
      </c>
      <c r="H682" s="103">
        <v>71.0</v>
      </c>
      <c r="I682" s="103">
        <v>10834671.49</v>
      </c>
    </row>
    <row r="683">
      <c r="A683" s="102" t="inlineStr">
        <is>
          <t xml:space="preserve">СУРХОНДАРЁ ВИЛОЯТИ</t>
        </is>
      </c>
      <c r="C683" s="102" t="inlineStr">
        <is>
          <t xml:space="preserve">Недозвон</t>
        </is>
      </c>
      <c r="D683" s="102" t="inlineStr">
        <is>
          <t xml:space="preserve">Кр-99020863-2</t>
        </is>
      </c>
      <c r="E683" s="102" t="inlineStr">
        <is>
          <t xml:space="preserve">CHORIYEV ZAYNIDDIN XOLIYAROVICH</t>
        </is>
      </c>
      <c r="F683" s="102" t="inlineStr">
        <is>
          <t xml:space="preserve">998919023049 SMS, 998900696865 SMS, 998917170982 SMS UZI begona tel qmela, 998917247993 SMS UY, 998919031981 SMS OILASI, 998919031980 SMS uzi new,</t>
        </is>
      </c>
      <c r="G683" s="102" t="inlineStr">
        <is>
          <t xml:space="preserve">SURXONDARYO VILOYATI QUMQO’RG’ON TUMANI MEXRABOT MFY TEGIRMON ARIQ KO’CHASI 170-UY</t>
        </is>
      </c>
      <c r="H683" s="103">
        <v>71.0</v>
      </c>
      <c r="I683" s="103">
        <v>9903303.79</v>
      </c>
    </row>
    <row r="684">
      <c r="A684" s="102" t="inlineStr">
        <is>
          <t xml:space="preserve">СУРХОНДАРЁ ВИЛОЯТИ</t>
        </is>
      </c>
      <c r="C684" s="102" t="inlineStr">
        <is>
          <t xml:space="preserve">Недозвон</t>
        </is>
      </c>
      <c r="D684" s="102" t="inlineStr">
        <is>
          <t xml:space="preserve">Кр-99029152-3</t>
        </is>
      </c>
      <c r="E684" s="102" t="inlineStr">
        <is>
          <t xml:space="preserve">GIYASOV AKBAR RAVSHANOVICH</t>
        </is>
      </c>
      <c r="F684" s="102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684" s="102" t="inlineStr">
        <is>
          <t xml:space="preserve">SURXONDARYO VILOYATI DENOV SHAXAR  QUYOSHLI YURT  MFY OLBUXARI  KO’CHASI 104-UY</t>
        </is>
      </c>
      <c r="H684" s="103">
        <v>126.0</v>
      </c>
      <c r="I684" s="103">
        <v>9442795.33</v>
      </c>
    </row>
    <row r="685">
      <c r="A685" s="102" t="inlineStr">
        <is>
          <t xml:space="preserve">СУРХОНДАРЁ ВИЛОЯТИ</t>
        </is>
      </c>
      <c r="C685" s="102" t="inlineStr">
        <is>
          <t xml:space="preserve">Недозвон</t>
        </is>
      </c>
      <c r="D685" s="102" t="inlineStr">
        <is>
          <t xml:space="preserve">Кр-99041369-2</t>
        </is>
      </c>
      <c r="E685" s="102" t="inlineStr">
        <is>
          <t xml:space="preserve">YAXSHIBAYEV BOTIRALI BOZAROVICH</t>
        </is>
      </c>
      <c r="F685" s="102" t="inlineStr">
        <is>
          <t xml:space="preserve">998700427872 SMS O’ZI ЗАНГИОТАДА ИШЛИРКАН ТИПЛИЦАДА , 998912331287 SMS OILASI, 998954189496 SMS UY,</t>
        </is>
      </c>
      <c r="G685" s="102" t="inlineStr">
        <is>
          <t xml:space="preserve">СУРХОНДАРЁ ВИЛОЯТИ ШУРЧИ ТУМАНИ ЯНГИБОЗОР ҚФЙ, ЖАРҚИШЛОҚ ШФЙ, ОЛМАЗОР КУЧАСИ 57-uy:Р/С</t>
        </is>
      </c>
      <c r="H685" s="103">
        <v>71.0</v>
      </c>
      <c r="I685" s="103">
        <v>8434102.47</v>
      </c>
      <c r="K685" s="102" t="inlineStr">
        <is>
          <t xml:space="preserve">Telefon ko'tarmadi | iskandar ogan | 1094</t>
        </is>
      </c>
    </row>
    <row r="686">
      <c r="A686" s="102" t="inlineStr">
        <is>
          <t xml:space="preserve">СУРХОНДАРЁ ВИЛОЯТИ</t>
        </is>
      </c>
      <c r="C686" s="102" t="inlineStr">
        <is>
          <t xml:space="preserve">Недозвон</t>
        </is>
      </c>
      <c r="D686" s="102" t="inlineStr">
        <is>
          <t xml:space="preserve">Кр-99030658-1</t>
        </is>
      </c>
      <c r="E686" s="102" t="inlineStr">
        <is>
          <t xml:space="preserve">ERGASHOV NURJAHON YORMUXAMMAD O’G’LI</t>
        </is>
      </c>
      <c r="F686" s="102" t="inlineStr">
        <is>
          <t xml:space="preserve">97-656-62-22 SMS, 88-214-29-01  SMS ONASI, 95-969-62-22  SMS DADASI, 99-592-29-01  SMS UY,</t>
        </is>
      </c>
      <c r="G686" s="102" t="inlineStr">
        <is>
          <t xml:space="preserve">SURXONDARYO VILOYATI UZUN TUMANI SERXARAKAT MFY SERXARAKAT  KO’CHASI 9-UY</t>
        </is>
      </c>
      <c r="H686" s="103">
        <v>64.0</v>
      </c>
      <c r="I686" s="103">
        <v>8377928.39</v>
      </c>
    </row>
    <row r="687">
      <c r="A687" s="102" t="inlineStr">
        <is>
          <t xml:space="preserve">СУРХОНДАРЁ ВИЛОЯТИ</t>
        </is>
      </c>
      <c r="C687" s="102" t="inlineStr">
        <is>
          <t xml:space="preserve">Недозвон</t>
        </is>
      </c>
      <c r="D687" s="102" t="inlineStr">
        <is>
          <t xml:space="preserve">Кр-99038514-1</t>
        </is>
      </c>
      <c r="E687" s="102" t="inlineStr">
        <is>
          <t xml:space="preserve">NORMO‘MINOV FAYZULLA PARDANAZAR O‘G‘LI</t>
        </is>
      </c>
      <c r="F687" s="102" t="inlineStr">
        <is>
          <t xml:space="preserve">998946043889 SMS OZI, 998946103889 SMS AKALARI, 998946613241 SMS AKALARI 2, 998998019181 SMS DADASI, +998946043889 Primary phone from road24,</t>
        </is>
      </c>
      <c r="G687" s="102" t="inlineStr">
        <is>
          <t xml:space="preserve">СУРХОНДАРЁ ВИЛОЯТИ МУЗРАБОТ ТУМАНИ ШАРК ЮЛДУЗИ ҚФЙ, НУРЛИ ХАЁТ МФЙ,  uy:00</t>
        </is>
      </c>
      <c r="H687" s="103">
        <v>43.0</v>
      </c>
      <c r="I687" s="103">
        <v>8103036.86</v>
      </c>
    </row>
    <row r="688">
      <c r="A688" s="102" t="inlineStr">
        <is>
          <t xml:space="preserve">СУРХОНДАРЁ ВИЛОЯТИ</t>
        </is>
      </c>
      <c r="C688" s="102" t="inlineStr">
        <is>
          <t xml:space="preserve">Недозвон</t>
        </is>
      </c>
      <c r="D688" s="102" t="inlineStr">
        <is>
          <t xml:space="preserve">Кр-99029152-2</t>
        </is>
      </c>
      <c r="E688" s="102" t="inlineStr">
        <is>
          <t xml:space="preserve">GIYASOV AKBAR RAVSHANOVICH</t>
        </is>
      </c>
      <c r="F688" s="102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688" s="102" t="inlineStr">
        <is>
          <t xml:space="preserve">SURXONDARYO VILOYATI DENOV SHAXAR  QUYOSHLI YURT  MFY OLBUXARI  KO’CHASI 104-UY</t>
        </is>
      </c>
      <c r="H688" s="103">
        <v>64.0</v>
      </c>
      <c r="I688" s="103">
        <v>8077670.12</v>
      </c>
    </row>
    <row r="689">
      <c r="A689" s="102" t="inlineStr">
        <is>
          <t xml:space="preserve">СУРХОНДАРЁ ВИЛОЯТИ</t>
        </is>
      </c>
      <c r="C689" s="102" t="inlineStr">
        <is>
          <t xml:space="preserve">Недозвон</t>
        </is>
      </c>
      <c r="D689" s="102" t="inlineStr">
        <is>
          <t xml:space="preserve">Кр-99058440-3</t>
        </is>
      </c>
      <c r="E689" s="102" t="inlineStr">
        <is>
          <t xml:space="preserve">TURDIYEV XOLMUROD RAMAZANOVICH</t>
        </is>
      </c>
      <c r="F689" s="102" t="inlineStr">
        <is>
          <t xml:space="preserve">998500062760 SMS OZI, 998912299595 SMS AYOLI, +998935248787 SMS OZI, 998902950159 SMS UKASI,</t>
        </is>
      </c>
      <c r="G689" s="102" t="inlineStr">
        <is>
          <t xml:space="preserve">SURXONDARYO VILOYATI OLTINSOY TUMANI JILIBULOQ MFY GULZOR KO’CHASI 43-UY</t>
        </is>
      </c>
      <c r="H689" s="103">
        <v>8.0</v>
      </c>
      <c r="I689" s="103">
        <v>8049999.78</v>
      </c>
      <c r="K689" s="102" t="inlineStr">
        <is>
          <t xml:space="preserve">Telefon ko'tarmadi | sms yozvordm | 1481</t>
        </is>
      </c>
    </row>
    <row r="690">
      <c r="A690" s="102" t="inlineStr">
        <is>
          <t xml:space="preserve">СУРХОНДАРЁ ВИЛОЯТИ</t>
        </is>
      </c>
      <c r="C690" s="102" t="inlineStr">
        <is>
          <t xml:space="preserve">Недозвон</t>
        </is>
      </c>
      <c r="D690" s="102" t="inlineStr">
        <is>
          <t xml:space="preserve">Кр-99033334-3</t>
        </is>
      </c>
      <c r="E690" s="102" t="inlineStr">
        <is>
          <t xml:space="preserve">JUMAYEV FAXRIDDIN TOHIR O’G’LI</t>
        </is>
      </c>
      <c r="F690" s="102" t="inlineStr">
        <is>
          <t xml:space="preserve">998771679997 SMS O’ZI, 998917147071 SMS AYOLI, 998917327512 SMS ONASI, 998915817170 SMS QAYNONASI,</t>
        </is>
      </c>
      <c r="G690" s="102" t="inlineStr">
        <is>
          <t xml:space="preserve">SURXONDARYO VILOYATI DENOV SHAHRI SANOATCHILIK MFY BIBIXONIM KO'CHASI 25B-UY</t>
        </is>
      </c>
      <c r="H690" s="103">
        <v>41.0</v>
      </c>
      <c r="I690" s="103">
        <v>7836775.64</v>
      </c>
    </row>
    <row r="691">
      <c r="A691" s="102" t="inlineStr">
        <is>
          <t xml:space="preserve">СУРХОНДАРЁ ВИЛОЯТИ</t>
        </is>
      </c>
      <c r="C691" s="102" t="inlineStr">
        <is>
          <t xml:space="preserve">Недозвон</t>
        </is>
      </c>
      <c r="D691" s="102" t="inlineStr">
        <is>
          <t xml:space="preserve">Кр-99026966-1</t>
        </is>
      </c>
      <c r="E691" s="102" t="inlineStr">
        <is>
          <t xml:space="preserve">KABILOVA ANORXOL XOLIYAROVNA</t>
        </is>
      </c>
      <c r="F691" s="102" t="inlineStr">
        <is>
          <t xml:space="preserve">90-075-05-51 SMS UY, 93-719-05-51  SMS OGLI, 93-919-05-51  SMS OILASI, 998948538586 SMS tulovchi,</t>
        </is>
      </c>
      <c r="G691" s="102" t="inlineStr">
        <is>
          <t xml:space="preserve">SURXONDARYO VILOYATI DENOV TUMANI XAZARBOG’ QFY DUNYO TEPA MFY CHORGUL 47-UY </t>
        </is>
      </c>
      <c r="H691" s="103">
        <v>159.0</v>
      </c>
      <c r="I691" s="103">
        <v>7663934.31</v>
      </c>
    </row>
    <row r="692">
      <c r="A692" s="102" t="inlineStr">
        <is>
          <t xml:space="preserve">СУРХОНДАРЁ ВИЛОЯТИ</t>
        </is>
      </c>
      <c r="C692" s="102" t="inlineStr">
        <is>
          <t xml:space="preserve">Недозвон</t>
        </is>
      </c>
      <c r="D692" s="102" t="inlineStr">
        <is>
          <t xml:space="preserve">Кр-99031100-2</t>
        </is>
      </c>
      <c r="E692" s="102" t="inlineStr">
        <is>
          <t xml:space="preserve">DO’STQOBILOV BOTIRJON ZOKIRJONOVICH</t>
        </is>
      </c>
      <c r="F692" s="102" t="inlineStr">
        <is>
          <t xml:space="preserve">99-062-17-51 SMS O’ZI, 95-770-09-98  SMS UKASI, 99-258-74-42  SMS ONASI, 88-531-55-47  SMS UY, 998957723696 SMS OZI SHUNGA QILINSIN ,</t>
        </is>
      </c>
      <c r="G692" s="102" t="inlineStr">
        <is>
          <t xml:space="preserve">SURXONDARYO VILOYATI DENOV TUMANI TORTUVLI QFY NAVBAXOR MFY BUXRODINBOLVANI KO’CHASI 53-UY </t>
        </is>
      </c>
      <c r="H692" s="103">
        <v>69.0</v>
      </c>
      <c r="I692" s="103">
        <v>7369856.6</v>
      </c>
    </row>
    <row r="693">
      <c r="A693" s="102" t="inlineStr">
        <is>
          <t xml:space="preserve">СУРХОНДАРЁ ВИЛОЯТИ</t>
        </is>
      </c>
      <c r="C693" s="102" t="inlineStr">
        <is>
          <t xml:space="preserve">Недозвон</t>
        </is>
      </c>
      <c r="D693" s="102" t="inlineStr">
        <is>
          <t xml:space="preserve">Кр-99024454-4</t>
        </is>
      </c>
      <c r="E693" s="102" t="inlineStr">
        <is>
          <t xml:space="preserve">MADJITOV SUNATULLA ABDIFATTOVICH</t>
        </is>
      </c>
      <c r="F693" s="102" t="inlineStr">
        <is>
          <t xml:space="preserve">998954917979 SMS O'ZI, 50-008-01-09  SMS UY, 93-186-77-79  SMS TURMUSH O’RTOG’I, 99-422-42-88  SMS SHERIGI SUNNAT, 99-598-92-88 SMS SUNNAT 2CHI NOMERI,</t>
        </is>
      </c>
      <c r="G693" s="102" t="inlineStr">
        <is>
          <t xml:space="preserve">SURXONDARYO VILOYATI SARIOSIYO SHAHAR GULZOR  KO’CHASI 4-UY 10-XONADON</t>
        </is>
      </c>
      <c r="H693" s="103">
        <v>162.0</v>
      </c>
      <c r="I693" s="103">
        <v>7260011.41</v>
      </c>
    </row>
    <row r="694">
      <c r="A694" s="102" t="inlineStr">
        <is>
          <t xml:space="preserve">СУРХОНДАРЁ ВИЛОЯТИ</t>
        </is>
      </c>
      <c r="C694" s="102" t="inlineStr">
        <is>
          <t xml:space="preserve">Недозвон</t>
        </is>
      </c>
      <c r="D694" s="102" t="inlineStr">
        <is>
          <t xml:space="preserve">Кр-99041263-1</t>
        </is>
      </c>
      <c r="E694" s="102" t="inlineStr">
        <is>
          <t xml:space="preserve">OCHILOV ABDUMALIK ABDUQODIR O’G’LI</t>
        </is>
      </c>
      <c r="F694" s="102" t="inlineStr">
        <is>
          <t xml:space="preserve">998919080008 SMS OZI SHUNGA QILINSN, 998942097777 SMS UKASI, 998904102727 SMS UYI,</t>
        </is>
      </c>
      <c r="G694" s="102" t="inlineStr">
        <is>
          <t xml:space="preserve">SURXONDARYO VILOYATI DENOV SHAHAR MIR TEMIR 18-UY/TOSHKENT SHAHAR CHILONZOR OQTEPA MFY, 7- MAVZE 20-UY, 39-X</t>
        </is>
      </c>
      <c r="H694" s="103">
        <v>8.0</v>
      </c>
      <c r="I694" s="103">
        <v>7053724.17</v>
      </c>
      <c r="K694" s="102" t="inlineStr">
        <is>
          <t xml:space="preserve">Telefon ko'tarmadi | ukasi kotardi etb qoyaman dd | 1078</t>
        </is>
      </c>
    </row>
    <row r="695">
      <c r="A695" s="102" t="inlineStr">
        <is>
          <t xml:space="preserve">СУРХОНДАРЁ ВИЛОЯТИ</t>
        </is>
      </c>
      <c r="C695" s="102" t="inlineStr">
        <is>
          <t xml:space="preserve">Недозвон</t>
        </is>
      </c>
      <c r="D695" s="102" t="inlineStr">
        <is>
          <t xml:space="preserve">Кр-99019548-2</t>
        </is>
      </c>
      <c r="E695" s="102" t="inlineStr">
        <is>
          <t xml:space="preserve">BO’RONOV XABIBULLO XUDOYNAZAROVICH</t>
        </is>
      </c>
      <c r="F695" s="102" t="inlineStr">
        <is>
          <t xml:space="preserve">97-533-06-08 SMS O'ZI SAVDO QILADI MEVA SOTADI , 97-225-16-16  SMS UY, 99-377-99-20  SMS AKASI, 99-242-55-50 SMS, 998970752202 SMS OZI SHUNGA QILILA, 998885360003 SMS TOLOVCHI AKASI ,</t>
        </is>
      </c>
      <c r="G695" s="102" t="inlineStr">
        <is>
          <t xml:space="preserve">SURXONDARYO VILOYATI DENOV SHAHAR TORTUVLI MFY OYBEK 120 UY</t>
        </is>
      </c>
      <c r="H695" s="103">
        <v>1.0</v>
      </c>
      <c r="I695" s="103">
        <v>7044345.26</v>
      </c>
    </row>
    <row r="696">
      <c r="A696" s="102" t="inlineStr">
        <is>
          <t xml:space="preserve">СУРХОНДАРЁ ВИЛОЯТИ</t>
        </is>
      </c>
      <c r="C696" s="102" t="inlineStr">
        <is>
          <t xml:space="preserve">Недозвон</t>
        </is>
      </c>
      <c r="D696" s="102" t="inlineStr">
        <is>
          <t xml:space="preserve">Кр-99035575-1</t>
        </is>
      </c>
      <c r="E696" s="102" t="inlineStr">
        <is>
          <t xml:space="preserve">AMANOV CHORSHANBI O’ROLOVICH</t>
        </is>
      </c>
      <c r="F696" s="102" t="inlineStr">
        <is>
          <t xml:space="preserve">998770669985 SMS OZI akasi, 998951811145 SMS UKASI, 998771006785 SMS AYOLI, 998888085588 SMS UKASI ozi ,</t>
        </is>
      </c>
      <c r="G696" s="102" t="inlineStr">
        <is>
          <t xml:space="preserve">SURXONDARYO VILOYATI QUMQO’RG’ON  TUMANI QUMQO’RG’ON  QFY CHAYONTEPA MFY X.XOLBAYEV  KO’CHASI 18-UY</t>
        </is>
      </c>
      <c r="H696" s="103">
        <v>54.0</v>
      </c>
      <c r="I696" s="103">
        <v>6986934.52</v>
      </c>
      <c r="K696" s="102" t="inlineStr">
        <is>
          <t xml:space="preserve">Telefon ko'tarmadi | abrorga tolaga | 576</t>
        </is>
      </c>
    </row>
    <row r="697">
      <c r="A697" s="102" t="inlineStr">
        <is>
          <t xml:space="preserve">СУРХОНДАРЁ ВИЛОЯТИ</t>
        </is>
      </c>
      <c r="C697" s="102" t="inlineStr">
        <is>
          <t xml:space="preserve">Недозвон</t>
        </is>
      </c>
      <c r="D697" s="102" t="inlineStr">
        <is>
          <t xml:space="preserve">Кр-99033544-1</t>
        </is>
      </c>
      <c r="E697" s="102" t="inlineStr">
        <is>
          <t xml:space="preserve">KENJAYEV KAMOLIDDIN ZIYADULLAYEVICH</t>
        </is>
      </c>
      <c r="F697" s="102" t="inlineStr">
        <is>
          <t xml:space="preserve">998912337745 SMS O’ZI, 998919085879 SMS ELDOR, 998910083231 SMS ELBEK, 998975342203 SMS AYOLI,</t>
        </is>
      </c>
      <c r="G697" s="102" t="inlineStr">
        <is>
          <t xml:space="preserve">SURXONDARYO VILOYATI DENOV SHAXAR JOMI  MFY PAXTAKOR KO’CHASI 7-UY</t>
        </is>
      </c>
      <c r="H697" s="103">
        <v>64.0</v>
      </c>
      <c r="I697" s="103">
        <v>6887701.71</v>
      </c>
    </row>
    <row r="698">
      <c r="A698" s="102" t="inlineStr">
        <is>
          <t xml:space="preserve">СУРХОНДАРЁ ВИЛОЯТИ</t>
        </is>
      </c>
      <c r="C698" s="102" t="inlineStr">
        <is>
          <t xml:space="preserve">Недозвон</t>
        </is>
      </c>
      <c r="D698" s="102" t="inlineStr">
        <is>
          <t xml:space="preserve">Кр-99049393-1</t>
        </is>
      </c>
      <c r="E698" s="102" t="inlineStr">
        <is>
          <t xml:space="preserve">UMAROV ODIL XAYRULLAYEVICH</t>
        </is>
      </c>
      <c r="F698" s="102" t="inlineStr">
        <is>
          <t xml:space="preserve">+998912380077 SMS O’ZI, 998333513138 SMS UKASI, 998934330683 SMS AYOLI,</t>
        </is>
      </c>
      <c r="G698" s="102" t="inlineStr">
        <is>
          <t xml:space="preserve">Termiz tuman Tinchlik ko’chasi 25 uy</t>
        </is>
      </c>
      <c r="H698" s="103">
        <v>41.0</v>
      </c>
      <c r="I698" s="103">
        <v>6731470.49</v>
      </c>
      <c r="K698" s="102" t="inlineStr">
        <is>
          <t xml:space="preserve">Telefon ko'tarmadi | abror ogan | 1301</t>
        </is>
      </c>
    </row>
    <row r="699">
      <c r="A699" s="102" t="inlineStr">
        <is>
          <t xml:space="preserve">СУРХОНДАРЁ ВИЛОЯТИ</t>
        </is>
      </c>
      <c r="C699" s="102" t="inlineStr">
        <is>
          <t xml:space="preserve">Недозвон</t>
        </is>
      </c>
      <c r="D699" s="102" t="inlineStr">
        <is>
          <t xml:space="preserve">Кр-99007175-2</t>
        </is>
      </c>
      <c r="E699" s="102" t="inlineStr">
        <is>
          <t xml:space="preserve">KOHAROV USMON ERGASHOVICH</t>
        </is>
      </c>
      <c r="F699" s="102" t="inlineStr">
        <is>
          <t xml:space="preserve">91-580-94-59 SMS, 90-747-47-68 SMS XOTINI NILUFDAR OPA, 91-513-87-87 SMS O’G’LI MIROLIM, 99-979-13-85 SMS UY,</t>
        </is>
      </c>
      <c r="G699" s="102" t="inlineStr">
        <is>
          <t xml:space="preserve">SURXONDARYO VILOYATI QUMQO’RG’ON TUMANI NAVBAHOR MFY AT-TERMIZIY KO’CHASI 7-UY</t>
        </is>
      </c>
      <c r="H699" s="103">
        <v>8.0</v>
      </c>
      <c r="I699" s="103">
        <v>6136291.37</v>
      </c>
    </row>
    <row r="700">
      <c r="A700" s="102" t="inlineStr">
        <is>
          <t xml:space="preserve">СУРХОНДАРЁ ВИЛОЯТИ</t>
        </is>
      </c>
      <c r="C700" s="102" t="inlineStr">
        <is>
          <t xml:space="preserve">Недозвон</t>
        </is>
      </c>
      <c r="D700" s="102" t="inlineStr">
        <is>
          <t xml:space="preserve">Кр-99039423-3</t>
        </is>
      </c>
      <c r="E700" s="102" t="inlineStr">
        <is>
          <t xml:space="preserve">BOZOROVA DILOROM PARDAYEVNA</t>
        </is>
      </c>
      <c r="F700" s="102" t="inlineStr">
        <is>
          <t xml:space="preserve">998975336110 SMS OZI, 998976934380 SMS ERI, 998200102496 SMS QIZI, 998879070696 SMS QIZI2, 998772328206 SMS QIZI TOLOVCHI ,</t>
        </is>
      </c>
      <c r="G700" s="102" t="inlineStr">
        <is>
          <t xml:space="preserve">SURXONDARYO VILOYAT, MUZRABOT TUMAN FIDOKOR MFY AL-FARG’ONIY KO’CHASI 11-UY</t>
        </is>
      </c>
      <c r="H700" s="103">
        <v>8.0</v>
      </c>
      <c r="I700" s="103">
        <v>5593971.3</v>
      </c>
    </row>
    <row r="701">
      <c r="A701" s="102" t="inlineStr">
        <is>
          <t xml:space="preserve">СУРХОНДАРЁ ВИЛОЯТИ</t>
        </is>
      </c>
      <c r="C701" s="102" t="inlineStr">
        <is>
          <t xml:space="preserve">Недозвон</t>
        </is>
      </c>
      <c r="D701" s="102" t="inlineStr">
        <is>
          <t xml:space="preserve">Кр-99009967-4</t>
        </is>
      </c>
      <c r="E701" s="102" t="inlineStr">
        <is>
          <t xml:space="preserve">SANGILOVA MOXIRA RAXIMOVNA</t>
        </is>
      </c>
      <c r="F701" s="102" t="inlineStr">
        <is>
          <t xml:space="preserve">97-807-77-97 SMS, 99-678-23-45  SMS O’ZI, 99-360-50-13  SMS JIYANI MIRVALI, 88-808-97-02 SMS UY, 998915163497 SMS UY,</t>
        </is>
      </c>
      <c r="G701" s="102" t="inlineStr">
        <is>
          <t xml:space="preserve">ҚИЗИЛЖАР ҚФЙ, БУЮК ИПАК ЙЎЛИ МФЙ, ҚИЗИЛЖАР ҚФЙ, БУЮК ИПАК ЙЎЛИ МФЙ, БУЮК ИПАК ЙЎЛИ,  uy:Б/Н</t>
        </is>
      </c>
      <c r="H701" s="103">
        <v>41.0</v>
      </c>
      <c r="I701" s="103">
        <v>5580262.7</v>
      </c>
    </row>
    <row r="702">
      <c r="A702" s="102" t="inlineStr">
        <is>
          <t xml:space="preserve">СУРХОНДАРЁ ВИЛОЯТИ</t>
        </is>
      </c>
      <c r="C702" s="102" t="inlineStr">
        <is>
          <t xml:space="preserve">Недозвон</t>
        </is>
      </c>
      <c r="D702" s="102" t="inlineStr">
        <is>
          <t xml:space="preserve">Кр-99021935-6</t>
        </is>
      </c>
      <c r="E702" s="102" t="inlineStr">
        <is>
          <t xml:space="preserve">AZIMOV UMIDILLA XUDOYBERDIYEVICH</t>
        </is>
      </c>
      <c r="F702" s="102" t="inlineStr">
        <is>
          <t xml:space="preserve">91-573-47-31 SMS, 90-114-11-38  SMS UY, 97-244-63-39 SMS, 91-573-47-31 SMS,</t>
        </is>
      </c>
      <c r="G702" s="102" t="inlineStr">
        <is>
          <t xml:space="preserve">QASHQADARYO VILOYATI DEHQONOBOD TUMANI OQITMA MFY</t>
        </is>
      </c>
      <c r="H702" s="103">
        <v>12.0</v>
      </c>
      <c r="I702" s="103">
        <v>5408211.37</v>
      </c>
    </row>
    <row r="703">
      <c r="A703" s="102" t="inlineStr">
        <is>
          <t xml:space="preserve">СУРХОНДАРЁ ВИЛОЯТИ</t>
        </is>
      </c>
      <c r="C703" s="102" t="inlineStr">
        <is>
          <t xml:space="preserve">Недозвон</t>
        </is>
      </c>
      <c r="D703" s="102" t="inlineStr">
        <is>
          <t xml:space="preserve">Кр-99033329-2</t>
        </is>
      </c>
      <c r="E703" s="102" t="inlineStr">
        <is>
          <t xml:space="preserve">RUZIQULOV CHORI XOLTURAYEVICH</t>
        </is>
      </c>
      <c r="F703" s="102" t="inlineStr">
        <is>
          <t xml:space="preserve">998919032093 SMS O’ZI, 998918186606 SMS O’G’LI, 998909118306 SMS O’G’LI 2, 998917904246 SMS KELINI, 998994768885 SMS O'GLI BAXRIDDIN,</t>
        </is>
      </c>
      <c r="G703" s="102" t="inlineStr">
        <is>
          <t xml:space="preserve">SURXONDARYO VILOYATI OLTINSOY TUMANI JOBU MFY YANGI XAYOT KO'CHASI 72-UY</t>
        </is>
      </c>
      <c r="H703" s="103">
        <v>8.0</v>
      </c>
      <c r="I703" s="103">
        <v>5403879.08</v>
      </c>
    </row>
    <row r="704">
      <c r="A704" s="102" t="inlineStr">
        <is>
          <t xml:space="preserve">СУРХОНДАРЁ ВИЛОЯТИ</t>
        </is>
      </c>
      <c r="C704" s="102" t="inlineStr">
        <is>
          <t xml:space="preserve">Недозвон</t>
        </is>
      </c>
      <c r="D704" s="102" t="inlineStr">
        <is>
          <t xml:space="preserve">Кр-99031487-1</t>
        </is>
      </c>
      <c r="E704" s="102" t="inlineStr">
        <is>
          <t xml:space="preserve">POYANOV XIMOIDDIN AMIRJONOVICH</t>
        </is>
      </c>
      <c r="F704" s="102" t="inlineStr">
        <is>
          <t xml:space="preserve">998995707222 SMS O’ZI, 998953137053 SMS AYOLI, 998952237022 SMS AKASI, 998770527022 SMS ONASI,</t>
        </is>
      </c>
      <c r="G704" s="102" t="inlineStr">
        <is>
          <t xml:space="preserve">SURXONDARYO VILOYATI DENOV  TUMANI ANBARSOY  QFY O’RTAQISHLOQ  MFY DO’STLIK KO’CHASI 117-UY</t>
        </is>
      </c>
      <c r="H704" s="103">
        <v>57.0</v>
      </c>
      <c r="I704" s="103">
        <v>5155268.53</v>
      </c>
    </row>
    <row r="705">
      <c r="A705" s="102" t="inlineStr">
        <is>
          <t xml:space="preserve">СУРХОНДАРЁ ВИЛОЯТИ</t>
        </is>
      </c>
      <c r="C705" s="102" t="inlineStr">
        <is>
          <t xml:space="preserve">Недозвон</t>
        </is>
      </c>
      <c r="D705" s="102" t="inlineStr">
        <is>
          <t xml:space="preserve">Кр-99039907-1</t>
        </is>
      </c>
      <c r="E705" s="102" t="inlineStr">
        <is>
          <t xml:space="preserve">MURATALIYEV RUZI ERGASHEVICH</t>
        </is>
      </c>
      <c r="F705" s="102" t="inlineStr">
        <is>
          <t xml:space="preserve">998938885958 SMS OZI, 998938840370 SMS ORTOGI, 998938880370 SMS OGLI, 998944081995 SMS OGLI,</t>
        </is>
      </c>
      <c r="G705" s="102" t="inlineStr">
        <is>
          <t xml:space="preserve">SURXONDARYO VILOYATI, JARQO’RG’ON TUMANI ,NURLIDIYOR MFY, CH. TOSHBOLTAYEV KO’CHASI ,10-UY</t>
        </is>
      </c>
      <c r="H705" s="103">
        <v>8.0</v>
      </c>
      <c r="I705" s="103">
        <v>5065964.92</v>
      </c>
      <c r="K705" s="102" t="inlineStr">
        <is>
          <t xml:space="preserve">Telefon ko'tarmadi | kotta ogli kotard kredtni ukam ogan owanga etaman xoz | 918</t>
        </is>
      </c>
    </row>
    <row r="706">
      <c r="A706" s="102" t="inlineStr">
        <is>
          <t xml:space="preserve">СУРХОНДАРЁ ВИЛОЯТИ</t>
        </is>
      </c>
      <c r="C706" s="102" t="inlineStr">
        <is>
          <t xml:space="preserve">Недозвон</t>
        </is>
      </c>
      <c r="D706" s="102" t="inlineStr">
        <is>
          <t xml:space="preserve">Кр-99019822-4</t>
        </is>
      </c>
      <c r="E706" s="102" t="inlineStr">
        <is>
          <t xml:space="preserve">TOG’AYEV ZAYNIDDIN XAITMUROD O’G’LI</t>
        </is>
      </c>
      <c r="F706" s="102" t="inlineStr">
        <is>
          <t xml:space="preserve">95-079-03-45 SMS , 88-354-19-95 SMS  begona tel qimayla, 99-235-56-93 SMS begona tel qimayla, 998950790395 SMS OZI , 998771230395 SMS OZI, 998951784101 SMS ozi new,</t>
        </is>
      </c>
      <c r="G706" s="102" t="inlineStr">
        <is>
          <t xml:space="preserve">SURXONDARYO VILOYATIUZUN TUMANI BOBOTOG’ QFY BOBOTOQ MFY NAVBAHOR KO’CHASI 10-UY</t>
        </is>
      </c>
      <c r="H706" s="103">
        <v>11.0</v>
      </c>
      <c r="I706" s="103">
        <v>4936689.32</v>
      </c>
    </row>
    <row r="707">
      <c r="A707" s="102" t="inlineStr">
        <is>
          <t xml:space="preserve">СУРХОНДАРЁ ВИЛОЯТИ</t>
        </is>
      </c>
      <c r="C707" s="102" t="inlineStr">
        <is>
          <t xml:space="preserve">Объезд</t>
        </is>
      </c>
      <c r="D707" s="102" t="inlineStr">
        <is>
          <t xml:space="preserve">Кр-99020891-4</t>
        </is>
      </c>
      <c r="E707" s="102" t="inlineStr">
        <is>
          <t xml:space="preserve">KUNAROV UKTAM AMANDAVLATOVICH</t>
        </is>
      </c>
      <c r="F707" s="102" t="inlineStr">
        <is>
          <t xml:space="preserve">91-515-78-00 SMS O'ZI TOLOVCHISI , 91-579-51-91 SMS UKASI, 91-911-56-67 SMS UY, 91-579-51-91 SMS BEGONA ,</t>
        </is>
      </c>
      <c r="G707" s="102" t="inlineStr">
        <is>
          <t xml:space="preserve">ШЎРЧИ ШАҲРИ, БОБОТОГ МФЙ, ШЎРЧИ ШАҲРИ, БОБОТОГ МФЙ, ЎЗБЕКИСТОНСИ,  uy:14</t>
        </is>
      </c>
      <c r="H707" s="103">
        <v>8.0</v>
      </c>
      <c r="I707" s="103">
        <v>4832565.88</v>
      </c>
      <c r="K707" s="102" t="inlineStr">
        <is>
          <t xml:space="preserve">Uyiga borildi - va'da berdi | bugun hal qladi | 111</t>
        </is>
      </c>
    </row>
    <row r="708">
      <c r="A708" s="102" t="inlineStr">
        <is>
          <t xml:space="preserve">СУРХОНДАРЁ ВИЛОЯТИ</t>
        </is>
      </c>
      <c r="C708" s="102" t="inlineStr">
        <is>
          <t xml:space="preserve">Недозвон</t>
        </is>
      </c>
      <c r="D708" s="102" t="inlineStr">
        <is>
          <t xml:space="preserve">Кр-99057364-2</t>
        </is>
      </c>
      <c r="E708" s="102" t="inlineStr">
        <is>
          <t xml:space="preserve">RAXMATULLAYEVA IRODA SAYDULLO QIZI</t>
        </is>
      </c>
      <c r="F708" s="102" t="inlineStr">
        <is>
          <t xml:space="preserve">998903771990 SMS OZI, 998777291004 SMS OZI, 998975306012 SMS OZI 2,</t>
        </is>
      </c>
      <c r="G708" s="102" t="inlineStr">
        <is>
          <t xml:space="preserve">SURXONDARYO VILOYATI DENOV TUMANI A.JOMIY MFY NODIRABEGIM KO’CHASI 65-UY</t>
        </is>
      </c>
      <c r="H708" s="103">
        <v>8.0</v>
      </c>
      <c r="I708" s="103">
        <v>4648444.41</v>
      </c>
      <c r="K708" s="102" t="inlineStr">
        <is>
          <t xml:space="preserve">Telefon ko'tarmadi | xozrca boglanb bomad sms yozvordm | 1432</t>
        </is>
      </c>
    </row>
    <row r="709">
      <c r="A709" s="102" t="inlineStr">
        <is>
          <t xml:space="preserve">СУРХОНДАРЁ ВИЛОЯТИ</t>
        </is>
      </c>
      <c r="C709" s="102" t="inlineStr">
        <is>
          <t xml:space="preserve">Недозвон</t>
        </is>
      </c>
      <c r="D709" s="102" t="inlineStr">
        <is>
          <t xml:space="preserve">Кр-99032627-1</t>
        </is>
      </c>
      <c r="E709" s="102" t="inlineStr">
        <is>
          <t xml:space="preserve">XAKBERDIYEVA XALIMA XUDAYBERDIYEVNA</t>
        </is>
      </c>
      <c r="F709" s="102" t="inlineStr">
        <is>
          <t xml:space="preserve">998941025191 SMS ONASI, 998941442601 SMS O’ZI, 998880437679 SMS TOG’ASI, 998336731123 SMS YANGASI,</t>
        </is>
      </c>
      <c r="G709" s="102" t="inlineStr">
        <is>
          <t xml:space="preserve">SURXONDARYO VILOYATI SARIOSIYO TUMANI DASHNOBOD KELAJAK SARI MFY KO’CHASI 19-UY</t>
        </is>
      </c>
      <c r="H709" s="103">
        <v>32.0</v>
      </c>
      <c r="I709" s="103">
        <v>4511878.59</v>
      </c>
    </row>
    <row r="710">
      <c r="A710" s="102" t="inlineStr">
        <is>
          <t xml:space="preserve">СУРХОНДАРЁ ВИЛОЯТИ</t>
        </is>
      </c>
      <c r="C710" s="102" t="inlineStr">
        <is>
          <t xml:space="preserve">Недозвон</t>
        </is>
      </c>
      <c r="D710" s="102" t="inlineStr">
        <is>
          <t xml:space="preserve">Кр-99026309-2</t>
        </is>
      </c>
      <c r="E710" s="102" t="inlineStr">
        <is>
          <t xml:space="preserve">TOJIYEV KAXRAMON BAXTIYAROVICH</t>
        </is>
      </c>
      <c r="F710" s="102" t="inlineStr">
        <is>
          <t xml:space="preserve">98-279-27-00 SMS O'ZI, 998978452200 SMS UY, 94-203-22-00  SMS begona, 91-510-01-93 SMS, 998942032700 WATSAP BOR GERMANIYADA OZI ,</t>
        </is>
      </c>
      <c r="G710" s="102" t="inlineStr">
        <is>
          <t xml:space="preserve">SURXONDARYO VILOYATI DENOV SHAHAR ISTIQLOL  21-UY </t>
        </is>
      </c>
      <c r="H710" s="103">
        <v>75.0</v>
      </c>
      <c r="I710" s="103">
        <v>4466044.06</v>
      </c>
    </row>
    <row r="711">
      <c r="A711" s="102" t="inlineStr">
        <is>
          <t xml:space="preserve">СУРХОНДАРЁ ВИЛОЯТИ</t>
        </is>
      </c>
      <c r="C711" s="102" t="inlineStr">
        <is>
          <t xml:space="preserve">Недозвон</t>
        </is>
      </c>
      <c r="D711" s="102" t="inlineStr">
        <is>
          <t xml:space="preserve">Кр-99017725-6</t>
        </is>
      </c>
      <c r="E711" s="102" t="inlineStr">
        <is>
          <t xml:space="preserve">ALIMOV BEKZOD ERGASHALIYEVICH</t>
        </is>
      </c>
      <c r="F711" s="102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711" s="102" t="inlineStr">
        <is>
          <t xml:space="preserve">SURXONDARYO VILOYATI DENOV TUMANI MINGBULOQ MFY  ABUXOYAT  K’OCHASI  12-UY</t>
        </is>
      </c>
      <c r="H711" s="103">
        <v>8.0</v>
      </c>
      <c r="I711" s="103">
        <v>4415908.13</v>
      </c>
    </row>
    <row r="712">
      <c r="A712" s="102" t="inlineStr">
        <is>
          <t xml:space="preserve">СУРХОНДАРЁ ВИЛОЯТИ</t>
        </is>
      </c>
      <c r="C712" s="102" t="inlineStr">
        <is>
          <t xml:space="preserve">Недозвон</t>
        </is>
      </c>
      <c r="D712" s="102" t="inlineStr">
        <is>
          <t xml:space="preserve">Кр-99041110-1</t>
        </is>
      </c>
      <c r="E712" s="102" t="inlineStr">
        <is>
          <t xml:space="preserve">KASIMOV NODIRBEK BAYKABILOVICH</t>
        </is>
      </c>
      <c r="F712" s="102" t="inlineStr">
        <is>
          <t xml:space="preserve">+998998830188 SMS O’ZI, 998770043004 SMS KELINI, 998958449474 SMS AYOLI, 998991090189 SMS DO’STDI, 998998830188 Primary phone from road24,</t>
        </is>
      </c>
      <c r="G712" s="102" t="inlineStr">
        <is>
          <t xml:space="preserve">ЖОНЧЕККА ҚФЙ, ДЕХКОН МФЙ, ЖОНЧЕККА ҚФЙ, ДЕХКОН МФЙ, ДЕХКОН,  uy:.</t>
        </is>
      </c>
      <c r="H712" s="103">
        <v>8.0</v>
      </c>
      <c r="I712" s="103">
        <v>4338802.44</v>
      </c>
      <c r="K712" s="102" t="inlineStr">
        <is>
          <t xml:space="preserve">Telefon ko'tarmadi | dosti kotardi nodirbek cetda oyni oxrda pul tawidi | 1057</t>
        </is>
      </c>
    </row>
    <row r="713">
      <c r="A713" s="102" t="inlineStr">
        <is>
          <t xml:space="preserve">СУРХОНДАРЁ ВИЛОЯТИ</t>
        </is>
      </c>
      <c r="C713" s="102" t="inlineStr">
        <is>
          <t xml:space="preserve">Объезд</t>
        </is>
      </c>
      <c r="D713" s="102" t="inlineStr">
        <is>
          <t xml:space="preserve">Кр-99027939-1</t>
        </is>
      </c>
      <c r="E713" s="102" t="inlineStr">
        <is>
          <t xml:space="preserve">TURAYEVA ADOLAT TOSHBOYEVNA</t>
        </is>
      </c>
      <c r="F713" s="102" t="inlineStr">
        <is>
          <t xml:space="preserve">91-078-04-96 SMS, 91-233-33-57 SMS UY, 91-575-71-70 SMS OILASI, 91-588-17-69 SMS O’ZI, 97-261-88-46 javlon aka javob degan, 998992184093 SMS O'ZI 2,</t>
        </is>
      </c>
      <c r="G713" s="102" t="inlineStr">
        <is>
          <t xml:space="preserve">SURXONDARYO VILOYATI UZUNSHO’RCHI TUMANI DO’STLIK  MFY HAMKOR KUCHASI 104-UY</t>
        </is>
      </c>
      <c r="H713" s="103">
        <v>1.0</v>
      </c>
      <c r="I713" s="103">
        <v>4226143.08</v>
      </c>
      <c r="J713" s="103">
        <v>4226143.08</v>
      </c>
      <c r="K713" s="102" t="inlineStr">
        <is>
          <t xml:space="preserve">Uyiga borildi - to'ladi | filialga tolad | 223</t>
        </is>
      </c>
    </row>
    <row r="714">
      <c r="A714" s="102" t="inlineStr">
        <is>
          <t xml:space="preserve">СУРХОНДАРЁ ВИЛОЯТИ</t>
        </is>
      </c>
      <c r="C714" s="102" t="inlineStr">
        <is>
          <t xml:space="preserve">Недозвон</t>
        </is>
      </c>
      <c r="D714" s="102" t="inlineStr">
        <is>
          <t xml:space="preserve">Кр-99021671-3</t>
        </is>
      </c>
      <c r="E714" s="102" t="inlineStr">
        <is>
          <t xml:space="preserve">SAFAROVA ILMIRA BOZOR QIZI</t>
        </is>
      </c>
      <c r="F714" s="102" t="inlineStr">
        <is>
          <t xml:space="preserve">99-718-98-01 SMS OZI, 88-301-93-01  SMS UY BEGONA , 95-222-35-71 SMS , 998951906881 akasi tolovchi,</t>
        </is>
      </c>
      <c r="G714" s="102" t="inlineStr">
        <is>
          <t xml:space="preserve">SURXONDARYO VILOYATI DENOV TUMANI LAG’MONOTA MFY BAXT K’OCHASI 39-UY </t>
        </is>
      </c>
      <c r="H714" s="103">
        <v>74.0</v>
      </c>
      <c r="I714" s="103">
        <v>4171983.94</v>
      </c>
    </row>
    <row r="715">
      <c r="A715" s="102" t="inlineStr">
        <is>
          <t xml:space="preserve">СУРХОНДАРЁ ВИЛОЯТИ</t>
        </is>
      </c>
      <c r="C715" s="102" t="inlineStr">
        <is>
          <t xml:space="preserve">Недозвон</t>
        </is>
      </c>
      <c r="D715" s="102" t="inlineStr">
        <is>
          <t xml:space="preserve">Кр-99030616-1</t>
        </is>
      </c>
      <c r="E715" s="102" t="inlineStr">
        <is>
          <t xml:space="preserve">XAMRAYEV SHERZOD AXMADOVICH</t>
        </is>
      </c>
      <c r="F715" s="102" t="inlineStr">
        <is>
          <t xml:space="preserve">93-833-06-96 SMS , 91-576-87-78  SMS UY, 97-808-03-25  SMS UKASI, 50-800-43-81  SMS UKASI 2, 94-553-21-13  SMS OILASI, 998919047851 SMS OZI,</t>
        </is>
      </c>
      <c r="G715" s="102" t="inlineStr">
        <is>
          <t xml:space="preserve">SURXONDARYO VILOYATI SHURCHI TUMANI NAVRUZ MFY 8-MART KO’CHASI 10-UY</t>
        </is>
      </c>
      <c r="H715" s="103">
        <v>4.0</v>
      </c>
      <c r="I715" s="103">
        <v>4136020.85</v>
      </c>
    </row>
    <row r="716">
      <c r="A716" s="102" t="inlineStr">
        <is>
          <t xml:space="preserve">СУРХОНДАРЁ ВИЛОЯТИ</t>
        </is>
      </c>
      <c r="C716" s="102" t="inlineStr">
        <is>
          <t xml:space="preserve">Недозвон</t>
        </is>
      </c>
      <c r="D716" s="102" t="inlineStr">
        <is>
          <t xml:space="preserve">Кр-99037147-1</t>
        </is>
      </c>
      <c r="E716" s="102" t="inlineStr">
        <is>
          <t xml:space="preserve">BURIYEV DAVRON RAVUTOVICH</t>
        </is>
      </c>
      <c r="F716" s="102" t="inlineStr">
        <is>
          <t xml:space="preserve">998772024402 SMS OZI, 998771244402 SMS UYI, 998996641381 SMS  AKASI, 998915183009 SMS UKASI, 998774124402 SMS AYOLI ,</t>
        </is>
      </c>
      <c r="G716" s="102" t="inlineStr">
        <is>
          <t xml:space="preserve">SURXONDARYO VILOYATI DENOV SHAHAR TOTUVLI OLIY QADIRYAT 47-UY</t>
        </is>
      </c>
      <c r="H716" s="103">
        <v>12.0</v>
      </c>
      <c r="I716" s="103">
        <v>4116255.85</v>
      </c>
      <c r="K716" s="102" t="inlineStr">
        <is>
          <t xml:space="preserve">Telefon ko'tarmadi | sms yozvordm | 684</t>
        </is>
      </c>
    </row>
    <row r="717">
      <c r="A717" s="102" t="inlineStr">
        <is>
          <t xml:space="preserve">СУРХОНДАРЁ ВИЛОЯТИ</t>
        </is>
      </c>
      <c r="C717" s="102" t="inlineStr">
        <is>
          <t xml:space="preserve">Недозвон</t>
        </is>
      </c>
      <c r="D717" s="102" t="inlineStr">
        <is>
          <t xml:space="preserve">Кр-99038817-1</t>
        </is>
      </c>
      <c r="E717" s="102" t="inlineStr">
        <is>
          <t xml:space="preserve">SHAMSUDDINOV JASUR JALOLIDDIN O’G’LI</t>
        </is>
      </c>
      <c r="F717" s="102" t="inlineStr">
        <is>
          <t xml:space="preserve">998905686688 SMS OZI, 998909959607 SMS OZI 2, 998915178817 SMS DADASI, 998500407141 SMS UYI,</t>
        </is>
      </c>
      <c r="G717" s="102" t="inlineStr">
        <is>
          <t xml:space="preserve">SURXONDARYO VILOYATI OLTINSOY TUMANI JOBU MFY NAVRUZ 78-UY</t>
        </is>
      </c>
      <c r="H717" s="103">
        <v>4.0</v>
      </c>
      <c r="I717" s="103">
        <v>3946809.48</v>
      </c>
    </row>
    <row r="718">
      <c r="A718" s="102" t="inlineStr">
        <is>
          <t xml:space="preserve">СУРХОНДАРЁ ВИЛОЯТИ</t>
        </is>
      </c>
      <c r="C718" s="102" t="inlineStr">
        <is>
          <t xml:space="preserve">Недозвон</t>
        </is>
      </c>
      <c r="D718" s="102" t="inlineStr">
        <is>
          <t xml:space="preserve">Кр-99029033-1</t>
        </is>
      </c>
      <c r="E718" s="102" t="inlineStr">
        <is>
          <t xml:space="preserve">ABDIYEV OYBEK PARDAYEVICH</t>
        </is>
      </c>
      <c r="F718" s="102" t="inlineStr">
        <is>
          <t xml:space="preserve">998993774798 SMS, 998952688798 SMS UY, 998993483065 SMS AKASI, 998904196065 SMS OILASI,</t>
        </is>
      </c>
      <c r="G718" s="102" t="inlineStr">
        <is>
          <t xml:space="preserve">SURXONDARYO VILOYAT SHO’RCHI TUMAN OLIYHIMMAT MFY KATTATEPA 142-UY</t>
        </is>
      </c>
      <c r="H718" s="103">
        <v>75.0</v>
      </c>
      <c r="I718" s="103">
        <v>3909675.17</v>
      </c>
    </row>
    <row r="719">
      <c r="A719" s="102" t="inlineStr">
        <is>
          <t xml:space="preserve">СУРХОНДАРЁ ВИЛОЯТИ</t>
        </is>
      </c>
      <c r="C719" s="102" t="inlineStr">
        <is>
          <t xml:space="preserve">Недозвон</t>
        </is>
      </c>
      <c r="D719" s="102" t="inlineStr">
        <is>
          <t xml:space="preserve">Кр-99042695-1</t>
        </is>
      </c>
      <c r="E719" s="102" t="inlineStr">
        <is>
          <t xml:space="preserve">XO’JAMUROTOV BEKZOD XO’SHBOQOVICH</t>
        </is>
      </c>
      <c r="F719" s="102" t="inlineStr">
        <is>
          <t xml:space="preserve">+998997210188 SMS O’ZI, 998953138603 SMS O’G’LI, 998995299486 SMS AYOLI,</t>
        </is>
      </c>
      <c r="G719" s="102" t="inlineStr">
        <is>
          <t xml:space="preserve">Сурхандарьинская область, Шерабадский район, Шеробод МСГ, ул. Узбекистан, уч. 102</t>
        </is>
      </c>
      <c r="H719" s="103">
        <v>8.0</v>
      </c>
      <c r="I719" s="103">
        <v>3865687.65</v>
      </c>
      <c r="K719" s="102" t="inlineStr">
        <is>
          <t xml:space="preserve">Telefon ko'tarmadi | sms yozib qoydm | 1171</t>
        </is>
      </c>
    </row>
    <row r="720">
      <c r="A720" s="102" t="inlineStr">
        <is>
          <t xml:space="preserve">СУРХОНДАРЁ ВИЛОЯТИ</t>
        </is>
      </c>
      <c r="C720" s="102" t="inlineStr">
        <is>
          <t xml:space="preserve">Недозвон</t>
        </is>
      </c>
      <c r="D720" s="102" t="inlineStr">
        <is>
          <t xml:space="preserve">Кр-99028191-1</t>
        </is>
      </c>
      <c r="E720" s="102" t="inlineStr">
        <is>
          <t xml:space="preserve">MUSAYEVA OLIYA TODJIDINOVNA</t>
        </is>
      </c>
      <c r="F720" s="102" t="inlineStr">
        <is>
          <t xml:space="preserve">88-506-09-68 SMS OZI , 99-065-48-66 SMS UY , 33-051-00-20  SMS OGLI , 91-731-46-46 SMS OGLI ,</t>
        </is>
      </c>
      <c r="G720" s="102" t="inlineStr">
        <is>
          <t xml:space="preserve">SURXONDARYO VILOYATI DENOV TUMANI QORAXON QFY NAMUNA MFY TARAKUAT K’OCHASI 49-UY </t>
        </is>
      </c>
      <c r="H720" s="103">
        <v>21.0</v>
      </c>
      <c r="I720" s="103">
        <v>3864426.85</v>
      </c>
    </row>
    <row r="721">
      <c r="A721" s="102" t="inlineStr">
        <is>
          <t xml:space="preserve">СУРХОНДАРЁ ВИЛОЯТИ</t>
        </is>
      </c>
      <c r="C721" s="102" t="inlineStr">
        <is>
          <t xml:space="preserve">Недозвон</t>
        </is>
      </c>
      <c r="D721" s="102" t="inlineStr">
        <is>
          <t xml:space="preserve">Кр-99039462-1</t>
        </is>
      </c>
      <c r="E721" s="102" t="inlineStr">
        <is>
          <t xml:space="preserve">ABILOVA RA’NO ABDURAXMANOVNA</t>
        </is>
      </c>
      <c r="F721" s="102" t="inlineStr">
        <is>
          <t xml:space="preserve">998952481079 SMS OZI, 998952481079 SMS OZI, 998942742076 SMS UYI, 998917183717 SMS AYOLI,</t>
        </is>
      </c>
      <c r="G721" s="102" t="inlineStr">
        <is>
          <t xml:space="preserve">SURXONDARYO VILOYATI QUQO'RG'ON TUMANI MEHRABOD  MFY TEGIRMONARIQ KO‘CHASI  68 UY</t>
        </is>
      </c>
      <c r="H721" s="103">
        <v>7.0</v>
      </c>
      <c r="I721" s="103">
        <v>3810286.07</v>
      </c>
    </row>
    <row r="722">
      <c r="A722" s="102" t="inlineStr">
        <is>
          <t xml:space="preserve">СУРХОНДАРЁ ВИЛОЯТИ</t>
        </is>
      </c>
      <c r="C722" s="102" t="inlineStr">
        <is>
          <t xml:space="preserve">Недозвон</t>
        </is>
      </c>
      <c r="D722" s="102" t="inlineStr">
        <is>
          <t xml:space="preserve">Кр-99024173-2</t>
        </is>
      </c>
      <c r="E722" s="102" t="inlineStr">
        <is>
          <t xml:space="preserve">KURBONOV RUSTAM ABDUKAXOROVICH</t>
        </is>
      </c>
      <c r="F722" s="102" t="inlineStr">
        <is>
          <t xml:space="preserve">99-451-30-84 SMS, 99-102-15-80 SMS UY, 99-135-46-67 SMS UKASI FAZLIDDIN, 94-511-67-60 SMS O’ZI, 998978441975 SMS MAHALLA RAISI,</t>
        </is>
      </c>
      <c r="G722" s="102" t="inlineStr">
        <is>
          <t xml:space="preserve">SURXONDARYO VILOYATI DENOV TUMANI OYBARAK MFY CHINORSOY KO’CHASI 47-UY</t>
        </is>
      </c>
      <c r="H722" s="103">
        <v>4.0</v>
      </c>
      <c r="I722" s="103">
        <v>3786531.53</v>
      </c>
    </row>
    <row r="723">
      <c r="A723" s="102" t="inlineStr">
        <is>
          <t xml:space="preserve">СУРХОНДАРЁ ВИЛОЯТИ</t>
        </is>
      </c>
      <c r="C723" s="102" t="inlineStr">
        <is>
          <t xml:space="preserve">Недозвон</t>
        </is>
      </c>
      <c r="D723" s="102" t="inlineStr">
        <is>
          <t xml:space="preserve">Кр-99049209-1</t>
        </is>
      </c>
      <c r="E723" s="102" t="inlineStr">
        <is>
          <t xml:space="preserve">XAMRAKULOVA SHOIRA ABDUGANIYEVNA</t>
        </is>
      </c>
      <c r="F723" s="102" t="inlineStr">
        <is>
          <t xml:space="preserve">998700429099 SMS O’G’LI, 998883527505 SMS UY, 998957757876 SMS O’ZI,</t>
        </is>
      </c>
      <c r="G723" s="102" t="inlineStr">
        <is>
          <t xml:space="preserve">SURXONDARYO VILOYATI DENOV TUMANI VODIY MFY FARG’ONA 45 UY</t>
        </is>
      </c>
      <c r="H723" s="103">
        <v>8.0</v>
      </c>
      <c r="I723" s="103">
        <v>3744421.72</v>
      </c>
      <c r="K723" s="102" t="inlineStr">
        <is>
          <t xml:space="preserve">Telefon ko'tarmadi | tgdan yozb qoydm | 1296</t>
        </is>
      </c>
    </row>
    <row r="724">
      <c r="A724" s="102" t="inlineStr">
        <is>
          <t xml:space="preserve">СУРХОНДАРЁ ВИЛОЯТИ</t>
        </is>
      </c>
      <c r="C724" s="102" t="inlineStr">
        <is>
          <t xml:space="preserve">Недозвон</t>
        </is>
      </c>
      <c r="D724" s="102" t="inlineStr">
        <is>
          <t xml:space="preserve">Кр-99019822-3</t>
        </is>
      </c>
      <c r="E724" s="102" t="inlineStr">
        <is>
          <t xml:space="preserve">TOG’AYEV ZAYNIDDIN XAITMUROD O’G’LI</t>
        </is>
      </c>
      <c r="F724" s="102" t="inlineStr">
        <is>
          <t xml:space="preserve">95-079-03-45 SMS , 88-354-19-95 SMS  begona tel qimayla, 99-235-56-93 SMS begona tel qimayla, 998950790395 SMS OZI , 998771230395 SMS OZI, 998951784101 SMS ozi new,</t>
        </is>
      </c>
      <c r="G724" s="102" t="inlineStr">
        <is>
          <t xml:space="preserve">SURXONDARYO VILOYATIUZUN TUMANI BOBOTOG’ QFY BOBOTOQ MFY NAVBAHOR KO’CHASI 10-UY</t>
        </is>
      </c>
      <c r="H724" s="103">
        <v>7.0</v>
      </c>
      <c r="I724" s="103">
        <v>3713954.64</v>
      </c>
    </row>
    <row r="725">
      <c r="A725" s="102" t="inlineStr">
        <is>
          <t xml:space="preserve">СУРХОНДАРЁ ВИЛОЯТИ</t>
        </is>
      </c>
      <c r="C725" s="102" t="inlineStr">
        <is>
          <t xml:space="preserve">Недозвон</t>
        </is>
      </c>
      <c r="D725" s="102" t="inlineStr">
        <is>
          <t xml:space="preserve">Кр-99032498-1</t>
        </is>
      </c>
      <c r="E725" s="102" t="inlineStr">
        <is>
          <t xml:space="preserve">TURSUNOV USMONXON XUSAN O’G’LI</t>
        </is>
      </c>
      <c r="F725" s="102" t="inlineStr">
        <is>
          <t xml:space="preserve">998995774190 SMS O’ZI, 998909990534 SMS O’G’LI, 998881035020 SMS UY, 998976975020 SMS OILASI,</t>
        </is>
      </c>
      <c r="G725" s="102" t="inlineStr">
        <is>
          <t xml:space="preserve">SURXONDARYO VILOYATI DENOV SHAHAR SH.RASHIDOV KO’CHASI 103-UY</t>
        </is>
      </c>
      <c r="H725" s="103">
        <v>6.0</v>
      </c>
      <c r="I725" s="103">
        <v>3684504.62</v>
      </c>
    </row>
    <row r="726">
      <c r="A726" s="102" t="inlineStr">
        <is>
          <t xml:space="preserve">СУРХОНДАРЁ ВИЛОЯТИ</t>
        </is>
      </c>
      <c r="C726" s="102" t="inlineStr">
        <is>
          <t xml:space="preserve">Недозвон</t>
        </is>
      </c>
      <c r="D726" s="102" t="inlineStr">
        <is>
          <t xml:space="preserve">Кр-99055892-1</t>
        </is>
      </c>
      <c r="E726" s="102" t="inlineStr">
        <is>
          <t xml:space="preserve">ALTIBAYEV BAXRIDIN KUDRATOVICH</t>
        </is>
      </c>
      <c r="F726" s="102" t="inlineStr">
        <is>
          <t xml:space="preserve">+998994038024 Primary phone from road24, 998994038024 Primary phone from road24,</t>
        </is>
      </c>
      <c r="G726" s="102" t="inlineStr">
        <is>
          <t xml:space="preserve">ОКЖАР КФЙ, ЯНГИХАЁТ МФЙ, ОКЖАР КФЙ, ЯНГИХАЁТ МФЙ, ЯНГИХАЁТ,</t>
        </is>
      </c>
      <c r="H726" s="103">
        <v>137.0</v>
      </c>
      <c r="I726" s="103">
        <v>3656055.98</v>
      </c>
      <c r="K726" s="102" t="inlineStr">
        <is>
          <t xml:space="preserve">Telefon ko'tarmadi | tgdan yozvordm | 1394</t>
        </is>
      </c>
    </row>
    <row r="727">
      <c r="A727" s="102" t="inlineStr">
        <is>
          <t xml:space="preserve">СУРХОНДАРЁ ВИЛОЯТИ</t>
        </is>
      </c>
      <c r="C727" s="102" t="inlineStr">
        <is>
          <t xml:space="preserve">Недозвон</t>
        </is>
      </c>
      <c r="D727" s="102" t="inlineStr">
        <is>
          <t xml:space="preserve">Кр-99016214-6</t>
        </is>
      </c>
      <c r="E727" s="102" t="inlineStr">
        <is>
          <t xml:space="preserve">QAYUMOV BOBOXON JUMAYEVICH</t>
        </is>
      </c>
      <c r="F727" s="102" t="inlineStr">
        <is>
          <t xml:space="preserve">97-793-15-12 SMS UZI, 95-501-40-42 SMS UZI , 99-168-92-80 SMS UYI Begona, 998975300046 SMS ONASI,</t>
        </is>
      </c>
      <c r="G727" s="102" t="inlineStr">
        <is>
          <t xml:space="preserve">SOXIBKOR QFY EZGULIK MFY MUSTAQILLIK KO’CHASI 28-UY</t>
        </is>
      </c>
      <c r="H727" s="103">
        <v>8.0</v>
      </c>
      <c r="I727" s="103">
        <v>3564592.06</v>
      </c>
    </row>
    <row r="728">
      <c r="A728" s="102" t="inlineStr">
        <is>
          <t xml:space="preserve">СУРХОНДАРЁ ВИЛОЯТИ</t>
        </is>
      </c>
      <c r="C728" s="102" t="inlineStr">
        <is>
          <t xml:space="preserve">Недозвон</t>
        </is>
      </c>
      <c r="D728" s="102" t="inlineStr">
        <is>
          <t xml:space="preserve">Кр-99011713-3</t>
        </is>
      </c>
      <c r="E728" s="102" t="inlineStr">
        <is>
          <t xml:space="preserve">SHOBERDIYEV AKBAR KOMILJON O’G’LI</t>
        </is>
      </c>
      <c r="F728" s="102" t="inlineStr">
        <is>
          <t xml:space="preserve">998902475708 SMS, 998910757408 SMS ISLOM JIYANI , 998900741017 SMS  AXMAD JIYANI, 998880077858 SMS GULCHEXRA AYOLI,</t>
        </is>
      </c>
      <c r="G728" s="102" t="inlineStr">
        <is>
          <t xml:space="preserve">SURXONDARYO VILOYATI QUMQO’RG’ON TUMANI YANGI YER MFY MUSTAQILLIK KO’CHASI 153-UY</t>
        </is>
      </c>
      <c r="H728" s="103">
        <v>26.0</v>
      </c>
      <c r="I728" s="103">
        <v>3439975.45</v>
      </c>
    </row>
    <row r="729">
      <c r="A729" s="102" t="inlineStr">
        <is>
          <t xml:space="preserve">СУРХОНДАРЁ ВИЛОЯТИ</t>
        </is>
      </c>
      <c r="C729" s="102" t="inlineStr">
        <is>
          <t xml:space="preserve">Недозвон</t>
        </is>
      </c>
      <c r="D729" s="102" t="inlineStr">
        <is>
          <t xml:space="preserve">Кр-99012058-4</t>
        </is>
      </c>
      <c r="E729" s="102" t="inlineStr">
        <is>
          <t xml:space="preserve">XAITOV KAXRAMON ERGASHOVICH</t>
        </is>
      </c>
      <c r="F729" s="102" t="inlineStr">
        <is>
          <t xml:space="preserve">99-336-87-80 SMS OZI, 99-948-40-81 SMS SHERIGI ERKIN, 99-959-11-12 SMS AKASI ABDUMUROD, 99-595-26-02 SMS UY, +7 921 108 9959 SMS OZI TGSI BOR ,</t>
        </is>
      </c>
      <c r="G729" s="102" t="inlineStr">
        <is>
          <t xml:space="preserve">SURXONDARYO VILOYATI DENOV TUMANI NAVBAHOR MFY G’UZOROBOD KO’CHASI 36-UY</t>
        </is>
      </c>
      <c r="H729" s="103">
        <v>27.0</v>
      </c>
      <c r="I729" s="103">
        <v>3266069.04</v>
      </c>
    </row>
    <row r="730">
      <c r="A730" s="102" t="inlineStr">
        <is>
          <t xml:space="preserve">СУРХОНДАРЁ ВИЛОЯТИ</t>
        </is>
      </c>
      <c r="C730" s="102" t="inlineStr">
        <is>
          <t xml:space="preserve">Недозвон</t>
        </is>
      </c>
      <c r="D730" s="102" t="inlineStr">
        <is>
          <t xml:space="preserve">Кр-99032752-4</t>
        </is>
      </c>
      <c r="E730" s="102" t="inlineStr">
        <is>
          <t xml:space="preserve">NOMOZOV MUHAMMADJON MUZAFFAR O’G’LI</t>
        </is>
      </c>
      <c r="F730" s="102" t="inlineStr">
        <is>
          <t xml:space="preserve">998900000000 SMS, 998909554949 SMS OZI , 998997014949 SMS UKASI , 998997426093 SMS UY , 998979490094 SMS UY ,</t>
        </is>
      </c>
      <c r="G730" s="102" t="inlineStr">
        <is>
          <t xml:space="preserve">SURXONDARYO VILOYATI DENOV TUMANI TASMASOY MFY</t>
        </is>
      </c>
      <c r="H730" s="103">
        <v>8.0</v>
      </c>
      <c r="I730" s="103">
        <v>3150926.99</v>
      </c>
    </row>
    <row r="731">
      <c r="A731" s="102" t="inlineStr">
        <is>
          <t xml:space="preserve">СУРХОНДАРЁ ВИЛОЯТИ</t>
        </is>
      </c>
      <c r="C731" s="102" t="inlineStr">
        <is>
          <t xml:space="preserve">Недозвон</t>
        </is>
      </c>
      <c r="D731" s="102" t="inlineStr">
        <is>
          <t xml:space="preserve">Кр-99040482-2</t>
        </is>
      </c>
      <c r="E731" s="102" t="inlineStr">
        <is>
          <t xml:space="preserve">XUDAYBERDIYEV MUXAMMADJON KURBANMURATOVICH</t>
        </is>
      </c>
      <c r="F731" s="102" t="inlineStr">
        <is>
          <t xml:space="preserve">998502227177 SMS JIYANI, 998880698118 SMS O’ZI, 998948041917 SMS ONASINI,</t>
        </is>
      </c>
      <c r="G731" s="102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731" s="103">
        <v>8.0</v>
      </c>
      <c r="I731" s="103">
        <v>3147611.44</v>
      </c>
      <c r="K731" s="102" t="inlineStr">
        <is>
          <t xml:space="preserve">Telefon ko'tarmadi | jiyani bn gaplawdm | 988</t>
        </is>
      </c>
    </row>
    <row r="732">
      <c r="A732" s="102" t="inlineStr">
        <is>
          <t xml:space="preserve">СУРХОНДАРЁ ВИЛОЯТИ</t>
        </is>
      </c>
      <c r="C732" s="102" t="inlineStr">
        <is>
          <t xml:space="preserve">Недозвон</t>
        </is>
      </c>
      <c r="D732" s="102" t="inlineStr">
        <is>
          <t xml:space="preserve">Кр-99038127-1</t>
        </is>
      </c>
      <c r="E732" s="102" t="inlineStr">
        <is>
          <t xml:space="preserve">JUMAYEVA SHAXNOZA BAXTIYOR QIZI</t>
        </is>
      </c>
      <c r="F732" s="102" t="inlineStr">
        <is>
          <t xml:space="preserve">998995765018 SMS O’ZI, 998919705252 SMS UKASI, 998888071234 SMS KELINI, 998940454477 SMS UYI,</t>
        </is>
      </c>
      <c r="G732" s="102" t="inlineStr">
        <is>
          <t xml:space="preserve">SURXONDARYO VILOYATI TERMIZ TUMANI JOYJANGAL  MFY NURONIYLAR  KO’CHASI 87-DOM</t>
        </is>
      </c>
      <c r="H732" s="103">
        <v>1.0</v>
      </c>
      <c r="I732" s="103">
        <v>3115732.81</v>
      </c>
    </row>
    <row r="733">
      <c r="A733" s="102" t="inlineStr">
        <is>
          <t xml:space="preserve">СУРХОНДАРЁ ВИЛОЯТИ</t>
        </is>
      </c>
      <c r="C733" s="102" t="inlineStr">
        <is>
          <t xml:space="preserve">Недозвон</t>
        </is>
      </c>
      <c r="D733" s="102" t="inlineStr">
        <is>
          <t xml:space="preserve">Кр-99033460-1</t>
        </is>
      </c>
      <c r="E733" s="102" t="inlineStr">
        <is>
          <t xml:space="preserve">CHORIYEVA NASIBA ABDUSALIM QIZI</t>
        </is>
      </c>
      <c r="F733" s="102" t="inlineStr">
        <is>
          <t xml:space="preserve">998992315902 SMS O’ZI, 998994226734 SMS XUJAYINI, 998995625902 SMS QAYNONASI, 998500990706 SMS QAYNI UKASI,</t>
        </is>
      </c>
      <c r="G733" s="102" t="inlineStr">
        <is>
          <t xml:space="preserve">SURXONDARYO VILOYATI ANGOR TUMAN DEXQONITTIFOQ MFY  USTA-QISHLOQ KO’CHASI 10-UY</t>
        </is>
      </c>
      <c r="H733" s="103">
        <v>5.0</v>
      </c>
      <c r="I733" s="103">
        <v>3016264.89</v>
      </c>
      <c r="K733" s="102" t="inlineStr">
        <is>
          <t xml:space="preserve">Telefon ko'tarmadi | qaynonasi bn gaplawdm etama dd | 447</t>
        </is>
      </c>
    </row>
    <row r="734">
      <c r="A734" s="102" t="inlineStr">
        <is>
          <t xml:space="preserve">СУРХОНДАРЁ ВИЛОЯТИ</t>
        </is>
      </c>
      <c r="C734" s="102" t="inlineStr">
        <is>
          <t xml:space="preserve">Недозвон</t>
        </is>
      </c>
      <c r="D734" s="102" t="inlineStr">
        <is>
          <t xml:space="preserve">Кр-99052968-1</t>
        </is>
      </c>
      <c r="E734" s="102" t="inlineStr">
        <is>
          <t xml:space="preserve">ABDULLAYEV IKROM SAFARMAXMATOVICH</t>
        </is>
      </c>
      <c r="F734" s="102" t="inlineStr">
        <is>
          <t xml:space="preserve">+998997373379 SMS O’ZI, 998772586879 SMS AYOLI, 998996707907 SMS O’G’LI,</t>
        </is>
      </c>
      <c r="G734" s="102" t="inlineStr">
        <is>
          <t xml:space="preserve">BOYSUN TUMAN TEMIR DARVOZA MFY KO’XINUR KO’CHASI 49-UY</t>
        </is>
      </c>
      <c r="H734" s="103">
        <v>8.0</v>
      </c>
      <c r="I734" s="103">
        <v>2981087.06</v>
      </c>
      <c r="K734" s="102" t="inlineStr">
        <is>
          <t xml:space="preserve">Telefon ko'tarmadi | tgisi ham yo | 1358</t>
        </is>
      </c>
    </row>
    <row r="735">
      <c r="A735" s="102" t="inlineStr">
        <is>
          <t xml:space="preserve">СУРХОНДАРЁ ВИЛОЯТИ</t>
        </is>
      </c>
      <c r="C735" s="102" t="inlineStr">
        <is>
          <t xml:space="preserve">Недозвон</t>
        </is>
      </c>
      <c r="D735" s="102" t="inlineStr">
        <is>
          <t xml:space="preserve">Кр-99030725-1</t>
        </is>
      </c>
      <c r="E735" s="102" t="inlineStr">
        <is>
          <t xml:space="preserve">XAMROYEV MAXSUDBEK BAXODIROVICH</t>
        </is>
      </c>
      <c r="F735" s="102" t="inlineStr">
        <is>
          <t xml:space="preserve">97-535-78-88 SMS O’ZI BEGONA , 97-193-78-88  SMS UY, 88-848-22-99  SMS OILASI, 88-839-19-89  SMS JIYANI,</t>
        </is>
      </c>
      <c r="G735" s="102" t="inlineStr">
        <is>
          <t xml:space="preserve">SURXONDARYO VILOYATI DENOV TUMANI GAXANA M.F.Y KO’RKAM 33-UY</t>
        </is>
      </c>
      <c r="H735" s="103">
        <v>1.0</v>
      </c>
      <c r="I735" s="103">
        <v>2969871.37</v>
      </c>
    </row>
    <row r="736">
      <c r="A736" s="102" t="inlineStr">
        <is>
          <t xml:space="preserve">СУРХОНДАРЁ ВИЛОЯТИ</t>
        </is>
      </c>
      <c r="C736" s="102" t="inlineStr">
        <is>
          <t xml:space="preserve">Недозвон</t>
        </is>
      </c>
      <c r="D736" s="102" t="inlineStr">
        <is>
          <t xml:space="preserve">Кр-99039297-1</t>
        </is>
      </c>
      <c r="E736" s="102" t="inlineStr">
        <is>
          <t xml:space="preserve">TOSHPULATOV AKMAL MAXMUD O’G’LI</t>
        </is>
      </c>
      <c r="F736" s="102" t="inlineStr">
        <is>
          <t xml:space="preserve">998771779917 SMS OZI, 999809770995 SMS BEGONA, 998958561818 SMS OILASI BEGONA ODAM TEL QLINMASIN , 998919107375 MFY raisi SMS,</t>
        </is>
      </c>
      <c r="G736" s="102" t="inlineStr">
        <is>
          <t xml:space="preserve">SURXONDARYO VILOYATI DENOV SHAHAR JOMIY MFY   Y.RAJABIY 15-UY</t>
        </is>
      </c>
      <c r="H736" s="103">
        <v>13.0</v>
      </c>
      <c r="I736" s="103">
        <v>2952775.61</v>
      </c>
    </row>
    <row r="737">
      <c r="A737" s="102" t="inlineStr">
        <is>
          <t xml:space="preserve">СУРХОНДАРЁ ВИЛОЯТИ</t>
        </is>
      </c>
      <c r="C737" s="102" t="inlineStr">
        <is>
          <t xml:space="preserve">Недозвон</t>
        </is>
      </c>
      <c r="D737" s="102" t="inlineStr">
        <is>
          <t xml:space="preserve">Кр-99032276-1</t>
        </is>
      </c>
      <c r="E737" s="102" t="inlineStr">
        <is>
          <t xml:space="preserve">NASIMOVA NOZIMAXON ABULQOSIM QIZI</t>
        </is>
      </c>
      <c r="F737" s="102" t="inlineStr">
        <is>
          <t xml:space="preserve">998883833315 SMS O’ZI, 998993881881 SMS TO’LOVCHI, 998888029494 SMS ZALOG QO’YUVCHI, 998901141252 SMS,</t>
        </is>
      </c>
      <c r="G737" s="102" t="inlineStr">
        <is>
          <t xml:space="preserve">SURXANDARYO VILOYATI DENOV TUMANI LAG’MON OTA MFY QAMASHI KO’CHASI 111-UY</t>
        </is>
      </c>
      <c r="H737" s="103">
        <v>11.0</v>
      </c>
      <c r="I737" s="103">
        <v>2930143.81</v>
      </c>
    </row>
    <row r="738">
      <c r="A738" s="102" t="inlineStr">
        <is>
          <t xml:space="preserve">СУРХОНДАРЁ ВИЛОЯТИ</t>
        </is>
      </c>
      <c r="C738" s="102" t="inlineStr">
        <is>
          <t xml:space="preserve">Недозвон</t>
        </is>
      </c>
      <c r="D738" s="102" t="inlineStr">
        <is>
          <t xml:space="preserve">Кр-99062602-1</t>
        </is>
      </c>
      <c r="E738" s="102" t="inlineStr">
        <is>
          <t xml:space="preserve">OLIMOVA CHAROS SHAVKATOVNA</t>
        </is>
      </c>
      <c r="F738" s="102" t="inlineStr">
        <is>
          <t xml:space="preserve">+998954911487 SMS OZI, 998886649502 SMS UKASI, 998993874000 SMS ERI,</t>
        </is>
      </c>
      <c r="G738" s="102" t="inlineStr">
        <is>
          <t xml:space="preserve">АНГОР ТУМАНИ,ТАЛЛИМАРОН ҚФЙ, ТЎЛҚИН МФЙ, ТАЛЛИМАРОН ҚФЙ, ТЎЛҚИН МФЙ,  uy:0</t>
        </is>
      </c>
      <c r="H738" s="103">
        <v>8.0</v>
      </c>
      <c r="I738" s="103">
        <v>2818716.66</v>
      </c>
      <c r="K738" s="102" t="inlineStr">
        <is>
          <t xml:space="preserve">Telefon ko'tarmadi | xozrca kotarmad sms yozvordim | 1582</t>
        </is>
      </c>
    </row>
    <row r="739">
      <c r="A739" s="102" t="inlineStr">
        <is>
          <t xml:space="preserve">СУРХОНДАРЁ ВИЛОЯТИ</t>
        </is>
      </c>
      <c r="C739" s="102" t="inlineStr">
        <is>
          <t xml:space="preserve">Объезд</t>
        </is>
      </c>
      <c r="D739" s="102" t="inlineStr">
        <is>
          <t xml:space="preserve">Кр-99028408-1</t>
        </is>
      </c>
      <c r="E739" s="102" t="inlineStr">
        <is>
          <t xml:space="preserve">MALLAYEVA DILAFRUZ ABDULLAYEVNA</t>
        </is>
      </c>
      <c r="F739" s="102" t="inlineStr">
        <is>
          <t xml:space="preserve">91-585-67-12 SMS OZI BEGONA, 91-585-28-03 SMS UY, 998996777207 SMS TO'LOVCHI, 91-900-17-24 SMS OILASI,</t>
        </is>
      </c>
      <c r="G739" s="102" t="inlineStr">
        <is>
          <t xml:space="preserve">SURXONDARYO VILOYAT SHO’RCHI TUMANI JALOIR QFY DUSTLIK MFY DUSTLIK KO’CHASI 59-UY</t>
        </is>
      </c>
      <c r="H739" s="103">
        <v>6.0</v>
      </c>
      <c r="I739" s="103">
        <v>2817448.78</v>
      </c>
      <c r="K739" s="102" t="inlineStr">
        <is>
          <t xml:space="preserve">Uyiga borildi - va'da berdi | 232</t>
        </is>
      </c>
    </row>
    <row r="740">
      <c r="A740" s="102" t="inlineStr">
        <is>
          <t xml:space="preserve">СУРХОНДАРЁ ВИЛОЯТИ</t>
        </is>
      </c>
      <c r="C740" s="102" t="inlineStr">
        <is>
          <t xml:space="preserve">Недозвон</t>
        </is>
      </c>
      <c r="D740" s="102" t="inlineStr">
        <is>
          <t xml:space="preserve">Кр-99057472-1</t>
        </is>
      </c>
      <c r="E740" s="102" t="inlineStr">
        <is>
          <t xml:space="preserve">JABBAROVA MAHLIYO MARDANAQUL QIZI</t>
        </is>
      </c>
      <c r="F740" s="102" t="inlineStr">
        <is>
          <t xml:space="preserve">998991609650 SMS UZI, 998772499000 SMS UY, 998953149690 SMS OILASI, 998771100683 SMS oilasi begona,</t>
        </is>
      </c>
      <c r="G740" s="102" t="inlineStr">
        <is>
          <t xml:space="preserve">SURXONDARYO VILOYATI DENOV TUMANI LOCHIN MFY FAYZLI 20-UY</t>
        </is>
      </c>
      <c r="H740" s="103">
        <v>8.0</v>
      </c>
      <c r="I740" s="103">
        <v>2802765.71</v>
      </c>
      <c r="K740" s="102" t="inlineStr">
        <is>
          <t xml:space="preserve">Telefon ko'tarmadi | iwlidigan nomeri yo tgdan yozdm | 1458</t>
        </is>
      </c>
    </row>
    <row r="741">
      <c r="A741" s="102" t="inlineStr">
        <is>
          <t xml:space="preserve">СУРХОНДАРЁ ВИЛОЯТИ</t>
        </is>
      </c>
      <c r="C741" s="102" t="inlineStr">
        <is>
          <t xml:space="preserve">Недозвон</t>
        </is>
      </c>
      <c r="D741" s="102" t="inlineStr">
        <is>
          <t xml:space="preserve">Кр-99010264-3</t>
        </is>
      </c>
      <c r="E741" s="102" t="inlineStr">
        <is>
          <t xml:space="preserve">RO’ZIYEV XOLIYOR ALLANAZAROVICH</t>
        </is>
      </c>
      <c r="F741" s="102" t="inlineStr">
        <is>
          <t xml:space="preserve">91-582-85-90 SMS, 91-512-64-92  SMS O’G’LI NOMOZ, 91-228-85-09  SMS KELINI MUBORAK, 91-234-52-59 SMS UY,</t>
        </is>
      </c>
      <c r="G741" s="102" t="inlineStr">
        <is>
          <t xml:space="preserve">SURXONDARYO VILOYATI SHO’RCHI TUMANI ALPIMISH QFY TAMADDUM MFY 471-UY</t>
        </is>
      </c>
      <c r="H741" s="103">
        <v>8.0</v>
      </c>
      <c r="I741" s="103">
        <v>2786995.31</v>
      </c>
    </row>
    <row r="742">
      <c r="A742" s="102" t="inlineStr">
        <is>
          <t xml:space="preserve">СУРХОНДАРЁ ВИЛОЯТИ</t>
        </is>
      </c>
      <c r="C742" s="102" t="inlineStr">
        <is>
          <t xml:space="preserve">Недозвон</t>
        </is>
      </c>
      <c r="D742" s="102" t="inlineStr">
        <is>
          <t xml:space="preserve">Кр-99041348-1</t>
        </is>
      </c>
      <c r="E742" s="102" t="inlineStr">
        <is>
          <t xml:space="preserve">AZIZOV GAFUR MUSAFAROVICH</t>
        </is>
      </c>
      <c r="F742" s="102" t="inlineStr">
        <is>
          <t xml:space="preserve">998915159698 SMS O’ZI, 998919711331 SMS UY, 998995455223 SMS O’G’LI begona,</t>
        </is>
      </c>
      <c r="G742" s="102" t="inlineStr">
        <is>
          <t xml:space="preserve">СУРХОНДАРЁ ВИЛОЯТИ ДЕНОВ ШАХАР, СУФИ ОЛЛОЁР ШФЙ,  uy:74</t>
        </is>
      </c>
      <c r="H742" s="103">
        <v>8.0</v>
      </c>
      <c r="I742" s="103">
        <v>2700738.38</v>
      </c>
      <c r="K742" s="102" t="inlineStr">
        <is>
          <t xml:space="preserve">Telefon ko'tarmadi | wahnoz tolidi | 1090</t>
        </is>
      </c>
    </row>
    <row r="743">
      <c r="A743" s="102" t="inlineStr">
        <is>
          <t xml:space="preserve">СУРХОНДАРЁ ВИЛОЯТИ</t>
        </is>
      </c>
      <c r="C743" s="102" t="inlineStr">
        <is>
          <t xml:space="preserve">Недозвон</t>
        </is>
      </c>
      <c r="D743" s="102" t="inlineStr">
        <is>
          <t xml:space="preserve">Кр-99037169-1</t>
        </is>
      </c>
      <c r="E743" s="102" t="inlineStr">
        <is>
          <t xml:space="preserve">GAYDAROVA SHOIRA YUSUPOVNA</t>
        </is>
      </c>
      <c r="F743" s="102" t="inlineStr">
        <is>
          <t xml:space="preserve">998915185292 SMS OZI, 796268919057 SMS ROSSIYA TELEGRAMI, 998950992302 SMS QIZI, 998970994990 SMS UYI,</t>
        </is>
      </c>
      <c r="G743" s="102" t="inlineStr">
        <is>
          <t xml:space="preserve">SURXONDARYO VILOYATI DENOV TUMANI MEXR OQIBAT MFY SH.RASHIDOV 4-DOM 17-KVARTERA</t>
        </is>
      </c>
      <c r="H743" s="103">
        <v>11.0</v>
      </c>
      <c r="I743" s="103">
        <v>2576290.37</v>
      </c>
      <c r="K743" s="102" t="inlineStr">
        <is>
          <t xml:space="preserve">Telefon ko'tarmadi | abror ogan | 686</t>
        </is>
      </c>
    </row>
    <row r="744">
      <c r="A744" s="102" t="inlineStr">
        <is>
          <t xml:space="preserve">СУРХОНДАРЁ ВИЛОЯТИ</t>
        </is>
      </c>
      <c r="C744" s="102" t="inlineStr">
        <is>
          <t xml:space="preserve">Недозвон</t>
        </is>
      </c>
      <c r="D744" s="102" t="inlineStr">
        <is>
          <t xml:space="preserve">Кр-99022239-5</t>
        </is>
      </c>
      <c r="E744" s="102" t="inlineStr">
        <is>
          <t xml:space="preserve">MAXMUDOV AZAMAT ABDUXALIMOVICH</t>
        </is>
      </c>
      <c r="F744" s="102" t="inlineStr">
        <is>
          <t xml:space="preserve">99-428-85-81 SMS, 93-838-85-01  SMS UY, 91-581-86-56  SMS ZALOGADATEL, 998947851179 shu raqamdan tel qildi azamat ,</t>
        </is>
      </c>
      <c r="G744" s="102" t="inlineStr">
        <is>
          <t xml:space="preserve">SURXONDARYO VILOYATI SARIOSIYO TUMANI SUFIYON QFY NIHOLZOR MFY TINCHLIK K’OCHASI 46-UY</t>
        </is>
      </c>
      <c r="H744" s="103">
        <v>8.0</v>
      </c>
      <c r="I744" s="103">
        <v>2570577.36</v>
      </c>
    </row>
    <row r="745">
      <c r="A745" s="102" t="inlineStr">
        <is>
          <t xml:space="preserve">СУРХОНДАРЁ ВИЛОЯТИ</t>
        </is>
      </c>
      <c r="C745" s="102" t="inlineStr">
        <is>
          <t xml:space="preserve">Недозвон</t>
        </is>
      </c>
      <c r="D745" s="102" t="inlineStr">
        <is>
          <t xml:space="preserve">Кр-99025723-2</t>
        </is>
      </c>
      <c r="E745" s="102" t="inlineStr">
        <is>
          <t xml:space="preserve">G’ANIYEV XURSHIDBEK ABDSAMAD O’G’LI</t>
        </is>
      </c>
      <c r="F745" s="102" t="inlineStr">
        <is>
          <t xml:space="preserve">94-272-03-27 SMS OZI begona, 99-578-37-91 SMS UY, 97-151-70-20 SMS UY, 91-517-21-03 SMS JIYANI, 94-272-03-79 SMS SUKA UZI TOLIDI, 998940015779 SMS AYOLI,</t>
        </is>
      </c>
      <c r="G745" s="102" t="inlineStr">
        <is>
          <t xml:space="preserve">SURXONDARYO VILOYATI OLTINSOY TUMANI JOBI MFY  28-UY</t>
        </is>
      </c>
      <c r="H745" s="103">
        <v>11.0</v>
      </c>
      <c r="I745" s="103">
        <v>2556054.22</v>
      </c>
    </row>
    <row r="746">
      <c r="A746" s="102" t="inlineStr">
        <is>
          <t xml:space="preserve">СУРХОНДАРЁ ВИЛОЯТИ</t>
        </is>
      </c>
      <c r="C746" s="102" t="inlineStr">
        <is>
          <t xml:space="preserve">Недозвон</t>
        </is>
      </c>
      <c r="D746" s="102" t="inlineStr">
        <is>
          <t xml:space="preserve">Кр-99043030-1</t>
        </is>
      </c>
      <c r="E746" s="102" t="inlineStr">
        <is>
          <t xml:space="preserve">QO’LDOSHEVA MAVLYUDA MELIQULOVNA</t>
        </is>
      </c>
      <c r="F746" s="102" t="inlineStr">
        <is>
          <t xml:space="preserve">+998945101466 SMS O’ZI, 998937644757 SMS ERI, 998946064642 SMS QIZI,</t>
        </is>
      </c>
      <c r="G746" s="102" t="inlineStr">
        <is>
          <t xml:space="preserve">МУЗРАБОТ ТУМАН САРХАД ҚФЙ, АТ ТЕРМИЗИЙ МФЙ,  uy:00</t>
        </is>
      </c>
      <c r="H746" s="103">
        <v>8.0</v>
      </c>
      <c r="I746" s="103">
        <v>2550453.21</v>
      </c>
      <c r="K746" s="102" t="inlineStr">
        <is>
          <t xml:space="preserve">Telefon ko'tarmadi | sms yozdm | 1185</t>
        </is>
      </c>
    </row>
    <row r="747">
      <c r="A747" s="102" t="inlineStr">
        <is>
          <t xml:space="preserve">СУРХОНДАРЁ ВИЛОЯТИ</t>
        </is>
      </c>
      <c r="C747" s="102" t="inlineStr">
        <is>
          <t xml:space="preserve">Объезд</t>
        </is>
      </c>
      <c r="D747" s="102" t="inlineStr">
        <is>
          <t xml:space="preserve">Кр-99062762-2</t>
        </is>
      </c>
      <c r="E747" s="102" t="inlineStr">
        <is>
          <t xml:space="preserve">BO’RIYEVA DILFUZA RO’ZIBOYEVNA</t>
        </is>
      </c>
      <c r="F747" s="102" t="inlineStr">
        <is>
          <t xml:space="preserve">+998919107277 SMS O’ZI, 998947994446 SMS ERI,</t>
        </is>
      </c>
      <c r="G747" s="102" t="inlineStr">
        <is>
          <t xml:space="preserve">ТЕРМИЗ ТУМАНИ НУРАФШОН МФЙ, БУНЁДКОР КУЧА  uy:53</t>
        </is>
      </c>
      <c r="H747" s="103">
        <v>8.0</v>
      </c>
      <c r="I747" s="103">
        <v>2532663.26</v>
      </c>
      <c r="K747" s="102" t="inlineStr">
        <is>
          <t xml:space="preserve">Uyiga borildi - va'da berdi | filialga vada berdi ertaga 6 gaca | 1618</t>
        </is>
      </c>
    </row>
    <row r="748">
      <c r="A748" s="102" t="inlineStr">
        <is>
          <t xml:space="preserve">СУРХОНДАРЁ ВИЛОЯТИ</t>
        </is>
      </c>
      <c r="C748" s="102" t="inlineStr">
        <is>
          <t xml:space="preserve">Недозвон</t>
        </is>
      </c>
      <c r="D748" s="102" t="inlineStr">
        <is>
          <t xml:space="preserve">Кр-99024483-2</t>
        </is>
      </c>
      <c r="E748" s="102" t="inlineStr">
        <is>
          <t xml:space="preserve">DONAYEV OLIM ERGASHEVICH</t>
        </is>
      </c>
      <c r="F748" s="102" t="inlineStr">
        <is>
          <t xml:space="preserve">998994029792 SMS OZI, 998975368566 SMS AKASI, 998992948821 SMS UYI, 998972441330 SMS AKASI,</t>
        </is>
      </c>
      <c r="G748" s="102" t="inlineStr">
        <is>
          <t xml:space="preserve">SURXONDARYO VILOYATI DENOV TUMANI KORAXON MFY KARVANYOLI KO’CHASI 100-UY  </t>
        </is>
      </c>
      <c r="H748" s="103">
        <v>8.0</v>
      </c>
      <c r="I748" s="103">
        <v>2523466.19</v>
      </c>
    </row>
    <row r="749">
      <c r="A749" s="102" t="inlineStr">
        <is>
          <t xml:space="preserve">СУРХОНДАРЁ ВИЛОЯТИ</t>
        </is>
      </c>
      <c r="C749" s="102" t="inlineStr">
        <is>
          <t xml:space="preserve">Недозвон</t>
        </is>
      </c>
      <c r="D749" s="102" t="inlineStr">
        <is>
          <t xml:space="preserve">Кр-99035964-1</t>
        </is>
      </c>
      <c r="E749" s="102" t="inlineStr">
        <is>
          <t xml:space="preserve">SULOYMONOV ERKIN NOZIMOVICH</t>
        </is>
      </c>
      <c r="F749" s="102" t="inlineStr">
        <is>
          <t xml:space="preserve">998770300464 SMS O’ZI, 998881538883 SMS AYOLI, 998770320564 SMS O’G’LI, 998936034414 SMS OSHNASI,</t>
        </is>
      </c>
      <c r="G749" s="102" t="inlineStr">
        <is>
          <t xml:space="preserve">SURXONDARYO VILOYATI DENOV TUMANI O’RTAQISHLOQ MFY TAVAKULL K’OCHASI 21-UY</t>
        </is>
      </c>
      <c r="H749" s="103">
        <v>1.0</v>
      </c>
      <c r="I749" s="103">
        <v>2520863.96</v>
      </c>
      <c r="K749" s="102" t="inlineStr">
        <is>
          <t xml:space="preserve">Telefon ko'tarmadi | tgdan yozdm | 611</t>
        </is>
      </c>
    </row>
    <row r="750">
      <c r="A750" s="102" t="inlineStr">
        <is>
          <t xml:space="preserve">СУРХОНДАРЁ ВИЛОЯТИ</t>
        </is>
      </c>
      <c r="C750" s="102" t="inlineStr">
        <is>
          <t xml:space="preserve">Недозвон</t>
        </is>
      </c>
      <c r="D750" s="102" t="inlineStr">
        <is>
          <t xml:space="preserve">Кр-99030406-1</t>
        </is>
      </c>
      <c r="E750" s="102" t="inlineStr">
        <is>
          <t xml:space="preserve">MAMATALIYEV JAHONGIR MAMARAJABOVICH</t>
        </is>
      </c>
      <c r="F750" s="102" t="inlineStr">
        <is>
          <t xml:space="preserve">99-065-06-92 SMS O’ZI, 88-015-06-92 SMS UY, 94-464-67-74 SMS OTASI,</t>
        </is>
      </c>
      <c r="G750" s="102" t="inlineStr">
        <is>
          <t xml:space="preserve">SURXONDARYO VILOYATI DENOV TUMANI DUNYOTEPA M.F.Y QAXRAMON 24-UY</t>
        </is>
      </c>
      <c r="H750" s="103">
        <v>8.0</v>
      </c>
      <c r="I750" s="103">
        <v>2463002.86</v>
      </c>
    </row>
    <row r="751">
      <c r="A751" s="102" t="inlineStr">
        <is>
          <t xml:space="preserve">СУРХОНДАРЁ ВИЛОЯТИ</t>
        </is>
      </c>
      <c r="C751" s="102" t="inlineStr">
        <is>
          <t xml:space="preserve">Недозвон</t>
        </is>
      </c>
      <c r="D751" s="102" t="inlineStr">
        <is>
          <t xml:space="preserve">Кр-99030710-1</t>
        </is>
      </c>
      <c r="E751" s="102" t="inlineStr">
        <is>
          <t xml:space="preserve">JUMANAZAROV XUSAN XXX</t>
        </is>
      </c>
      <c r="F751" s="102" t="inlineStr">
        <is>
          <t xml:space="preserve">99-754-22-05 SMS O’ZI, 99-457-96-55  SMS O’ZI, 94-656-19-77  SMS O’GLI, 88-808-34-33 SMS  UY,</t>
        </is>
      </c>
      <c r="G751" s="102" t="inlineStr">
        <is>
          <t xml:space="preserve">SURXONDARYO VILOYATI OLTINSOY  TUMANI OLTINSOY  QFY JIYANBOBO MFY MEYVAZOR   47-UY</t>
        </is>
      </c>
      <c r="H751" s="103">
        <v>1.0</v>
      </c>
      <c r="I751" s="103">
        <v>2458299.2</v>
      </c>
    </row>
    <row r="752">
      <c r="A752" s="102" t="inlineStr">
        <is>
          <t xml:space="preserve">СУРХОНДАРЁ ВИЛОЯТИ</t>
        </is>
      </c>
      <c r="C752" s="102" t="inlineStr">
        <is>
          <t xml:space="preserve">Недозвон</t>
        </is>
      </c>
      <c r="D752" s="102" t="inlineStr">
        <is>
          <t xml:space="preserve">Кр-99030736-2</t>
        </is>
      </c>
      <c r="E752" s="102" t="inlineStr">
        <is>
          <t xml:space="preserve">MAMATMURADOVA SURAYYO XOLMO’MINOVNA</t>
        </is>
      </c>
      <c r="F752" s="102" t="inlineStr">
        <is>
          <t xml:space="preserve">99-258-33-31 SMS O’ZI HARBIY begona , 97-689-76-76  SMS UY, 95-254-38-31  SMS OILASI, 95-238-32-31  SMS,</t>
        </is>
      </c>
      <c r="G752" s="102" t="inlineStr">
        <is>
          <t xml:space="preserve">SURXONDARYO VILOYATI DENOV TUMANI MUQUMIY MFY BOG’ZOR KO’CHASI 2-UY</t>
        </is>
      </c>
      <c r="H752" s="103">
        <v>1.0</v>
      </c>
      <c r="I752" s="103">
        <v>2444382.97</v>
      </c>
    </row>
    <row r="753">
      <c r="A753" s="102" t="inlineStr">
        <is>
          <t xml:space="preserve">СУРХОНДАРЁ ВИЛОЯТИ</t>
        </is>
      </c>
      <c r="C753" s="102" t="inlineStr">
        <is>
          <t xml:space="preserve">Недозвон</t>
        </is>
      </c>
      <c r="D753" s="102" t="inlineStr">
        <is>
          <t xml:space="preserve">Кр-99032339-1</t>
        </is>
      </c>
      <c r="E753" s="102" t="inlineStr">
        <is>
          <t xml:space="preserve">ISKANDAROV GIYOSIDIN MAMAXONOVICH</t>
        </is>
      </c>
      <c r="F753" s="102" t="inlineStr">
        <is>
          <t xml:space="preserve">998939863538 SMS O’G’LI, 998941512655 SMS ZALOGODATEL, 998994528898 SMS O’G’LI 2, 998910771877 SMS O’G’LI 3,</t>
        </is>
      </c>
      <c r="G753" s="102" t="inlineStr">
        <is>
          <t xml:space="preserve">SURXONDARYO VILOYATI SARIOSIYO TUMANI SHAROF OBOD MAHALLASI AMIR TEMUR KO’CHASI 62-UY</t>
        </is>
      </c>
      <c r="H753" s="103">
        <v>8.0</v>
      </c>
      <c r="I753" s="103">
        <v>2444143.49</v>
      </c>
    </row>
    <row r="754">
      <c r="A754" s="102" t="inlineStr">
        <is>
          <t xml:space="preserve">СУРХОНДАРЁ ВИЛОЯТИ</t>
        </is>
      </c>
      <c r="C754" s="102" t="inlineStr">
        <is>
          <t xml:space="preserve">Недозвон</t>
        </is>
      </c>
      <c r="D754" s="102" t="inlineStr">
        <is>
          <t xml:space="preserve">Кр-99033472-1</t>
        </is>
      </c>
      <c r="E754" s="102" t="inlineStr">
        <is>
          <t xml:space="preserve">G’AFUROVA NASIBA XOLTURAYEVNA</t>
        </is>
      </c>
      <c r="F754" s="102" t="inlineStr">
        <is>
          <t xml:space="preserve">998996774455 SMS O’ZI, 998953338683 SMS AYOLI, 998910060804 SMS O’G’LI,</t>
        </is>
      </c>
      <c r="G754" s="102" t="inlineStr">
        <is>
          <t xml:space="preserve">SURXONDARYO VILOYATI DENOV TUMANI QIZILJAR QFY NAMUNA MFY OSIYO  KO’CHASI 114-UY </t>
        </is>
      </c>
      <c r="H754" s="103">
        <v>5.0</v>
      </c>
      <c r="I754" s="103">
        <v>2435903.17</v>
      </c>
      <c r="K754" s="102" t="inlineStr">
        <is>
          <t xml:space="preserve">Telefon ko'tarmadi | xamma nomer ocu xodm jonatamiz | 449</t>
        </is>
      </c>
    </row>
    <row r="755">
      <c r="A755" s="102" t="inlineStr">
        <is>
          <t xml:space="preserve">СУРХОНДАРЁ ВИЛОЯТИ</t>
        </is>
      </c>
      <c r="C755" s="102" t="inlineStr">
        <is>
          <t xml:space="preserve">Недозвон</t>
        </is>
      </c>
      <c r="D755" s="102" t="inlineStr">
        <is>
          <t xml:space="preserve">Кр-99028191-2</t>
        </is>
      </c>
      <c r="E755" s="102" t="inlineStr">
        <is>
          <t xml:space="preserve">MUSAYEVA OLIYA TODJIDINOVNA</t>
        </is>
      </c>
      <c r="F755" s="102" t="inlineStr">
        <is>
          <t xml:space="preserve">88-506-09-68 SMS OZI , 99-065-48-66 SMS UY , 33-051-00-20  SMS OGLI , 91-731-46-46 SMS OGLI ,</t>
        </is>
      </c>
      <c r="G755" s="102" t="inlineStr">
        <is>
          <t xml:space="preserve">SURXONDARYO VILOYATI DENOV TUMANI QORAXON QFY NAMUNA MFY TARAKUAT K’OCHASI 49-UY </t>
        </is>
      </c>
      <c r="H755" s="103">
        <v>26.0</v>
      </c>
      <c r="I755" s="103">
        <v>2428717.17</v>
      </c>
    </row>
    <row r="756">
      <c r="A756" s="102" t="inlineStr">
        <is>
          <t xml:space="preserve">СУРХОНДАРЁ ВИЛОЯТИ</t>
        </is>
      </c>
      <c r="C756" s="102" t="inlineStr">
        <is>
          <t xml:space="preserve">Недозвон</t>
        </is>
      </c>
      <c r="D756" s="102" t="inlineStr">
        <is>
          <t xml:space="preserve">Кр-99016242-5</t>
        </is>
      </c>
      <c r="E756" s="102" t="inlineStr">
        <is>
          <t xml:space="preserve">XUDAYBERDIYEV AKMAL RUSTAMOVICH</t>
        </is>
      </c>
      <c r="F756" s="102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756" s="102" t="inlineStr">
        <is>
          <t xml:space="preserve">GUZALLIK MFY FARAVONM KO’CHASI 6-UY</t>
        </is>
      </c>
      <c r="H756" s="103">
        <v>1.0</v>
      </c>
      <c r="I756" s="103">
        <v>2424817.22</v>
      </c>
    </row>
    <row r="757">
      <c r="A757" s="102" t="inlineStr">
        <is>
          <t xml:space="preserve">СУРХОНДАРЁ ВИЛОЯТИ</t>
        </is>
      </c>
      <c r="C757" s="102" t="inlineStr">
        <is>
          <t xml:space="preserve">Недозвон</t>
        </is>
      </c>
      <c r="D757" s="102" t="inlineStr">
        <is>
          <t xml:space="preserve">Кр-99061885-1</t>
        </is>
      </c>
      <c r="E757" s="102" t="inlineStr">
        <is>
          <t xml:space="preserve">RAXIMOV ERNAZAR XUDOYBERDI O’G’LI</t>
        </is>
      </c>
      <c r="F757" s="102" t="inlineStr">
        <is>
          <t xml:space="preserve">+998952656464 SMS O’ZI, 998978069008 SMS AKASI, 998990749898 SMS AKASI,</t>
        </is>
      </c>
      <c r="G757" s="102" t="inlineStr">
        <is>
          <t xml:space="preserve">БАНДИХОН ТУМАНИ ҚИЗИРИҚ ҚФЙ, ПАХТАКОР МФЙ,  uy:139</t>
        </is>
      </c>
      <c r="H757" s="103">
        <v>8.0</v>
      </c>
      <c r="I757" s="103">
        <v>2404916.46</v>
      </c>
      <c r="K757" s="102" t="inlineStr">
        <is>
          <t xml:space="preserve">Telefon ko'tarmadi | xozrca kotarmad oziga sms yozdm | 1558</t>
        </is>
      </c>
    </row>
    <row r="758">
      <c r="A758" s="102" t="inlineStr">
        <is>
          <t xml:space="preserve">СУРХОНДАРЁ ВИЛОЯТИ</t>
        </is>
      </c>
      <c r="C758" s="102" t="inlineStr">
        <is>
          <t xml:space="preserve">Недозвон</t>
        </is>
      </c>
      <c r="D758" s="102" t="inlineStr">
        <is>
          <t xml:space="preserve">Кр-99032902-1</t>
        </is>
      </c>
      <c r="E758" s="102" t="inlineStr">
        <is>
          <t xml:space="preserve">ESANOV YODGOR QARSHIYEVICH</t>
        </is>
      </c>
      <c r="F758" s="102" t="inlineStr">
        <is>
          <t xml:space="preserve">998991672595 SMS O’ZI TAKSIST , 998978488808 SMS AKASI, 998932439888 SMS UY, 998997117776 SMS, 998947283030 SMS AKASI,</t>
        </is>
      </c>
      <c r="G758" s="102" t="inlineStr">
        <is>
          <t xml:space="preserve">SURXONDARYO VILOYATI DENOV  OBODON MFY TURON 334-UY</t>
        </is>
      </c>
      <c r="H758" s="103">
        <v>8.0</v>
      </c>
      <c r="I758" s="103">
        <v>2350653.28</v>
      </c>
    </row>
    <row r="759">
      <c r="A759" s="102" t="inlineStr">
        <is>
          <t xml:space="preserve">СУРХОНДАРЁ ВИЛОЯТИ</t>
        </is>
      </c>
      <c r="C759" s="102" t="inlineStr">
        <is>
          <t xml:space="preserve">Недозвон</t>
        </is>
      </c>
      <c r="D759" s="102" t="inlineStr">
        <is>
          <t xml:space="preserve">Кр-99039904-1</t>
        </is>
      </c>
      <c r="E759" s="102" t="inlineStr">
        <is>
          <t xml:space="preserve">ESHQURBONOV SHERALI RIZAQULOVICH</t>
        </is>
      </c>
      <c r="F759" s="102" t="inlineStr">
        <is>
          <t xml:space="preserve">998955952286 SMS UZI, 998955752286 SMS AYOLI, 998954440849 SMS O'G'LI,</t>
        </is>
      </c>
      <c r="G759" s="102" t="inlineStr">
        <is>
          <t xml:space="preserve">SURXONDARYO VILOYAT BANDIXON TUMAN OBIKOR MFY YANGI ZAMON KO’CHASI 119-UY</t>
        </is>
      </c>
      <c r="H759" s="103">
        <v>8.0</v>
      </c>
      <c r="I759" s="103">
        <v>2342701.85</v>
      </c>
    </row>
    <row r="760">
      <c r="A760" s="102" t="inlineStr">
        <is>
          <t xml:space="preserve">СУРХОНДАРЁ ВИЛОЯТИ</t>
        </is>
      </c>
      <c r="C760" s="102" t="inlineStr">
        <is>
          <t xml:space="preserve">Недозвон</t>
        </is>
      </c>
      <c r="D760" s="102" t="inlineStr">
        <is>
          <t xml:space="preserve">Кр-99029526-1</t>
        </is>
      </c>
      <c r="E760" s="102" t="inlineStr">
        <is>
          <t xml:space="preserve">QAYUMOV XASAN XAYRULLAYEVICH</t>
        </is>
      </c>
      <c r="F760" s="102" t="inlineStr">
        <is>
          <t xml:space="preserve">97-693-95-55 SMS , 90-266-26-26  SMS AKASI, 90-266-32-66  SMS ONASI, 77-023-72-32  SMS UY, 998996726826 SMS TOLOVCHI ,</t>
        </is>
      </c>
      <c r="G760" s="102" t="inlineStr">
        <is>
          <t xml:space="preserve">SURXONDARYO VILOYATI DENOV TUMANI  BOBIR MFY  BOBUR 25-UY</t>
        </is>
      </c>
      <c r="H760" s="103">
        <v>1.0</v>
      </c>
      <c r="I760" s="103">
        <v>2325641.03</v>
      </c>
    </row>
    <row r="761">
      <c r="A761" s="102" t="inlineStr">
        <is>
          <t xml:space="preserve">СУРХОНДАРЁ ВИЛОЯТИ</t>
        </is>
      </c>
      <c r="C761" s="102" t="inlineStr">
        <is>
          <t xml:space="preserve">Недозвон</t>
        </is>
      </c>
      <c r="D761" s="102" t="inlineStr">
        <is>
          <t xml:space="preserve">Кр-99041178-2</t>
        </is>
      </c>
      <c r="E761" s="102" t="inlineStr">
        <is>
          <t xml:space="preserve">XUDAYNAZAROV FAXRIDDIN XOLBOY O’G’LI</t>
        </is>
      </c>
      <c r="F761" s="102" t="inlineStr">
        <is>
          <t xml:space="preserve">+998931204895 SMS O’ZI, 998948421212 SMS ONASI, 998992602399 SMS UY,</t>
        </is>
      </c>
      <c r="G761" s="102" t="inlineStr">
        <is>
          <t xml:space="preserve">ОКЖАР КФЙ, БОГАРО МФЙ, ОКЖАР КФЙ, БОГАРО МФЙ, БОГАРО,  uy:00</t>
        </is>
      </c>
      <c r="H761" s="103">
        <v>8.0</v>
      </c>
      <c r="I761" s="103">
        <v>2303631.62</v>
      </c>
      <c r="K761" s="102" t="inlineStr">
        <is>
          <t xml:space="preserve">Telefon ko'tarmadi | sms yozvordm | 1065</t>
        </is>
      </c>
    </row>
    <row r="762">
      <c r="A762" s="102" t="inlineStr">
        <is>
          <t xml:space="preserve">СУРХОНДАРЁ ВИЛОЯТИ</t>
        </is>
      </c>
      <c r="C762" s="102" t="inlineStr">
        <is>
          <t xml:space="preserve">Недозвон</t>
        </is>
      </c>
      <c r="D762" s="102" t="inlineStr">
        <is>
          <t xml:space="preserve">Кр-99028203-2</t>
        </is>
      </c>
      <c r="E762" s="102" t="inlineStr">
        <is>
          <t xml:space="preserve">TOSHMURODOV SHAXBOZ URALBOY O’G’LI</t>
        </is>
      </c>
      <c r="F762" s="102" t="inlineStr">
        <is>
          <t xml:space="preserve">88-810-99-97 SMS O'ZI, 91-234-75-34  SMS UKASI, 91-968-85-77  SMS DADASI, 90-748-85-77  SMS UY,</t>
        </is>
      </c>
      <c r="G762" s="102" t="inlineStr">
        <is>
          <t xml:space="preserve">SURXONDARYO VILOYATI SARIOSIYO TUMANI BILLUR MFY BILUR  K’OCHASI 82-UY </t>
        </is>
      </c>
      <c r="H762" s="103">
        <v>11.0</v>
      </c>
      <c r="I762" s="103">
        <v>2293438.49</v>
      </c>
    </row>
    <row r="763">
      <c r="A763" s="102" t="inlineStr">
        <is>
          <t xml:space="preserve">СУРХОНДАРЁ ВИЛОЯТИ</t>
        </is>
      </c>
      <c r="C763" s="102" t="inlineStr">
        <is>
          <t xml:space="preserve">Недозвон</t>
        </is>
      </c>
      <c r="D763" s="102" t="inlineStr">
        <is>
          <t xml:space="preserve">Кр-99023037-2</t>
        </is>
      </c>
      <c r="E763" s="102" t="inlineStr">
        <is>
          <t xml:space="preserve">ABDIRAIMOVA DILNOZA RAXMAT QIZI</t>
        </is>
      </c>
      <c r="F763" s="102" t="inlineStr">
        <is>
          <t xml:space="preserve"> 99-584-96-32 sms, 99-369-25-14 sms , 998919030755 SMS UJKASI, 998910773875 SMS AKASI, 998919052503 uzi new,</t>
        </is>
      </c>
      <c r="G763" s="102" t="inlineStr">
        <is>
          <t xml:space="preserve">SURXONDARYO VILOYATI SHO’RCHI TUMANI KATTA SOVUR MFY KO’KLAM K’OCHASI 14-UY</t>
        </is>
      </c>
      <c r="H763" s="103">
        <v>5.0</v>
      </c>
      <c r="I763" s="103">
        <v>2249194.68</v>
      </c>
    </row>
    <row r="764">
      <c r="A764" s="102" t="inlineStr">
        <is>
          <t xml:space="preserve">СУРХОНДАРЁ ВИЛОЯТИ</t>
        </is>
      </c>
      <c r="C764" s="102" t="inlineStr">
        <is>
          <t xml:space="preserve">Объезд</t>
        </is>
      </c>
      <c r="D764" s="102" t="inlineStr">
        <is>
          <t xml:space="preserve">Кр-99035996-1</t>
        </is>
      </c>
      <c r="E764" s="102" t="inlineStr">
        <is>
          <t xml:space="preserve">ALMARDONOV BOBOMUROD BOBORAXMATOVICH</t>
        </is>
      </c>
      <c r="F764" s="102" t="inlineStr">
        <is>
          <t xml:space="preserve">998995444686 SMS OZI, 998883176868 SMS SHERIGI, 998978967555 SMS UY, 998975502586 SMS,</t>
        </is>
      </c>
      <c r="G764" s="102" t="inlineStr">
        <is>
          <t xml:space="preserve">SURXONDARYO VILOYATI DENOV TUMANI FAYZLI MFY BUYUK IPAKYULI KO'CHASI 1-UY</t>
        </is>
      </c>
      <c r="H764" s="103">
        <v>1.0</v>
      </c>
      <c r="I764" s="103">
        <v>2248695.19</v>
      </c>
      <c r="K764" s="102" t="inlineStr">
        <is>
          <t xml:space="preserve">Uyiga borildi - va'da berdi | filialga ertaga tolo qlad | 613</t>
        </is>
      </c>
    </row>
    <row r="765">
      <c r="A765" s="102" t="inlineStr">
        <is>
          <t xml:space="preserve">СУРХОНДАРЁ ВИЛОЯТИ</t>
        </is>
      </c>
      <c r="C765" s="102" t="inlineStr">
        <is>
          <t xml:space="preserve">Недозвон</t>
        </is>
      </c>
      <c r="D765" s="102" t="inlineStr">
        <is>
          <t xml:space="preserve">Кр-99039591-1</t>
        </is>
      </c>
      <c r="E765" s="102" t="inlineStr">
        <is>
          <t xml:space="preserve">YO’LDOSHEV BAHODIR HAZRATQULOVICH</t>
        </is>
      </c>
      <c r="F765" s="102" t="inlineStr">
        <is>
          <t xml:space="preserve">998975339787 SMS OZI, 998971231999 SMS UY, 998884207571 SMS ONASI,</t>
        </is>
      </c>
      <c r="G765" s="102" t="inlineStr">
        <is>
          <t xml:space="preserve">SURXONDARYO VILOYATI DENOV TUMANI MUQUMIY MFY TARAQQIYOT 6-UY</t>
        </is>
      </c>
      <c r="H765" s="103">
        <v>1.0</v>
      </c>
      <c r="I765" s="103">
        <v>2242888.97</v>
      </c>
    </row>
    <row r="766">
      <c r="A766" s="102" t="inlineStr">
        <is>
          <t xml:space="preserve">СУРХОНДАРЁ ВИЛОЯТИ</t>
        </is>
      </c>
      <c r="C766" s="102" t="inlineStr">
        <is>
          <t xml:space="preserve">Недозвон</t>
        </is>
      </c>
      <c r="D766" s="102" t="inlineStr">
        <is>
          <t xml:space="preserve">Кр-99021830-2</t>
        </is>
      </c>
      <c r="E766" s="102" t="inlineStr">
        <is>
          <t xml:space="preserve">YULDOSHEVA MAKSUDA DJURABAYEVNA</t>
        </is>
      </c>
      <c r="F766" s="102" t="inlineStr">
        <is>
          <t xml:space="preserve">998978408289 SMS , 998981760183 SMS UY , 998888480485 SMS,</t>
        </is>
      </c>
      <c r="G766" s="102" t="inlineStr">
        <is>
          <t xml:space="preserve">SURXONDARYO VILOYATI UZUN TUMANI FAYZOVA QFY  DOZARA MFY ALPOMISH KOCHASI 50-UY</t>
        </is>
      </c>
      <c r="H766" s="103">
        <v>1.0</v>
      </c>
      <c r="I766" s="103">
        <v>2084183.22</v>
      </c>
    </row>
    <row r="767">
      <c r="A767" s="102" t="inlineStr">
        <is>
          <t xml:space="preserve">СУРХОНДАРЁ ВИЛОЯТИ</t>
        </is>
      </c>
      <c r="C767" s="102" t="inlineStr">
        <is>
          <t xml:space="preserve">Недозвон</t>
        </is>
      </c>
      <c r="D767" s="102" t="inlineStr">
        <is>
          <t xml:space="preserve">Кр-99037272-1</t>
        </is>
      </c>
      <c r="E767" s="102" t="inlineStr">
        <is>
          <t xml:space="preserve">YULDOSHEV ULUG’BEK XUDOYBERDI O’G’LI</t>
        </is>
      </c>
      <c r="F767" s="102" t="inlineStr">
        <is>
          <t xml:space="preserve">998885502426 SMS OZI, 998919781202 SMS AKASI , 998919020667 SMS ONASI , 998975348496 SMS OSHNASI ,</t>
        </is>
      </c>
      <c r="G767" s="102" t="inlineStr">
        <is>
          <t xml:space="preserve">SURXONDARYO VILOYATI DENOV TUMANI OZOD MFY OZOD KO’CHASI  6/12-UY  </t>
        </is>
      </c>
      <c r="H767" s="103">
        <v>5.0</v>
      </c>
      <c r="I767" s="103">
        <v>2070990.47</v>
      </c>
      <c r="K767" s="102" t="inlineStr">
        <is>
          <t xml:space="preserve">Telefon ko'tarmadi | iskandar mowinni ogan | 695</t>
        </is>
      </c>
    </row>
    <row r="768">
      <c r="A768" s="102" t="inlineStr">
        <is>
          <t xml:space="preserve">СУРХОНДАРЁ ВИЛОЯТИ</t>
        </is>
      </c>
      <c r="C768" s="102" t="inlineStr">
        <is>
          <t xml:space="preserve">Недозвон</t>
        </is>
      </c>
      <c r="D768" s="102" t="inlineStr">
        <is>
          <t xml:space="preserve">Кр-99036029-1</t>
        </is>
      </c>
      <c r="E768" s="102" t="inlineStr">
        <is>
          <t xml:space="preserve">MAMAJONOV ADXAMJON ABDULLAJONOVICH</t>
        </is>
      </c>
      <c r="F768" s="102" t="inlineStr">
        <is>
          <t xml:space="preserve">998946065020 SMS OZI, 998946069030 SMS O`ZI, 998911239130 SMS AYOLI, 998901139030 SMS O`ZI 2,</t>
        </is>
      </c>
      <c r="G768" s="102" t="inlineStr">
        <is>
          <t xml:space="preserve">OLTINTEPA MAHALLASI 24</t>
        </is>
      </c>
      <c r="H768" s="103">
        <v>1.0</v>
      </c>
      <c r="I768" s="103">
        <v>2070472.21</v>
      </c>
      <c r="K768" s="102" t="inlineStr">
        <is>
          <t xml:space="preserve">Telefon ko'tarmadi | xaliro qlama | 618</t>
        </is>
      </c>
    </row>
    <row r="769">
      <c r="A769" s="102" t="inlineStr">
        <is>
          <t xml:space="preserve">СУРХОНДАРЁ ВИЛОЯТИ</t>
        </is>
      </c>
      <c r="C769" s="102" t="inlineStr">
        <is>
          <t xml:space="preserve">Недозвон</t>
        </is>
      </c>
      <c r="D769" s="102" t="inlineStr">
        <is>
          <t xml:space="preserve">Кр-99008104-2</t>
        </is>
      </c>
      <c r="E769" s="102" t="inlineStr">
        <is>
          <t xml:space="preserve">MURODOV JURABEK RO’ZIMUROTOVICH</t>
        </is>
      </c>
      <c r="F769" s="102" t="inlineStr">
        <is>
          <t xml:space="preserve">97-841-06-81 SMS OZI, 93-633-06-81 SMS O’ZI 2, 88-843-06-81 SMS UY, 88-844-06-81 SMS OZI 3 BEGONA,</t>
        </is>
      </c>
      <c r="G769" s="102" t="inlineStr">
        <is>
          <t xml:space="preserve">SURXONDARYO VILOYATI DENOV TUMANI OZOD MFY NURLIHAYOT 32-UY</t>
        </is>
      </c>
      <c r="H769" s="103">
        <v>5.0</v>
      </c>
      <c r="I769" s="103">
        <v>2061346.66</v>
      </c>
    </row>
    <row r="770">
      <c r="A770" s="102" t="inlineStr">
        <is>
          <t xml:space="preserve">СУРХОНДАРЁ ВИЛОЯТИ</t>
        </is>
      </c>
      <c r="C770" s="102" t="inlineStr">
        <is>
          <t xml:space="preserve">Недозвон</t>
        </is>
      </c>
      <c r="D770" s="102" t="inlineStr">
        <is>
          <t xml:space="preserve">Кр-99041502-3</t>
        </is>
      </c>
      <c r="E770" s="102" t="inlineStr">
        <is>
          <t xml:space="preserve">SALIMOVA PARVINA SO’XROBOVNA</t>
        </is>
      </c>
      <c r="F770" s="102" t="inlineStr">
        <is>
          <t xml:space="preserve">998888038774 SMS DADASI, 998888039774 SMS O’ZI, 998990948901 SMS O’ZI,</t>
        </is>
      </c>
      <c r="G770" s="102" t="inlineStr">
        <is>
          <t xml:space="preserve">СУРХОНДАРЁ ВИЛОЯТИ САРИОСЁ ТУМАНИ СЕБЗОР МФЙ, ЧИНОР КЎЧАСИ,  58-uy:Р/С</t>
        </is>
      </c>
      <c r="H770" s="103">
        <v>8.0</v>
      </c>
      <c r="I770" s="103">
        <v>2006942.49</v>
      </c>
      <c r="K770" s="102" t="inlineStr">
        <is>
          <t xml:space="preserve">Telefon ko'tarmadi | sms yozvordm | 1107</t>
        </is>
      </c>
    </row>
    <row r="771">
      <c r="A771" s="102" t="inlineStr">
        <is>
          <t xml:space="preserve">СУРХОНДАРЁ ВИЛОЯТИ</t>
        </is>
      </c>
      <c r="C771" s="102" t="inlineStr">
        <is>
          <t xml:space="preserve">Недозвон</t>
        </is>
      </c>
      <c r="D771" s="102" t="inlineStr">
        <is>
          <t xml:space="preserve">Кр-99025697-2</t>
        </is>
      </c>
      <c r="E771" s="102" t="inlineStr">
        <is>
          <t xml:space="preserve">KIPCHAKOV RUSTAM SULTANOVICH</t>
        </is>
      </c>
      <c r="F771" s="102" t="inlineStr">
        <is>
          <t xml:space="preserve">91-134-38-00 SMS, 90-246-76-15 SMS UY, 95-103-38-00 SMS OILASI, 91-967-50-50 SMS O’G’LI,</t>
        </is>
      </c>
      <c r="G771" s="102" t="inlineStr">
        <is>
          <t xml:space="preserve">SURXONDARYO VILOYATI DENOV SHAXAR ISTIQLOL MFY XUSAYN BOYQORO KOCHASI 5-UY</t>
        </is>
      </c>
      <c r="H771" s="103">
        <v>8.0</v>
      </c>
      <c r="I771" s="103">
        <v>1965180.32</v>
      </c>
    </row>
    <row r="772">
      <c r="A772" s="102" t="inlineStr">
        <is>
          <t xml:space="preserve">СУРХОНДАРЁ ВИЛОЯТИ</t>
        </is>
      </c>
      <c r="C772" s="102" t="inlineStr">
        <is>
          <t xml:space="preserve">Недозвон</t>
        </is>
      </c>
      <c r="D772" s="102" t="inlineStr">
        <is>
          <t xml:space="preserve">Кр-99038061-1</t>
        </is>
      </c>
      <c r="E772" s="102" t="inlineStr">
        <is>
          <t xml:space="preserve">NAZRULLAYEV SHUHRAT ABDULLAYEVICH</t>
        </is>
      </c>
      <c r="F772" s="102" t="inlineStr">
        <is>
          <t xml:space="preserve">998505894240 SMS OZI, 998955401190 SMS UYI, 998934306997 SMS UYI, 998952680122 SMS AYOLI,</t>
        </is>
      </c>
      <c r="G772" s="102" t="inlineStr">
        <is>
          <t xml:space="preserve">SURXONDARYO VILOYATI DENOV TUMANI SOXIBKOR MFY OYBARAK 98 UY</t>
        </is>
      </c>
      <c r="H772" s="103">
        <v>4.0</v>
      </c>
      <c r="I772" s="103">
        <v>1964669.04</v>
      </c>
    </row>
    <row r="773">
      <c r="A773" s="102" t="inlineStr">
        <is>
          <t xml:space="preserve">СУРХОНДАРЁ ВИЛОЯТИ</t>
        </is>
      </c>
      <c r="C773" s="102" t="inlineStr">
        <is>
          <t xml:space="preserve">Недозвон</t>
        </is>
      </c>
      <c r="D773" s="102" t="inlineStr">
        <is>
          <t xml:space="preserve">Кр-99029311-1</t>
        </is>
      </c>
      <c r="E773" s="102" t="inlineStr">
        <is>
          <t xml:space="preserve">RAJABOVA DILAFRUZ ABDUMALIKOVNA</t>
        </is>
      </c>
      <c r="F773" s="102" t="inlineStr">
        <is>
          <t xml:space="preserve">33-377-52-60 SMS, 33-411-04-47  SMS UY, 97-536-30-01  SMS OILASI, 33-719-00-81 SMS ,</t>
        </is>
      </c>
      <c r="G773" s="102" t="inlineStr">
        <is>
          <t xml:space="preserve">SURXONDARYO VILOYATI DENOV TUMANI VODIY MFY FARG’ONA 71-UY</t>
        </is>
      </c>
      <c r="H773" s="103">
        <v>6.0</v>
      </c>
      <c r="I773" s="103">
        <v>1953350.12</v>
      </c>
    </row>
    <row r="774">
      <c r="A774" s="102" t="inlineStr">
        <is>
          <t xml:space="preserve">СУРХОНДАРЁ ВИЛОЯТИ</t>
        </is>
      </c>
      <c r="C774" s="102" t="inlineStr">
        <is>
          <t xml:space="preserve">Недозвон</t>
        </is>
      </c>
      <c r="D774" s="102" t="inlineStr">
        <is>
          <t xml:space="preserve">Кр-99029504-1</t>
        </is>
      </c>
      <c r="E774" s="102" t="inlineStr">
        <is>
          <t xml:space="preserve">TURAYEVA MUQADDAS ZIYODULLAYEVNA</t>
        </is>
      </c>
      <c r="F774" s="102" t="inlineStr">
        <is>
          <t xml:space="preserve">99-258-00-94 SMS ERI TAKSIST , 95-212-28-18 SMS OZI, 91-510-17-38 SMS UY, 88-634-00-94  SMS AKASI, 998702180854 SMS ERI TOLOVCHISI,</t>
        </is>
      </c>
      <c r="G774" s="102" t="inlineStr">
        <is>
          <t xml:space="preserve">SURXONDARYO VILOYATI DENOV SHAXAR  BO’G’ISHOMOL MFY BAXTUYI  KO’CHASI 2-UY</t>
        </is>
      </c>
      <c r="H774" s="103">
        <v>1.0</v>
      </c>
      <c r="I774" s="103">
        <v>1938075.59</v>
      </c>
    </row>
    <row r="775">
      <c r="A775" s="102" t="inlineStr">
        <is>
          <t xml:space="preserve">СУРХОНДАРЁ ВИЛОЯТИ</t>
        </is>
      </c>
      <c r="C775" s="102" t="inlineStr">
        <is>
          <t xml:space="preserve">Недозвон</t>
        </is>
      </c>
      <c r="D775" s="102" t="inlineStr">
        <is>
          <t xml:space="preserve">Кр-99032451-1</t>
        </is>
      </c>
      <c r="E775" s="102" t="inlineStr">
        <is>
          <t xml:space="preserve">MAMAJONOVA MAXFUZA SAMIJONOVNA</t>
        </is>
      </c>
      <c r="F775" s="102" t="inlineStr">
        <is>
          <t xml:space="preserve">998942099378 SMS UKASI, 998337682003 SMS O’G’LI, 998992711325 SMS OILASI begona, 998938808307 SMS O’ZI,</t>
        </is>
      </c>
      <c r="G775" s="102" t="inlineStr">
        <is>
          <t xml:space="preserve">SURXONDARYO VILOYATI DENOV TUMANI BUYUK KELAJAK  MFY TURSUNZODA  KO’CHASI 11-UY</t>
        </is>
      </c>
      <c r="H775" s="103">
        <v>7.0</v>
      </c>
      <c r="I775" s="103">
        <v>1913629.8</v>
      </c>
    </row>
    <row r="776">
      <c r="A776" s="102" t="inlineStr">
        <is>
          <t xml:space="preserve">СУРХОНДАРЁ ВИЛОЯТИ</t>
        </is>
      </c>
      <c r="C776" s="102" t="inlineStr">
        <is>
          <t xml:space="preserve">Недозвон</t>
        </is>
      </c>
      <c r="D776" s="102" t="inlineStr">
        <is>
          <t xml:space="preserve">Кр-99033369-1</t>
        </is>
      </c>
      <c r="E776" s="102" t="inlineStr">
        <is>
          <t xml:space="preserve">SHAMANOV XASAN RAVSHAN O’G’LI</t>
        </is>
      </c>
      <c r="F776" s="102" t="inlineStr">
        <is>
          <t xml:space="preserve">998772651883 SMS O’ZI QIBRAYDA KAROBKA SEXDA ISHLIDI , 998930634268 SMS AYOLI, 998507727494 SMS AYOLI2, 998978070064 SMS otasi,</t>
        </is>
      </c>
      <c r="G776" s="102" t="inlineStr">
        <is>
          <t xml:space="preserve">SURXONDARYO VILOYATI TERMIZ SHAHRI ALPOMISH MFY 5-KICHIK DAHA KO’CHASI 12-DOM 20-KVARTIRA</t>
        </is>
      </c>
      <c r="H776" s="103">
        <v>8.0</v>
      </c>
      <c r="I776" s="103">
        <v>1913183.38</v>
      </c>
    </row>
    <row r="777">
      <c r="A777" s="102" t="inlineStr">
        <is>
          <t xml:space="preserve">СУРХОНДАРЁ ВИЛОЯТИ</t>
        </is>
      </c>
      <c r="C777" s="102" t="inlineStr">
        <is>
          <t xml:space="preserve">Недозвон</t>
        </is>
      </c>
      <c r="D777" s="102" t="inlineStr">
        <is>
          <t xml:space="preserve">Кр-99033688-1</t>
        </is>
      </c>
      <c r="E777" s="102" t="inlineStr">
        <is>
          <t xml:space="preserve">XODJAMURATOV JUMMA UROLOVICH</t>
        </is>
      </c>
      <c r="F777" s="102" t="inlineStr">
        <is>
          <t xml:space="preserve">998884880838 SMS OZI, 998978447482 SMS AYOLI, 998880003645 SMS OGLI, 998975521507 SMS AKASI, 998886380838 SMS OZI TOLOVCHI ,</t>
        </is>
      </c>
      <c r="G777" s="102" t="inlineStr">
        <is>
          <t xml:space="preserve">SURXONDARYO VILOYATI DENOV TUMANI ZIOKOR  MAHALLASI BARAQAT KO’CHASI 15-UY</t>
        </is>
      </c>
      <c r="H777" s="103">
        <v>29.0</v>
      </c>
      <c r="I777" s="103">
        <v>1907585.1</v>
      </c>
    </row>
    <row r="778">
      <c r="A778" s="102" t="inlineStr">
        <is>
          <t xml:space="preserve">СУРХОНДАРЁ ВИЛОЯТИ</t>
        </is>
      </c>
      <c r="C778" s="102" t="inlineStr">
        <is>
          <t xml:space="preserve">Недозвон</t>
        </is>
      </c>
      <c r="D778" s="102" t="inlineStr">
        <is>
          <t xml:space="preserve">Кр-99016711-3</t>
        </is>
      </c>
      <c r="E778" s="102" t="inlineStr">
        <is>
          <t xml:space="preserve">TAG’AYEV ASADTILLO TOSHTEMIROVICH</t>
        </is>
      </c>
      <c r="F778" s="102" t="inlineStr">
        <is>
          <t xml:space="preserve">99-026-78-78 sms, 99-762-20-12 sms uy, 99-242-20-15 sms BEGONA,</t>
        </is>
      </c>
      <c r="G778" s="102" t="inlineStr">
        <is>
          <t xml:space="preserve">ТОРТУВЛИ ҚФЙ, НАВБАХОР МФЙ,  uy:Б/Н</t>
        </is>
      </c>
      <c r="H778" s="103">
        <v>8.0</v>
      </c>
      <c r="I778" s="103">
        <v>1899366.93</v>
      </c>
    </row>
    <row r="779">
      <c r="A779" s="102" t="inlineStr">
        <is>
          <t xml:space="preserve">СУРХОНДАРЁ ВИЛОЯТИ</t>
        </is>
      </c>
      <c r="C779" s="102" t="inlineStr">
        <is>
          <t xml:space="preserve">Недозвон</t>
        </is>
      </c>
      <c r="D779" s="102" t="inlineStr">
        <is>
          <t xml:space="preserve">Кр-99038010-1</t>
        </is>
      </c>
      <c r="E779" s="102" t="inlineStr">
        <is>
          <t xml:space="preserve">ABDURAXIMOVA MUNAVVAR XO’SHBOQ QIZI</t>
        </is>
      </c>
      <c r="F779" s="102" t="inlineStr">
        <is>
          <t xml:space="preserve">998942004892 SMS OZI, 998958987789 SMS UYI , 998958110962 SMS SINGLISi, 998945300101 SMS UYI 2 ,</t>
        </is>
      </c>
      <c r="G779" s="102" t="inlineStr">
        <is>
          <t xml:space="preserve">SURXONDARYO VILOYATI DENOV TUMANI ELOBOD MFY NURLISAODAT 19-UY</t>
        </is>
      </c>
      <c r="H779" s="103">
        <v>7.0</v>
      </c>
      <c r="I779" s="103">
        <v>1876581.38</v>
      </c>
    </row>
    <row r="780">
      <c r="A780" s="102" t="inlineStr">
        <is>
          <t xml:space="preserve">СУРХОНДАРЁ ВИЛОЯТИ</t>
        </is>
      </c>
      <c r="C780" s="102" t="inlineStr">
        <is>
          <t xml:space="preserve">Недозвон</t>
        </is>
      </c>
      <c r="D780" s="102" t="inlineStr">
        <is>
          <t xml:space="preserve">Кр-99022239-3</t>
        </is>
      </c>
      <c r="E780" s="102" t="inlineStr">
        <is>
          <t xml:space="preserve">MAXMUDOV AZAMAT ABDUXALIMOVICH</t>
        </is>
      </c>
      <c r="F780" s="102" t="inlineStr">
        <is>
          <t xml:space="preserve">99-428-85-81 SMS, 93-838-85-01  SMS UY, 91-581-86-56  SMS ZALOGADATEL, 998947851179 shu raqamdan tel qildi azamat ,</t>
        </is>
      </c>
      <c r="G780" s="102" t="inlineStr">
        <is>
          <t xml:space="preserve">SURXONDARYO VILOYATI SARIOSIYO TUMANI SUFIYON QFY NIHOLZOR MFY TINCHLIK K’OCHASI 46-UY</t>
        </is>
      </c>
      <c r="H780" s="103">
        <v>8.0</v>
      </c>
      <c r="I780" s="103">
        <v>1865145.37</v>
      </c>
    </row>
    <row r="781">
      <c r="A781" s="102" t="inlineStr">
        <is>
          <t xml:space="preserve">СУРХОНДАРЁ ВИЛОЯТИ</t>
        </is>
      </c>
      <c r="C781" s="102" t="inlineStr">
        <is>
          <t xml:space="preserve">Недозвон</t>
        </is>
      </c>
      <c r="D781" s="102" t="inlineStr">
        <is>
          <t xml:space="preserve">Кр-99027695-1</t>
        </is>
      </c>
      <c r="E781" s="102" t="inlineStr">
        <is>
          <t xml:space="preserve">JO’RAYEV SHERALI AZAMOVICH</t>
        </is>
      </c>
      <c r="F781" s="102" t="inlineStr">
        <is>
          <t xml:space="preserve">94-456-81-79 SMS O'ZI, 91-237-79-81  SMS OG’LI, 91-910-15-76  SMS ZALAGATEL, 90-889-89-62  SMS UY,</t>
        </is>
      </c>
      <c r="G781" s="102" t="inlineStr">
        <is>
          <t xml:space="preserve">SURXONDARYO DENOV TUMANI QORAHON MFY BOG’ISHAMOL KO’CHASI 78-UY</t>
        </is>
      </c>
      <c r="H781" s="103">
        <v>8.0</v>
      </c>
      <c r="I781" s="103">
        <v>1841115.53</v>
      </c>
    </row>
    <row r="782">
      <c r="A782" s="102" t="inlineStr">
        <is>
          <t xml:space="preserve">СУРХОНДАРЁ ВИЛОЯТИ</t>
        </is>
      </c>
      <c r="C782" s="102" t="inlineStr">
        <is>
          <t xml:space="preserve">Недозвон</t>
        </is>
      </c>
      <c r="D782" s="102" t="inlineStr">
        <is>
          <t xml:space="preserve">Кр-99039843-1</t>
        </is>
      </c>
      <c r="E782" s="102" t="inlineStr">
        <is>
          <t xml:space="preserve">MARDAYEV RUSLAN MAMATALIYEVICH</t>
        </is>
      </c>
      <c r="F782" s="102" t="inlineStr">
        <is>
          <t xml:space="preserve">998970397888 SMS OZI, 998975310659 SMS OTASAI, 998976961461 SMS ONASI, 998886929191 SMS UKASI,</t>
        </is>
      </c>
      <c r="G782" s="102" t="inlineStr">
        <is>
          <t xml:space="preserve">SURXONDARYO VILOYAT MUZRABOT TUMAN XALQYO’LI MFY O’RMON XO’JALIGI KO’CHASI 34-UY</t>
        </is>
      </c>
      <c r="H782" s="103">
        <v>8.0</v>
      </c>
      <c r="I782" s="103">
        <v>1786077.28</v>
      </c>
    </row>
    <row r="783">
      <c r="A783" s="102" t="inlineStr">
        <is>
          <t xml:space="preserve">СУРХОНДАРЁ ВИЛОЯТИ</t>
        </is>
      </c>
      <c r="C783" s="102" t="inlineStr">
        <is>
          <t xml:space="preserve">Недозвон</t>
        </is>
      </c>
      <c r="D783" s="102" t="inlineStr">
        <is>
          <t xml:space="preserve">Кр-99053010-1</t>
        </is>
      </c>
      <c r="E783" s="102" t="inlineStr">
        <is>
          <t xml:space="preserve">TUXTAYEV AKBAR XAYRULLA O’G’LI</t>
        </is>
      </c>
      <c r="F783" s="102" t="inlineStr">
        <is>
          <t xml:space="preserve">998902884898 SMS OZI, 998931739806 SMS AYOLI, 998942673698 SMS DADASI, 998937040616 SMS ONASI,</t>
        </is>
      </c>
      <c r="G783" s="102" t="inlineStr">
        <is>
          <t xml:space="preserve">SURXANDARYO VILOYATI MUZRABOT TUMANI MEXNATOBOD MFY QAXRAMON-1 GUZARI 56-UY</t>
        </is>
      </c>
      <c r="H783" s="103">
        <v>8.0</v>
      </c>
      <c r="I783" s="103">
        <v>1784495.04</v>
      </c>
      <c r="K783" s="102" t="inlineStr">
        <is>
          <t xml:space="preserve">Telefon ko'tarmadi | sms yozdm | 1368</t>
        </is>
      </c>
    </row>
    <row r="784">
      <c r="A784" s="102" t="inlineStr">
        <is>
          <t xml:space="preserve">СУРХОНДАРЁ ВИЛОЯТИ</t>
        </is>
      </c>
      <c r="C784" s="102" t="inlineStr">
        <is>
          <t xml:space="preserve">Недозвон</t>
        </is>
      </c>
      <c r="D784" s="102" t="inlineStr">
        <is>
          <t xml:space="preserve">Кр-99030323-1</t>
        </is>
      </c>
      <c r="E784" s="102" t="inlineStr">
        <is>
          <t xml:space="preserve">ERONOV YUNUS TO’LAGANOVICH</t>
        </is>
      </c>
      <c r="F784" s="102" t="inlineStr">
        <is>
          <t xml:space="preserve">88-611-55-53 SMS O’ZI, 88-939-29-97  SMS UKASI, 99-557-23-55  SMS AYOLI, 97-696-05-65  SMS UY,</t>
        </is>
      </c>
      <c r="G784" s="102" t="inlineStr">
        <is>
          <t xml:space="preserve">SURXONDARYO VILOYATI DENOV  SHAXAR  QIZILCHA MFY  OL’GA  KO’CHASI 42-UY</t>
        </is>
      </c>
      <c r="H784" s="103">
        <v>11.0</v>
      </c>
      <c r="I784" s="103">
        <v>1781815.43</v>
      </c>
    </row>
    <row r="785">
      <c r="A785" s="102" t="inlineStr">
        <is>
          <t xml:space="preserve">СУРХОНДАРЁ ВИЛОЯТИ</t>
        </is>
      </c>
      <c r="C785" s="102" t="inlineStr">
        <is>
          <t xml:space="preserve">Недозвон</t>
        </is>
      </c>
      <c r="D785" s="102" t="inlineStr">
        <is>
          <t xml:space="preserve">Кр-99042229-1</t>
        </is>
      </c>
      <c r="E785" s="102" t="inlineStr">
        <is>
          <t xml:space="preserve">SHAYMARDANOVA SANOAT XAKIMOVNA</t>
        </is>
      </c>
      <c r="F785" s="102" t="inlineStr">
        <is>
          <t xml:space="preserve">998917177356 SMS O’G’LI, 998933329101 SMS UY, 998951768044 SMS O’ZI, 998902485398 SMS OGLI TOLOVCHI, 998955502955 SMS UZI new,</t>
        </is>
      </c>
      <c r="G785" s="102" t="inlineStr">
        <is>
          <t xml:space="preserve">СУРХОНДАРЁ ВИЛОЯТИ ДЕНОВ ШАХАР, ТОТУВЛИК МФЙ, ОЙБЕК,  uy:52</t>
        </is>
      </c>
      <c r="I785" s="103">
        <v>1763006.67</v>
      </c>
      <c r="K785" s="102" t="inlineStr">
        <is>
          <t xml:space="preserve">Telefon ko'tarmadi | boglanb bomad xodim jonataman | 1158</t>
        </is>
      </c>
    </row>
    <row r="786">
      <c r="A786" s="102" t="inlineStr">
        <is>
          <t xml:space="preserve">СУРХОНДАРЁ ВИЛОЯТИ</t>
        </is>
      </c>
      <c r="C786" s="102" t="inlineStr">
        <is>
          <t xml:space="preserve">Недозвон</t>
        </is>
      </c>
      <c r="D786" s="102" t="inlineStr">
        <is>
          <t xml:space="preserve">Кр-99014251-5</t>
        </is>
      </c>
      <c r="E786" s="102" t="inlineStr">
        <is>
          <t xml:space="preserve">QULTURAYEV ERKIN NORMURATOVICH</t>
        </is>
      </c>
      <c r="F786" s="102" t="inlineStr">
        <is>
          <t xml:space="preserve">99-585-33-40 SMS , 91-077-87-80 SMS  UKASI AVAZBEK, 90-747-12-15 SMS  O’G’LI MUXRIDDIN, 91-574-59-37 SMS  UY, 90-375-04-75 SMS OZI SHU , 998915740475 ozi  new,</t>
        </is>
      </c>
      <c r="G786" s="102" t="inlineStr">
        <is>
          <t xml:space="preserve">SURXONDARYO VILOYATI DENOV TUMANI CHAMBIL MFY TINCHLIK KO’CHASI 67-UY</t>
        </is>
      </c>
      <c r="H786" s="103">
        <v>8.0</v>
      </c>
      <c r="I786" s="103">
        <v>1734928.27</v>
      </c>
    </row>
    <row r="787">
      <c r="A787" s="102" t="inlineStr">
        <is>
          <t xml:space="preserve">СУРХОНДАРЁ ВИЛОЯТИ</t>
        </is>
      </c>
      <c r="C787" s="102" t="inlineStr">
        <is>
          <t xml:space="preserve">Недозвон</t>
        </is>
      </c>
      <c r="D787" s="102" t="inlineStr">
        <is>
          <t xml:space="preserve">Кр-99029526-3</t>
        </is>
      </c>
      <c r="E787" s="102" t="inlineStr">
        <is>
          <t xml:space="preserve">QAYUMOV XASAN XAYRULLAYEVICH</t>
        </is>
      </c>
      <c r="F787" s="102" t="inlineStr">
        <is>
          <t xml:space="preserve">97-693-95-55 SMS , 90-266-26-26  SMS AKASI, 90-266-32-66  SMS ONASI, 77-023-72-32  SMS UY, 998996726826 SMS TOLOVCHI ,</t>
        </is>
      </c>
      <c r="G787" s="102" t="inlineStr">
        <is>
          <t xml:space="preserve">SURXONDARYO VILOYATI DENOV TUMANI  BOBIR MFY  BOBUR 25-UY</t>
        </is>
      </c>
      <c r="H787" s="103">
        <v>8.0</v>
      </c>
      <c r="I787" s="103">
        <v>1617075.93</v>
      </c>
    </row>
    <row r="788">
      <c r="A788" s="102" t="inlineStr">
        <is>
          <t xml:space="preserve">СУРХОНДАРЁ ВИЛОЯТИ</t>
        </is>
      </c>
      <c r="C788" s="102" t="inlineStr">
        <is>
          <t xml:space="preserve">Недозвон</t>
        </is>
      </c>
      <c r="D788" s="102" t="inlineStr">
        <is>
          <t xml:space="preserve">Кр-99027715-1</t>
        </is>
      </c>
      <c r="E788" s="102" t="inlineStr">
        <is>
          <t xml:space="preserve">SHODMONOVA MAFTUNA OBIDJONOVNA</t>
        </is>
      </c>
      <c r="F788" s="102" t="inlineStr">
        <is>
          <t xml:space="preserve">97-225-11-27 SMS ERI  UQITUVCHI TOLOVCHI , 91-966-11-27 SMS UY, 90-568-35-85 SMS ONASI, 97-551-16-69 SMS ISHXONA,</t>
        </is>
      </c>
      <c r="G788" s="102" t="inlineStr">
        <is>
          <t xml:space="preserve">SURXONDARYO UZUN TUMANI YANGIRO’ZG’OR MFY DO’STLIK KO’CHASI 855-UY</t>
        </is>
      </c>
      <c r="H788" s="103">
        <v>8.0</v>
      </c>
      <c r="I788" s="103">
        <v>1607988.07</v>
      </c>
    </row>
    <row r="789">
      <c r="A789" s="102" t="inlineStr">
        <is>
          <t xml:space="preserve">СУРХОНДАРЁ ВИЛОЯТИ</t>
        </is>
      </c>
      <c r="C789" s="102" t="inlineStr">
        <is>
          <t xml:space="preserve">Недозвон</t>
        </is>
      </c>
      <c r="D789" s="102" t="inlineStr">
        <is>
          <t xml:space="preserve">Кр-99060727-1</t>
        </is>
      </c>
      <c r="E789" s="102" t="inlineStr">
        <is>
          <t xml:space="preserve">HAMIDOV SARDOR ERGASHALIYEVICH</t>
        </is>
      </c>
      <c r="F789" s="102" t="inlineStr">
        <is>
          <t xml:space="preserve">998940717199 uzi, 998887085500 opasi, 998997085509 onasi,</t>
        </is>
      </c>
      <c r="G789" s="102" t="inlineStr">
        <is>
          <t xml:space="preserve">DENOV TUMANI</t>
        </is>
      </c>
      <c r="H789" s="103">
        <v>8.0</v>
      </c>
      <c r="I789" s="103">
        <v>1548506.35</v>
      </c>
      <c r="K789" s="102" t="inlineStr">
        <is>
          <t xml:space="preserve">Telefon ko'tarmadi | sms yozvordm | 1536</t>
        </is>
      </c>
    </row>
    <row r="790">
      <c r="A790" s="102" t="inlineStr">
        <is>
          <t xml:space="preserve">СУРХОНДАРЁ ВИЛОЯТИ</t>
        </is>
      </c>
      <c r="C790" s="102" t="inlineStr">
        <is>
          <t xml:space="preserve">Недозвон</t>
        </is>
      </c>
      <c r="D790" s="102" t="inlineStr">
        <is>
          <t xml:space="preserve">Кр-99061106-1</t>
        </is>
      </c>
      <c r="E790" s="102" t="inlineStr">
        <is>
          <t xml:space="preserve">ESHMURODOV JUMMANAZAR ALIMOVICH</t>
        </is>
      </c>
      <c r="F790" s="102" t="inlineStr">
        <is>
          <t xml:space="preserve">998885680272 SMS UY, 998952357793 SMS UZI, 998995853555 SMS OILASI,</t>
        </is>
      </c>
      <c r="G790" s="102" t="inlineStr">
        <is>
          <t xml:space="preserve">SURXONDARYO VILOYATI DENOV TUMANI TOTUVLIK MFY GULLIRANO 74-UY</t>
        </is>
      </c>
      <c r="H790" s="103">
        <v>8.0</v>
      </c>
      <c r="I790" s="103">
        <v>1533030.47</v>
      </c>
      <c r="K790" s="102" t="inlineStr">
        <is>
          <t xml:space="preserve">Telefon ko'tarmadi | wahnoz tolaw kk | 1545</t>
        </is>
      </c>
    </row>
    <row r="791">
      <c r="A791" s="102" t="inlineStr">
        <is>
          <t xml:space="preserve">СУРХОНДАРЁ ВИЛОЯТИ</t>
        </is>
      </c>
      <c r="C791" s="102" t="inlineStr">
        <is>
          <t xml:space="preserve">Недозвон</t>
        </is>
      </c>
      <c r="D791" s="102" t="inlineStr">
        <is>
          <t xml:space="preserve">Кр-99012050-5</t>
        </is>
      </c>
      <c r="E791" s="102" t="inlineStr">
        <is>
          <t xml:space="preserve">CHARIYEV ABDUMUROD SAFAROVICH</t>
        </is>
      </c>
      <c r="F791" s="102" t="inlineStr">
        <is>
          <t xml:space="preserve">99-959-11-12 SMS OZI, 90-267-67-12 SMS UY, 95-525-89-85 SMS ZALOGODATEL, 99-240-98-85 SMS ZALOGODATEL (NOMERI бегона), 95-525-89-83  SMS BEGONA,</t>
        </is>
      </c>
      <c r="G791" s="102" t="inlineStr">
        <is>
          <t xml:space="preserve">SURXONDARYO VILOYATI DENOV TUMANI NAVBAHOR MFY QUSHBULOQ KO’CHASI 34-UY</t>
        </is>
      </c>
      <c r="H791" s="103">
        <v>29.0</v>
      </c>
      <c r="I791" s="103">
        <v>1499379.21</v>
      </c>
    </row>
    <row r="792">
      <c r="A792" s="102" t="inlineStr">
        <is>
          <t xml:space="preserve">СУРХОНДАРЁ ВИЛОЯТИ</t>
        </is>
      </c>
      <c r="C792" s="102" t="inlineStr">
        <is>
          <t xml:space="preserve">Недозвон</t>
        </is>
      </c>
      <c r="D792" s="102" t="inlineStr">
        <is>
          <t xml:space="preserve">Кр-99060341-1</t>
        </is>
      </c>
      <c r="E792" s="102" t="inlineStr">
        <is>
          <t xml:space="preserve">RAHMONOV ISLOM DILMUROD O’G’LI</t>
        </is>
      </c>
      <c r="F792" s="102" t="inlineStr">
        <is>
          <t xml:space="preserve">+998957778323 SMS O’ZI, 998887184111 SMS O’ZI, 998919058152 SMS OTASI, 998995552312 SMS UKASI,</t>
        </is>
      </c>
      <c r="G792" s="102" t="inlineStr">
        <is>
          <t xml:space="preserve">ТЕРМИЗ ТУМАНИ ПАХТАОБОД ҚФЙ, А.НАВОИЙ МФЙ,  uy:7</t>
        </is>
      </c>
      <c r="H792" s="103">
        <v>8.0</v>
      </c>
      <c r="I792" s="103">
        <v>1414021.82</v>
      </c>
      <c r="K792" s="102" t="inlineStr">
        <is>
          <t xml:space="preserve">Telefon ko'tarmadi | sms yozvordm | 1522</t>
        </is>
      </c>
    </row>
    <row r="793">
      <c r="A793" s="102" t="inlineStr">
        <is>
          <t xml:space="preserve">СУРХОНДАРЁ ВИЛОЯТИ</t>
        </is>
      </c>
      <c r="C793" s="102" t="inlineStr">
        <is>
          <t xml:space="preserve">Недозвон</t>
        </is>
      </c>
      <c r="D793" s="102" t="inlineStr">
        <is>
          <t xml:space="preserve">Кр-99031487-3</t>
        </is>
      </c>
      <c r="E793" s="102" t="inlineStr">
        <is>
          <t xml:space="preserve">POYANOV XIMOIDDIN AMIRJONOVICH</t>
        </is>
      </c>
      <c r="F793" s="102" t="inlineStr">
        <is>
          <t xml:space="preserve">998995707222 SMS O’ZI, 998953137053 SMS AYOLI, 998952237022 SMS AKASI, 998770527022 SMS ONASI,</t>
        </is>
      </c>
      <c r="G793" s="102" t="inlineStr">
        <is>
          <t xml:space="preserve">SURXONDARYO VILOYATI DENOV  TUMANI ANBARSOY  QFY O’RTAQISHLOQ  MFY DO’STLIK KO’CHASI 117-UY</t>
        </is>
      </c>
      <c r="H793" s="103">
        <v>8.0</v>
      </c>
      <c r="I793" s="103">
        <v>1408677.19</v>
      </c>
    </row>
    <row r="794">
      <c r="A794" s="102" t="inlineStr">
        <is>
          <t xml:space="preserve">СУРХОНДАРЁ ВИЛОЯТИ</t>
        </is>
      </c>
      <c r="C794" s="102" t="inlineStr">
        <is>
          <t xml:space="preserve">Недозвон</t>
        </is>
      </c>
      <c r="D794" s="102" t="inlineStr">
        <is>
          <t xml:space="preserve">Кр-99040484-1</t>
        </is>
      </c>
      <c r="E794" s="102" t="inlineStr">
        <is>
          <t xml:space="preserve">NASREDDINOV SANJAR XASAN O’G’LI</t>
        </is>
      </c>
      <c r="F794" s="102" t="inlineStr">
        <is>
          <t xml:space="preserve">+998505709009 SMS OZI, 998904102242 SMS SHERIGI, 998976052002 SMS UY,</t>
        </is>
      </c>
      <c r="G794" s="102" t="inlineStr">
        <is>
          <t xml:space="preserve">Хазарбоғ ҚФЙ, Тасмасой МФЙ, ул. Обод манзил, дом 2</t>
        </is>
      </c>
      <c r="H794" s="103">
        <v>8.0</v>
      </c>
      <c r="I794" s="103">
        <v>1383743.65</v>
      </c>
      <c r="K794" s="102" t="inlineStr">
        <is>
          <t xml:space="preserve">Telefon ko'tarmadi | iwlidigan  nomeri yo buni uyiga  xodm jonatw kk | 989</t>
        </is>
      </c>
    </row>
    <row r="795">
      <c r="A795" s="102" t="inlineStr">
        <is>
          <t xml:space="preserve">СУРХОНДАРЁ ВИЛОЯТИ</t>
        </is>
      </c>
      <c r="C795" s="102" t="inlineStr">
        <is>
          <t xml:space="preserve">Недозвон</t>
        </is>
      </c>
      <c r="D795" s="102" t="inlineStr">
        <is>
          <t xml:space="preserve">Кр-99063093-1</t>
        </is>
      </c>
      <c r="E795" s="102" t="inlineStr">
        <is>
          <t xml:space="preserve">SHOPULATOV JAHONGIR OTABEK O’G’LI</t>
        </is>
      </c>
      <c r="F795" s="102" t="inlineStr">
        <is>
          <t xml:space="preserve">998937989939 OZI, 998951660058 AYOLI, 998919065400 AKASI,</t>
        </is>
      </c>
      <c r="G795" s="102" t="inlineStr">
        <is>
          <t xml:space="preserve">SURXONDARYO VILOYATI TERMIZ TUMAN JOYJANGAL MFY NURONIY KO’CHASI 102-UY</t>
        </is>
      </c>
      <c r="I795" s="103">
        <v>1354109.55</v>
      </c>
      <c r="K795" s="102" t="inlineStr">
        <is>
          <t xml:space="preserve">Telefon ko'tarmadi | xozrca kotarmad sms yozvordim | 1702</t>
        </is>
      </c>
    </row>
    <row r="796">
      <c r="A796" s="102" t="inlineStr">
        <is>
          <t xml:space="preserve">СУРХОНДАРЁ ВИЛОЯТИ</t>
        </is>
      </c>
      <c r="C796" s="102" t="inlineStr">
        <is>
          <t xml:space="preserve">Недозвон</t>
        </is>
      </c>
      <c r="D796" s="102" t="inlineStr">
        <is>
          <t xml:space="preserve">Кр-99025252-1</t>
        </is>
      </c>
      <c r="E796" s="102" t="inlineStr">
        <is>
          <t xml:space="preserve">MAMATQULOVA BAXTIGUL SHERMATOVNA</t>
        </is>
      </c>
      <c r="F796" s="102" t="inlineStr">
        <is>
          <t xml:space="preserve">998990419672 SMS OZI, 998336871223 SMS OZI, 99-641-13-23 SMS UY,</t>
        </is>
      </c>
      <c r="G796" s="102" t="inlineStr">
        <is>
          <t xml:space="preserve">SURXANDARYO VILOYATI BOYSUN TUMANI BOSHRABOT MFY ZAMAXSHARIY KUCHASI 5-UY</t>
        </is>
      </c>
      <c r="H796" s="103">
        <v>8.0</v>
      </c>
      <c r="I796" s="103">
        <v>1306694.38</v>
      </c>
    </row>
    <row r="797">
      <c r="A797" s="102" t="inlineStr">
        <is>
          <t xml:space="preserve">СУРХОНДАРЁ ВИЛОЯТИ</t>
        </is>
      </c>
      <c r="C797" s="102" t="inlineStr">
        <is>
          <t xml:space="preserve">Объезд</t>
        </is>
      </c>
      <c r="D797" s="102" t="inlineStr">
        <is>
          <t xml:space="preserve">Кр-99032593-1</t>
        </is>
      </c>
      <c r="E797" s="102" t="inlineStr">
        <is>
          <t xml:space="preserve">DAVLATOV FARXOD RAJABALIYEVICH</t>
        </is>
      </c>
      <c r="F797" s="102" t="inlineStr">
        <is>
          <t xml:space="preserve">998995882144 SMS O’ZI, 998954747270 SMS O’G’LI, 998995737252 SMS ONASI, 998990169073 SMS UY,</t>
        </is>
      </c>
      <c r="G797" s="102" t="inlineStr">
        <is>
          <t xml:space="preserve">SURXONDARYO VILOYATI DENOV TUMANI SEBZOR MFY MAKTAB KO’CHASI 15-UY</t>
        </is>
      </c>
      <c r="H797" s="103">
        <v>1.0</v>
      </c>
      <c r="I797" s="103">
        <v>1299053.19</v>
      </c>
      <c r="J797" s="103">
        <v>1299053.19</v>
      </c>
      <c r="K797" s="102" t="inlineStr">
        <is>
          <t xml:space="preserve">Uyiga borildi - to'ladi | toladi filialga | 404</t>
        </is>
      </c>
    </row>
    <row r="798">
      <c r="A798" s="102" t="inlineStr">
        <is>
          <t xml:space="preserve">СУРХОНДАРЁ ВИЛОЯТИ</t>
        </is>
      </c>
      <c r="C798" s="102" t="inlineStr">
        <is>
          <t xml:space="preserve">Недозвон</t>
        </is>
      </c>
      <c r="D798" s="102" t="inlineStr">
        <is>
          <t xml:space="preserve">Кр-99040068-3</t>
        </is>
      </c>
      <c r="E798" s="102" t="inlineStr">
        <is>
          <t xml:space="preserve">BAZAROV AXMAT ESHMAMATOVICH</t>
        </is>
      </c>
      <c r="F798" s="102" t="inlineStr">
        <is>
          <t xml:space="preserve">998973505961 SMS AYOLI, 998976942461 SMS OZI, 998918171212 SMS QIZI, 998976396767 SMS OGLI, 998903579595 SMS UY,</t>
        </is>
      </c>
      <c r="G798" s="102" t="inlineStr">
        <is>
          <t xml:space="preserve">SURXONDARYO VILOYATI DENOV TUMANI OZOD MFY  NURLI HAYOT KO’CHASI 45-UY</t>
        </is>
      </c>
      <c r="H798" s="103">
        <v>8.0</v>
      </c>
      <c r="I798" s="103">
        <v>1292066.6</v>
      </c>
      <c r="K798" s="102" t="inlineStr">
        <is>
          <t xml:space="preserve">Telefon ko'tarmadi | sms yozvordm | 935</t>
        </is>
      </c>
    </row>
    <row r="799">
      <c r="A799" s="102" t="inlineStr">
        <is>
          <t xml:space="preserve">СУРХОНДАРЁ ВИЛОЯТИ</t>
        </is>
      </c>
      <c r="C799" s="102" t="inlineStr">
        <is>
          <t xml:space="preserve">Недозвон</t>
        </is>
      </c>
      <c r="D799" s="102" t="inlineStr">
        <is>
          <t xml:space="preserve">Кр-99037364-1</t>
        </is>
      </c>
      <c r="E799" s="102" t="inlineStr">
        <is>
          <t xml:space="preserve">MAMARASULOV BAXODIRJON BAXTIYOROVICH</t>
        </is>
      </c>
      <c r="F799" s="102" t="inlineStr">
        <is>
          <t xml:space="preserve">998953305005 SMS, 998951925005 SMS OZI, 998978151968 SMS UY, 998952120535 SMS ,</t>
        </is>
      </c>
      <c r="G799" s="102" t="inlineStr">
        <is>
          <t xml:space="preserve">SURXONDARYO VILOYATI DENOV SHAHAR QUYOSHLIYURT MFY FIRDAVS  1-UY </t>
        </is>
      </c>
      <c r="H799" s="103">
        <v>1.0</v>
      </c>
      <c r="I799" s="103">
        <v>1277712.11</v>
      </c>
      <c r="K799" s="102" t="inlineStr">
        <is>
          <t xml:space="preserve">Telefon ko'tarmadi | sms yozvordm | 706</t>
        </is>
      </c>
    </row>
    <row r="800">
      <c r="A800" s="102" t="inlineStr">
        <is>
          <t xml:space="preserve">СУРХОНДАРЁ ВИЛОЯТИ</t>
        </is>
      </c>
      <c r="C800" s="102" t="inlineStr">
        <is>
          <t xml:space="preserve">Недозвон</t>
        </is>
      </c>
      <c r="D800" s="102" t="inlineStr">
        <is>
          <t xml:space="preserve">Кр-99029195-4</t>
        </is>
      </c>
      <c r="E800" s="102" t="inlineStr">
        <is>
          <t xml:space="preserve">ESHBAYEVA GULBAHOR OMANDAVLATOVNA</t>
        </is>
      </c>
      <c r="F800" s="102" t="inlineStr">
        <is>
          <t xml:space="preserve">998904180270 SMS O’ZI, 998994490270 SMS UY, 998330750020 SMS UKASI, 998993808096 SMS UKASI, 998999661002 SMS TULOVCHI,</t>
        </is>
      </c>
      <c r="G800" s="102" t="inlineStr">
        <is>
          <t xml:space="preserve">SURXONDARYO VILOYATI QUMQURG’ON TUMANI CHUKIRLI MFY BO’LAK TEPA KO’CHASI 28-UY</t>
        </is>
      </c>
      <c r="H800" s="103">
        <v>8.0</v>
      </c>
      <c r="I800" s="103">
        <v>1193132.96</v>
      </c>
    </row>
    <row r="801">
      <c r="A801" s="102" t="inlineStr">
        <is>
          <t xml:space="preserve">СУРХОНДАРЁ ВИЛОЯТИ</t>
        </is>
      </c>
      <c r="C801" s="102" t="inlineStr">
        <is>
          <t xml:space="preserve">Недозвон</t>
        </is>
      </c>
      <c r="D801" s="102" t="inlineStr">
        <is>
          <t xml:space="preserve">Кр-99034455-1</t>
        </is>
      </c>
      <c r="E801" s="102" t="inlineStr">
        <is>
          <t xml:space="preserve">XOLMUROTOV ABDURAHMON ABDUVOID O’G’LI</t>
        </is>
      </c>
      <c r="F801" s="102" t="inlineStr">
        <is>
          <t xml:space="preserve">998883287008 SMS O’ZI, 998900720746 SMS UY, 998990620746 SMS ONASI, 998993820077 SMS TOG’ASI,</t>
        </is>
      </c>
      <c r="G801" s="102" t="inlineStr">
        <is>
          <t xml:space="preserve">SURXONDARYO VILOYATI DENOV SHAHR  QUYOSHLI YURT MFY FIRDAVSIY KO’CHASI 14-UY </t>
        </is>
      </c>
      <c r="H801" s="103">
        <v>1.0</v>
      </c>
      <c r="I801" s="103">
        <v>1190990.32</v>
      </c>
    </row>
    <row r="802">
      <c r="A802" s="102" t="inlineStr">
        <is>
          <t xml:space="preserve">СУРХОНДАРЁ ВИЛОЯТИ</t>
        </is>
      </c>
      <c r="C802" s="102" t="inlineStr">
        <is>
          <t xml:space="preserve">Недозвон</t>
        </is>
      </c>
      <c r="D802" s="102" t="inlineStr">
        <is>
          <t xml:space="preserve">Кр-99036107-2</t>
        </is>
      </c>
      <c r="E802" s="102" t="inlineStr">
        <is>
          <t xml:space="preserve">ZIKIROV ALISHER KUDRATOVICH</t>
        </is>
      </c>
      <c r="F802" s="102" t="inlineStr">
        <is>
          <t xml:space="preserve">998957668603 SMS O’ZI, 998991970555 SMS JIYANI , 998882444737 AKASI, 998990380351 SMS AYOLI ,</t>
        </is>
      </c>
      <c r="G802" s="102" t="inlineStr">
        <is>
          <t xml:space="preserve">SURXONDARYO VILOYATI DENOV TUMANI ISTIQBOL MFY SATTOR YODGOROV 35-UY </t>
        </is>
      </c>
      <c r="H802" s="103">
        <v>8.0</v>
      </c>
      <c r="I802" s="103">
        <v>1174222.64</v>
      </c>
      <c r="K802" s="102" t="inlineStr">
        <is>
          <t xml:space="preserve">Telefon ko'tarmadi | abror ogan | 624</t>
        </is>
      </c>
    </row>
    <row r="803">
      <c r="A803" s="102" t="inlineStr">
        <is>
          <t xml:space="preserve">СУРХОНДАРЁ ВИЛОЯТИ</t>
        </is>
      </c>
      <c r="C803" s="102" t="inlineStr">
        <is>
          <t xml:space="preserve">Недозвон</t>
        </is>
      </c>
      <c r="D803" s="102" t="inlineStr">
        <is>
          <t xml:space="preserve">Кр-99011383-5</t>
        </is>
      </c>
      <c r="E803" s="102" t="inlineStr">
        <is>
          <t xml:space="preserve">BURONOV ESHMAMAT KENJAYEVICH</t>
        </is>
      </c>
      <c r="F803" s="102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803" s="102" t="inlineStr">
        <is>
          <t xml:space="preserve">SURXONDARYO VILOYATI DENOV TUMANI BINOKOR QFY OZOD MFY TERAKZOR KO’CHASI 89-UY  </t>
        </is>
      </c>
      <c r="H803" s="103">
        <v>8.0</v>
      </c>
      <c r="I803" s="103">
        <v>1144549.67</v>
      </c>
    </row>
    <row r="804">
      <c r="A804" s="102" t="inlineStr">
        <is>
          <t xml:space="preserve">СУРХОНДАРЁ ВИЛОЯТИ</t>
        </is>
      </c>
      <c r="C804" s="102" t="inlineStr">
        <is>
          <t xml:space="preserve">Недозвон</t>
        </is>
      </c>
      <c r="D804" s="102" t="inlineStr">
        <is>
          <t xml:space="preserve">Кр-99030594-2</t>
        </is>
      </c>
      <c r="E804" s="102" t="inlineStr">
        <is>
          <t xml:space="preserve">SHAIMOV NODIRBEK ISMOILOVICH</t>
        </is>
      </c>
      <c r="F804" s="102" t="inlineStr">
        <is>
          <t xml:space="preserve">97-076-89-99 SMS O’ZI, 97-194-39-99  SMS UKASI, 99-599-99-43  SMS UKASI 2 begona tel qimanglar, 50-071-10-03  SMS UY begona,</t>
        </is>
      </c>
      <c r="G804" s="102" t="inlineStr">
        <is>
          <t xml:space="preserve">SURXONDARYO VILOYATI DENOV TUMANI XAZARBOG QFY CHORGUL MFY TARQULAT KO’CHASI 12-UY</t>
        </is>
      </c>
      <c r="H804" s="103">
        <v>8.0</v>
      </c>
      <c r="I804" s="103">
        <v>1113713.97</v>
      </c>
    </row>
    <row r="805">
      <c r="A805" s="102" t="inlineStr">
        <is>
          <t xml:space="preserve">СУРХОНДАРЁ ВИЛОЯТИ</t>
        </is>
      </c>
      <c r="C805" s="102" t="inlineStr">
        <is>
          <t xml:space="preserve">Недозвон</t>
        </is>
      </c>
      <c r="D805" s="102" t="inlineStr">
        <is>
          <t xml:space="preserve">Кр-99062784-2</t>
        </is>
      </c>
      <c r="E805" s="102" t="inlineStr">
        <is>
          <t xml:space="preserve">ESHMUMINOV ALLAMUROD PANJI O’G’LI</t>
        </is>
      </c>
      <c r="F805" s="102" t="inlineStr">
        <is>
          <t xml:space="preserve">+998938173666 SMS O’ZI, 998940242987 SMS AKASI, 998990905996 SMS ONASI, 998500056666 uzi new,</t>
        </is>
      </c>
      <c r="G805" s="102" t="inlineStr">
        <is>
          <t xml:space="preserve">ШЕРОБОД ТУМАНИ ЁШЛИК МФЙ, Ш.ЖУМАЕВ КУЧАСИ,  uy:44</t>
        </is>
      </c>
      <c r="H805" s="103">
        <v>8.0</v>
      </c>
      <c r="I805" s="103">
        <v>1106753.42</v>
      </c>
      <c r="K805" s="102" t="inlineStr">
        <is>
          <t xml:space="preserve">Telefon ko'tarmadi | sms yozvordm | 1625</t>
        </is>
      </c>
    </row>
    <row r="806">
      <c r="A806" s="102" t="inlineStr">
        <is>
          <t xml:space="preserve">СУРХОНДАРЁ ВИЛОЯТИ</t>
        </is>
      </c>
      <c r="C806" s="102" t="inlineStr">
        <is>
          <t xml:space="preserve">Недозвон</t>
        </is>
      </c>
      <c r="D806" s="102" t="inlineStr">
        <is>
          <t xml:space="preserve">Кр-99013324-3</t>
        </is>
      </c>
      <c r="E806" s="102" t="inlineStr">
        <is>
          <t xml:space="preserve">MENGKABILOV ABDUSALIM ABDUJABBAROVICH</t>
        </is>
      </c>
      <c r="F806" s="102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806" s="102" t="inlineStr">
        <is>
          <t xml:space="preserve">SURXONDARYO VILOYAT DENOV SHAHRI  SH.RASHIDOV KO’CHASI 131-UY </t>
        </is>
      </c>
      <c r="H806" s="103">
        <v>8.0</v>
      </c>
      <c r="I806" s="103">
        <v>1088543.96</v>
      </c>
    </row>
    <row r="807">
      <c r="A807" s="102" t="inlineStr">
        <is>
          <t xml:space="preserve">СУРХОНДАРЁ ВИЛОЯТИ</t>
        </is>
      </c>
      <c r="C807" s="102" t="inlineStr">
        <is>
          <t xml:space="preserve">Недозвон</t>
        </is>
      </c>
      <c r="D807" s="102" t="inlineStr">
        <is>
          <t xml:space="preserve">Кр-99027763-1</t>
        </is>
      </c>
      <c r="E807" s="102" t="inlineStr">
        <is>
          <t xml:space="preserve">TANGRIYEV XUJAMKUL IBODULLAYEVICH</t>
        </is>
      </c>
      <c r="F807" s="102" t="inlineStr">
        <is>
          <t xml:space="preserve">95-553-04-45 SMS, 99-388-18-81 SMS JIYANI, 90-114-12-52 SMS UY, 77-021-30-81 SMS,</t>
        </is>
      </c>
      <c r="G807" s="102" t="inlineStr">
        <is>
          <t xml:space="preserve">SURXONDARYO DENOV TUMANI LAG’MON OTA MFY QAMASHI KO’CHASI 59-UY</t>
        </is>
      </c>
      <c r="H807" s="103">
        <v>7.0</v>
      </c>
      <c r="I807" s="103">
        <v>999396.56</v>
      </c>
    </row>
    <row r="808">
      <c r="A808" s="102" t="inlineStr">
        <is>
          <t xml:space="preserve">СУРХОНДАРЁ ВИЛОЯТИ</t>
        </is>
      </c>
      <c r="C808" s="102" t="inlineStr">
        <is>
          <t xml:space="preserve">Объезд</t>
        </is>
      </c>
      <c r="D808" s="102" t="inlineStr">
        <is>
          <t xml:space="preserve">Кр-99057140-1</t>
        </is>
      </c>
      <c r="E808" s="102" t="inlineStr">
        <is>
          <t xml:space="preserve">XUSHBAQOVA ZEBINISO ABDUMALIK QIZI</t>
        </is>
      </c>
      <c r="F808" s="102" t="inlineStr">
        <is>
          <t xml:space="preserve">998932372417 OZI, 998937930462 ONASI, 998917259222 OGLI,</t>
        </is>
      </c>
      <c r="G808" s="102" t="inlineStr">
        <is>
          <t xml:space="preserve">SURXONDARYO VILOYAT TERMIZ SHAXAR BOG’ZOR MFY ZAVQIY KO’CHASI 24A-UY</t>
        </is>
      </c>
      <c r="H808" s="103">
        <v>8.0</v>
      </c>
      <c r="I808" s="103">
        <v>970609.56</v>
      </c>
      <c r="J808" s="103">
        <v>970609.56</v>
      </c>
      <c r="K808" s="102" t="inlineStr">
        <is>
          <t xml:space="preserve">Uyiga borildi - to'ladi | filialga toladi | 1416</t>
        </is>
      </c>
    </row>
    <row r="809">
      <c r="A809" s="102" t="inlineStr">
        <is>
          <t xml:space="preserve">СУРХОНДАРЁ ВИЛОЯТИ</t>
        </is>
      </c>
      <c r="C809" s="102" t="inlineStr">
        <is>
          <t xml:space="preserve">Недозвон</t>
        </is>
      </c>
      <c r="D809" s="102" t="inlineStr">
        <is>
          <t xml:space="preserve">Кр-99025118-4</t>
        </is>
      </c>
      <c r="E809" s="102" t="inlineStr">
        <is>
          <t xml:space="preserve">AXMADOV ZUXRIDDIN SHAROFIDDIN O’G’LI</t>
        </is>
      </c>
      <c r="F809" s="102" t="inlineStr">
        <is>
          <t xml:space="preserve">97-550-78-48 SMS O'ZI INSTDA MENEJER BOP ISHLIDI, 88-530-99-95  SMS AKASI begona, 99-974-57-80  SMS AKASI , 990770107210 SMS TOLOVCHI ORTOGI,</t>
        </is>
      </c>
      <c r="G809" s="102" t="inlineStr">
        <is>
          <t xml:space="preserve">SURXONDARYO VILOYATI DENOV TUMANI TOTUVLIK MFY GULIRANO  88-UY</t>
        </is>
      </c>
      <c r="H809" s="103">
        <v>1.0</v>
      </c>
      <c r="I809" s="103">
        <v>946152.36</v>
      </c>
    </row>
    <row r="810">
      <c r="A810" s="102" t="inlineStr">
        <is>
          <t xml:space="preserve">СУРХОНДАРЁ ВИЛОЯТИ</t>
        </is>
      </c>
      <c r="C810" s="102" t="inlineStr">
        <is>
          <t xml:space="preserve">Объезд</t>
        </is>
      </c>
      <c r="D810" s="102" t="inlineStr">
        <is>
          <t xml:space="preserve">Кр-99022504-3</t>
        </is>
      </c>
      <c r="E810" s="102" t="inlineStr">
        <is>
          <t xml:space="preserve">MUQUMOVA MAXFURAT QUVOTOVNA</t>
        </is>
      </c>
      <c r="F810" s="102" t="inlineStr">
        <is>
          <t xml:space="preserve">91-229-38-19 SMS, 91-715-95-96  SMS UY, 91-075-20-16  SMS O’G’LI BEKZOD, 998917191006 SMS ozi, 998882439996 SMS OZI TOLOVCHI , 998887239996 SMS new uzi,</t>
        </is>
      </c>
      <c r="G810" s="102" t="inlineStr">
        <is>
          <t xml:space="preserve">SURXONDARYO VILOYATI SHO’RCHI TUMANI YANGIBOZOR QFY OQQURG’ON MFY MUSTAQILLIK KO’CHASI 132-UY</t>
        </is>
      </c>
      <c r="H810" s="103">
        <v>1.0</v>
      </c>
      <c r="I810" s="103">
        <v>920442.18</v>
      </c>
      <c r="K810" s="102" t="inlineStr">
        <is>
          <t xml:space="preserve">Uyiga borildi - va'da berdi | wu xafta yopb berad | 130</t>
        </is>
      </c>
    </row>
    <row r="811">
      <c r="A811" s="102" t="inlineStr">
        <is>
          <t xml:space="preserve">СУРХОНДАРЁ ВИЛОЯТИ</t>
        </is>
      </c>
      <c r="C811" s="102" t="inlineStr">
        <is>
          <t xml:space="preserve">Недозвон</t>
        </is>
      </c>
      <c r="D811" s="102" t="inlineStr">
        <is>
          <t xml:space="preserve">Кр-99041288-1</t>
        </is>
      </c>
      <c r="E811" s="102" t="inlineStr">
        <is>
          <t xml:space="preserve">CHORSHANBIYEV UMIDJON ZOIROVICH</t>
        </is>
      </c>
      <c r="F811" s="102" t="inlineStr">
        <is>
          <t xml:space="preserve">+998942650707 SMS O’ZI, 998952330001 SMS OPASI, 998997110001 SMS UKASI,</t>
        </is>
      </c>
      <c r="G811" s="102" t="inlineStr">
        <is>
          <t xml:space="preserve">Ибн Сино, дом 22, кв. 48</t>
        </is>
      </c>
      <c r="H811" s="103">
        <v>8.0</v>
      </c>
      <c r="I811" s="103">
        <v>901283.84</v>
      </c>
      <c r="K811" s="102" t="inlineStr">
        <is>
          <t xml:space="preserve">Telefon ko'tarmadi | hamma nomer ocu tg qdrdm ciqmad mfy ga tel qldm topib beraman dd | 1081</t>
        </is>
      </c>
    </row>
    <row r="812">
      <c r="A812" s="102" t="inlineStr">
        <is>
          <t xml:space="preserve">СУРХОНДАРЁ ВИЛОЯТИ</t>
        </is>
      </c>
      <c r="C812" s="102" t="inlineStr">
        <is>
          <t xml:space="preserve">Недозвон</t>
        </is>
      </c>
      <c r="D812" s="102" t="inlineStr">
        <is>
          <t xml:space="preserve">Кр-99030323-2</t>
        </is>
      </c>
      <c r="E812" s="102" t="inlineStr">
        <is>
          <t xml:space="preserve">ERONOV YUNUS TO’LAGANOVICH</t>
        </is>
      </c>
      <c r="F812" s="102" t="inlineStr">
        <is>
          <t xml:space="preserve">88-611-55-53 SMS O’ZI, 88-939-29-97  SMS UKASI, 99-557-23-55  SMS AYOLI, 97-696-05-65  SMS UY,</t>
        </is>
      </c>
      <c r="G812" s="102" t="inlineStr">
        <is>
          <t xml:space="preserve">SURXONDARYO VILOYATI DENOV  SHAXAR  QIZILCHA MFY  OL’GA  KO’CHASI 42-UY</t>
        </is>
      </c>
      <c r="H812" s="103">
        <v>8.0</v>
      </c>
      <c r="I812" s="103">
        <v>890639.67</v>
      </c>
    </row>
    <row r="813">
      <c r="A813" s="102" t="inlineStr">
        <is>
          <t xml:space="preserve">СУРХОНДАРЁ ВИЛОЯТИ</t>
        </is>
      </c>
      <c r="C813" s="102" t="inlineStr">
        <is>
          <t xml:space="preserve">Недозвон</t>
        </is>
      </c>
      <c r="D813" s="102" t="inlineStr">
        <is>
          <t xml:space="preserve">Кр-99031360-1</t>
        </is>
      </c>
      <c r="E813" s="102" t="inlineStr">
        <is>
          <t xml:space="preserve">AZIMOVA IRODA ISMATULLAYEVNA</t>
        </is>
      </c>
      <c r="F813" s="102" t="inlineStr">
        <is>
          <t xml:space="preserve">99-425-57-94 SMS OZi, 99-204-57-94  SMS UY, 93-634-35-69  SMS DADASI, 99-209-57-94  SMS OZI,</t>
        </is>
      </c>
      <c r="G813" s="102" t="inlineStr">
        <is>
          <t xml:space="preserve">SURXONDARYO VILOYATI SARIOSIYO TUMANI BOGI-IRAM QFY SHAXRIOBOD MFY SAXI KO’CHASI 69-UY </t>
        </is>
      </c>
      <c r="I813" s="103">
        <v>883090.92</v>
      </c>
    </row>
    <row r="814">
      <c r="A814" s="102" t="inlineStr">
        <is>
          <t xml:space="preserve">СУРХОНДАРЁ ВИЛОЯТИ</t>
        </is>
      </c>
      <c r="C814" s="102" t="inlineStr">
        <is>
          <t xml:space="preserve">Недозвон</t>
        </is>
      </c>
      <c r="D814" s="102" t="inlineStr">
        <is>
          <t xml:space="preserve">Кр-99028595-1</t>
        </is>
      </c>
      <c r="E814" s="102" t="inlineStr">
        <is>
          <t xml:space="preserve">ABDULLOYEV NODIRBEK XASANOVICH</t>
        </is>
      </c>
      <c r="F814" s="102" t="inlineStr">
        <is>
          <t xml:space="preserve">998978489095 SMS , 998972434691 SMS UY, 998979067576 SMS AKASI, 998940743208 SMS OSHNASI,</t>
        </is>
      </c>
      <c r="G814" s="102" t="inlineStr">
        <is>
          <t xml:space="preserve">SURXONDARYO VILOYATI SARIOSIYO TUMANI NURBULOG MFY UMIDNIXOLLARI KO’CHASI 72-UY</t>
        </is>
      </c>
      <c r="I814" s="103">
        <v>876116.8</v>
      </c>
    </row>
    <row r="815">
      <c r="A815" s="102" t="inlineStr">
        <is>
          <t xml:space="preserve">СУРХОНДАРЁ ВИЛОЯТИ</t>
        </is>
      </c>
      <c r="C815" s="102" t="inlineStr">
        <is>
          <t xml:space="preserve">Недозвон</t>
        </is>
      </c>
      <c r="D815" s="102" t="inlineStr">
        <is>
          <t xml:space="preserve">Кр-99023068-2</t>
        </is>
      </c>
      <c r="E815" s="102" t="inlineStr">
        <is>
          <t xml:space="preserve">AZIZOV NODIR AZIM O’G’LI</t>
        </is>
      </c>
      <c r="F815" s="102" t="inlineStr">
        <is>
          <t xml:space="preserve">998940800100 SMS uzi,</t>
        </is>
      </c>
      <c r="H815" s="103">
        <v>8.0</v>
      </c>
      <c r="I815" s="103">
        <v>871489.2</v>
      </c>
    </row>
    <row r="816">
      <c r="A816" s="102" t="inlineStr">
        <is>
          <t xml:space="preserve">СУРХОНДАРЁ ВИЛОЯТИ</t>
        </is>
      </c>
      <c r="C816" s="102" t="inlineStr">
        <is>
          <t xml:space="preserve">Недозвон</t>
        </is>
      </c>
      <c r="D816" s="102" t="inlineStr">
        <is>
          <t xml:space="preserve">Кр-99015341-4</t>
        </is>
      </c>
      <c r="E816" s="102" t="inlineStr">
        <is>
          <t xml:space="preserve">SALIMOV UMID UMARJANOVICH</t>
        </is>
      </c>
      <c r="F816" s="102" t="inlineStr">
        <is>
          <t xml:space="preserve">91-517-19-81 SMS, 99-447-19-81 SMS O’ZI begona , 91-232-14-86 SMS UY, 99-320-02-35 SMS, 94-485-18-01 SMS ozi tolovchi begona ,</t>
        </is>
      </c>
      <c r="G816" s="102" t="inlineStr">
        <is>
          <t xml:space="preserve">SURXONDARYO VILOYATI UZUN TUMANI UZUN QFY YANGIRO’ZG’OR MFY SH.RAXMONOV KO’CHASI 48-UY</t>
        </is>
      </c>
      <c r="H816" s="103">
        <v>8.0</v>
      </c>
      <c r="I816" s="103">
        <v>854238.26</v>
      </c>
    </row>
    <row r="817">
      <c r="A817" s="102" t="inlineStr">
        <is>
          <t xml:space="preserve">СУРХОНДАРЁ ВИЛОЯТИ</t>
        </is>
      </c>
      <c r="C817" s="102" t="inlineStr">
        <is>
          <t xml:space="preserve">Недозвон</t>
        </is>
      </c>
      <c r="D817" s="102" t="inlineStr">
        <is>
          <t xml:space="preserve">Кр-99025196-2</t>
        </is>
      </c>
      <c r="E817" s="102" t="inlineStr">
        <is>
          <t xml:space="preserve">G’OPPOROVA MEHKAMTOSH YUNUSOVNA</t>
        </is>
      </c>
      <c r="F817" s="102" t="inlineStr">
        <is>
          <t xml:space="preserve">91-900-74-90 SMS OZI, 99-146-42-94  SMS UY, 88-534-70-90  SMS OILASI,</t>
        </is>
      </c>
      <c r="G817" s="102" t="inlineStr">
        <is>
          <t xml:space="preserve">SURXONDARYO VILOYATI SHO’RCHI TUMANI QULDOSH QFY OLIY HIMMAT MFY OBOD 6-UY</t>
        </is>
      </c>
      <c r="H817" s="103">
        <v>1.0</v>
      </c>
      <c r="I817" s="103">
        <v>801257.45</v>
      </c>
    </row>
    <row r="818">
      <c r="A818" s="102" t="inlineStr">
        <is>
          <t xml:space="preserve">СУРХОНДАРЁ ВИЛОЯТИ</t>
        </is>
      </c>
      <c r="C818" s="102" t="inlineStr">
        <is>
          <t xml:space="preserve">Недозвон</t>
        </is>
      </c>
      <c r="D818" s="102" t="inlineStr">
        <is>
          <t xml:space="preserve">Кр-99030613-2</t>
        </is>
      </c>
      <c r="E818" s="102" t="inlineStr">
        <is>
          <t xml:space="preserve">QURBONOV NURSULTON BEGALIYEVICH</t>
        </is>
      </c>
      <c r="F818" s="102" t="inlineStr">
        <is>
          <t xml:space="preserve">998905232918 SMS UY, 998916339707 SMS UKASI ERALI, 998941624149 SMS AYOLI, 998771091897 SMS OZI TOLOVCHI,</t>
        </is>
      </c>
      <c r="G818" s="102" t="inlineStr">
        <is>
          <t xml:space="preserve">SURXONDARYO VILOYATI DENOV  TUMANI XAZARBOG’ QFY QOVUNLI SOY MFY QOVUNLISOY KUCHASI  11-UY</t>
        </is>
      </c>
      <c r="H818" s="103">
        <v>8.0</v>
      </c>
      <c r="I818" s="103">
        <v>776359.0</v>
      </c>
    </row>
    <row r="819">
      <c r="A819" s="102" t="inlineStr">
        <is>
          <t xml:space="preserve">СУРХОНДАРЁ ВИЛОЯТИ</t>
        </is>
      </c>
      <c r="C819" s="102" t="inlineStr">
        <is>
          <t xml:space="preserve">Недозвон</t>
        </is>
      </c>
      <c r="D819" s="102" t="inlineStr">
        <is>
          <t xml:space="preserve">Кр-99012623-4</t>
        </is>
      </c>
      <c r="E819" s="102" t="inlineStr">
        <is>
          <t xml:space="preserve">XASANOVA MEHRINISO MELIYEVNA</t>
        </is>
      </c>
      <c r="F819" s="102" t="inlineStr">
        <is>
          <t xml:space="preserve">33-656-00-89 SMS OZI, 94-894-49-95 SMS UY, 94-206-47-86 SMS AKASI, 97-850-13-15 Begona ,</t>
        </is>
      </c>
      <c r="G819" s="102" t="inlineStr">
        <is>
          <t xml:space="preserve">СУРХОДАРЁ ВИЛОЯТИ ДЕНОВ ТУМАНИ ГУЛОБОД МФЙ НУРЛИ ЙУЛ 7-УЙ</t>
        </is>
      </c>
      <c r="H819" s="103">
        <v>8.0</v>
      </c>
      <c r="I819" s="103">
        <v>643779.24</v>
      </c>
    </row>
    <row r="820">
      <c r="A820" s="102" t="inlineStr">
        <is>
          <t xml:space="preserve">СУРХОНДАРЁ ВИЛОЯТИ</t>
        </is>
      </c>
      <c r="C820" s="102" t="inlineStr">
        <is>
          <t xml:space="preserve">Недозвон</t>
        </is>
      </c>
      <c r="D820" s="102" t="inlineStr">
        <is>
          <t xml:space="preserve">Кр-99033231-2</t>
        </is>
      </c>
      <c r="E820" s="102" t="inlineStr">
        <is>
          <t xml:space="preserve">ESHNAZAROV SUNNATULLA AXMATOVICH</t>
        </is>
      </c>
      <c r="F820" s="102" t="inlineStr">
        <is>
          <t xml:space="preserve">998883032896 SMS O’ZI, 998888070187 SMS UY, 998771628983 SMS OILASI, 998978486888 SMS SHERIGI,</t>
        </is>
      </c>
      <c r="G820" s="102" t="inlineStr">
        <is>
          <t xml:space="preserve">ДИЙДОР МФЙ, ОБОД КЎЧАСИ,  uy:Р/С</t>
        </is>
      </c>
      <c r="H820" s="103">
        <v>8.0</v>
      </c>
      <c r="I820" s="103">
        <v>617990.05</v>
      </c>
    </row>
    <row r="821">
      <c r="A821" s="102" t="inlineStr">
        <is>
          <t xml:space="preserve">СУРХОНДАРЁ ВИЛОЯТИ</t>
        </is>
      </c>
      <c r="C821" s="102" t="inlineStr">
        <is>
          <t xml:space="preserve">Недозвон</t>
        </is>
      </c>
      <c r="D821" s="102" t="inlineStr">
        <is>
          <t xml:space="preserve">Кр-99011132-4</t>
        </is>
      </c>
      <c r="E821" s="102" t="inlineStr">
        <is>
          <t xml:space="preserve">XUDOYQULOV SHOHZOD ODILOVICH</t>
        </is>
      </c>
      <c r="F821" s="102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821" s="102" t="inlineStr">
        <is>
          <t xml:space="preserve">SURXONDARYO VILOYATI SHO’RCHI TUMANI DALVARZIN QFY EGARCHI MFY ADIR KO’CHASI 6-UY</t>
        </is>
      </c>
      <c r="H821" s="103">
        <v>1.0</v>
      </c>
      <c r="I821" s="103">
        <v>585073.32</v>
      </c>
    </row>
    <row r="822">
      <c r="A822" s="102" t="inlineStr">
        <is>
          <t xml:space="preserve">СУРХОНДАРЁ ВИЛОЯТИ</t>
        </is>
      </c>
      <c r="C822" s="102" t="inlineStr">
        <is>
          <t xml:space="preserve">Объезд</t>
        </is>
      </c>
      <c r="D822" s="102" t="inlineStr">
        <is>
          <t xml:space="preserve">Кр-99039613-1</t>
        </is>
      </c>
      <c r="E822" s="102" t="inlineStr">
        <is>
          <t xml:space="preserve">XAMIDOV SHERALI TOXIR O’G’LI</t>
        </is>
      </c>
      <c r="F822" s="102" t="inlineStr">
        <is>
          <t xml:space="preserve">998930779988 SMS OZI  TERMIZ XODIM ,</t>
        </is>
      </c>
      <c r="G822" s="102" t="inlineStr">
        <is>
          <t xml:space="preserve">SURXONDARYO VILOYAT TERMIZ SHAXAR ESKI SHAXAR MYF BIRDAMLIK KO’CHASI 2-BURILISH 52 UY</t>
        </is>
      </c>
      <c r="I822" s="103">
        <v>565490.38</v>
      </c>
      <c r="K822" s="102" t="inlineStr">
        <is>
          <t xml:space="preserve">Uyiga borildi - va'da berdi | oy oxrgaca tolo qlad | 895</t>
        </is>
      </c>
    </row>
    <row r="823">
      <c r="A823" s="102" t="inlineStr">
        <is>
          <t xml:space="preserve">СУРХОНДАРЁ ВИЛОЯТИ</t>
        </is>
      </c>
      <c r="C823" s="102" t="inlineStr">
        <is>
          <t xml:space="preserve">Недозвон</t>
        </is>
      </c>
      <c r="D823" s="102" t="inlineStr">
        <is>
          <t xml:space="preserve">Кр-99021788-3</t>
        </is>
      </c>
      <c r="E823" s="102" t="inlineStr">
        <is>
          <t xml:space="preserve">XAKIMOV IKROMJON SAFAROVICH</t>
        </is>
      </c>
      <c r="F823" s="102" t="inlineStr">
        <is>
          <t xml:space="preserve">99-563-63-55 SMS OZI, 88-753-83-77 SMS, 99-105-22-72  SMS UY,</t>
        </is>
      </c>
      <c r="G823" s="102" t="inlineStr">
        <is>
          <t xml:space="preserve">SURXONDARYO VILOYATI DENOV TUMANI  DENOV QFY LAG’MON OTA MFY BAXT KO’CHASI 54-UY</t>
        </is>
      </c>
      <c r="I823" s="103">
        <v>557266.05</v>
      </c>
    </row>
    <row r="824">
      <c r="A824" s="102" t="inlineStr">
        <is>
          <t xml:space="preserve">СУРХОНДАРЁ ВИЛОЯТИ</t>
        </is>
      </c>
      <c r="C824" s="102" t="inlineStr">
        <is>
          <t xml:space="preserve">Недозвон</t>
        </is>
      </c>
      <c r="D824" s="102" t="inlineStr">
        <is>
          <t xml:space="preserve">Кр-99012096-4</t>
        </is>
      </c>
      <c r="E824" s="102" t="inlineStr">
        <is>
          <t xml:space="preserve">FORMONOV BOZAR MUMINOVICH</t>
        </is>
      </c>
      <c r="F824" s="102" t="inlineStr">
        <is>
          <t xml:space="preserve">998950407744 SMS OZI, 998942057744 SMS UY, 998943274777 SMS OGLI, 998942670015 SMS OGLI HALIM,</t>
        </is>
      </c>
      <c r="G824" s="102" t="inlineStr">
        <is>
          <t xml:space="preserve">SURXONDARYO VILOYATI DENOV TUMANI OYBARAK MFY A. YUQORI QISHLOQ KO’CHASI 45-UY</t>
        </is>
      </c>
      <c r="H824" s="103">
        <v>8.0</v>
      </c>
      <c r="I824" s="103">
        <v>469321.4</v>
      </c>
    </row>
    <row r="825">
      <c r="A825" s="102" t="inlineStr">
        <is>
          <t xml:space="preserve">СУРХОНДАРЁ ВИЛОЯТИ</t>
        </is>
      </c>
      <c r="C825" s="102" t="inlineStr">
        <is>
          <t xml:space="preserve">Недозвон</t>
        </is>
      </c>
      <c r="D825" s="102" t="inlineStr">
        <is>
          <t xml:space="preserve">Кр-99039405-1</t>
        </is>
      </c>
      <c r="E825" s="102" t="inlineStr">
        <is>
          <t xml:space="preserve">XURRAMOV HUSNIDDIN XAYRULLAYEVICH</t>
        </is>
      </c>
      <c r="F825" s="102" t="inlineStr">
        <is>
          <t xml:space="preserve">998884466040 SMS OZI, 998881941101 SMS SHERIGI, 998888720097 SMS ZALOGATEL, 998334200404 SMS OZI,</t>
        </is>
      </c>
      <c r="G825" s="102" t="inlineStr">
        <is>
          <t xml:space="preserve">SURXONDARYO VILOYATI DENOV TUMANI XAYRABOD QFY SHAMOLI MFY TOJIMAHAL 39-UY</t>
        </is>
      </c>
      <c r="H825" s="103">
        <v>8.0</v>
      </c>
      <c r="I825" s="103">
        <v>460641.51</v>
      </c>
    </row>
    <row r="826">
      <c r="A826" s="102" t="inlineStr">
        <is>
          <t xml:space="preserve">СУРХОНДАРЁ ВИЛОЯТИ</t>
        </is>
      </c>
      <c r="C826" s="102" t="inlineStr">
        <is>
          <t xml:space="preserve">Недозвон</t>
        </is>
      </c>
      <c r="D826" s="102" t="inlineStr">
        <is>
          <t xml:space="preserve">Кр-99044462-1</t>
        </is>
      </c>
      <c r="E826" s="102" t="inlineStr">
        <is>
          <t xml:space="preserve">QARSHIYEV SHOHRUHBEK TO’LQIN O’G’LI</t>
        </is>
      </c>
      <c r="F826" s="102" t="inlineStr">
        <is>
          <t xml:space="preserve">+998977748999 SMS O’ZI, 998774798999 SMS AKASI, 998937996676 SMS UY,</t>
        </is>
      </c>
      <c r="G826" s="102" t="inlineStr">
        <is>
          <t xml:space="preserve">Сурхандарьинская область, Кизирикский район, Гулобод МСГ, ул. Мустақиллик, дом 31</t>
        </is>
      </c>
      <c r="H826" s="103">
        <v>8.0</v>
      </c>
      <c r="I826" s="103">
        <v>363844.42</v>
      </c>
      <c r="K826" s="102" t="inlineStr">
        <is>
          <t xml:space="preserve">Telefon ko'tarmadi | tgdan yozdm | 1211</t>
        </is>
      </c>
    </row>
    <row r="827">
      <c r="A827" s="102" t="inlineStr">
        <is>
          <t xml:space="preserve">СУРХОНДАРЁ ВИЛОЯТИ</t>
        </is>
      </c>
      <c r="C827" s="102" t="inlineStr">
        <is>
          <t xml:space="preserve">Недозвон</t>
        </is>
      </c>
      <c r="D827" s="102" t="inlineStr">
        <is>
          <t xml:space="preserve">Кр-99011132-5</t>
        </is>
      </c>
      <c r="E827" s="102" t="inlineStr">
        <is>
          <t xml:space="preserve">XUDOYQULOV SHOHZOD ODILOVICH</t>
        </is>
      </c>
      <c r="F827" s="102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827" s="102" t="inlineStr">
        <is>
          <t xml:space="preserve">SURXONDARYO VILOYATI SHO’RCHI TUMANI DALVARZIN QFY EGARCHI MFY ADIR KO’CHASI 6-UY</t>
        </is>
      </c>
      <c r="H827" s="103">
        <v>8.0</v>
      </c>
      <c r="I827" s="103">
        <v>315902.42</v>
      </c>
    </row>
    <row r="828">
      <c r="A828" s="102" t="inlineStr">
        <is>
          <t xml:space="preserve">СУРХОНДАРЁ ВИЛОЯТИ</t>
        </is>
      </c>
      <c r="C828" s="102" t="inlineStr">
        <is>
          <t xml:space="preserve">Объезд</t>
        </is>
      </c>
      <c r="D828" s="102" t="inlineStr">
        <is>
          <t xml:space="preserve">Кр-99022606-3</t>
        </is>
      </c>
      <c r="E828" s="102" t="inlineStr">
        <is>
          <t xml:space="preserve">DJANGIBOYEVA MAXFIRAT JUMAYEVNA</t>
        </is>
      </c>
      <c r="F828" s="102" t="inlineStr">
        <is>
          <t xml:space="preserve">91-969-15-33 SMS, 90-073-43-83  SMS UY, 90-295-92-88  SMS ZALOGADATEL, 90-249-94-60 SMS begona, 95-216-37-08 SMS eri, 998919099460 SMS ozi , 998936209288 SMS ozi new ,</t>
        </is>
      </c>
      <c r="G828" s="102" t="inlineStr">
        <is>
          <t xml:space="preserve">ШЎРЧИ ҚФЙ, ОЙНАКЎЛ МФЙ,  БУНЁДКОР 49-УЙ</t>
        </is>
      </c>
      <c r="H828" s="103">
        <v>8.0</v>
      </c>
      <c r="I828" s="103">
        <v>167906.71</v>
      </c>
      <c r="K828" s="102" t="inlineStr">
        <is>
          <t xml:space="preserve">Uyiga borildi - va'da berdi | 133</t>
        </is>
      </c>
    </row>
    <row r="829">
      <c r="A829" s="102" t="inlineStr">
        <is>
          <t xml:space="preserve">СУРХОНДАРЁ ВИЛОЯТИ</t>
        </is>
      </c>
      <c r="C829" s="102" t="inlineStr">
        <is>
          <t xml:space="preserve">Недозвон</t>
        </is>
      </c>
      <c r="D829" s="102" t="inlineStr">
        <is>
          <t xml:space="preserve">Кр-99039292-1</t>
        </is>
      </c>
      <c r="E829" s="102" t="inlineStr">
        <is>
          <t xml:space="preserve">SHAYIMOV MAMASHARIF SHOMUROTOVICH</t>
        </is>
      </c>
      <c r="F829" s="102" t="inlineStr">
        <is>
          <t xml:space="preserve">998941064444 SMS OZI, 998993543793 SMS UY, 998996226524 SMS ONASI, 998990330596 SMS UKASI,</t>
        </is>
      </c>
      <c r="G829" s="102" t="inlineStr">
        <is>
          <t xml:space="preserve">TOSHKENT SHAHAR UCHTEPA TUMANI 23-MAVZEE 39-XONADON</t>
        </is>
      </c>
      <c r="H829" s="103">
        <v>12.0</v>
      </c>
      <c r="I829" s="103">
        <v>166781.47</v>
      </c>
    </row>
    <row r="830">
      <c r="A830" s="102" t="inlineStr">
        <is>
          <t xml:space="preserve">СУРХОНДАРЁ ВИЛОЯТИ</t>
        </is>
      </c>
      <c r="C830" s="102" t="inlineStr">
        <is>
          <t xml:space="preserve">Недозвон</t>
        </is>
      </c>
      <c r="D830" s="102" t="inlineStr">
        <is>
          <t xml:space="preserve">Кр-99014989-4</t>
        </is>
      </c>
      <c r="E830" s="102" t="inlineStr">
        <is>
          <t xml:space="preserve">RUZIYEV UKTAM ABDIRAYEMOVICH</t>
        </is>
      </c>
      <c r="F830" s="102" t="inlineStr">
        <is>
          <t xml:space="preserve">99-335-45-80 SMS, 99-715-45-80 SMS UY, 99-454-45-80 SMS, 99-742-60-93 SMS ISHXONA,</t>
        </is>
      </c>
      <c r="G830" s="102" t="inlineStr">
        <is>
          <t xml:space="preserve">МИРШОДИ ҚФЙ, ОБОД ТУРМУШ МФЙ,  uy:00</t>
        </is>
      </c>
      <c r="I830" s="103">
        <v>150170.13</v>
      </c>
    </row>
    <row r="831">
      <c r="A831" s="102" t="inlineStr">
        <is>
          <t xml:space="preserve">СУРХОНДАРЁ ВИЛОЯТИ</t>
        </is>
      </c>
      <c r="C831" s="102" t="inlineStr">
        <is>
          <t xml:space="preserve">Объезд</t>
        </is>
      </c>
      <c r="D831" s="102" t="inlineStr">
        <is>
          <t xml:space="preserve">Кр-99022504-4</t>
        </is>
      </c>
      <c r="E831" s="102" t="inlineStr">
        <is>
          <t xml:space="preserve">MUQUMOVA MAXFURAT QUVOTOVNA</t>
        </is>
      </c>
      <c r="F831" s="102" t="inlineStr">
        <is>
          <t xml:space="preserve">91-229-38-19 SMS, 91-715-95-96  SMS UY, 91-075-20-16  SMS O’G’LI BEKZOD, 998917191006 SMS ozi, 998882439996 SMS OZI TOLOVCHI , 998887239996 SMS new uzi,</t>
        </is>
      </c>
      <c r="G831" s="102" t="inlineStr">
        <is>
          <t xml:space="preserve">SURXONDARYO VILOYATI SHO’RCHI TUMANI YANGIBOZOR QFY OQQURG’ON MFY MUSTAQILLIK KO’CHASI 132-UY</t>
        </is>
      </c>
      <c r="H831" s="103">
        <v>11.0</v>
      </c>
      <c r="I831" s="103">
        <v>17475.77</v>
      </c>
      <c r="K831" s="102" t="inlineStr">
        <is>
          <t xml:space="preserve">Uyiga borildi - va'da berdi | yopildi | 131</t>
        </is>
      </c>
    </row>
    <row r="832">
      <c r="A832" s="104" t="inlineStr">
        <is>
          <t xml:space="preserve">ТОШКЕНТ ВИЛОЯТИ</t>
        </is>
      </c>
      <c r="C832" s="104" t="inlineStr">
        <is>
          <t xml:space="preserve">Недозвон</t>
        </is>
      </c>
      <c r="D832" s="104" t="inlineStr">
        <is>
          <t xml:space="preserve">Кр-99040873-2</t>
        </is>
      </c>
      <c r="E832" s="104" t="inlineStr">
        <is>
          <t xml:space="preserve">KABIROV ROMAN RAFAELEVICH</t>
        </is>
      </c>
      <c r="F832" s="104" t="inlineStr">
        <is>
          <t xml:space="preserve">998934746660 SMS OZI, 998942570677 SMS SINGLISI, 998908180719 SMS ZALOGATEL, 998505091327 SMS RUSTAM Zalogodatel, 998941312713 SMS RUSTAM Zalogodatel,</t>
        </is>
      </c>
      <c r="G832" s="104" t="inlineStr">
        <is>
          <t xml:space="preserve">TOSHKENT VILOYATI CHIRCHIQ SHAHAR 8-MIKRORAYON 53-UY, 4-XONADON</t>
        </is>
      </c>
      <c r="H832" s="105">
        <v>253.0</v>
      </c>
      <c r="I832" s="105">
        <v>152839157.5</v>
      </c>
    </row>
    <row r="833">
      <c r="A833" s="104" t="inlineStr">
        <is>
          <t xml:space="preserve">ТОШКЕНТ ВИЛОЯТИ</t>
        </is>
      </c>
      <c r="C833" s="104" t="inlineStr">
        <is>
          <t xml:space="preserve">Недозвон</t>
        </is>
      </c>
      <c r="D833" s="104" t="inlineStr">
        <is>
          <t xml:space="preserve">Кр-99032324-1</t>
        </is>
      </c>
      <c r="E833" s="104" t="inlineStr">
        <is>
          <t xml:space="preserve">ABDUSATTOROV XAYRILLA ASKAROVICH</t>
        </is>
      </c>
      <c r="F833" s="104" t="inlineStr">
        <is>
          <t xml:space="preserve">998770215400 SMS O’ZI TURIZM DA ISHLIRKAN , 998905017070 SMS TO’LOVCHI ANVAR, 998870000122 SMS TO’LOVCHI 2, 998901788600 SMS FIRMA RAHBARI,</t>
        </is>
      </c>
      <c r="G833" s="104" t="inlineStr">
        <is>
          <t xml:space="preserve">TOSHKENT VILOYATI ZANGIOTA TUMANI ERKIN QFY QURILISH MFY PAXLOVON KO’CHASI 14-UY</t>
        </is>
      </c>
      <c r="H833" s="105">
        <v>221.0</v>
      </c>
      <c r="I833" s="105">
        <v>81497290.14</v>
      </c>
    </row>
    <row r="834">
      <c r="A834" s="104" t="inlineStr">
        <is>
          <t xml:space="preserve">ТОШКЕНТ ВИЛОЯТИ</t>
        </is>
      </c>
      <c r="C834" s="104" t="inlineStr">
        <is>
          <t xml:space="preserve">Недозвон</t>
        </is>
      </c>
      <c r="D834" s="104" t="inlineStr">
        <is>
          <t xml:space="preserve">Кр-99057260-1</t>
        </is>
      </c>
      <c r="E834" s="104" t="inlineStr">
        <is>
          <t xml:space="preserve">ZOITOVA NIGORA UMAROVNA</t>
        </is>
      </c>
      <c r="F834" s="104" t="inlineStr">
        <is>
          <t xml:space="preserve">998900022566 SMS OZI, 998979061580 SMS ONASI, 998900022577 SMS OTASI, 998971994991 SMS AKASIU,</t>
        </is>
      </c>
      <c r="G834" s="104" t="inlineStr">
        <is>
          <t xml:space="preserve">TOSHKENT VILOYATI CHIRCHIQ SHAHRI BOBUR MFY 10-KICHIK NOXIYA 87-UY,43-XONADON</t>
        </is>
      </c>
      <c r="H834" s="105">
        <v>133.0</v>
      </c>
      <c r="I834" s="105">
        <v>65475171.06</v>
      </c>
    </row>
    <row r="835">
      <c r="A835" s="104" t="inlineStr">
        <is>
          <t xml:space="preserve">ТОШКЕНТ ВИЛОЯТИ</t>
        </is>
      </c>
      <c r="C835" s="104" t="inlineStr">
        <is>
          <t xml:space="preserve">Недозвон</t>
        </is>
      </c>
      <c r="D835" s="104" t="inlineStr">
        <is>
          <t xml:space="preserve">Кр-99039427-1</t>
        </is>
      </c>
      <c r="E835" s="104" t="inlineStr">
        <is>
          <t xml:space="preserve">OSMANOV MEMET NAFEYEVICH</t>
        </is>
      </c>
      <c r="F835" s="104" t="inlineStr">
        <is>
          <t xml:space="preserve">998895214815 SMS OZI, 998909429237 SMS OPASI, 998959019516 SMS AYOLI,</t>
        </is>
      </c>
      <c r="G835" s="104" t="inlineStr">
        <is>
          <t xml:space="preserve">TOSHKENT VILOYATI YANGIYO’L SHAHAR MUSTAQILLIK MFY UZUMZOR KO’CHASI 59-UY, 16-XONADON </t>
        </is>
      </c>
      <c r="H835" s="105">
        <v>160.0</v>
      </c>
      <c r="I835" s="105">
        <v>64220380.91</v>
      </c>
    </row>
    <row r="836">
      <c r="A836" s="104" t="inlineStr">
        <is>
          <t xml:space="preserve">ТОШКЕНТ ВИЛОЯТИ</t>
        </is>
      </c>
      <c r="C836" s="104" t="inlineStr">
        <is>
          <t xml:space="preserve">Недозвон</t>
        </is>
      </c>
      <c r="D836" s="104" t="inlineStr">
        <is>
          <t xml:space="preserve">Кр-99062938-1</t>
        </is>
      </c>
      <c r="E836" s="104" t="inlineStr">
        <is>
          <t xml:space="preserve">SOBIROVA RUXSHONA NADIR QIZI</t>
        </is>
      </c>
      <c r="F836" s="104" t="inlineStr">
        <is>
          <t xml:space="preserve">+998983114494 SMS-O’ZI, 998700145858 SMS-POCHASI, 998900101414 SMS-O’ZI, 998998706110 SMS-OPASI,</t>
        </is>
      </c>
      <c r="G836" s="104" t="inlineStr">
        <is>
          <t xml:space="preserve">GULISTON KO’CHASI 31A-UY</t>
        </is>
      </c>
      <c r="H836" s="105">
        <v>41.0</v>
      </c>
      <c r="I836" s="105">
        <v>36326627.57</v>
      </c>
    </row>
    <row r="837">
      <c r="A837" s="104" t="inlineStr">
        <is>
          <t xml:space="preserve">ТОШКЕНТ ВИЛОЯТИ</t>
        </is>
      </c>
      <c r="C837" s="104" t="inlineStr">
        <is>
          <t xml:space="preserve">Недозвон</t>
        </is>
      </c>
      <c r="D837" s="104" t="inlineStr">
        <is>
          <t xml:space="preserve">Кр-99029512-1</t>
        </is>
      </c>
      <c r="E837" s="104" t="inlineStr">
        <is>
          <t xml:space="preserve">XASANOV ORIF KUCHKAROVICH</t>
        </is>
      </c>
      <c r="F837" s="104" t="inlineStr">
        <is>
          <t xml:space="preserve">998943553039 SMS OZI 1 , 998946086728 SMS UKASI, 998700523222 SMS UKASI , 998977697700 SMS AYOLI, 998973655556 SMS OZI 2, 998971455556 SMS OZI 3,</t>
        </is>
      </c>
      <c r="G837" s="104" t="inlineStr">
        <is>
          <t xml:space="preserve">TOSHKENT VILOYATI ZANGIOTA TUMANI TURKISTON QFY, ALIMBUVA MFY, TURKISTON OSUDA 19-UY</t>
        </is>
      </c>
      <c r="H837" s="105">
        <v>197.0</v>
      </c>
      <c r="I837" s="105">
        <v>31551892.72</v>
      </c>
    </row>
    <row r="838">
      <c r="A838" s="104" t="inlineStr">
        <is>
          <t xml:space="preserve">ТОШКЕНТ ВИЛОЯТИ</t>
        </is>
      </c>
      <c r="C838" s="104" t="inlineStr">
        <is>
          <t xml:space="preserve">Недозвон</t>
        </is>
      </c>
      <c r="D838" s="104" t="inlineStr">
        <is>
          <t xml:space="preserve">Кр-99038942-1</t>
        </is>
      </c>
      <c r="E838" s="104" t="inlineStr">
        <is>
          <t xml:space="preserve">QO’ZIYEV MUXAMMADALI KAMOLIDDIN O’G’LI</t>
        </is>
      </c>
      <c r="F838" s="104" t="inlineStr">
        <is>
          <t xml:space="preserve">998900641616 SMS OZI, 998981151995 SMS OZI 2, 998950649699 SMS SINGLISI,</t>
        </is>
      </c>
      <c r="G838" s="104" t="inlineStr">
        <is>
          <t xml:space="preserve">TOSHKENT VILOYATI BEKOBOD TUMANI DALVARZIN QFY BOBUR MIRZO MFY,TARAQQIYOT 1-UY</t>
        </is>
      </c>
      <c r="H838" s="105">
        <v>88.0</v>
      </c>
      <c r="I838" s="105">
        <v>18688889.05</v>
      </c>
    </row>
    <row r="839">
      <c r="A839" s="104" t="inlineStr">
        <is>
          <t xml:space="preserve">ТОШКЕНТ ВИЛОЯТИ</t>
        </is>
      </c>
      <c r="C839" s="104" t="inlineStr">
        <is>
          <t xml:space="preserve">Недозвон</t>
        </is>
      </c>
      <c r="D839" s="104" t="inlineStr">
        <is>
          <t xml:space="preserve">Кр-99044333-2</t>
        </is>
      </c>
      <c r="E839" s="104" t="inlineStr">
        <is>
          <t xml:space="preserve">NARMATOV XAMIDULLA SAYFULLAYEVICH</t>
        </is>
      </c>
      <c r="F839" s="104" t="inlineStr">
        <is>
          <t xml:space="preserve">+998994000214 SMS OZI, 998974300214 SMS OZI 2, 998998390214 SMS OPASI,</t>
        </is>
      </c>
      <c r="G839" s="104" t="inlineStr">
        <is>
          <t xml:space="preserve">КИЗГАЛДОК КФЙ, ФАЙЗОБОД МФЙ, КИЗГАЛДОК КФЙ, ФАЙЗОБОД МФЙ, ИСЛОХОТ,  uy:5А</t>
        </is>
      </c>
      <c r="H839" s="105">
        <v>11.0</v>
      </c>
      <c r="I839" s="105">
        <v>18097788.13</v>
      </c>
    </row>
    <row r="840">
      <c r="A840" s="104" t="inlineStr">
        <is>
          <t xml:space="preserve">ТОШКЕНТ ВИЛОЯТИ</t>
        </is>
      </c>
      <c r="C840" s="104" t="inlineStr">
        <is>
          <t xml:space="preserve">Недозвон</t>
        </is>
      </c>
      <c r="D840" s="104" t="inlineStr">
        <is>
          <t xml:space="preserve">Кр-99013988-3</t>
        </is>
      </c>
      <c r="E840" s="104" t="inlineStr">
        <is>
          <t xml:space="preserve">MIRSOBITOV BOTIR AXMADOVICH</t>
        </is>
      </c>
      <c r="F840" s="104" t="inlineStr">
        <is>
          <t xml:space="preserve">33-661-30-40 SMS UZI, 97-733-63-63 SMS AYOLI, 97-715-90-99 SMS SIN, 88-657-73-73 SMS SIN 2, 88-025-29-29 SMS OGLI, +998887658800 SMS O’ZI, 998336613040 SMS O’ZI 2, 998977159099 SMS O’G’LI, 998977336363 SMS AYOLI,</t>
        </is>
      </c>
      <c r="G840" s="104" t="inlineStr">
        <is>
          <t xml:space="preserve">TOSHKENT VILOYATI TOSHKENT TUMANI KELES SHAHARCHASI KELES YOLI KOCHASI 1-UY 21-KVARTIRA</t>
        </is>
      </c>
      <c r="H840" s="105">
        <v>8.0</v>
      </c>
      <c r="I840" s="105">
        <v>15191683.89</v>
      </c>
    </row>
    <row r="841">
      <c r="A841" s="104" t="inlineStr">
        <is>
          <t xml:space="preserve">ТОШКЕНТ ВИЛОЯТИ</t>
        </is>
      </c>
      <c r="C841" s="104" t="inlineStr">
        <is>
          <t xml:space="preserve">Недозвон</t>
        </is>
      </c>
      <c r="D841" s="104" t="inlineStr">
        <is>
          <t xml:space="preserve">Кр-99055935-1</t>
        </is>
      </c>
      <c r="E841" s="104" t="inlineStr">
        <is>
          <t xml:space="preserve">XO'JANAZAROV SHAHZODBEK RAVSHAN O'G'LI</t>
        </is>
      </c>
      <c r="F841" s="104" t="inlineStr">
        <is>
          <t xml:space="preserve">998946714848 SMS O'ZI, 998990424242 SMS AKASI, 998974120712 SMS OGAYNI, 998973423536 SMS OPASI,</t>
        </is>
      </c>
      <c r="G841" s="104" t="inlineStr">
        <is>
          <t xml:space="preserve">TOSHKENT VILOYATI QIBRAY TUMANI  UNKURGON QFY BAXOR 3A</t>
        </is>
      </c>
      <c r="H841" s="105">
        <v>71.0</v>
      </c>
      <c r="I841" s="105">
        <v>14013315.78</v>
      </c>
    </row>
    <row r="842">
      <c r="A842" s="104" t="inlineStr">
        <is>
          <t xml:space="preserve">ТОШКЕНТ ВИЛОЯТИ</t>
        </is>
      </c>
      <c r="C842" s="104" t="inlineStr">
        <is>
          <t xml:space="preserve">Недозвон</t>
        </is>
      </c>
      <c r="D842" s="104" t="inlineStr">
        <is>
          <t xml:space="preserve">Кр-99062610-1</t>
        </is>
      </c>
      <c r="E842" s="104" t="inlineStr">
        <is>
          <t xml:space="preserve">BEGMANOVA GULBUVI AXMATOVNA</t>
        </is>
      </c>
      <c r="F842" s="104" t="inlineStr">
        <is>
          <t xml:space="preserve">998970438603 SMS OZI, 998900108300 SMS ERI, 998970108618 SMS OGLI,</t>
        </is>
      </c>
      <c r="G842" s="104" t="inlineStr">
        <is>
          <t xml:space="preserve">TOSHKENT VILOYATI OQQO'RG'ON TUMANI, SULTONOBOD MFY, NUR KO'CHASI 31-UY</t>
        </is>
      </c>
      <c r="H842" s="105">
        <v>11.0</v>
      </c>
      <c r="I842" s="105">
        <v>12274845.18</v>
      </c>
    </row>
    <row r="843">
      <c r="A843" s="104" t="inlineStr">
        <is>
          <t xml:space="preserve">ТОШКЕНТ ВИЛОЯТИ</t>
        </is>
      </c>
      <c r="C843" s="104" t="inlineStr">
        <is>
          <t xml:space="preserve">Недозвон</t>
        </is>
      </c>
      <c r="D843" s="104" t="inlineStr">
        <is>
          <t xml:space="preserve">Кр-99038323-2</t>
        </is>
      </c>
      <c r="E843" s="104" t="inlineStr">
        <is>
          <t xml:space="preserve">SAFAROV AVAZ QAHRAMANOVICH</t>
        </is>
      </c>
      <c r="F843" s="104" t="inlineStr">
        <is>
          <t xml:space="preserve">998994956737 SMS OZI, 998959883737 SMS OZI, 998956566737 SMS OGLI, 998956566727 SMS OGLI 2,</t>
        </is>
      </c>
      <c r="G843" s="104" t="inlineStr">
        <is>
          <t xml:space="preserve">TOSHKENT VILOYATI ZANGIOTA TUMANI DO’STLIK MFY MIKRORAYON 2, 3-UY, 44-XONADON</t>
        </is>
      </c>
      <c r="H843" s="105">
        <v>11.0</v>
      </c>
      <c r="I843" s="105">
        <v>12092104.83</v>
      </c>
    </row>
    <row r="844">
      <c r="A844" s="104" t="inlineStr">
        <is>
          <t xml:space="preserve">ТОШКЕНТ ВИЛОЯТИ</t>
        </is>
      </c>
      <c r="C844" s="104" t="inlineStr">
        <is>
          <t xml:space="preserve">Недозвон</t>
        </is>
      </c>
      <c r="D844" s="104" t="inlineStr">
        <is>
          <t xml:space="preserve">Кр-99019166-1</t>
        </is>
      </c>
      <c r="E844" s="104" t="inlineStr">
        <is>
          <t xml:space="preserve">TO’LAGANOV MIRXALIL QAXXOROVICH</t>
        </is>
      </c>
      <c r="F844" s="104" t="inlineStr">
        <is>
          <t xml:space="preserve">99-405-52-00  SMS OZI, 93-702-52-00  SMS OZI 2, 99-450-52-00  SMS UY, 99-408-52-00  SMS UY 2,</t>
        </is>
      </c>
      <c r="G844" s="104" t="inlineStr">
        <is>
          <t xml:space="preserve">TOSHKENT VILOYATI PISKENT TUMANI ULUGBEK 73-XONADON</t>
        </is>
      </c>
      <c r="H844" s="105">
        <v>13.0</v>
      </c>
      <c r="I844" s="105">
        <v>11931745.0</v>
      </c>
    </row>
    <row r="845">
      <c r="A845" s="104" t="inlineStr">
        <is>
          <t xml:space="preserve">ТОШКЕНТ ВИЛОЯТИ</t>
        </is>
      </c>
      <c r="C845" s="104" t="inlineStr">
        <is>
          <t xml:space="preserve">Недозвон</t>
        </is>
      </c>
      <c r="D845" s="104" t="inlineStr">
        <is>
          <t xml:space="preserve">Кр-99063574-1</t>
        </is>
      </c>
      <c r="E845" s="104" t="inlineStr">
        <is>
          <t xml:space="preserve">NARMATOV SARDOR BAXTIYAROVICH</t>
        </is>
      </c>
      <c r="F845" s="104" t="inlineStr">
        <is>
          <t xml:space="preserve">998948883882 SMS-UKASI, 998951790088 SMS-O’ZI, 998975986595 SMS-ADASI, 998994017069 SMS-ONASI,</t>
        </is>
      </c>
      <c r="G845" s="104" t="inlineStr">
        <is>
          <t xml:space="preserve">TOSHKENT VILOYATI CHIRCHIQ SHAHAR MA’RIFAT MFY NIZOMI KO’CHASI 18-UY</t>
        </is>
      </c>
      <c r="H845" s="105">
        <v>8.0</v>
      </c>
      <c r="I845" s="105">
        <v>11899477.75</v>
      </c>
    </row>
    <row r="846">
      <c r="A846" s="104" t="inlineStr">
        <is>
          <t xml:space="preserve">ТОШКЕНТ ВИЛОЯТИ</t>
        </is>
      </c>
      <c r="C846" s="104" t="inlineStr">
        <is>
          <t xml:space="preserve">Недозвон</t>
        </is>
      </c>
      <c r="D846" s="104" t="inlineStr">
        <is>
          <t xml:space="preserve">Кр-99057457-2</t>
        </is>
      </c>
      <c r="E846" s="104" t="inlineStr">
        <is>
          <t xml:space="preserve">IBROHIMOV SARDOR FARXOD O’G’LI</t>
        </is>
      </c>
      <c r="F846" s="104" t="inlineStr">
        <is>
          <t xml:space="preserve">+998998936967 SMS OZI, 998930729994 SMS ONASI, 998998785218 SMS AKASI,</t>
        </is>
      </c>
      <c r="G846" s="104" t="inlineStr">
        <is>
          <t xml:space="preserve">TOSHKENT VILOYATI TOSHKENT TUMANI KO’K SAROY OQTOSH MFY  ARCHA KOCHASI 16A-UY</t>
        </is>
      </c>
      <c r="H846" s="105">
        <v>8.0</v>
      </c>
      <c r="I846" s="105">
        <v>11381550.28</v>
      </c>
    </row>
    <row r="847">
      <c r="A847" s="104" t="inlineStr">
        <is>
          <t xml:space="preserve">ТОШКЕНТ ВИЛОЯТИ</t>
        </is>
      </c>
      <c r="C847" s="104" t="inlineStr">
        <is>
          <t xml:space="preserve">Недозвон</t>
        </is>
      </c>
      <c r="D847" s="104" t="inlineStr">
        <is>
          <t xml:space="preserve">Кр-99031911-3</t>
        </is>
      </c>
      <c r="E847" s="104" t="inlineStr">
        <is>
          <t xml:space="preserve">ABLAZOV SARDOR ABDIXAMID O’G’LI</t>
        </is>
      </c>
      <c r="F847" s="104" t="inlineStr">
        <is>
          <t xml:space="preserve">998339299304 SMS O’ZI, 998990971662 SMS ONASI, 998335099304 TURMUSH O’RTOG’I , 998951370340 OPASI, 998997846566 ozin yengi nomeri,</t>
        </is>
      </c>
      <c r="G847" s="104" t="inlineStr">
        <is>
          <t xml:space="preserve">TOSHKENT VILOYATI OXANGARON TUMAN NUROBOD SHAHARCHASI 4-UY 5- XONODON</t>
        </is>
      </c>
      <c r="H847" s="105">
        <v>141.0</v>
      </c>
      <c r="I847" s="105">
        <v>11006633.47</v>
      </c>
    </row>
    <row r="848">
      <c r="A848" s="104" t="inlineStr">
        <is>
          <t xml:space="preserve">ТОШКЕНТ ВИЛОЯТИ</t>
        </is>
      </c>
      <c r="C848" s="104" t="inlineStr">
        <is>
          <t xml:space="preserve">Недозвон</t>
        </is>
      </c>
      <c r="D848" s="104" t="inlineStr">
        <is>
          <t xml:space="preserve">Кр-99059341-4</t>
        </is>
      </c>
      <c r="E848" s="104" t="inlineStr">
        <is>
          <t xml:space="preserve">KALDIBEKOV ULUGBEK ADILBEKOVICH</t>
        </is>
      </c>
      <c r="F848" s="104" t="inlineStr">
        <is>
          <t xml:space="preserve">998333083556 SMS ORTOGI, 998903209449 SMS OZI2, 998903704979 SMS ONASI, 998933966464 SMS OZI,</t>
        </is>
      </c>
      <c r="G848" s="104" t="inlineStr">
        <is>
          <t xml:space="preserve">Рамадан мфй Самарканд кучаси 331-уй 9-хонадон</t>
        </is>
      </c>
      <c r="H848" s="105">
        <v>8.0</v>
      </c>
      <c r="I848" s="105">
        <v>10904202.96</v>
      </c>
    </row>
    <row r="849">
      <c r="A849" s="104" t="inlineStr">
        <is>
          <t xml:space="preserve">ТОШКЕНТ ВИЛОЯТИ</t>
        </is>
      </c>
      <c r="C849" s="104" t="inlineStr">
        <is>
          <t xml:space="preserve">Недозвон</t>
        </is>
      </c>
      <c r="D849" s="104" t="inlineStr">
        <is>
          <t xml:space="preserve">Кр-99060562-1</t>
        </is>
      </c>
      <c r="E849" s="104" t="inlineStr">
        <is>
          <t xml:space="preserve">MAMUROVA ODINA LUTFILLA QIZI</t>
        </is>
      </c>
      <c r="F849" s="104" t="inlineStr">
        <is>
          <t xml:space="preserve">998770036500 SMS OZI, 998881896500 SMS ONASI, 998951203727 SMS ZALOGATEL,</t>
        </is>
      </c>
      <c r="G849" s="104" t="inlineStr">
        <is>
          <t xml:space="preserve">TOSHKENT VILOYATI YANGIYO'L TUMANI YOSHLIK MFY,SAMARQAND KO'CHASI,54-UY</t>
        </is>
      </c>
      <c r="H849" s="105">
        <v>11.0</v>
      </c>
      <c r="I849" s="105">
        <v>10184097.14</v>
      </c>
    </row>
    <row r="850">
      <c r="A850" s="104" t="inlineStr">
        <is>
          <t xml:space="preserve">ТОШКЕНТ ВИЛОЯТИ</t>
        </is>
      </c>
      <c r="C850" s="104" t="inlineStr">
        <is>
          <t xml:space="preserve">Недозвон</t>
        </is>
      </c>
      <c r="D850" s="104" t="inlineStr">
        <is>
          <t xml:space="preserve">Кр-99048720-1</t>
        </is>
      </c>
      <c r="E850" s="104" t="inlineStr">
        <is>
          <t xml:space="preserve">AXMEDOVA TURSUNOY OBIDOVNA</t>
        </is>
      </c>
      <c r="F850" s="104" t="inlineStr">
        <is>
          <t xml:space="preserve">+998998933535 SMS ERI, 998983036768 SMS ERI 2, 998997289676 SMS O’G’LI,</t>
        </is>
      </c>
      <c r="G850" s="104" t="inlineStr">
        <is>
          <t xml:space="preserve">TOSHKENT VILOYATI ZANGIOTA TUMANI GULBOG’ MFY CHORBOG’ 5-UY</t>
        </is>
      </c>
      <c r="H850" s="105">
        <v>8.0</v>
      </c>
      <c r="I850" s="105">
        <v>9834837.64</v>
      </c>
    </row>
    <row r="851">
      <c r="A851" s="104" t="inlineStr">
        <is>
          <t xml:space="preserve">ТОШКЕНТ ВИЛОЯТИ</t>
        </is>
      </c>
      <c r="C851" s="104" t="inlineStr">
        <is>
          <t xml:space="preserve">Недозвон</t>
        </is>
      </c>
      <c r="D851" s="104" t="inlineStr">
        <is>
          <t xml:space="preserve">Кр-99059324-1</t>
        </is>
      </c>
      <c r="E851" s="104" t="inlineStr">
        <is>
          <t xml:space="preserve">ABDURAXMONOVA MUKADDAS NIKMANOVNA</t>
        </is>
      </c>
      <c r="F851" s="104" t="inlineStr">
        <is>
          <t xml:space="preserve">998977706346 SMS OZI, 998978736565 SMS OGLI, 998330306630 SMS QIZI, 998998443220 SMS SINGLISI,</t>
        </is>
      </c>
      <c r="G851" s="104" t="inlineStr">
        <is>
          <t xml:space="preserve">TOSHKENT VILOYATI OXANGARON SHAXAR ADOLAT MFY, 4 KICHIK NOXIYA KO'CHASI, 21-XONADON</t>
        </is>
      </c>
      <c r="H851" s="105">
        <v>11.0</v>
      </c>
      <c r="I851" s="105">
        <v>9789974.34</v>
      </c>
    </row>
    <row r="852">
      <c r="A852" s="104" t="inlineStr">
        <is>
          <t xml:space="preserve">ТОШКЕНТ ВИЛОЯТИ</t>
        </is>
      </c>
      <c r="C852" s="104" t="inlineStr">
        <is>
          <t xml:space="preserve">Недозвон</t>
        </is>
      </c>
      <c r="D852" s="104" t="inlineStr">
        <is>
          <t xml:space="preserve">Кр-99033115-4</t>
        </is>
      </c>
      <c r="E852" s="104" t="inlineStr">
        <is>
          <t xml:space="preserve">MAMANKULOVA DILNOZA XAKIMJONOVNA</t>
        </is>
      </c>
      <c r="F852" s="104" t="inlineStr">
        <is>
          <t xml:space="preserve">998971164858 SMS O’ZI, 998930004858 SMS O’G’LI, 998976099595 SMS JIYANI, 998974028919 SMS KELINI,</t>
        </is>
      </c>
      <c r="G852" s="104" t="inlineStr">
        <is>
          <t xml:space="preserve">TOSHKENT VILOYATI YANGI YO’L TUMANI ESKI QOVUNCHI GULISTON MFY  MATONAT KO’CHASI 4-UY</t>
        </is>
      </c>
      <c r="H852" s="105">
        <v>11.0</v>
      </c>
      <c r="I852" s="105">
        <v>9591742.21</v>
      </c>
    </row>
    <row r="853">
      <c r="A853" s="104" t="inlineStr">
        <is>
          <t xml:space="preserve">ТОШКЕНТ ВИЛОЯТИ</t>
        </is>
      </c>
      <c r="C853" s="104" t="inlineStr">
        <is>
          <t xml:space="preserve">Недозвон</t>
        </is>
      </c>
      <c r="D853" s="104" t="inlineStr">
        <is>
          <t xml:space="preserve">Кр-99036426-3</t>
        </is>
      </c>
      <c r="E853" s="104" t="inlineStr">
        <is>
          <t xml:space="preserve">BURXANOV OTABEK SHERJANOVICH </t>
        </is>
      </c>
      <c r="F853" s="104" t="inlineStr">
        <is>
          <t xml:space="preserve">998974787619 SMS OZI, 998983867165 SMS OZI, 998958366719 SMS UYI, 998942006122 SMS OGLI,</t>
        </is>
      </c>
      <c r="G853" s="104" t="inlineStr">
        <is>
          <t xml:space="preserve">TOSHKENT VILOYATI YANGIYO’L TUMANI SHO’RALISOY MFY XURRIYAT KO’CHASI 16-UY</t>
        </is>
      </c>
      <c r="H853" s="105">
        <v>11.0</v>
      </c>
      <c r="I853" s="105">
        <v>8539468.87</v>
      </c>
    </row>
    <row r="854">
      <c r="A854" s="104" t="inlineStr">
        <is>
          <t xml:space="preserve">ТОШКЕНТ ВИЛОЯТИ</t>
        </is>
      </c>
      <c r="C854" s="104" t="inlineStr">
        <is>
          <t xml:space="preserve">Недозвон</t>
        </is>
      </c>
      <c r="D854" s="104" t="inlineStr">
        <is>
          <t xml:space="preserve">Кр-99060927-1</t>
        </is>
      </c>
      <c r="E854" s="104" t="inlineStr">
        <is>
          <t xml:space="preserve">RAHIMOV XIKMAT PO’LATOVICH</t>
        </is>
      </c>
      <c r="F854" s="104" t="inlineStr">
        <is>
          <t xml:space="preserve">998970233088 OZI, 998983043088 ONASI, 998909873088 OTASI, 998909957640 AKASI,</t>
        </is>
      </c>
      <c r="G854" s="104" t="inlineStr">
        <is>
          <t xml:space="preserve">TOSHKENT VILOYATI ZANGIOTA TUMANI TIIB</t>
        </is>
      </c>
      <c r="H854" s="105">
        <v>11.0</v>
      </c>
      <c r="I854" s="105">
        <v>8489974.19</v>
      </c>
    </row>
    <row r="855">
      <c r="A855" s="104" t="inlineStr">
        <is>
          <t xml:space="preserve">ТОШКЕНТ ВИЛОЯТИ</t>
        </is>
      </c>
      <c r="C855" s="104" t="inlineStr">
        <is>
          <t xml:space="preserve">Недозвон</t>
        </is>
      </c>
      <c r="D855" s="104" t="inlineStr">
        <is>
          <t xml:space="preserve">Кр-99040812-2</t>
        </is>
      </c>
      <c r="E855" s="104" t="inlineStr">
        <is>
          <t xml:space="preserve">MAMANAZAROVA MANZURAXON ABDUALIYEVNA</t>
        </is>
      </c>
      <c r="F855" s="104" t="inlineStr">
        <is>
          <t xml:space="preserve">998907882425 SMS OZI, 998933744232 SMS QIZI, 998944540494 SMS OGLI,</t>
        </is>
      </c>
      <c r="G855" s="104" t="inlineStr">
        <is>
          <t xml:space="preserve">TOSHKENT VILOYATI ANGREN SHAHAR KIMYOGAR MFY 5/3 DAXA KO’CHASI 26-UY, 14-XONADON</t>
        </is>
      </c>
      <c r="H855" s="105">
        <v>8.0</v>
      </c>
      <c r="I855" s="105">
        <v>8379691.41</v>
      </c>
    </row>
    <row r="856">
      <c r="A856" s="104" t="inlineStr">
        <is>
          <t xml:space="preserve">ТОШКЕНТ ВИЛОЯТИ</t>
        </is>
      </c>
      <c r="C856" s="104" t="inlineStr">
        <is>
          <t xml:space="preserve">Недозвон</t>
        </is>
      </c>
      <c r="D856" s="104" t="inlineStr">
        <is>
          <t xml:space="preserve">Кр-99058309-1</t>
        </is>
      </c>
      <c r="E856" s="104" t="inlineStr">
        <is>
          <t xml:space="preserve">JO’RAYEVA NOZIMA ABDURAXMANOVNA</t>
        </is>
      </c>
      <c r="F856" s="104" t="inlineStr">
        <is>
          <t xml:space="preserve">998998803439 SMS OZI, 998951060552 SMS ERI, 998958893439 SMS ONASI, 998950170713 SMS QIZI,</t>
        </is>
      </c>
      <c r="G856" s="104" t="inlineStr">
        <is>
          <t xml:space="preserve">TOSHKENT VILOYATI BO’KA TUMANI BESHKAPA MFY O’RTA KO'CHASI 20-UY</t>
        </is>
      </c>
      <c r="H856" s="105">
        <v>11.0</v>
      </c>
      <c r="I856" s="105">
        <v>8306424.83</v>
      </c>
    </row>
    <row r="857">
      <c r="A857" s="104" t="inlineStr">
        <is>
          <t xml:space="preserve">ТОШКЕНТ ВИЛОЯТИ</t>
        </is>
      </c>
      <c r="C857" s="104" t="inlineStr">
        <is>
          <t xml:space="preserve">Недозвон</t>
        </is>
      </c>
      <c r="D857" s="104" t="inlineStr">
        <is>
          <t xml:space="preserve">Кр-99020289-2</t>
        </is>
      </c>
      <c r="E857" s="104" t="inlineStr">
        <is>
          <t xml:space="preserve">TOIROV UMID RUSTAM O’G’LI</t>
        </is>
      </c>
      <c r="F857" s="104" t="inlineStr">
        <is>
          <t xml:space="preserve">99-282-48-48 SMS OZI, +998992824848 SMS OZI, 998910124848 SMS AYOLI, 998997899775 SMS ONASI,</t>
        </is>
      </c>
      <c r="G857" s="104" t="inlineStr">
        <is>
          <t xml:space="preserve">Тошкент вилояти Янги йул шахри Мезон МФЙ Бунёдкор кучаси 3 уй 48 хонадон</t>
        </is>
      </c>
      <c r="H857" s="105">
        <v>11.0</v>
      </c>
      <c r="I857" s="105">
        <v>8280042.97</v>
      </c>
    </row>
    <row r="858">
      <c r="A858" s="104" t="inlineStr">
        <is>
          <t xml:space="preserve">ТОШКЕНТ ВИЛОЯТИ</t>
        </is>
      </c>
      <c r="C858" s="104" t="inlineStr">
        <is>
          <t xml:space="preserve">Недозвон</t>
        </is>
      </c>
      <c r="D858" s="104" t="inlineStr">
        <is>
          <t xml:space="preserve">Кр-99063087-1</t>
        </is>
      </c>
      <c r="E858" s="104" t="inlineStr">
        <is>
          <t xml:space="preserve">KUATOVA FERUZA SATTAROVNA</t>
        </is>
      </c>
      <c r="F858" s="104" t="inlineStr">
        <is>
          <t xml:space="preserve">998940013208 OZI, 998930900359 QAYNOTASI GAROVGA QOYUVCHI, 998937522964 ERI,</t>
        </is>
      </c>
      <c r="G858" s="104" t="inlineStr">
        <is>
          <t xml:space="preserve">TOSHKENT VILOYATI O'RTACHIRCHIQ TUMANI, MASH'AL MFY, BAGISH KO'CHASI 48-UY</t>
        </is>
      </c>
      <c r="H858" s="105">
        <v>11.0</v>
      </c>
      <c r="I858" s="105">
        <v>8266392.23</v>
      </c>
    </row>
    <row r="859">
      <c r="A859" s="104" t="inlineStr">
        <is>
          <t xml:space="preserve">ТОШКЕНТ ВИЛОЯТИ</t>
        </is>
      </c>
      <c r="C859" s="104" t="inlineStr">
        <is>
          <t xml:space="preserve">Недозвон</t>
        </is>
      </c>
      <c r="D859" s="104" t="inlineStr">
        <is>
          <t xml:space="preserve">Кр-99063678-2</t>
        </is>
      </c>
      <c r="E859" s="104" t="inlineStr">
        <is>
          <t xml:space="preserve">QOSIMOVA GULNOZA TO’LQIN QIZI</t>
        </is>
      </c>
      <c r="F859" s="104" t="inlineStr">
        <is>
          <t xml:space="preserve">998971222244 SMS O’ZI, 998974552222 SMS ONASI, 998999039099 SMS ERI, 998999922099 SMS UYI,</t>
        </is>
      </c>
      <c r="G859" s="104" t="inlineStr">
        <is>
          <t xml:space="preserve">TOSHKENT SHAHAR OLMAZOR TUMANI  BAYTQO’RG’ON MFY  QORAQAMISH 2/1 YOSHLAR KO’CHASI 42-UY 42 XONADON</t>
        </is>
      </c>
      <c r="H859" s="105">
        <v>8.0</v>
      </c>
      <c r="I859" s="105">
        <v>8229529.66</v>
      </c>
    </row>
    <row r="860">
      <c r="A860" s="104" t="inlineStr">
        <is>
          <t xml:space="preserve">ТОШКЕНТ ВИЛОЯТИ</t>
        </is>
      </c>
      <c r="C860" s="104" t="inlineStr">
        <is>
          <t xml:space="preserve">Недозвон</t>
        </is>
      </c>
      <c r="D860" s="104" t="inlineStr">
        <is>
          <t xml:space="preserve">Кр-99058902-1</t>
        </is>
      </c>
      <c r="E860" s="104" t="inlineStr">
        <is>
          <t xml:space="preserve">XAMIDXODJAYEV NURITDIN XUSANXODJAYEVICH</t>
        </is>
      </c>
      <c r="F860" s="104" t="inlineStr">
        <is>
          <t xml:space="preserve">998700363784 AYOLI, 998770330747 OZI, 998956163633 OGLI,</t>
        </is>
      </c>
      <c r="G860" s="104" t="inlineStr">
        <is>
          <t xml:space="preserve">TOSHKENT VILOYATI ZANGIOTA TUMANI QAXRAMON MFY FAYZ-UY 7-KO’CHASI 26-UY</t>
        </is>
      </c>
      <c r="H860" s="105">
        <v>8.0</v>
      </c>
      <c r="I860" s="105">
        <v>8169660.3</v>
      </c>
    </row>
    <row r="861">
      <c r="A861" s="104" t="inlineStr">
        <is>
          <t xml:space="preserve">ТОШКЕНТ ВИЛОЯТИ</t>
        </is>
      </c>
      <c r="C861" s="104" t="inlineStr">
        <is>
          <t xml:space="preserve">Недозвон</t>
        </is>
      </c>
      <c r="D861" s="104" t="inlineStr">
        <is>
          <t xml:space="preserve">Кр-99057370-3</t>
        </is>
      </c>
      <c r="E861" s="104" t="inlineStr">
        <is>
          <t xml:space="preserve">ALIMOV XAYOTJON SOBIRJONOVICH</t>
        </is>
      </c>
      <c r="F861" s="104" t="inlineStr">
        <is>
          <t xml:space="preserve">998508997371 SMS OZI, 998502207444 SMS OZI AYOLI, 998943074277 SMS OZI 3,</t>
        </is>
      </c>
      <c r="G861" s="104" t="inlineStr">
        <is>
          <t xml:space="preserve">TOSHKENT VILOYATI PARKENT TUMANI MOZORXOJI MSG,SOHIL KO’CHASI,22-UY</t>
        </is>
      </c>
      <c r="H861" s="105">
        <v>11.0</v>
      </c>
      <c r="I861" s="105">
        <v>7923219.69</v>
      </c>
    </row>
    <row r="862">
      <c r="A862" s="104" t="inlineStr">
        <is>
          <t xml:space="preserve">ТОШКЕНТ ВИЛОЯТИ</t>
        </is>
      </c>
      <c r="C862" s="104" t="inlineStr">
        <is>
          <t xml:space="preserve">Недозвон</t>
        </is>
      </c>
      <c r="D862" s="104" t="inlineStr">
        <is>
          <t xml:space="preserve">Кр-99048924-1</t>
        </is>
      </c>
      <c r="E862" s="104" t="inlineStr">
        <is>
          <t xml:space="preserve">BAYMENOVA FATIMA RAXMATOVNA</t>
        </is>
      </c>
      <c r="F862" s="104" t="inlineStr">
        <is>
          <t xml:space="preserve">998771668390 ERI, 998771669390 OZI, 998990543737 QAYNUKASI, 998991379292 AKASI,</t>
        </is>
      </c>
      <c r="G862" s="104" t="inlineStr">
        <is>
          <t xml:space="preserve">ТОШКЕНТ ВИЛОЯТИ БЕКОБОД ШАХАР ШИРИН МСГ, 13-ДАХА, 28-УЙ, 30-ХОНАДОН</t>
        </is>
      </c>
      <c r="H862" s="105">
        <v>8.0</v>
      </c>
      <c r="I862" s="105">
        <v>7921821.65</v>
      </c>
    </row>
    <row r="863">
      <c r="A863" s="104" t="inlineStr">
        <is>
          <t xml:space="preserve">ТОШКЕНТ ВИЛОЯТИ</t>
        </is>
      </c>
      <c r="C863" s="104" t="inlineStr">
        <is>
          <t xml:space="preserve">Недозвон</t>
        </is>
      </c>
      <c r="D863" s="104" t="inlineStr">
        <is>
          <t xml:space="preserve">Кр-99052907-3</t>
        </is>
      </c>
      <c r="E863" s="104" t="inlineStr">
        <is>
          <t xml:space="preserve">RAXIMOVA GULNOZA DEHQONBOYEVNA</t>
        </is>
      </c>
      <c r="F863" s="104" t="inlineStr">
        <is>
          <t xml:space="preserve">998770975676 SMS AKASI, 998771336667 SMS OZI, 998779786313 SMS DOSTI, 998990490296 SMS ERI,</t>
        </is>
      </c>
      <c r="G863" s="104" t="inlineStr">
        <is>
          <t xml:space="preserve">TABARRUK KO’CHASI 51-UY.120-XONADON</t>
        </is>
      </c>
      <c r="H863" s="105">
        <v>11.0</v>
      </c>
      <c r="I863" s="105">
        <v>7804826.58</v>
      </c>
    </row>
    <row r="864">
      <c r="A864" s="104" t="inlineStr">
        <is>
          <t xml:space="preserve">ТОШКЕНТ ВИЛОЯТИ</t>
        </is>
      </c>
      <c r="C864" s="104" t="inlineStr">
        <is>
          <t xml:space="preserve">Недозвон</t>
        </is>
      </c>
      <c r="D864" s="104" t="inlineStr">
        <is>
          <t xml:space="preserve">Кр-99057365-1</t>
        </is>
      </c>
      <c r="E864" s="104" t="inlineStr">
        <is>
          <t xml:space="preserve">AXMEDJANOV ANVAR SOBIRJONOVICH</t>
        </is>
      </c>
      <c r="F864" s="104" t="inlineStr">
        <is>
          <t xml:space="preserve">998975488281 SMS UZI, 998973457200 SMS AYOLI, 998947317200 SMS OGLI, 998794881822 SMS AYOLINING 2 NOMERI,</t>
        </is>
      </c>
      <c r="G864" s="104" t="inlineStr">
        <is>
          <t xml:space="preserve">TOSHKENT VILOYATI YUQORICHIRCHIQ TUMANI KORASUV MFY, OLMOS KO’CHASI 36-UY</t>
        </is>
      </c>
      <c r="H864" s="105">
        <v>11.0</v>
      </c>
      <c r="I864" s="105">
        <v>7673273.24</v>
      </c>
    </row>
    <row r="865">
      <c r="A865" s="104" t="inlineStr">
        <is>
          <t xml:space="preserve">ТОШКЕНТ ВИЛОЯТИ</t>
        </is>
      </c>
      <c r="C865" s="104" t="inlineStr">
        <is>
          <t xml:space="preserve">Недозвон</t>
        </is>
      </c>
      <c r="D865" s="104" t="inlineStr">
        <is>
          <t xml:space="preserve">Кр-99052911-1</t>
        </is>
      </c>
      <c r="E865" s="104" t="inlineStr">
        <is>
          <t xml:space="preserve">TOJIBOEV DIYORBEK ALIBOY O’G’LI</t>
        </is>
      </c>
      <c r="F865" s="104" t="inlineStr">
        <is>
          <t xml:space="preserve">998937775445 SMS OZI, 998931606070 SMS AKASI , 998939994643 SMS AKASI 2, 998995673574 SMS ONASI,</t>
        </is>
      </c>
      <c r="G865" s="104" t="inlineStr">
        <is>
          <t xml:space="preserve">TOSHKENT VILOYATI OLMALIQ SHAHAR BIRDAMLIK MSG, MIRA KO'CHASI  9-UY 12-XONADON</t>
        </is>
      </c>
      <c r="H865" s="105">
        <v>11.0</v>
      </c>
      <c r="I865" s="105">
        <v>7620280.13</v>
      </c>
    </row>
    <row r="866">
      <c r="A866" s="104" t="inlineStr">
        <is>
          <t xml:space="preserve">ТОШКЕНТ ВИЛОЯТИ</t>
        </is>
      </c>
      <c r="C866" s="104" t="inlineStr">
        <is>
          <t xml:space="preserve">Недозвон</t>
        </is>
      </c>
      <c r="D866" s="104" t="inlineStr">
        <is>
          <t xml:space="preserve">Кр-99027754-2</t>
        </is>
      </c>
      <c r="E866" s="104" t="inlineStr">
        <is>
          <t xml:space="preserve">AKMALOV AXRORBEK AKMALOVICH</t>
        </is>
      </c>
      <c r="F866" s="104" t="inlineStr">
        <is>
          <t xml:space="preserve">998944144222 SMS O’ZI, 998931822660 SMS UKASI, 999849229620 SMS AYOLI, 998321310222 SMS UKASI 2,</t>
        </is>
      </c>
      <c r="G866" s="104" t="inlineStr">
        <is>
          <t xml:space="preserve">TOSHKENT VILOYATI OLMALIQ SHAHRI FAYZULLO XO'JAYEVA KO'CHASI 1-UY </t>
        </is>
      </c>
      <c r="H866" s="105">
        <v>8.0</v>
      </c>
      <c r="I866" s="105">
        <v>7496076.69</v>
      </c>
    </row>
    <row r="867">
      <c r="A867" s="104" t="inlineStr">
        <is>
          <t xml:space="preserve">ТОШКЕНТ ВИЛОЯТИ</t>
        </is>
      </c>
      <c r="C867" s="104" t="inlineStr">
        <is>
          <t xml:space="preserve">Недозвон</t>
        </is>
      </c>
      <c r="D867" s="104" t="inlineStr">
        <is>
          <t xml:space="preserve">Кр-99063865-1</t>
        </is>
      </c>
      <c r="E867" s="104" t="inlineStr">
        <is>
          <t xml:space="preserve">TASHMATOV SUNATILLA ISMATOVICH</t>
        </is>
      </c>
      <c r="G867" s="104" t="inlineStr">
        <is>
          <t xml:space="preserve">CHINOZ TUMANI</t>
        </is>
      </c>
      <c r="H867" s="105">
        <v>11.0</v>
      </c>
      <c r="I867" s="105">
        <v>7277444.88</v>
      </c>
    </row>
    <row r="868">
      <c r="A868" s="104" t="inlineStr">
        <is>
          <t xml:space="preserve">ТОШКЕНТ ВИЛОЯТИ</t>
        </is>
      </c>
      <c r="C868" s="104" t="inlineStr">
        <is>
          <t xml:space="preserve">Недозвон</t>
        </is>
      </c>
      <c r="D868" s="104" t="inlineStr">
        <is>
          <t xml:space="preserve">Кр-99039634-1</t>
        </is>
      </c>
      <c r="E868" s="104" t="inlineStr">
        <is>
          <t xml:space="preserve">KASIMOV AKMAL ROZIYEVICH</t>
        </is>
      </c>
      <c r="F868" s="104" t="inlineStr">
        <is>
          <t xml:space="preserve">998978831991 SMS OZI, 998976042491 SMS OZI 2, 998958585857 SMS OSHNASI, 998954717303 SMS UKASI,</t>
        </is>
      </c>
      <c r="G868" s="104" t="inlineStr">
        <is>
          <t xml:space="preserve">TOSHKENT VILOYATI CHINOZ TUMANI OLMAZOR QORG’ONI PORLOQ KO’CHASI 111-UY</t>
        </is>
      </c>
      <c r="H868" s="105">
        <v>62.0</v>
      </c>
      <c r="I868" s="105">
        <v>7242115.11</v>
      </c>
    </row>
    <row r="869">
      <c r="A869" s="104" t="inlineStr">
        <is>
          <t xml:space="preserve">ТОШКЕНТ ВИЛОЯТИ</t>
        </is>
      </c>
      <c r="C869" s="104" t="inlineStr">
        <is>
          <t xml:space="preserve">Недозвон</t>
        </is>
      </c>
      <c r="D869" s="104" t="inlineStr">
        <is>
          <t xml:space="preserve">Кр-99062005-1</t>
        </is>
      </c>
      <c r="E869" s="104" t="inlineStr">
        <is>
          <t xml:space="preserve">SAGDIYEV MIRAZIM MIRAZIZOVICH</t>
        </is>
      </c>
      <c r="F869" s="104" t="inlineStr">
        <is>
          <t xml:space="preserve">+998991125555 SMS OZI, 998909285758 SSM UKASI, 998997426102 SMS OGLI,</t>
        </is>
      </c>
      <c r="G869" s="104" t="inlineStr">
        <is>
          <t xml:space="preserve">TOSHKENT VILOYATI TOSHKENT TUMANI QIZG’ALDOQ MFY MUSTAQILLIK KO’CHASI 81V-UY</t>
        </is>
      </c>
      <c r="H869" s="105">
        <v>8.0</v>
      </c>
      <c r="I869" s="105">
        <v>7055122.75</v>
      </c>
    </row>
    <row r="870">
      <c r="A870" s="104" t="inlineStr">
        <is>
          <t xml:space="preserve">ТОШКЕНТ ВИЛОЯТИ</t>
        </is>
      </c>
      <c r="C870" s="104" t="inlineStr">
        <is>
          <t xml:space="preserve">Недозвон</t>
        </is>
      </c>
      <c r="D870" s="104" t="inlineStr">
        <is>
          <t xml:space="preserve">Кр-99062883-1</t>
        </is>
      </c>
      <c r="E870" s="104" t="inlineStr">
        <is>
          <t xml:space="preserve">SHARIPOVA NAZIRA ROZMUXAMEDOVA</t>
        </is>
      </c>
      <c r="F870" s="104" t="inlineStr">
        <is>
          <t xml:space="preserve">998886394433 OZI, 998881112202 UKASI, 998977268619 ERI,</t>
        </is>
      </c>
      <c r="G870" s="104" t="inlineStr">
        <is>
          <t xml:space="preserve">TOSHKENT VILOYATI YANGIYO'L SHAHAR BOGBON MFY, NIHOL KOCHASI 71A-UY</t>
        </is>
      </c>
      <c r="H870" s="105">
        <v>8.0</v>
      </c>
      <c r="I870" s="105">
        <v>7047142.19</v>
      </c>
    </row>
    <row r="871">
      <c r="A871" s="104" t="inlineStr">
        <is>
          <t xml:space="preserve">ТОШКЕНТ ВИЛОЯТИ</t>
        </is>
      </c>
      <c r="C871" s="104" t="inlineStr">
        <is>
          <t xml:space="preserve">Недозвон</t>
        </is>
      </c>
      <c r="D871" s="104" t="inlineStr">
        <is>
          <t xml:space="preserve">Кр-99041438-1</t>
        </is>
      </c>
      <c r="E871" s="104" t="inlineStr">
        <is>
          <t xml:space="preserve">GANIYEVA GULNORA RAXMATOVNA</t>
        </is>
      </c>
      <c r="F871" s="104" t="inlineStr">
        <is>
          <t xml:space="preserve">998770850402 SMS OZI, 998992880788 SMS ERI, 998942885288 SMS QIZI, 998771668212 SMS OGLI,</t>
        </is>
      </c>
      <c r="G871" s="104" t="inlineStr">
        <is>
          <t xml:space="preserve">TOSHKENT VILOYATI BEKOBOD SHAHAR SAMARQAND MFY, 12-DAHA, 64A-UY, 5-XONADON</t>
        </is>
      </c>
      <c r="H871" s="105">
        <v>11.0</v>
      </c>
      <c r="I871" s="105">
        <v>7044686.0</v>
      </c>
    </row>
    <row r="872">
      <c r="A872" s="104" t="inlineStr">
        <is>
          <t xml:space="preserve">ТОШКЕНТ ВИЛОЯТИ</t>
        </is>
      </c>
      <c r="C872" s="104" t="inlineStr">
        <is>
          <t xml:space="preserve">Недозвон</t>
        </is>
      </c>
      <c r="D872" s="104" t="inlineStr">
        <is>
          <t xml:space="preserve">Кр-99033872-4</t>
        </is>
      </c>
      <c r="E872" s="104" t="inlineStr">
        <is>
          <t xml:space="preserve">SIDDIKOVA MUKADDAS ABDUXALIKOVNA</t>
        </is>
      </c>
      <c r="F872" s="104" t="inlineStr">
        <is>
          <t xml:space="preserve">998998002634 SMS OZI, 998996510102 SMS OGLI TOLOVCHI, 998998974849 SMS QIZI, 998511166332 SMS OGLI TOLOVCHI,</t>
        </is>
      </c>
      <c r="G872" s="104" t="inlineStr">
        <is>
          <t xml:space="preserve">TOSHKENT VILOYATI ZANGIOTA TUMANI BOG’ZOR MFY, QALQON KO’CHASI 8-UY</t>
        </is>
      </c>
      <c r="H872" s="105">
        <v>8.0</v>
      </c>
      <c r="I872" s="105">
        <v>6991144.54</v>
      </c>
    </row>
    <row r="873">
      <c r="A873" s="104" t="inlineStr">
        <is>
          <t xml:space="preserve">ТОШКЕНТ ВИЛОЯТИ</t>
        </is>
      </c>
      <c r="C873" s="104" t="inlineStr">
        <is>
          <t xml:space="preserve">Недозвон</t>
        </is>
      </c>
      <c r="D873" s="104" t="inlineStr">
        <is>
          <t xml:space="preserve">Кр-99063342-1</t>
        </is>
      </c>
      <c r="E873" s="104" t="inlineStr">
        <is>
          <t xml:space="preserve">QURBONOV ABDULLA XUDOYNAZAROVICH</t>
        </is>
      </c>
      <c r="F873" s="104" t="inlineStr">
        <is>
          <t xml:space="preserve">998200040424 OZI, 998333100017 AKASI, 998332474787 OPASI,</t>
        </is>
      </c>
      <c r="G873" s="104" t="inlineStr">
        <is>
          <t xml:space="preserve">TOSHKENT VILOYATI CHINOZ TUMANI MADANIYAT MFY G'AYRAT KOCHASI 43-UY</t>
        </is>
      </c>
      <c r="H873" s="105">
        <v>8.0</v>
      </c>
      <c r="I873" s="105">
        <v>6743069.02</v>
      </c>
    </row>
    <row r="874">
      <c r="A874" s="104" t="inlineStr">
        <is>
          <t xml:space="preserve">ТОШКЕНТ ВИЛОЯТИ</t>
        </is>
      </c>
      <c r="C874" s="104" t="inlineStr">
        <is>
          <t xml:space="preserve">Недозвон</t>
        </is>
      </c>
      <c r="D874" s="104" t="inlineStr">
        <is>
          <t xml:space="preserve">Кр-99058878-1</t>
        </is>
      </c>
      <c r="E874" s="104" t="inlineStr">
        <is>
          <t xml:space="preserve">MIRAMAXMUDOV OZODBEK RASHID O’G’LI</t>
        </is>
      </c>
      <c r="F874" s="104" t="inlineStr">
        <is>
          <t xml:space="preserve">998994058304 ONASI,</t>
        </is>
      </c>
      <c r="G874" s="104" t="inlineStr">
        <is>
          <t xml:space="preserve">TOSHKENT VILOYATI YANGIYO’L SHAHAR  RAMADON MSG SAMARQAND KO’CHASI,525-UY,17-XONADON</t>
        </is>
      </c>
      <c r="H874" s="105">
        <v>13.0</v>
      </c>
      <c r="I874" s="105">
        <v>6711220.43</v>
      </c>
    </row>
    <row r="875">
      <c r="A875" s="104" t="inlineStr">
        <is>
          <t xml:space="preserve">ТОШКЕНТ ВИЛОЯТИ</t>
        </is>
      </c>
      <c r="C875" s="104" t="inlineStr">
        <is>
          <t xml:space="preserve">Недозвон</t>
        </is>
      </c>
      <c r="D875" s="104" t="inlineStr">
        <is>
          <t xml:space="preserve">Кр-99036322-1</t>
        </is>
      </c>
      <c r="E875" s="104" t="inlineStr">
        <is>
          <t xml:space="preserve">ABDULXAKOVA NAFISA ABDUSAMATOVNA</t>
        </is>
      </c>
      <c r="F875" s="104" t="inlineStr">
        <is>
          <t xml:space="preserve">998931880660 sms uzi, 998943618156 sms opasi, 998944133576 sms onasi,</t>
        </is>
      </c>
      <c r="G875" s="104" t="inlineStr">
        <is>
          <t xml:space="preserve">Shodlik MFY, 1 kichik noxiya koʼchasi, 45-uy, 43-xonadon</t>
        </is>
      </c>
      <c r="H875" s="105">
        <v>8.0</v>
      </c>
      <c r="I875" s="105">
        <v>6471400.68</v>
      </c>
    </row>
    <row r="876">
      <c r="A876" s="104" t="inlineStr">
        <is>
          <t xml:space="preserve">ТОШКЕНТ ВИЛОЯТИ</t>
        </is>
      </c>
      <c r="C876" s="104" t="inlineStr">
        <is>
          <t xml:space="preserve">Недозвон</t>
        </is>
      </c>
      <c r="D876" s="104" t="inlineStr">
        <is>
          <t xml:space="preserve">Кр-99033841-2</t>
        </is>
      </c>
      <c r="E876" s="104" t="inlineStr">
        <is>
          <t xml:space="preserve">EGAMBERDIYEV OYBEK YULDOSHBOYEVICH</t>
        </is>
      </c>
      <c r="F876" s="104" t="inlineStr">
        <is>
          <t xml:space="preserve">998974770084 SMS OZI, 998311133372 SMSOZI, 998943641584 SMS OGL,</t>
        </is>
      </c>
      <c r="G876" s="104" t="inlineStr">
        <is>
          <t xml:space="preserve">TOSHKENT SHAHAR SIRG'ALI TUMANI QUT BARAKA MFY NAVNIHOL  5 TOR KOCHASI 13-UY </t>
        </is>
      </c>
      <c r="H876" s="105">
        <v>8.0</v>
      </c>
      <c r="I876" s="105">
        <v>6448458.23</v>
      </c>
    </row>
    <row r="877">
      <c r="A877" s="104" t="inlineStr">
        <is>
          <t xml:space="preserve">ТОШКЕНТ ВИЛОЯТИ</t>
        </is>
      </c>
      <c r="C877" s="104" t="inlineStr">
        <is>
          <t xml:space="preserve">Недозвон</t>
        </is>
      </c>
      <c r="D877" s="104" t="inlineStr">
        <is>
          <t xml:space="preserve">Кр-99033841-1</t>
        </is>
      </c>
      <c r="E877" s="104" t="inlineStr">
        <is>
          <t xml:space="preserve">EGAMBERDIYEV OYBEK YULDOSHBOYEVICH</t>
        </is>
      </c>
      <c r="F877" s="104" t="inlineStr">
        <is>
          <t xml:space="preserve">998974770084 SMS OZI, 998311133372 SMSOZI, 998943641584 SMS OGL,</t>
        </is>
      </c>
      <c r="G877" s="104" t="inlineStr">
        <is>
          <t xml:space="preserve">TOSHKENT SHAHAR SIRG'ALI TUMANI QUT BARAKA MFY NAVNIHOL  5 TOR KOCHASI 13-UY </t>
        </is>
      </c>
      <c r="H877" s="105">
        <v>8.0</v>
      </c>
      <c r="I877" s="105">
        <v>6448187.9</v>
      </c>
    </row>
    <row r="878">
      <c r="A878" s="104" t="inlineStr">
        <is>
          <t xml:space="preserve">ТОШКЕНТ ВИЛОЯТИ</t>
        </is>
      </c>
      <c r="C878" s="104" t="inlineStr">
        <is>
          <t xml:space="preserve">Недозвон</t>
        </is>
      </c>
      <c r="D878" s="104" t="inlineStr">
        <is>
          <t xml:space="preserve">Кр-99040925-1</t>
        </is>
      </c>
      <c r="E878" s="104" t="inlineStr">
        <is>
          <t xml:space="preserve">INAMOVA ARZIXAN MIRZALIYEVNA</t>
        </is>
      </c>
      <c r="F878" s="104" t="inlineStr">
        <is>
          <t xml:space="preserve">+998948910519 SMS O’ZI, 998935611710 SMS JIYANI, 998971128201 SMS KELINI, 998978819001 SMS ERI,</t>
        </is>
      </c>
      <c r="G878" s="104" t="inlineStr">
        <is>
          <t xml:space="preserve">Ташкентская область, Чиназский район, Ўзбекистон, Сутбулоқ, дом Р/С</t>
        </is>
      </c>
      <c r="H878" s="105">
        <v>13.0</v>
      </c>
      <c r="I878" s="105">
        <v>6363574.74</v>
      </c>
    </row>
    <row r="879">
      <c r="A879" s="104" t="inlineStr">
        <is>
          <t xml:space="preserve">ТОШКЕНТ ВИЛОЯТИ</t>
        </is>
      </c>
      <c r="C879" s="104" t="inlineStr">
        <is>
          <t xml:space="preserve">Недозвон</t>
        </is>
      </c>
      <c r="D879" s="104" t="inlineStr">
        <is>
          <t xml:space="preserve">Кр-99062632-1</t>
        </is>
      </c>
      <c r="E879" s="104" t="inlineStr">
        <is>
          <t xml:space="preserve">MAVLONOV ABDURASHIT ABDUSAMATOVICH</t>
        </is>
      </c>
      <c r="F879" s="104" t="inlineStr">
        <is>
          <t xml:space="preserve">998990334767 SMS OZI, 998998383136 SMS AYOLI, 998947405222 SMS OGLI, 998935610207 SMS QAYNISI,</t>
        </is>
      </c>
      <c r="G879" s="104" t="inlineStr">
        <is>
          <t xml:space="preserve">TOSHKENT VILOYATI OLMALIK SHAHAR OYDIN MFY TOYUVLIK KO'CHASI 4 A-UY 9-XONODON</t>
        </is>
      </c>
      <c r="H879" s="105">
        <v>8.0</v>
      </c>
      <c r="I879" s="105">
        <v>6341098.49</v>
      </c>
    </row>
    <row r="880">
      <c r="A880" s="104" t="inlineStr">
        <is>
          <t xml:space="preserve">ТОШКЕНТ ВИЛОЯТИ</t>
        </is>
      </c>
      <c r="C880" s="104" t="inlineStr">
        <is>
          <t xml:space="preserve">Недозвон</t>
        </is>
      </c>
      <c r="D880" s="104" t="inlineStr">
        <is>
          <t xml:space="preserve">Кр-99041459-1</t>
        </is>
      </c>
      <c r="E880" s="104" t="inlineStr">
        <is>
          <t xml:space="preserve">HAYITOV EGAMBERGAN SULTANOVICH</t>
        </is>
      </c>
      <c r="F880" s="104" t="inlineStr">
        <is>
          <t xml:space="preserve">998940665015 SMS OZI, 998886035013 AYOLI, 998912799494 O’G’LI,</t>
        </is>
      </c>
      <c r="G880" s="104" t="inlineStr">
        <is>
          <t xml:space="preserve">TOSHKENT VILOYATI OLMALIQ SHAHAR BOG’ARO MFY, X.ALIMJON KO'CHASI 4-UY, 29-XONADON</t>
        </is>
      </c>
      <c r="H880" s="105">
        <v>11.0</v>
      </c>
      <c r="I880" s="105">
        <v>6320795.91</v>
      </c>
    </row>
    <row r="881">
      <c r="A881" s="104" t="inlineStr">
        <is>
          <t xml:space="preserve">ТОШКЕНТ ВИЛОЯТИ</t>
        </is>
      </c>
      <c r="C881" s="104" t="inlineStr">
        <is>
          <t xml:space="preserve">Недозвон</t>
        </is>
      </c>
      <c r="D881" s="104" t="inlineStr">
        <is>
          <t xml:space="preserve">Кр-99036837-2</t>
        </is>
      </c>
      <c r="E881" s="104" t="inlineStr">
        <is>
          <t xml:space="preserve">XIDIROVA DILRABO SAITALIYEVNA</t>
        </is>
      </c>
      <c r="F881" s="104" t="inlineStr">
        <is>
          <t xml:space="preserve">998901213646 SMS OZI, 998900104503 SMS AKASI, 998339521801 SMS QIZI,</t>
        </is>
      </c>
      <c r="G881" s="104" t="inlineStr">
        <is>
          <t xml:space="preserve">TOSHKENT VILOYATI YUQORICHIRCHIQ TUMANI MIROBOD MFY,MIROBOD KO’CHASI,2-UY,39-XONADON</t>
        </is>
      </c>
      <c r="H881" s="105">
        <v>8.0</v>
      </c>
      <c r="I881" s="105">
        <v>6311444.74</v>
      </c>
    </row>
    <row r="882">
      <c r="A882" s="104" t="inlineStr">
        <is>
          <t xml:space="preserve">ТОШКЕНТ ВИЛОЯТИ</t>
        </is>
      </c>
      <c r="C882" s="104" t="inlineStr">
        <is>
          <t xml:space="preserve">Недозвон</t>
        </is>
      </c>
      <c r="D882" s="104" t="inlineStr">
        <is>
          <t xml:space="preserve">Кр-99062647-1</t>
        </is>
      </c>
      <c r="E882" s="104" t="inlineStr">
        <is>
          <t xml:space="preserve">MAJIDOVA DILNOZA SHUXRAT QIZI</t>
        </is>
      </c>
      <c r="F882" s="104" t="inlineStr">
        <is>
          <t xml:space="preserve">998887125252 SMS OZI, 998971838881 SMS AKASI,</t>
        </is>
      </c>
      <c r="G882" s="104" t="inlineStr">
        <is>
          <t xml:space="preserve">TOSHKENT VILOYATI, YANGIYO'L SHAHAR, BAXT MFY, IJODKOR KOCHASI, 3-UY 3-UY</t>
        </is>
      </c>
      <c r="H882" s="105">
        <v>8.0</v>
      </c>
      <c r="I882" s="105">
        <v>6306274.29</v>
      </c>
    </row>
    <row r="883">
      <c r="A883" s="104" t="inlineStr">
        <is>
          <t xml:space="preserve">ТОШКЕНТ ВИЛОЯТИ</t>
        </is>
      </c>
      <c r="C883" s="104" t="inlineStr">
        <is>
          <t xml:space="preserve">Недозвон</t>
        </is>
      </c>
      <c r="D883" s="104" t="inlineStr">
        <is>
          <t xml:space="preserve">Кр-99063673-1</t>
        </is>
      </c>
      <c r="E883" s="104" t="inlineStr">
        <is>
          <t xml:space="preserve">XALILOV AVDUXAMID MIRZAJONOVICH</t>
        </is>
      </c>
      <c r="F883" s="104" t="inlineStr">
        <is>
          <t xml:space="preserve">+998903348275 SMS OZI, 998909082505 SMS OGLI, 998909350855 SMS AYOLI,</t>
        </is>
      </c>
      <c r="G883" s="104" t="inlineStr">
        <is>
          <t xml:space="preserve">TOSHKENT VILOYATI OQQO’RG’ON TUMANI XALQOBOD MFY XALKABOD KOCHASI 171-UY</t>
        </is>
      </c>
      <c r="H883" s="105">
        <v>8.0</v>
      </c>
      <c r="I883" s="105">
        <v>6299930.83</v>
      </c>
    </row>
    <row r="884">
      <c r="A884" s="104" t="inlineStr">
        <is>
          <t xml:space="preserve">ТОШКЕНТ ВИЛОЯТИ</t>
        </is>
      </c>
      <c r="C884" s="104" t="inlineStr">
        <is>
          <t xml:space="preserve">Недозвон</t>
        </is>
      </c>
      <c r="D884" s="104" t="inlineStr">
        <is>
          <t xml:space="preserve">Кр-99042086-2</t>
        </is>
      </c>
      <c r="E884" s="104" t="inlineStr">
        <is>
          <t xml:space="preserve">SATTOROVA NARGIZA MUHIDDINOVNA</t>
        </is>
      </c>
      <c r="F884" s="104" t="inlineStr">
        <is>
          <t xml:space="preserve">+998944028930 SMS OZI, 998771665521 SMS QIZI, 998931608821 SMS ERI, 998951008930 SMS OGLI,</t>
        </is>
      </c>
      <c r="G884" s="104" t="inlineStr">
        <is>
          <t xml:space="preserve">Ташкентская область, г.Ангрен, Ангрен г., Тараккиёт МСГ, ул. 2/2 даха, 21 Дом, 16 Квартира</t>
        </is>
      </c>
      <c r="H884" s="105">
        <v>8.0</v>
      </c>
      <c r="I884" s="105">
        <v>6280707.65</v>
      </c>
    </row>
    <row r="885">
      <c r="A885" s="104" t="inlineStr">
        <is>
          <t xml:space="preserve">ТОШКЕНТ ВИЛОЯТИ</t>
        </is>
      </c>
      <c r="C885" s="104" t="inlineStr">
        <is>
          <t xml:space="preserve">Недозвон</t>
        </is>
      </c>
      <c r="D885" s="104" t="inlineStr">
        <is>
          <t xml:space="preserve">Кр-99063382-1</t>
        </is>
      </c>
      <c r="E885" s="104" t="inlineStr">
        <is>
          <t xml:space="preserve">AYTBAYEVA JADIRA ELDOR QIZI</t>
        </is>
      </c>
      <c r="F885" s="104" t="inlineStr">
        <is>
          <t xml:space="preserve">998704941316 SMS QIZI, 998950069538 SMS ONASI, 998950953705 SMS OZI,</t>
        </is>
      </c>
      <c r="G885" s="104" t="inlineStr">
        <is>
          <t xml:space="preserve">EYVALEK QO’RG’ONI 36-2-UY</t>
        </is>
      </c>
      <c r="H885" s="105">
        <v>8.0</v>
      </c>
      <c r="I885" s="105">
        <v>6279660.44</v>
      </c>
    </row>
    <row r="886">
      <c r="A886" s="104" t="inlineStr">
        <is>
          <t xml:space="preserve">ТОШКЕНТ ВИЛОЯТИ</t>
        </is>
      </c>
      <c r="C886" s="104" t="inlineStr">
        <is>
          <t xml:space="preserve">Недозвон</t>
        </is>
      </c>
      <c r="D886" s="104" t="inlineStr">
        <is>
          <t xml:space="preserve">Кр-99063601-1</t>
        </is>
      </c>
      <c r="E886" s="104" t="inlineStr">
        <is>
          <t xml:space="preserve">SATIVALDIYEVA GULBUVI SUYUNOVNA</t>
        </is>
      </c>
      <c r="F886" s="104" t="inlineStr">
        <is>
          <t xml:space="preserve">998903308049 QIZI, 998934642440 NEVARASI, 998936084555 QIZI, 998997842142 OZI,</t>
        </is>
      </c>
      <c r="G886" s="104" t="inlineStr">
        <is>
          <t xml:space="preserve">TOSHKENT VILOYATI ANGREN SHAHAR XAKKARMAN-YANGI JIGARISTON MFY 2-XAKKARMAN KO’CHASI 1293-UY</t>
        </is>
      </c>
      <c r="H886" s="105">
        <v>8.0</v>
      </c>
      <c r="I886" s="105">
        <v>6257771.69</v>
      </c>
    </row>
    <row r="887">
      <c r="A887" s="104" t="inlineStr">
        <is>
          <t xml:space="preserve">ТОШКЕНТ ВИЛОЯТИ</t>
        </is>
      </c>
      <c r="C887" s="104" t="inlineStr">
        <is>
          <t xml:space="preserve">Недозвон</t>
        </is>
      </c>
      <c r="D887" s="104" t="inlineStr">
        <is>
          <t xml:space="preserve">Кр-99042794-2</t>
        </is>
      </c>
      <c r="E887" s="104" t="inlineStr">
        <is>
          <t xml:space="preserve">RAJABALIYEVA MUSHTARIY MASHRABOVNA</t>
        </is>
      </c>
      <c r="F887" s="104" t="inlineStr">
        <is>
          <t xml:space="preserve">998880379199 sms eri, 998932783889 sms ozi,</t>
        </is>
      </c>
      <c r="G887" s="104" t="inlineStr">
        <is>
          <t xml:space="preserve">Гулзоробод МФЙ, Гулзоробод кучаси, 1-уй, 37-хонадон</t>
        </is>
      </c>
      <c r="H887" s="105">
        <v>8.0</v>
      </c>
      <c r="I887" s="105">
        <v>6254396.39</v>
      </c>
    </row>
    <row r="888">
      <c r="A888" s="104" t="inlineStr">
        <is>
          <t xml:space="preserve">ТОШКЕНТ ВИЛОЯТИ</t>
        </is>
      </c>
      <c r="C888" s="104" t="inlineStr">
        <is>
          <t xml:space="preserve">Недозвон</t>
        </is>
      </c>
      <c r="D888" s="104" t="inlineStr">
        <is>
          <t xml:space="preserve">Кр-99041202-1</t>
        </is>
      </c>
      <c r="E888" s="104" t="inlineStr">
        <is>
          <t xml:space="preserve">BARATOV MIRZOQUL XUJAQUL O’G’LI</t>
        </is>
      </c>
      <c r="F888" s="104" t="inlineStr">
        <is>
          <t xml:space="preserve">998996669839 OZI, 998952609798 ZALOGODATEL BOJASI, 998971919098 ZALOGODATEL, 998993489959 ZALOGODATEL,</t>
        </is>
      </c>
      <c r="G888" s="104" t="inlineStr">
        <is>
          <t xml:space="preserve">Oq-tepa MFY, 7 mavze, 45б-uy, 81-xonadon</t>
        </is>
      </c>
      <c r="H888" s="105">
        <v>8.0</v>
      </c>
      <c r="I888" s="105">
        <v>6231723.91</v>
      </c>
    </row>
    <row r="889">
      <c r="A889" s="104" t="inlineStr">
        <is>
          <t xml:space="preserve">ТОШКЕНТ ВИЛОЯТИ</t>
        </is>
      </c>
      <c r="C889" s="104" t="inlineStr">
        <is>
          <t xml:space="preserve">Недозвон</t>
        </is>
      </c>
      <c r="D889" s="104" t="inlineStr">
        <is>
          <t xml:space="preserve">Кр-99057309-1</t>
        </is>
      </c>
      <c r="E889" s="104" t="inlineStr">
        <is>
          <t xml:space="preserve">KABIROV G’IYOSJON ANVARJONOVICH</t>
        </is>
      </c>
      <c r="F889" s="104" t="inlineStr">
        <is>
          <t xml:space="preserve">+998971566799 SMS OZI, 998881566799 SMS OGLI, 998951108230 DOSTI,</t>
        </is>
      </c>
      <c r="G889" s="104" t="inlineStr">
        <is>
          <t xml:space="preserve">TOSHEKENT VILOYATI ZANGIOTA TUMANI GISHT KO’PIRIK MSG UL ZUMRAD 3 42 UY</t>
        </is>
      </c>
      <c r="H889" s="105">
        <v>8.0</v>
      </c>
      <c r="I889" s="105">
        <v>6192713.89</v>
      </c>
    </row>
    <row r="890">
      <c r="A890" s="104" t="inlineStr">
        <is>
          <t xml:space="preserve">ТОШКЕНТ ВИЛОЯТИ</t>
        </is>
      </c>
      <c r="C890" s="104" t="inlineStr">
        <is>
          <t xml:space="preserve">Недозвон</t>
        </is>
      </c>
      <c r="D890" s="104" t="inlineStr">
        <is>
          <t xml:space="preserve">Кр-99063366-2</t>
        </is>
      </c>
      <c r="E890" s="104" t="inlineStr">
        <is>
          <t xml:space="preserve">ISMATULLAYEV XUSAN IMAMALIYEVICH</t>
        </is>
      </c>
      <c r="F890" s="104" t="inlineStr">
        <is>
          <t xml:space="preserve">998939788708 SMS QIZI, 998950097201 SMS OZI, 998996003852 SMS ONASI, 998998706887 SMS AYYOLI,</t>
        </is>
      </c>
      <c r="G890" s="104" t="inlineStr">
        <is>
          <t xml:space="preserve">TOSHKENT VILOYATI YUQORICHIRCHIQ TUMANI SURANKENT SSG NURLI YO’L MSG QORA-TEPA KO’CHASI RAQAMSIZ UY</t>
        </is>
      </c>
      <c r="H890" s="105">
        <v>8.0</v>
      </c>
      <c r="I890" s="105">
        <v>5919887.36</v>
      </c>
    </row>
    <row r="891">
      <c r="A891" s="104" t="inlineStr">
        <is>
          <t xml:space="preserve">ТОШКЕНТ ВИЛОЯТИ</t>
        </is>
      </c>
      <c r="C891" s="104" t="inlineStr">
        <is>
          <t xml:space="preserve">Недозвон</t>
        </is>
      </c>
      <c r="D891" s="104" t="inlineStr">
        <is>
          <t xml:space="preserve">Кр-99062875-1</t>
        </is>
      </c>
      <c r="E891" s="104" t="inlineStr">
        <is>
          <t xml:space="preserve">UMAROV AKBARALI XASANBAYEVICH</t>
        </is>
      </c>
      <c r="F891" s="104" t="inlineStr">
        <is>
          <t xml:space="preserve">998880456660 SMS OZI, 998889632662 SMS AYOLI, 998977246468 SMS ONASI,</t>
        </is>
      </c>
      <c r="G891" s="104" t="inlineStr">
        <is>
          <t xml:space="preserve">TOSHKENT VILOYATI YANGIYUL TUMANI,OZOD MFY OLTINOBOD KOCHASI 21-UY</t>
        </is>
      </c>
      <c r="H891" s="105">
        <v>8.0</v>
      </c>
      <c r="I891" s="105">
        <v>5730184.18</v>
      </c>
    </row>
    <row r="892">
      <c r="A892" s="104" t="inlineStr">
        <is>
          <t xml:space="preserve">ТОШКЕНТ ВИЛОЯТИ</t>
        </is>
      </c>
      <c r="C892" s="104" t="inlineStr">
        <is>
          <t xml:space="preserve">Недозвон</t>
        </is>
      </c>
      <c r="D892" s="104" t="inlineStr">
        <is>
          <t xml:space="preserve">Кр-99063606-2</t>
        </is>
      </c>
      <c r="E892" s="104" t="inlineStr">
        <is>
          <t xml:space="preserve">OMANOV ZIYOVUDDIN YOQUBJONOVICH</t>
        </is>
      </c>
      <c r="F892" s="104" t="inlineStr">
        <is>
          <t xml:space="preserve">998909222120 HAMKASBI, 998993279484 UKASI, 998998285974 OZI, 998998850472 UKASI,</t>
        </is>
      </c>
      <c r="G892" s="104" t="inlineStr">
        <is>
          <t xml:space="preserve">TOSHKENT VILOYATI O’RTACHIRCHIQ TUMANI UYG’UR MSG, OBODLIK KO’CHASI 2-UY</t>
        </is>
      </c>
      <c r="H892" s="105">
        <v>8.0</v>
      </c>
      <c r="I892" s="105">
        <v>5671136.9</v>
      </c>
    </row>
    <row r="893">
      <c r="A893" s="104" t="inlineStr">
        <is>
          <t xml:space="preserve">ТОШКЕНТ ВИЛОЯТИ</t>
        </is>
      </c>
      <c r="C893" s="104" t="inlineStr">
        <is>
          <t xml:space="preserve">Недозвон</t>
        </is>
      </c>
      <c r="D893" s="104" t="inlineStr">
        <is>
          <t xml:space="preserve">Кр-99040531-1</t>
        </is>
      </c>
      <c r="E893" s="104" t="inlineStr">
        <is>
          <t xml:space="preserve">KADIROVA BARNO IGAMBERDIYEVNA</t>
        </is>
      </c>
      <c r="F893" s="104" t="inlineStr">
        <is>
          <t xml:space="preserve">998978118427 SMS OZI, 998940098427 SMS OZI, 998958780478 SMS OGLI, 998943020860 SMS ONASI,</t>
        </is>
      </c>
      <c r="G893" s="104" t="inlineStr">
        <is>
          <t xml:space="preserve">TOSHKENTI VILOYATI CHINOZ TUMANI NAFIS MFY, SAMARQAND KO'CHASI 72-UY</t>
        </is>
      </c>
      <c r="H893" s="105">
        <v>8.0</v>
      </c>
      <c r="I893" s="105">
        <v>5656961.59</v>
      </c>
    </row>
    <row r="894">
      <c r="A894" s="104" t="inlineStr">
        <is>
          <t xml:space="preserve">ТОШКЕНТ ВИЛОЯТИ</t>
        </is>
      </c>
      <c r="C894" s="104" t="inlineStr">
        <is>
          <t xml:space="preserve">Недозвон</t>
        </is>
      </c>
      <c r="D894" s="104" t="inlineStr">
        <is>
          <t xml:space="preserve">Кр-99063754-1</t>
        </is>
      </c>
      <c r="E894" s="104" t="inlineStr">
        <is>
          <t xml:space="preserve">ISROILOVA SHAXLO XOLMIRZAYEVNA</t>
        </is>
      </c>
      <c r="F894" s="104" t="inlineStr">
        <is>
          <t xml:space="preserve">998999094578 SMS OZI,</t>
        </is>
      </c>
      <c r="G894" s="104" t="inlineStr">
        <is>
          <t xml:space="preserve">CHINOZ TUMANI</t>
        </is>
      </c>
      <c r="H894" s="105">
        <v>11.0</v>
      </c>
      <c r="I894" s="105">
        <v>5628156.15</v>
      </c>
    </row>
    <row r="895">
      <c r="A895" s="104" t="inlineStr">
        <is>
          <t xml:space="preserve">ТОШКЕНТ ВИЛОЯТИ</t>
        </is>
      </c>
      <c r="C895" s="104" t="inlineStr">
        <is>
          <t xml:space="preserve">Недозвон</t>
        </is>
      </c>
      <c r="D895" s="104" t="inlineStr">
        <is>
          <t xml:space="preserve">Кр-99062866-1</t>
        </is>
      </c>
      <c r="E895" s="104" t="inlineStr">
        <is>
          <t xml:space="preserve">BOLTABAYEVA AZIZA KOMILJONOVNA</t>
        </is>
      </c>
      <c r="F895" s="104" t="inlineStr">
        <is>
          <t xml:space="preserve">998951197830 SMS OZI, 998996909930 SMS ONASI, 998881149930 SMS OGLI,</t>
        </is>
      </c>
      <c r="G895" s="104" t="inlineStr">
        <is>
          <t xml:space="preserve">TOSHKENT VILOYATI YANGIYUL TUMANI KUKALAMZOR MFY A.TEMUR KOCHASI 17/1-UY</t>
        </is>
      </c>
      <c r="H895" s="105">
        <v>8.0</v>
      </c>
      <c r="I895" s="105">
        <v>5624978.45</v>
      </c>
    </row>
    <row r="896">
      <c r="A896" s="104" t="inlineStr">
        <is>
          <t xml:space="preserve">ТОШКЕНТ ВИЛОЯТИ</t>
        </is>
      </c>
      <c r="C896" s="104" t="inlineStr">
        <is>
          <t xml:space="preserve">Недозвон</t>
        </is>
      </c>
      <c r="D896" s="104" t="inlineStr">
        <is>
          <t xml:space="preserve">Кр-99057420-1</t>
        </is>
      </c>
      <c r="E896" s="104" t="inlineStr">
        <is>
          <t xml:space="preserve">MIRZAKARIMOVA XALIDA URINBAYEVNA</t>
        </is>
      </c>
      <c r="F896" s="104" t="inlineStr">
        <is>
          <t xml:space="preserve">998978831965 SMS OZI, 998970103540 SMS OGLI, 998708736872 SMS OGLI2,</t>
        </is>
      </c>
      <c r="G896" s="104" t="inlineStr">
        <is>
          <t xml:space="preserve">TOSHKENT VILOYATI YANGIYO’L TUMANI YANGIHAYOT MFY O’ZBEKISTON KO’CHASI 62-UY</t>
        </is>
      </c>
      <c r="H896" s="105">
        <v>8.0</v>
      </c>
      <c r="I896" s="105">
        <v>5615575.6</v>
      </c>
    </row>
    <row r="897">
      <c r="A897" s="104" t="inlineStr">
        <is>
          <t xml:space="preserve">ТОШКЕНТ ВИЛОЯТИ</t>
        </is>
      </c>
      <c r="C897" s="104" t="inlineStr">
        <is>
          <t xml:space="preserve">Недозвон</t>
        </is>
      </c>
      <c r="D897" s="104" t="inlineStr">
        <is>
          <t xml:space="preserve">Кр-99063568-2</t>
        </is>
      </c>
      <c r="E897" s="104" t="inlineStr">
        <is>
          <t xml:space="preserve">XASANOVA OYDIN XUDAYBERGANOVNA</t>
        </is>
      </c>
      <c r="F897" s="104" t="inlineStr">
        <is>
          <t xml:space="preserve">998900273520 SMS O’ZI, 998930493166 KATTA O’G’LI, 998933712293 KICHIK O’G’LI,</t>
        </is>
      </c>
      <c r="G897" s="104" t="inlineStr">
        <is>
          <t xml:space="preserve">TOSHKENT VILOYATI BEKOBOD, FARG’ONA MFY 13-DAXA KO’CHASI 84-UY 19-XONADON</t>
        </is>
      </c>
      <c r="H897" s="105">
        <v>8.0</v>
      </c>
      <c r="I897" s="105">
        <v>5595205.32</v>
      </c>
    </row>
    <row r="898">
      <c r="A898" s="104" t="inlineStr">
        <is>
          <t xml:space="preserve">ТОШКЕНТ ВИЛОЯТИ</t>
        </is>
      </c>
      <c r="C898" s="104" t="inlineStr">
        <is>
          <t xml:space="preserve">Недозвон</t>
        </is>
      </c>
      <c r="D898" s="104" t="inlineStr">
        <is>
          <t xml:space="preserve">Кр-99063763-1</t>
        </is>
      </c>
      <c r="E898" s="104" t="inlineStr">
        <is>
          <t xml:space="preserve">EGAMBERDIYEV XUDAYNAZAR ZUXRIDDIN O’G’LI</t>
        </is>
      </c>
      <c r="F898" s="104" t="inlineStr">
        <is>
          <t xml:space="preserve">998772832581 SMS TOLOVCHI, 998882515015 SMS UZI2, 998940604710 SMS UZI,</t>
        </is>
      </c>
      <c r="G898" s="104" t="inlineStr">
        <is>
          <t xml:space="preserve">Бунёдкор МФЙ, Саховот кучаси, 47-уй</t>
        </is>
      </c>
      <c r="H898" s="105">
        <v>8.0</v>
      </c>
      <c r="I898" s="105">
        <v>5453023.77</v>
      </c>
    </row>
    <row r="899">
      <c r="A899" s="104" t="inlineStr">
        <is>
          <t xml:space="preserve">ТОШКЕНТ ВИЛОЯТИ</t>
        </is>
      </c>
      <c r="C899" s="104" t="inlineStr">
        <is>
          <t xml:space="preserve">Недозвон</t>
        </is>
      </c>
      <c r="D899" s="104" t="inlineStr">
        <is>
          <t xml:space="preserve">Кр-99034875-2</t>
        </is>
      </c>
      <c r="E899" s="104" t="inlineStr">
        <is>
          <t xml:space="preserve">DUSHATOVA GULASAL SABIROVNA</t>
        </is>
      </c>
      <c r="F899" s="104" t="inlineStr">
        <is>
          <t xml:space="preserve">998886210515 SMS O’ZI, 998909630565 SMS ERI DARVOZA ESHIK USTANOFKA QILADI , 998887122515 SMS QIZI, 998880130565 SMS ZALOGADETOL,</t>
        </is>
      </c>
      <c r="G899" s="104" t="inlineStr">
        <is>
          <t xml:space="preserve">TOSHKENT VILOYATI O’RTACHIRCHIQ TUMANI ISTIQLOL QFY  NOMDANAK MFY  NOMDANAK 112-UY</t>
        </is>
      </c>
      <c r="H899" s="105">
        <v>8.0</v>
      </c>
      <c r="I899" s="105">
        <v>5425816.24</v>
      </c>
    </row>
    <row r="900">
      <c r="A900" s="104" t="inlineStr">
        <is>
          <t xml:space="preserve">ТОШКЕНТ ВИЛОЯТИ</t>
        </is>
      </c>
      <c r="C900" s="104" t="inlineStr">
        <is>
          <t xml:space="preserve">Недозвон</t>
        </is>
      </c>
      <c r="D900" s="104" t="inlineStr">
        <is>
          <t xml:space="preserve">Кр-99039330-1</t>
        </is>
      </c>
      <c r="E900" s="104" t="inlineStr">
        <is>
          <t xml:space="preserve">RAHIMJONOV ISMOIL ILXOMJON O’G’LI</t>
        </is>
      </c>
      <c r="F900" s="104" t="inlineStr">
        <is>
          <t xml:space="preserve">998946736737 SMS OZI, 998331212122 SMS AKASI, 998887116737 SMS KENAYSIYI,</t>
        </is>
      </c>
      <c r="G900" s="104" t="inlineStr">
        <is>
          <t xml:space="preserve">TOSHKENT SHAHAR YUNUSOBOD TUMANI ASTROBOD MFY,7-MAVZE,48-UY,18-XONADON</t>
        </is>
      </c>
      <c r="H900" s="105">
        <v>12.0</v>
      </c>
      <c r="I900" s="105">
        <v>5405555.21</v>
      </c>
    </row>
    <row r="901">
      <c r="A901" s="104" t="inlineStr">
        <is>
          <t xml:space="preserve">ТОШКЕНТ ВИЛОЯТИ</t>
        </is>
      </c>
      <c r="C901" s="104" t="inlineStr">
        <is>
          <t xml:space="preserve">Недозвон</t>
        </is>
      </c>
      <c r="D901" s="104" t="inlineStr">
        <is>
          <t xml:space="preserve">Кр-99033551-1</t>
        </is>
      </c>
      <c r="E901" s="104" t="inlineStr">
        <is>
          <t xml:space="preserve">ABSALAMOVA IZZATOY XONPO’LATOVNA</t>
        </is>
      </c>
      <c r="F901" s="104" t="inlineStr">
        <is>
          <t xml:space="preserve">998944240245 SMS ERI, 998946522242 SMS QUDA BUVA, 998931107336 SMS KELINI, 998946089472 SMS O’G’LI,</t>
        </is>
      </c>
      <c r="G901" s="104" t="inlineStr">
        <is>
          <t xml:space="preserve">TOSHKENT VILOYATI PISKENT TUMANI AXIL MFY, ISTIQLOL KO’CHASI 2-UY</t>
        </is>
      </c>
      <c r="H901" s="105">
        <v>1.0</v>
      </c>
      <c r="I901" s="105">
        <v>5358473.72</v>
      </c>
    </row>
    <row r="902">
      <c r="A902" s="104" t="inlineStr">
        <is>
          <t xml:space="preserve">ТОШКЕНТ ВИЛОЯТИ</t>
        </is>
      </c>
      <c r="C902" s="104" t="inlineStr">
        <is>
          <t xml:space="preserve">Недозвон</t>
        </is>
      </c>
      <c r="D902" s="104" t="inlineStr">
        <is>
          <t xml:space="preserve">Кр-99032798-1</t>
        </is>
      </c>
      <c r="E902" s="104" t="inlineStr">
        <is>
          <t xml:space="preserve">ZIYAXODJAYEVA MAVLYUDA MIRBOBAYEVNA</t>
        </is>
      </c>
      <c r="F902" s="104" t="inlineStr">
        <is>
          <t xml:space="preserve">998983111339 SMS O’G’LI, 998981417005 SMS O’G’LI 2, 998981001339 SMS O’ZI, 998902013393 SMS O’G’LI 3, 998935985884 SMS FARRUX TOLOVCHI ,</t>
        </is>
      </c>
      <c r="G902" s="104" t="inlineStr">
        <is>
          <t xml:space="preserve">TOSHKENT VILOYATI ANGREN SHAHRI NAMATAK, 3, 8</t>
        </is>
      </c>
      <c r="H902" s="105">
        <v>60.0</v>
      </c>
      <c r="I902" s="105">
        <v>5107799.15</v>
      </c>
    </row>
    <row r="903">
      <c r="A903" s="104" t="inlineStr">
        <is>
          <t xml:space="preserve">ТОШКЕНТ ВИЛОЯТИ</t>
        </is>
      </c>
      <c r="C903" s="104" t="inlineStr">
        <is>
          <t xml:space="preserve">Недозвон</t>
        </is>
      </c>
      <c r="D903" s="104" t="inlineStr">
        <is>
          <t xml:space="preserve">Кр-99063640-1</t>
        </is>
      </c>
      <c r="E903" s="104" t="inlineStr">
        <is>
          <t xml:space="preserve">ATAXODJAYEVA MANZURA GAFURJANOVNA</t>
        </is>
      </c>
      <c r="F903" s="104" t="inlineStr">
        <is>
          <t xml:space="preserve">998501761767 OGLI, 998933940515 OZI, 998956261926 QIZI,</t>
        </is>
      </c>
      <c r="G903" s="104" t="inlineStr">
        <is>
          <t xml:space="preserve">TOSHKENT VILOYATI NURAFSHON TARAQQIYOT MSG, TARAQQIYOT KO’CHASI 23-UY, 42-XONADON</t>
        </is>
      </c>
      <c r="H903" s="105">
        <v>8.0</v>
      </c>
      <c r="I903" s="105">
        <v>5078252.36</v>
      </c>
    </row>
    <row r="904">
      <c r="A904" s="104" t="inlineStr">
        <is>
          <t xml:space="preserve">ТОШКЕНТ ВИЛОЯТИ</t>
        </is>
      </c>
      <c r="C904" s="104" t="inlineStr">
        <is>
          <t xml:space="preserve">Недозвон</t>
        </is>
      </c>
      <c r="D904" s="104" t="inlineStr">
        <is>
          <t xml:space="preserve">Кр-99053609-1</t>
        </is>
      </c>
      <c r="E904" s="104" t="inlineStr">
        <is>
          <t xml:space="preserve">YUNUSOV GYRAT TANGIRBERDIYEVICH</t>
        </is>
      </c>
      <c r="F904" s="104" t="inlineStr">
        <is>
          <t xml:space="preserve">998944186989 SMS O'ZI, 998946747260 SMS O'G'LI, 998944007176 SMS AYOLI, 998947177880 SMS QIZI,</t>
        </is>
      </c>
      <c r="G904" s="104" t="inlineStr">
        <is>
          <t xml:space="preserve">TOSHKENT VILOYATI O’RTACHIRCHIQ TUMANI O’RTAOVUL MFY XAMDO’STLIK KO’CASHI 38-UY</t>
        </is>
      </c>
      <c r="H904" s="105">
        <v>8.0</v>
      </c>
      <c r="I904" s="105">
        <v>5056815.1</v>
      </c>
    </row>
    <row r="905">
      <c r="A905" s="104" t="inlineStr">
        <is>
          <t xml:space="preserve">ТОШКЕНТ ВИЛОЯТИ</t>
        </is>
      </c>
      <c r="C905" s="104" t="inlineStr">
        <is>
          <t xml:space="preserve">Недозвон</t>
        </is>
      </c>
      <c r="D905" s="104" t="inlineStr">
        <is>
          <t xml:space="preserve">Кр-99042312-2</t>
        </is>
      </c>
      <c r="E905" s="104" t="inlineStr">
        <is>
          <t xml:space="preserve">NISHANBAYEVA MOXIGUL ARTIKOVNA</t>
        </is>
      </c>
      <c r="F905" s="104" t="inlineStr">
        <is>
          <t xml:space="preserve">998930941669 SMS ZALOGODATELNI AKASI, 998934031882 SMS ZALOGODATELNI AYOLI, 998947037403 SMS OZI, 998949387781 SMS ZALOGODATEL,</t>
        </is>
      </c>
      <c r="G905" s="104" t="inlineStr">
        <is>
          <t xml:space="preserve">Ташкентская область, г.Ахангаран, Охангарон г., Янгилик МСГ, ул. 2 кичик нохия, дом 25, кв. 27</t>
        </is>
      </c>
      <c r="H905" s="105">
        <v>8.0</v>
      </c>
      <c r="I905" s="105">
        <v>5043217.55</v>
      </c>
    </row>
    <row r="906">
      <c r="A906" s="104" t="inlineStr">
        <is>
          <t xml:space="preserve">ТОШКЕНТ ВИЛОЯТИ</t>
        </is>
      </c>
      <c r="C906" s="104" t="inlineStr">
        <is>
          <t xml:space="preserve">Недозвон</t>
        </is>
      </c>
      <c r="D906" s="104" t="inlineStr">
        <is>
          <t xml:space="preserve">Кр-99062949-1</t>
        </is>
      </c>
      <c r="E906" s="104" t="inlineStr">
        <is>
          <t xml:space="preserve">LISENKO DILMURAT ELSHATOVICH</t>
        </is>
      </c>
      <c r="F906" s="104" t="inlineStr">
        <is>
          <t xml:space="preserve">998901161166 SMS DOSTI, 998996382633 SMS TOGASI, 998998062869 SMS  OZI,</t>
        </is>
      </c>
      <c r="G906" s="104" t="inlineStr">
        <is>
          <t xml:space="preserve">KUTB YULDUZI KO’CHASI 32-UY</t>
        </is>
      </c>
      <c r="H906" s="105">
        <v>8.0</v>
      </c>
      <c r="I906" s="105">
        <v>4942154.57</v>
      </c>
    </row>
    <row r="907">
      <c r="A907" s="104" t="inlineStr">
        <is>
          <t xml:space="preserve">ТОШКЕНТ ВИЛОЯТИ</t>
        </is>
      </c>
      <c r="C907" s="104" t="inlineStr">
        <is>
          <t xml:space="preserve">Недозвон</t>
        </is>
      </c>
      <c r="D907" s="104" t="inlineStr">
        <is>
          <t xml:space="preserve">Кр-99041442-1</t>
        </is>
      </c>
      <c r="E907" s="104" t="inlineStr">
        <is>
          <t xml:space="preserve">XALILOV ROVSHANJON TOXIR O’G’LI</t>
        </is>
      </c>
      <c r="F907" s="104" t="inlineStr">
        <is>
          <t xml:space="preserve">+998935586663 SMS O’ZI, 998944006633 SMS UKASI (QARINDOSH), 998946239263 SMS UKASI 2, 998974552222 SMS DO’STI,</t>
        </is>
      </c>
      <c r="G907" s="104" t="inlineStr">
        <is>
          <t xml:space="preserve">ТОШКЕНТ ШАХРИ УЧТЕПА ТУМАНИ ФОЗИЛТЕПА МФЙ, ИЗЗА КЎЧАСИ,  uy:97</t>
        </is>
      </c>
      <c r="H907" s="105">
        <v>8.0</v>
      </c>
      <c r="I907" s="105">
        <v>4892336.15</v>
      </c>
    </row>
    <row r="908">
      <c r="A908" s="104" t="inlineStr">
        <is>
          <t xml:space="preserve">ТОШКЕНТ ВИЛОЯТИ</t>
        </is>
      </c>
      <c r="C908" s="104" t="inlineStr">
        <is>
          <t xml:space="preserve">Недозвон</t>
        </is>
      </c>
      <c r="D908" s="104" t="inlineStr">
        <is>
          <t xml:space="preserve">Кр-99061097-2</t>
        </is>
      </c>
      <c r="E908" s="104" t="inlineStr">
        <is>
          <t xml:space="preserve">ALIYEVA MINOVAR ALIMDJANOVNA</t>
        </is>
      </c>
      <c r="F908" s="104" t="inlineStr">
        <is>
          <t xml:space="preserve">+998977580127 SMS OZI, 998880381274 SMS QIZI, 998888771715 SMS OGLI,</t>
        </is>
      </c>
      <c r="G908" s="104" t="inlineStr">
        <is>
          <t xml:space="preserve">TOSHKENT VILOYATI CHIRCHIQ SHAHAR SEMRUG MFY 8-KICHIK NOXIYA 13-UY 80-XONODON</t>
        </is>
      </c>
      <c r="H908" s="105">
        <v>8.0</v>
      </c>
      <c r="I908" s="105">
        <v>4842893.61</v>
      </c>
    </row>
    <row r="909">
      <c r="A909" s="104" t="inlineStr">
        <is>
          <t xml:space="preserve">ТОШКЕНТ ВИЛОЯТИ</t>
        </is>
      </c>
      <c r="C909" s="104" t="inlineStr">
        <is>
          <t xml:space="preserve">Недозвон</t>
        </is>
      </c>
      <c r="D909" s="104" t="inlineStr">
        <is>
          <t xml:space="preserve">Кр-99063178-1</t>
        </is>
      </c>
      <c r="E909" s="104" t="inlineStr">
        <is>
          <t xml:space="preserve">ALIMOV DILMURAT XAMIDULLAYEVICH</t>
        </is>
      </c>
      <c r="F909" s="104" t="inlineStr">
        <is>
          <t xml:space="preserve">998944113339 OZI, 998977330525 AYOLI, 998995113339 O’G’LI,</t>
        </is>
      </c>
      <c r="G909" s="104" t="inlineStr">
        <is>
          <t xml:space="preserve">TOSHKENT VILOYATI QIBRAY TUMANI G’OFUR G’ULOM MFY ALISHER NAVOIY KO’CHASI 460B-UY</t>
        </is>
      </c>
      <c r="H909" s="105">
        <v>8.0</v>
      </c>
      <c r="I909" s="105">
        <v>4764784.52</v>
      </c>
    </row>
    <row r="910">
      <c r="A910" s="104" t="inlineStr">
        <is>
          <t xml:space="preserve">ТОШКЕНТ ВИЛОЯТИ</t>
        </is>
      </c>
      <c r="C910" s="104" t="inlineStr">
        <is>
          <t xml:space="preserve">Недозвон</t>
        </is>
      </c>
      <c r="D910" s="104" t="inlineStr">
        <is>
          <t xml:space="preserve">Кр-99030645-1</t>
        </is>
      </c>
      <c r="E910" s="104" t="inlineStr">
        <is>
          <t xml:space="preserve">DIYAROV OLIMDJON XAYDARALIYEVICH</t>
        </is>
      </c>
      <c r="F910" s="104" t="inlineStr">
        <is>
          <t xml:space="preserve">90-906-09-90 SMS O’ZI, 94-565-94-10 SMS DO’STI, 90-799-07-67 SMS AYOLI, 90-820-01-09 SMS O’G’LI,</t>
        </is>
      </c>
      <c r="G910" s="104" t="inlineStr">
        <is>
          <t xml:space="preserve">TOSHKENT VILOYATI TOOSHKENT TUMANI QUSH QONDI MFY BIRLASHUV KOCHASI 3-UY</t>
        </is>
      </c>
      <c r="H910" s="105">
        <v>155.0</v>
      </c>
      <c r="I910" s="105">
        <v>4685129.88</v>
      </c>
    </row>
    <row r="911">
      <c r="A911" s="104" t="inlineStr">
        <is>
          <t xml:space="preserve">ТОШКЕНТ ВИЛОЯТИ</t>
        </is>
      </c>
      <c r="C911" s="104" t="inlineStr">
        <is>
          <t xml:space="preserve">Недозвон</t>
        </is>
      </c>
      <c r="D911" s="104" t="inlineStr">
        <is>
          <t xml:space="preserve">Кр-99047407-1</t>
        </is>
      </c>
      <c r="E911" s="104" t="inlineStr">
        <is>
          <t xml:space="preserve">DAVLATOV ANVAR YULDASHEVICH</t>
        </is>
      </c>
      <c r="F911" s="104" t="inlineStr">
        <is>
          <t xml:space="preserve">998500780927 QIZI, 998951117920 AYOLI, 998993529646 OGLI, 998998324696 OZI,</t>
        </is>
      </c>
      <c r="G911" s="104" t="inlineStr">
        <is>
          <t xml:space="preserve">Дустлик кучаси 18-уй</t>
        </is>
      </c>
      <c r="H911" s="105">
        <v>8.0</v>
      </c>
      <c r="I911" s="105">
        <v>4559685.31</v>
      </c>
    </row>
    <row r="912">
      <c r="A912" s="104" t="inlineStr">
        <is>
          <t xml:space="preserve">ТОШКЕНТ ВИЛОЯТИ</t>
        </is>
      </c>
      <c r="C912" s="104" t="inlineStr">
        <is>
          <t xml:space="preserve">Недозвон</t>
        </is>
      </c>
      <c r="D912" s="104" t="inlineStr">
        <is>
          <t xml:space="preserve">Кр-99040864-1</t>
        </is>
      </c>
      <c r="E912" s="104" t="inlineStr">
        <is>
          <t xml:space="preserve">AVAZOV XUSAN MURODJON O’G’LI</t>
        </is>
      </c>
      <c r="F912" s="104" t="inlineStr">
        <is>
          <t xml:space="preserve">+998994444737 SMS O’ZI, 998883479300 SMS AYOLI, 998950048520 SMS UKASI,</t>
        </is>
      </c>
      <c r="G912" s="104" t="inlineStr">
        <is>
          <t xml:space="preserve">ОҚҚЎРҒОН ҚФЙ, СУЛТОНОБОД МФЙ, КЕРАИТ КЎЧАСИ,  uy:Р/С</t>
        </is>
      </c>
      <c r="H912" s="105">
        <v>8.0</v>
      </c>
      <c r="I912" s="105">
        <v>4547109.25</v>
      </c>
    </row>
    <row r="913">
      <c r="A913" s="104" t="inlineStr">
        <is>
          <t xml:space="preserve">ТОШКЕНТ ВИЛОЯТИ</t>
        </is>
      </c>
      <c r="C913" s="104" t="inlineStr">
        <is>
          <t xml:space="preserve">Недозвон</t>
        </is>
      </c>
      <c r="D913" s="104" t="inlineStr">
        <is>
          <t xml:space="preserve">Кр-99032315-1</t>
        </is>
      </c>
      <c r="E913" s="104" t="inlineStr">
        <is>
          <t xml:space="preserve">MIRAZIZOV MIRKAMOL MIRXASILOVICH</t>
        </is>
      </c>
      <c r="F913" s="104" t="inlineStr">
        <is>
          <t xml:space="preserve">998997446472 SMS O’ZI, 998997174212 SMS O’G’LI, 998950042442 SMS KELINI tanimidi, 998990201652 SMS ozi yengi nomeri,</t>
        </is>
      </c>
      <c r="G913" s="104" t="inlineStr">
        <is>
          <t xml:space="preserve">TOSHKENT VILOYATI CHIRCHIQ SHAHAR SOG’LOM AVLOD KO’CHASI 18-UY 20-XONADON</t>
        </is>
      </c>
      <c r="H913" s="105">
        <v>8.0</v>
      </c>
      <c r="I913" s="105">
        <v>4540005.26</v>
      </c>
    </row>
    <row r="914">
      <c r="A914" s="104" t="inlineStr">
        <is>
          <t xml:space="preserve">ТОШКЕНТ ВИЛОЯТИ</t>
        </is>
      </c>
      <c r="C914" s="104" t="inlineStr">
        <is>
          <t xml:space="preserve">Недозвон</t>
        </is>
      </c>
      <c r="D914" s="104" t="inlineStr">
        <is>
          <t xml:space="preserve">Кр-99036362-4</t>
        </is>
      </c>
      <c r="E914" s="104" t="inlineStr">
        <is>
          <t xml:space="preserve">ELBAYEVA MAXLIYO BEKTURSUNOVNA</t>
        </is>
      </c>
      <c r="F914" s="104" t="inlineStr">
        <is>
          <t xml:space="preserve">998946160995 SMS OZI, 998998041716 SMS ERI, 998353316172 SMS OZI, 998330601716 SMS QIZI,</t>
        </is>
      </c>
      <c r="G914" s="104" t="inlineStr">
        <is>
          <t xml:space="preserve">TOSHKENT VILOYATI, BO’KA TUMANI, DO’STLIK MFY, TINCHLIK-1, 2-UY</t>
        </is>
      </c>
      <c r="H914" s="105">
        <v>8.0</v>
      </c>
      <c r="I914" s="105">
        <v>4494074.64</v>
      </c>
    </row>
    <row r="915">
      <c r="A915" s="104" t="inlineStr">
        <is>
          <t xml:space="preserve">ТОШКЕНТ ВИЛОЯТИ</t>
        </is>
      </c>
      <c r="C915" s="104" t="inlineStr">
        <is>
          <t xml:space="preserve">Недозвон</t>
        </is>
      </c>
      <c r="D915" s="104" t="inlineStr">
        <is>
          <t xml:space="preserve">Кр-99049707-1</t>
        </is>
      </c>
      <c r="E915" s="104" t="inlineStr">
        <is>
          <t xml:space="preserve">QO’LDOSHEVA XURSHIDA SOBIR QIZI</t>
        </is>
      </c>
      <c r="F915" s="104" t="inlineStr">
        <is>
          <t xml:space="preserve">998947692767 ERI MOSHINA EGASI, 998948642420 OZI, 998949237706 ONASI, 998994683232 TOGASI,</t>
        </is>
      </c>
      <c r="G915" s="104" t="inlineStr">
        <is>
          <t xml:space="preserve">Ezgulik MFY, Shodlik ko’chasi, 108-uy</t>
        </is>
      </c>
      <c r="H915" s="105">
        <v>8.0</v>
      </c>
      <c r="I915" s="105">
        <v>4458390.21</v>
      </c>
    </row>
    <row r="916">
      <c r="A916" s="104" t="inlineStr">
        <is>
          <t xml:space="preserve">ТОШКЕНТ ВИЛОЯТИ</t>
        </is>
      </c>
      <c r="C916" s="104" t="inlineStr">
        <is>
          <t xml:space="preserve">Недозвон</t>
        </is>
      </c>
      <c r="D916" s="104" t="inlineStr">
        <is>
          <t xml:space="preserve">Кр-99058520-1</t>
        </is>
      </c>
      <c r="E916" s="104" t="inlineStr">
        <is>
          <t xml:space="preserve">NUSRATOVA MINAVARXON ZARIFVONA</t>
        </is>
      </c>
      <c r="F916" s="104" t="inlineStr">
        <is>
          <t xml:space="preserve">998941563393 SMS, 998700740899 SMS, 998942319698 SMS,</t>
        </is>
      </c>
      <c r="G916" s="104" t="inlineStr">
        <is>
          <t xml:space="preserve">IIV27220</t>
        </is>
      </c>
      <c r="H916" s="105">
        <v>8.0</v>
      </c>
      <c r="I916" s="105">
        <v>4446731.17</v>
      </c>
    </row>
    <row r="917">
      <c r="A917" s="104" t="inlineStr">
        <is>
          <t xml:space="preserve">ТОШКЕНТ ВИЛОЯТИ</t>
        </is>
      </c>
      <c r="C917" s="104" t="inlineStr">
        <is>
          <t xml:space="preserve">Недозвон</t>
        </is>
      </c>
      <c r="D917" s="104" t="inlineStr">
        <is>
          <t xml:space="preserve">Кр-99061505-1</t>
        </is>
      </c>
      <c r="E917" s="104" t="inlineStr">
        <is>
          <t xml:space="preserve">MAMADJANOV XURSHED XAMIDOVICH</t>
        </is>
      </c>
      <c r="F917" s="104" t="inlineStr">
        <is>
          <t xml:space="preserve">998996075874 узи, 998940004784 кизи, 998998225874 онаси, 998993584784 аели,</t>
        </is>
      </c>
      <c r="G917" s="104" t="inlineStr">
        <is>
          <t xml:space="preserve">TOSHKENT VILOYATI OLMALIQ SHAHAR ALDULLA QODIRIY MFY ALBDULLA QODIRIY KO'CHASI 64-UY</t>
        </is>
      </c>
      <c r="H917" s="105">
        <v>8.0</v>
      </c>
      <c r="I917" s="105">
        <v>4442203.08</v>
      </c>
    </row>
    <row r="918">
      <c r="A918" s="104" t="inlineStr">
        <is>
          <t xml:space="preserve">ТОШКЕНТ ВИЛОЯТИ</t>
        </is>
      </c>
      <c r="C918" s="104" t="inlineStr">
        <is>
          <t xml:space="preserve">Недозвон</t>
        </is>
      </c>
      <c r="D918" s="104" t="inlineStr">
        <is>
          <t xml:space="preserve">Кр-99057356-1</t>
        </is>
      </c>
      <c r="E918" s="104" t="inlineStr">
        <is>
          <t xml:space="preserve">XOSHIMOVA DILOROM MAXMUDOVNA</t>
        </is>
      </c>
      <c r="F918" s="104" t="inlineStr">
        <is>
          <t xml:space="preserve">998994041518 SMS OZI, 998881149294 SMS KELINI, 998936040474 SMS ERI,</t>
        </is>
      </c>
      <c r="G918" s="104" t="inlineStr">
        <is>
          <t xml:space="preserve">TOSHKENT VILOYATI CHINOZ TUMANI ALISHER NAVOIY MFY ALPOMISH KO’CHASI 6/-UY</t>
        </is>
      </c>
      <c r="H918" s="105">
        <v>8.0</v>
      </c>
      <c r="I918" s="105">
        <v>4425918.58</v>
      </c>
    </row>
    <row r="919">
      <c r="A919" s="104" t="inlineStr">
        <is>
          <t xml:space="preserve">ТОШКЕНТ ВИЛОЯТИ</t>
        </is>
      </c>
      <c r="C919" s="104" t="inlineStr">
        <is>
          <t xml:space="preserve">Недозвон</t>
        </is>
      </c>
      <c r="D919" s="104" t="inlineStr">
        <is>
          <t xml:space="preserve">Кр-99063141-1</t>
        </is>
      </c>
      <c r="E919" s="104" t="inlineStr">
        <is>
          <t xml:space="preserve">ALIMOVA GULZIYNAT TOSHPO’LATOVNA</t>
        </is>
      </c>
      <c r="F919" s="104" t="inlineStr">
        <is>
          <t xml:space="preserve">998946686268 SMS OZI, 998975396590 SMS OGLI, 998395809022 SMS OGLI2, 998931143394 SMS QIZI,</t>
        </is>
      </c>
      <c r="G919" s="104" t="inlineStr">
        <is>
          <t xml:space="preserve">TOSHKENT VILOYATI CHINOZ TUMANI YANGIHAYOT MFY SAMARQAND KOCHASI 27-UY</t>
        </is>
      </c>
      <c r="H919" s="105">
        <v>8.0</v>
      </c>
      <c r="I919" s="105">
        <v>4408061.31</v>
      </c>
    </row>
    <row r="920">
      <c r="A920" s="104" t="inlineStr">
        <is>
          <t xml:space="preserve">ТОШКЕНТ ВИЛОЯТИ</t>
        </is>
      </c>
      <c r="C920" s="104" t="inlineStr">
        <is>
          <t xml:space="preserve">Недозвон</t>
        </is>
      </c>
      <c r="D920" s="104" t="inlineStr">
        <is>
          <t xml:space="preserve">Кр-99055946-1</t>
        </is>
      </c>
      <c r="E920" s="104" t="inlineStr">
        <is>
          <t xml:space="preserve">MIRZABAYEV TOXTAMURAT TEMIRBEKOVICH</t>
        </is>
      </c>
      <c r="F920" s="104" t="inlineStr">
        <is>
          <t xml:space="preserve">998999754545 OZI, 998981882818 OZI 2, 998905530080 UKASI, 998985000080 UKASI 2,</t>
        </is>
      </c>
      <c r="G920" s="104" t="inlineStr">
        <is>
          <t xml:space="preserve">TOSHKENT VILOYATI YUQORICHIRCHIQ TUMANI</t>
        </is>
      </c>
      <c r="H920" s="105">
        <v>8.0</v>
      </c>
      <c r="I920" s="105">
        <v>4382935.67</v>
      </c>
    </row>
    <row r="921">
      <c r="A921" s="104" t="inlineStr">
        <is>
          <t xml:space="preserve">ТОШКЕНТ ВИЛОЯТИ</t>
        </is>
      </c>
      <c r="C921" s="104" t="inlineStr">
        <is>
          <t xml:space="preserve">Недозвон</t>
        </is>
      </c>
      <c r="D921" s="104" t="inlineStr">
        <is>
          <t xml:space="preserve">Кр-99063610-1</t>
        </is>
      </c>
      <c r="E921" s="104" t="inlineStr">
        <is>
          <t xml:space="preserve">BATIRBEKOVA AYSARA XXX</t>
        </is>
      </c>
      <c r="F921" s="104" t="inlineStr">
        <is>
          <t xml:space="preserve">+998941221884 SMS OZI, 998933059625 SMS QIZI, 998940560982 SMS KUYOVI,</t>
        </is>
      </c>
      <c r="G921" s="104" t="inlineStr">
        <is>
          <t xml:space="preserve">TOSHKENT VILOYATI QUYICHIRCHIQ TUMANI DO’STLIK-1 MFY, S.RAXIMOV KOCHASI 26-UY</t>
        </is>
      </c>
      <c r="H921" s="105">
        <v>8.0</v>
      </c>
      <c r="I921" s="105">
        <v>4357038.09</v>
      </c>
    </row>
    <row r="922">
      <c r="A922" s="104" t="inlineStr">
        <is>
          <t xml:space="preserve">ТОШКЕНТ ВИЛОЯТИ</t>
        </is>
      </c>
      <c r="C922" s="104" t="inlineStr">
        <is>
          <t xml:space="preserve">Недозвон</t>
        </is>
      </c>
      <c r="D922" s="104" t="inlineStr">
        <is>
          <t xml:space="preserve">Кр-99034361-2</t>
        </is>
      </c>
      <c r="E922" s="104" t="inlineStr">
        <is>
          <t xml:space="preserve">ALIMOVA ZULFIYA OKTEMOVNA</t>
        </is>
      </c>
      <c r="F922" s="104" t="inlineStr">
        <is>
          <t xml:space="preserve">998940391277 SMS OZI, 998940274024 SMS ERI, 998943675445 SMS OGLI, 998507733153 SMS QIZI,</t>
        </is>
      </c>
      <c r="G922" s="104" t="inlineStr">
        <is>
          <t xml:space="preserve">TOSHKENT VILOYATI CHINOZ TUMANI NAVRO’Z MAHALLASI HURRIYAT KO’CHASI 6-XONADON</t>
        </is>
      </c>
      <c r="H922" s="105">
        <v>8.0</v>
      </c>
      <c r="I922" s="105">
        <v>4349588.87</v>
      </c>
    </row>
    <row r="923">
      <c r="A923" s="104" t="inlineStr">
        <is>
          <t xml:space="preserve">ТОШКЕНТ ВИЛОЯТИ</t>
        </is>
      </c>
      <c r="C923" s="104" t="inlineStr">
        <is>
          <t xml:space="preserve">Недозвон</t>
        </is>
      </c>
      <c r="D923" s="104" t="inlineStr">
        <is>
          <t xml:space="preserve">Кр-99029318-1</t>
        </is>
      </c>
      <c r="E923" s="104" t="inlineStr">
        <is>
          <t xml:space="preserve">AXMEDOV TAXIR ABDIKUCHKAROVICH</t>
        </is>
      </c>
      <c r="F923" s="104" t="inlineStr">
        <is>
          <t xml:space="preserve">88-788-06-00 SMS, 97-740-79-69 SMS Ayoli, 88-766-16-13 SMS Ogli Rixsitilla,</t>
        </is>
      </c>
      <c r="G923" s="104" t="inlineStr">
        <is>
          <t xml:space="preserve">TOSHKENT VILOYATI TOSHKENT TUMANI GULISTON QFY JAYXUN KOCHASI 1-UY</t>
        </is>
      </c>
      <c r="H923" s="105">
        <v>6.0</v>
      </c>
      <c r="I923" s="105">
        <v>4342639.27</v>
      </c>
    </row>
    <row r="924">
      <c r="A924" s="104" t="inlineStr">
        <is>
          <t xml:space="preserve">ТОШКЕНТ ВИЛОЯТИ</t>
        </is>
      </c>
      <c r="C924" s="104" t="inlineStr">
        <is>
          <t xml:space="preserve">Недозвон</t>
        </is>
      </c>
      <c r="D924" s="104" t="inlineStr">
        <is>
          <t xml:space="preserve">Кр-99046154-1</t>
        </is>
      </c>
      <c r="E924" s="104" t="inlineStr">
        <is>
          <t xml:space="preserve">JANBULATOV XABIBULLA XXX</t>
        </is>
      </c>
      <c r="F924" s="104" t="inlineStr">
        <is>
          <t xml:space="preserve">998889081987 sms onasi, 998931267855 sms ukasi, 998931997855 sms ozi, 998935200260 sms akasi,</t>
        </is>
      </c>
      <c r="G924" s="104" t="inlineStr">
        <is>
          <t xml:space="preserve">Аччисай МФЙ, Соғлом авлод кучаси, 1-уй</t>
        </is>
      </c>
      <c r="H924" s="105">
        <v>8.0</v>
      </c>
      <c r="I924" s="105">
        <v>4322311.27</v>
      </c>
    </row>
    <row r="925">
      <c r="A925" s="104" t="inlineStr">
        <is>
          <t xml:space="preserve">ТОШКЕНТ ВИЛОЯТИ</t>
        </is>
      </c>
      <c r="C925" s="104" t="inlineStr">
        <is>
          <t xml:space="preserve">Недозвон</t>
        </is>
      </c>
      <c r="D925" s="104" t="inlineStr">
        <is>
          <t xml:space="preserve">Кр-99028087-3</t>
        </is>
      </c>
      <c r="E925" s="104" t="inlineStr">
        <is>
          <t xml:space="preserve">QUDRATOV XUMOYUN ERKIN O’G’LI</t>
        </is>
      </c>
      <c r="F925" s="104" t="inlineStr">
        <is>
          <t xml:space="preserve">97-421-19-91 SMS OZI , 99-129-19-91 SMS OZI , 98-126-15-35 SMS OZI 3,</t>
        </is>
      </c>
      <c r="G925" s="104" t="inlineStr">
        <is>
          <t xml:space="preserve">TOSHKENT VILOYATI ZANGIOTA TUMANI ESHONGUZAR QFY ERKIN KOCHASI 169-UY</t>
        </is>
      </c>
      <c r="H925" s="105">
        <v>8.0</v>
      </c>
      <c r="I925" s="105">
        <v>4313324.34</v>
      </c>
    </row>
    <row r="926">
      <c r="A926" s="104" t="inlineStr">
        <is>
          <t xml:space="preserve">ТОШКЕНТ ВИЛОЯТИ</t>
        </is>
      </c>
      <c r="C926" s="104" t="inlineStr">
        <is>
          <t xml:space="preserve">Недозвон</t>
        </is>
      </c>
      <c r="D926" s="104" t="inlineStr">
        <is>
          <t xml:space="preserve">Кр-99037897-1</t>
        </is>
      </c>
      <c r="E926" s="104" t="inlineStr">
        <is>
          <t xml:space="preserve">NASRULLAYEV DOSTON MINAVARBEKOVICH</t>
        </is>
      </c>
      <c r="F926" s="104" t="inlineStr">
        <is>
          <t xml:space="preserve">998994889096 SMS OZI, 998334770909 SMS OZI 2, 998996559096 SMS AYOLI,</t>
        </is>
      </c>
      <c r="G926" s="104" t="inlineStr">
        <is>
          <t xml:space="preserve">TOSHKENT VILOYATI YANGIYO’L TUMANI  SHURA KO’CHASI 48-XONADON</t>
        </is>
      </c>
      <c r="H926" s="105">
        <v>11.0</v>
      </c>
      <c r="I926" s="105">
        <v>4252028.14</v>
      </c>
    </row>
    <row r="927">
      <c r="A927" s="104" t="inlineStr">
        <is>
          <t xml:space="preserve">ТОШКЕНТ ВИЛОЯТИ</t>
        </is>
      </c>
      <c r="C927" s="104" t="inlineStr">
        <is>
          <t xml:space="preserve">Недозвон</t>
        </is>
      </c>
      <c r="D927" s="104" t="inlineStr">
        <is>
          <t xml:space="preserve">Кр-99034640-2</t>
        </is>
      </c>
      <c r="E927" s="104" t="inlineStr">
        <is>
          <t xml:space="preserve">ALIMBOYEV SIROJIDDIN JAXONGIR O’G’LI</t>
        </is>
      </c>
      <c r="F927" s="104" t="inlineStr">
        <is>
          <t xml:space="preserve">998900433931 SMS O’ZI, 998996908017 SMS ONASI, 998901364921 SMS BUVISI, 998997923781 SMS XOLASI,</t>
        </is>
      </c>
      <c r="G927" s="104" t="inlineStr">
        <is>
          <t xml:space="preserve">TOSHKENT VILOYATI O’RTACHIRCHIQ TUMANI BUNYODKOR MFY XOSIYATLI KO’CHASI 10-UY</t>
        </is>
      </c>
      <c r="H927" s="105">
        <v>5.0</v>
      </c>
      <c r="I927" s="105">
        <v>4214756.22</v>
      </c>
    </row>
    <row r="928">
      <c r="A928" s="104" t="inlineStr">
        <is>
          <t xml:space="preserve">ТОШКЕНТ ВИЛОЯТИ</t>
        </is>
      </c>
      <c r="C928" s="104" t="inlineStr">
        <is>
          <t xml:space="preserve">Недозвон</t>
        </is>
      </c>
      <c r="D928" s="104" t="inlineStr">
        <is>
          <t xml:space="preserve">Кр-99047466-1</t>
        </is>
      </c>
      <c r="E928" s="104" t="inlineStr">
        <is>
          <t xml:space="preserve">ABDULLAYEVA ADOLAT ABDUMALIK QIZI</t>
        </is>
      </c>
      <c r="F928" s="104" t="inlineStr">
        <is>
          <t xml:space="preserve">998903315054 SMS UZI, 998917789390 SMS SINGLISI, 998971353506 SMS OPASI,</t>
        </is>
      </c>
      <c r="G928" s="104" t="inlineStr">
        <is>
          <t xml:space="preserve">TOR TOQIMACHI 19-UY</t>
        </is>
      </c>
      <c r="H928" s="105">
        <v>8.0</v>
      </c>
      <c r="I928" s="105">
        <v>4174769.14</v>
      </c>
    </row>
    <row r="929">
      <c r="A929" s="104" t="inlineStr">
        <is>
          <t xml:space="preserve">ТОШКЕНТ ВИЛОЯТИ</t>
        </is>
      </c>
      <c r="C929" s="104" t="inlineStr">
        <is>
          <t xml:space="preserve">Недозвон</t>
        </is>
      </c>
      <c r="D929" s="104" t="inlineStr">
        <is>
          <t xml:space="preserve">Кр-99062925-1</t>
        </is>
      </c>
      <c r="E929" s="104" t="inlineStr">
        <is>
          <t xml:space="preserve">UMAROVA NASIBAXON YULDASHBAYEVNA</t>
        </is>
      </c>
      <c r="F929" s="104" t="inlineStr">
        <is>
          <t xml:space="preserve">998777855665 SMS KELINI, 998949221718 SMS OZI 2, 998949232726 SMS OGLI, 998990772726 SMS OZI,</t>
        </is>
      </c>
      <c r="G929" s="104" t="inlineStr">
        <is>
          <t xml:space="preserve">Ангрен шахар 5/4 дахаси 7-уй,21-хонадон</t>
        </is>
      </c>
      <c r="H929" s="105">
        <v>1.0</v>
      </c>
      <c r="I929" s="105">
        <v>4119857.17</v>
      </c>
    </row>
    <row r="930">
      <c r="A930" s="104" t="inlineStr">
        <is>
          <t xml:space="preserve">ТОШКЕНТ ВИЛОЯТИ</t>
        </is>
      </c>
      <c r="C930" s="104" t="inlineStr">
        <is>
          <t xml:space="preserve">Недозвон</t>
        </is>
      </c>
      <c r="D930" s="104" t="inlineStr">
        <is>
          <t xml:space="preserve">Кр-99035819-1</t>
        </is>
      </c>
      <c r="E930" s="104" t="inlineStr">
        <is>
          <t xml:space="preserve">SABITOV BAXTIYAR MAXAMATOVICH</t>
        </is>
      </c>
      <c r="F930" s="104" t="inlineStr">
        <is>
          <t xml:space="preserve">998998980492 SMS OZI, 998978722411 SMS AYOLI, 998970464540 SMS OGLI, 998770654052 SMS AYOLI,</t>
        </is>
      </c>
      <c r="G930" s="104" t="inlineStr">
        <is>
          <t xml:space="preserve">TOSHKENT VILOYATI CHIRCHIQ SHAHRI GULISTON  MFY YUSUPOVICH KO’CHASI 57-XONADON</t>
        </is>
      </c>
      <c r="H930" s="105">
        <v>8.0</v>
      </c>
      <c r="I930" s="105">
        <v>4044678.58</v>
      </c>
    </row>
    <row r="931">
      <c r="A931" s="104" t="inlineStr">
        <is>
          <t xml:space="preserve">ТОШКЕНТ ВИЛОЯТИ</t>
        </is>
      </c>
      <c r="C931" s="104" t="inlineStr">
        <is>
          <t xml:space="preserve">Недозвон</t>
        </is>
      </c>
      <c r="D931" s="104" t="inlineStr">
        <is>
          <t xml:space="preserve">Кр-99033158-3</t>
        </is>
      </c>
      <c r="E931" s="104" t="inlineStr">
        <is>
          <t xml:space="preserve">SHAROFOV DILMUROD FAZLIDDIN O’G’LI</t>
        </is>
      </c>
      <c r="F931" s="104" t="inlineStr">
        <is>
          <t xml:space="preserve">998977431115 SMS O’ZI, 998977497047 SMS QARINDOSHI, 998935049049 SMS UKASI, 998490596162 SMS O’ZI 2,</t>
        </is>
      </c>
      <c r="G931" s="104" t="inlineStr">
        <is>
          <t xml:space="preserve">Заргар МФЙ, 1-Хиёбон кучаси, 113а-уй</t>
        </is>
      </c>
      <c r="H931" s="105">
        <v>8.0</v>
      </c>
      <c r="I931" s="105">
        <v>3872876.63</v>
      </c>
    </row>
    <row r="932">
      <c r="A932" s="104" t="inlineStr">
        <is>
          <t xml:space="preserve">ТОШКЕНТ ВИЛОЯТИ</t>
        </is>
      </c>
      <c r="C932" s="104" t="inlineStr">
        <is>
          <t xml:space="preserve">Недозвон</t>
        </is>
      </c>
      <c r="D932" s="104" t="inlineStr">
        <is>
          <t xml:space="preserve">Кр-99062648-1</t>
        </is>
      </c>
      <c r="E932" s="104" t="inlineStr">
        <is>
          <t xml:space="preserve">SAIDOVA BARNOGUL MIRZAYEVNA</t>
        </is>
      </c>
      <c r="F932" s="104" t="inlineStr">
        <is>
          <t xml:space="preserve">998889772667 Узи, 998882224015 угли,</t>
        </is>
      </c>
      <c r="G932" s="104" t="inlineStr">
        <is>
          <t xml:space="preserve">IIV 27256, Манзил: TOSHKENT VILOYATI, CHINOZ TUMANI, TURKISTON, TONG YULDUZI MFY, BEDAXSHON KO'CHASI 23-UY</t>
        </is>
      </c>
      <c r="H932" s="105">
        <v>8.0</v>
      </c>
      <c r="I932" s="105">
        <v>3795322.71</v>
      </c>
    </row>
    <row r="933">
      <c r="A933" s="104" t="inlineStr">
        <is>
          <t xml:space="preserve">ТОШКЕНТ ВИЛОЯТИ</t>
        </is>
      </c>
      <c r="C933" s="104" t="inlineStr">
        <is>
          <t xml:space="preserve">Недозвон</t>
        </is>
      </c>
      <c r="D933" s="104" t="inlineStr">
        <is>
          <t xml:space="preserve">Кр-99038146-1</t>
        </is>
      </c>
      <c r="E933" s="104" t="inlineStr">
        <is>
          <t xml:space="preserve">HUSNIDDINOV ABDULHAY ZAYNDIDDIN O’G’LI</t>
        </is>
      </c>
      <c r="F933" s="104" t="inlineStr">
        <is>
          <t xml:space="preserve">998931580401 SMS OZI, 998336113131 SMS OZI, 998336503131 SMS AYOLI,</t>
        </is>
      </c>
      <c r="G933" s="104" t="inlineStr">
        <is>
          <t xml:space="preserve">TOSHKENT SHAHAR OLMAZOR TUMANI  SAG’BON TOR 10/1</t>
        </is>
      </c>
      <c r="H933" s="105">
        <v>1.0</v>
      </c>
      <c r="I933" s="105">
        <v>3742044.95</v>
      </c>
    </row>
    <row r="934">
      <c r="A934" s="104" t="inlineStr">
        <is>
          <t xml:space="preserve">ТОШКЕНТ ВИЛОЯТИ</t>
        </is>
      </c>
      <c r="C934" s="104" t="inlineStr">
        <is>
          <t xml:space="preserve">Недозвон</t>
        </is>
      </c>
      <c r="D934" s="104" t="inlineStr">
        <is>
          <t xml:space="preserve">Кр-99063616-1</t>
        </is>
      </c>
      <c r="E934" s="104" t="inlineStr">
        <is>
          <t xml:space="preserve">TURG’UNOV ABDULAZIZ ABDUQAHHOR O’G’LI</t>
        </is>
      </c>
      <c r="F934" s="104" t="inlineStr">
        <is>
          <t xml:space="preserve">+998950115771 SMS OZI, 998934147696 SMS OGLI, 998950056711 SMS ERI,</t>
        </is>
      </c>
      <c r="G934" s="104" t="inlineStr">
        <is>
          <t xml:space="preserve">TOSHKENT VILOYATI CHINOZ TUMANI KO’TARMA MFY ULUG’VOR KOCHASI 49-UY</t>
        </is>
      </c>
      <c r="H934" s="105">
        <v>8.0</v>
      </c>
      <c r="I934" s="105">
        <v>3734636.64</v>
      </c>
    </row>
    <row r="935">
      <c r="A935" s="104" t="inlineStr">
        <is>
          <t xml:space="preserve">ТОШКЕНТ ВИЛОЯТИ</t>
        </is>
      </c>
      <c r="C935" s="104" t="inlineStr">
        <is>
          <t xml:space="preserve">Недозвон</t>
        </is>
      </c>
      <c r="D935" s="104" t="inlineStr">
        <is>
          <t xml:space="preserve">Кр-99005293-2</t>
        </is>
      </c>
      <c r="E935" s="104" t="inlineStr">
        <is>
          <t xml:space="preserve">XALMATOVA RANO XAMZAYEVNA</t>
        </is>
      </c>
      <c r="F935" s="104" t="inlineStr">
        <is>
          <t xml:space="preserve"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935" s="104" t="inlineStr">
        <is>
          <t xml:space="preserve">TOSHKENT VILOYATI QIBRAY TUMANI A NAVOIY KUCHASI 23 A UY</t>
        </is>
      </c>
      <c r="I935" s="105">
        <v>3687612.29</v>
      </c>
    </row>
    <row r="936">
      <c r="A936" s="104" t="inlineStr">
        <is>
          <t xml:space="preserve">ТОШКЕНТ ВИЛОЯТИ</t>
        </is>
      </c>
      <c r="C936" s="104" t="inlineStr">
        <is>
          <t xml:space="preserve">Недозвон</t>
        </is>
      </c>
      <c r="D936" s="104" t="inlineStr">
        <is>
          <t xml:space="preserve">Кр-99059502-1</t>
        </is>
      </c>
      <c r="E936" s="104" t="inlineStr">
        <is>
          <t xml:space="preserve">XOLMIRZAYEV ELMUROD XAYDAR O’G’LI</t>
        </is>
      </c>
      <c r="F936" s="104" t="inlineStr">
        <is>
          <t xml:space="preserve">998770927272 SMS  OZI, 998876722522 SMS OZI 2, 998776722523 SMS OZI 3,</t>
        </is>
      </c>
      <c r="G936" s="104" t="inlineStr">
        <is>
          <t xml:space="preserve">TOSHKENT VILOYATI ZANGI-OTA TUMANI NAZARBEK QFY NAZARBEK KO’CHASI ,7-UY</t>
        </is>
      </c>
      <c r="H936" s="105">
        <v>8.0</v>
      </c>
      <c r="I936" s="105">
        <v>3664429.93</v>
      </c>
    </row>
    <row r="937">
      <c r="A937" s="104" t="inlineStr">
        <is>
          <t xml:space="preserve">ТОШКЕНТ ВИЛОЯТИ</t>
        </is>
      </c>
      <c r="C937" s="104" t="inlineStr">
        <is>
          <t xml:space="preserve">Недозвон</t>
        </is>
      </c>
      <c r="D937" s="104" t="inlineStr">
        <is>
          <t xml:space="preserve">Кр-99038643-1</t>
        </is>
      </c>
      <c r="E937" s="104" t="inlineStr">
        <is>
          <t xml:space="preserve">KARSHIBOYEV JONIBEK KAMBARALI UG’LI</t>
        </is>
      </c>
      <c r="F937" s="104" t="inlineStr">
        <is>
          <t xml:space="preserve">998931131995 SMS OZI, 998951229501 SMS OZI, 998951271995 SMS OZI 3, 998950750623 SMS ONASI,</t>
        </is>
      </c>
      <c r="G937" s="104" t="inlineStr">
        <is>
          <t xml:space="preserve">TOSHKENT VILOYATI PISKENT TUMANIKULTEPA MFY, RAVSHAN KO’CHASI 38-UY</t>
        </is>
      </c>
      <c r="H937" s="105">
        <v>12.0</v>
      </c>
      <c r="I937" s="105">
        <v>3609742.22</v>
      </c>
    </row>
    <row r="938">
      <c r="A938" s="104" t="inlineStr">
        <is>
          <t xml:space="preserve">ТОШКЕНТ ВИЛОЯТИ</t>
        </is>
      </c>
      <c r="C938" s="104" t="inlineStr">
        <is>
          <t xml:space="preserve">Недозвон</t>
        </is>
      </c>
      <c r="D938" s="104" t="inlineStr">
        <is>
          <t xml:space="preserve">Кр-99042712-1</t>
        </is>
      </c>
      <c r="E938" s="104" t="inlineStr">
        <is>
          <t xml:space="preserve">MIRPAYZIYEV DILSHOD NORMATOVICH</t>
        </is>
      </c>
      <c r="F938" s="104" t="inlineStr">
        <is>
          <t xml:space="preserve">+998994383809 SMS O’ZI, 998931655510 SMS GAROVCHI, 998949269595 SMS UKASI, 998994191559 SMS O’G’LI,</t>
        </is>
      </c>
      <c r="G938" s="104" t="inlineStr">
        <is>
          <t xml:space="preserve">ПАРКЕНТ Ш., САМАРОБОД МФЙ, Х.МИРЗАКАРИМОВ,  uy:14</t>
        </is>
      </c>
      <c r="H938" s="105">
        <v>8.0</v>
      </c>
      <c r="I938" s="105">
        <v>3604595.47</v>
      </c>
    </row>
    <row r="939">
      <c r="A939" s="104" t="inlineStr">
        <is>
          <t xml:space="preserve">ТОШКЕНТ ВИЛОЯТИ</t>
        </is>
      </c>
      <c r="C939" s="104" t="inlineStr">
        <is>
          <t xml:space="preserve">Недозвон</t>
        </is>
      </c>
      <c r="D939" s="104" t="inlineStr">
        <is>
          <t xml:space="preserve">Кр-99036880-1</t>
        </is>
      </c>
      <c r="E939" s="104" t="inlineStr">
        <is>
          <t xml:space="preserve">ESHANXANOVA MARDONA ABDULXAKOVNA</t>
        </is>
      </c>
      <c r="F939" s="104" t="inlineStr">
        <is>
          <t xml:space="preserve">998997610017 SMS OZI, 998996170066 SMS OGLI, 998903307070 SMS OGLI 2, 998990978733 SMS OGLI 2,</t>
        </is>
      </c>
      <c r="G939" s="104" t="inlineStr">
        <is>
          <t xml:space="preserve">TOSHKENT VILOYATI OLMALIQ XAMZA MFY,ULUGBEK KO’CHASI,80-UY,127-XONADON</t>
        </is>
      </c>
      <c r="H939" s="105">
        <v>11.0</v>
      </c>
      <c r="I939" s="105">
        <v>3592197.24</v>
      </c>
    </row>
    <row r="940">
      <c r="A940" s="104" t="inlineStr">
        <is>
          <t xml:space="preserve">ТОШКЕНТ ВИЛОЯТИ</t>
        </is>
      </c>
      <c r="C940" s="104" t="inlineStr">
        <is>
          <t xml:space="preserve">Недозвон</t>
        </is>
      </c>
      <c r="D940" s="104" t="inlineStr">
        <is>
          <t xml:space="preserve">Кр-99033620-4</t>
        </is>
      </c>
      <c r="E940" s="104" t="inlineStr">
        <is>
          <t xml:space="preserve">OCHILOVA MASHKURA MAXAMATJANOVNA</t>
        </is>
      </c>
      <c r="F940" s="104" t="inlineStr">
        <is>
          <t xml:space="preserve">998978777316 SMS O’ZI, 998711913102 SMS O’ZI 2, 998943983443 SMS UKASI,</t>
        </is>
      </c>
      <c r="G940" s="104" t="inlineStr">
        <is>
          <t xml:space="preserve">TOSHKENT VILOYATI CHINOZ TUMANI OLMAZOR QO’RG’ONI NAFIS MFY TEMIR YO’L KO’CHASI 12- XONADON</t>
        </is>
      </c>
      <c r="H940" s="105">
        <v>8.0</v>
      </c>
      <c r="I940" s="105">
        <v>3569346.84</v>
      </c>
    </row>
    <row r="941">
      <c r="A941" s="104" t="inlineStr">
        <is>
          <t xml:space="preserve">ТОШКЕНТ ВИЛОЯТИ</t>
        </is>
      </c>
      <c r="C941" s="104" t="inlineStr">
        <is>
          <t xml:space="preserve">Недозвон</t>
        </is>
      </c>
      <c r="D941" s="104" t="inlineStr">
        <is>
          <t xml:space="preserve">Кр-99043026-1</t>
        </is>
      </c>
      <c r="E941" s="104" t="inlineStr">
        <is>
          <t xml:space="preserve">SHOKIRJONOV JAVOHIR G’AYRATJON O’G’LI</t>
        </is>
      </c>
      <c r="F941" s="104" t="inlineStr">
        <is>
          <t xml:space="preserve">+998940444464 SMS O’ZI, 998772572772 SMS UKASI, 998947071236 SMS ADASI,</t>
        </is>
      </c>
      <c r="G941" s="104" t="inlineStr">
        <is>
          <t xml:space="preserve">TOSHKENT VILOYAT ZANGIOTA TUMANI</t>
        </is>
      </c>
      <c r="H941" s="105">
        <v>8.0</v>
      </c>
      <c r="I941" s="105">
        <v>3540936.47</v>
      </c>
    </row>
    <row r="942">
      <c r="A942" s="104" t="inlineStr">
        <is>
          <t xml:space="preserve">ТОШКЕНТ ВИЛОЯТИ</t>
        </is>
      </c>
      <c r="C942" s="104" t="inlineStr">
        <is>
          <t xml:space="preserve">Недозвон</t>
        </is>
      </c>
      <c r="D942" s="104" t="inlineStr">
        <is>
          <t xml:space="preserve">Кр-99039326-1</t>
        </is>
      </c>
      <c r="E942" s="104" t="inlineStr">
        <is>
          <t xml:space="preserve">RAHIMJONOV IBROHIM ILXOMJON O’G’LI</t>
        </is>
      </c>
      <c r="F942" s="104" t="inlineStr">
        <is>
          <t xml:space="preserve">998331212122 SMS OZI, 998946736737 SMS UKASI, 998887116737 SMS AYOLI,</t>
        </is>
      </c>
      <c r="G942" s="104" t="inlineStr">
        <is>
          <t xml:space="preserve">TOSHKENT SHAHAR YUNUSOBOD TUMANI ASTROBOD MFY,7-MAVZE,48-UY,18-XONADON</t>
        </is>
      </c>
      <c r="H942" s="105">
        <v>12.0</v>
      </c>
      <c r="I942" s="105">
        <v>3487564.92</v>
      </c>
    </row>
    <row r="943">
      <c r="A943" s="104" t="inlineStr">
        <is>
          <t xml:space="preserve">ТОШКЕНТ ВИЛОЯТИ</t>
        </is>
      </c>
      <c r="C943" s="104" t="inlineStr">
        <is>
          <t xml:space="preserve">Недозвон</t>
        </is>
      </c>
      <c r="D943" s="104" t="inlineStr">
        <is>
          <t xml:space="preserve">Кр-99037468-3</t>
        </is>
      </c>
      <c r="E943" s="104" t="inlineStr">
        <is>
          <t xml:space="preserve">SAMADOVA RA’NO ZOIDJONOVNA</t>
        </is>
      </c>
      <c r="F943" s="104" t="inlineStr">
        <is>
          <t xml:space="preserve">998943995506 SMS O’ZI, 998949294439 SMS QIZI, 998994094439 SMS KUYOVI, 998996534439 SMS QUDASI,</t>
        </is>
      </c>
      <c r="G943" s="104" t="inlineStr">
        <is>
          <t xml:space="preserve">TOSHKENT VILOYATI PSKENT TUMANI BIRLIK MFY GULSHAN 9/1 UY 1 XONADON</t>
        </is>
      </c>
      <c r="H943" s="105">
        <v>8.0</v>
      </c>
      <c r="I943" s="105">
        <v>3468753.78</v>
      </c>
    </row>
    <row r="944">
      <c r="A944" s="104" t="inlineStr">
        <is>
          <t xml:space="preserve">ТОШКЕНТ ВИЛОЯТИ</t>
        </is>
      </c>
      <c r="C944" s="104" t="inlineStr">
        <is>
          <t xml:space="preserve">Недозвон</t>
        </is>
      </c>
      <c r="D944" s="104" t="inlineStr">
        <is>
          <t xml:space="preserve">Кр-99041570-1</t>
        </is>
      </c>
      <c r="E944" s="104" t="inlineStr">
        <is>
          <t xml:space="preserve">HABIBULLAYEV G’AYRATULLA RAHMATULLO O’G’LI</t>
        </is>
      </c>
      <c r="F944" s="104" t="inlineStr">
        <is>
          <t xml:space="preserve">998333079797 SMS OZI, 998900154502 SMS UKASI, 998998472131 SMS AMAKISI,</t>
        </is>
      </c>
      <c r="G944" s="104" t="inlineStr">
        <is>
          <t xml:space="preserve">QIZG’ALDOQ QFY QARDQIMMAT KO’CHASI 15-XONADON</t>
        </is>
      </c>
      <c r="H944" s="105">
        <v>8.0</v>
      </c>
      <c r="I944" s="105">
        <v>3421491.86</v>
      </c>
    </row>
    <row r="945">
      <c r="A945" s="104" t="inlineStr">
        <is>
          <t xml:space="preserve">ТОШКЕНТ ВИЛОЯТИ</t>
        </is>
      </c>
      <c r="C945" s="104" t="inlineStr">
        <is>
          <t xml:space="preserve">Недозвон</t>
        </is>
      </c>
      <c r="D945" s="104" t="inlineStr">
        <is>
          <t xml:space="preserve">Кр-99063977-3</t>
        </is>
      </c>
      <c r="E945" s="104" t="inlineStr">
        <is>
          <t xml:space="preserve">XOLIQOV OTABEK MARUFJON O’G’LI</t>
        </is>
      </c>
      <c r="F945" s="104" t="inlineStr">
        <is>
          <t xml:space="preserve">998941791014 SMS AKASI, 998998406220 SMS AYOLI, 998998443220 SMS ONASI, 998998446220 SMS O’ZI,</t>
        </is>
      </c>
      <c r="G945" s="104" t="inlineStr">
        <is>
          <t xml:space="preserve">ТОШКЕНТ ВИЛОЯТИ ОХАНГАРОН ШАХРИ NAMUNA MFY EZGULIK KO’CHASI 86-UY</t>
        </is>
      </c>
      <c r="H945" s="105">
        <v>8.0</v>
      </c>
      <c r="I945" s="105">
        <v>3416912.96</v>
      </c>
    </row>
    <row r="946">
      <c r="A946" s="104" t="inlineStr">
        <is>
          <t xml:space="preserve">ТОШКЕНТ ВИЛОЯТИ</t>
        </is>
      </c>
      <c r="C946" s="104" t="inlineStr">
        <is>
          <t xml:space="preserve">Недозвон</t>
        </is>
      </c>
      <c r="D946" s="104" t="inlineStr">
        <is>
          <t xml:space="preserve">Кр-99040046-1</t>
        </is>
      </c>
      <c r="E946" s="104" t="inlineStr">
        <is>
          <t xml:space="preserve">G’AFUROV RAVSHAN RAHIMJON O’G’LI</t>
        </is>
      </c>
      <c r="F946" s="104" t="inlineStr">
        <is>
          <t xml:space="preserve">+998998262252 SMS OZI, 998331902222 SMS DOSTI, 998950211026 SMS OZI2,</t>
        </is>
      </c>
      <c r="G946" s="104" t="inlineStr">
        <is>
          <t xml:space="preserve">Файзобод МФЙ, Дадил кучаси, 36а-уй</t>
        </is>
      </c>
      <c r="H946" s="105">
        <v>8.0</v>
      </c>
      <c r="I946" s="105">
        <v>3397806.54</v>
      </c>
    </row>
    <row r="947">
      <c r="A947" s="104" t="inlineStr">
        <is>
          <t xml:space="preserve">ТОШКЕНТ ВИЛОЯТИ</t>
        </is>
      </c>
      <c r="C947" s="104" t="inlineStr">
        <is>
          <t xml:space="preserve">Недозвон</t>
        </is>
      </c>
      <c r="D947" s="104" t="inlineStr">
        <is>
          <t xml:space="preserve">Кр-99062978-4</t>
        </is>
      </c>
      <c r="E947" s="104" t="inlineStr">
        <is>
          <t xml:space="preserve">SUVANOV UMAR OTAMURATOVICH</t>
        </is>
      </c>
      <c r="F947" s="104" t="inlineStr">
        <is>
          <t xml:space="preserve">+998949244428 SMS OZI, 998936150923 SMS QZLARI, 998939514428 SMS QZLARI, 998944464428 SMS AYYOLARI,</t>
        </is>
      </c>
      <c r="G947" s="104" t="inlineStr">
        <is>
          <t xml:space="preserve">TOSHKENT VILOYATI CHIRCHIQ SHAHAR SEMRUG MFY 8-KICHIK NOHIYA KO’CHASI 12-UY 77-XONADON</t>
        </is>
      </c>
      <c r="I947" s="105">
        <v>3337706.1</v>
      </c>
    </row>
    <row r="948">
      <c r="A948" s="104" t="inlineStr">
        <is>
          <t xml:space="preserve">ТОШКЕНТ ВИЛОЯТИ</t>
        </is>
      </c>
      <c r="C948" s="104" t="inlineStr">
        <is>
          <t xml:space="preserve">Недозвон</t>
        </is>
      </c>
      <c r="D948" s="104" t="inlineStr">
        <is>
          <t xml:space="preserve">Кр-99053869-1</t>
        </is>
      </c>
      <c r="E948" s="104" t="inlineStr">
        <is>
          <t xml:space="preserve">NAZAROVA MASUDA TURGUNOVNA</t>
        </is>
      </c>
      <c r="F948" s="104" t="inlineStr">
        <is>
          <t xml:space="preserve">+998909151331 Primary phone from road24, 998909151331 Primary phone from road24,</t>
        </is>
      </c>
      <c r="G948" s="104" t="inlineStr">
        <is>
          <t xml:space="preserve">Zarbdor MFY, Keles ko‘chasi, 23-uy</t>
        </is>
      </c>
      <c r="H948" s="105">
        <v>144.0</v>
      </c>
      <c r="I948" s="105">
        <v>3225919.89</v>
      </c>
    </row>
    <row r="949">
      <c r="A949" s="104" t="inlineStr">
        <is>
          <t xml:space="preserve">ТОШКЕНТ ВИЛОЯТИ</t>
        </is>
      </c>
      <c r="C949" s="104" t="inlineStr">
        <is>
          <t xml:space="preserve">Недозвон</t>
        </is>
      </c>
      <c r="D949" s="104" t="inlineStr">
        <is>
          <t xml:space="preserve">Кр-99039391-1</t>
        </is>
      </c>
      <c r="E949" s="104" t="inlineStr">
        <is>
          <t xml:space="preserve">SINDAROV ABDUVAIT TOSHTEMIROVICH</t>
        </is>
      </c>
      <c r="F949" s="104" t="inlineStr">
        <is>
          <t xml:space="preserve">998994343967 SMS OZI, 998946891183 SMS UKASI, 998950306769 SMS AYOLI, 998994819756 SMS OGLI,</t>
        </is>
      </c>
      <c r="G949" s="104" t="inlineStr">
        <is>
          <t xml:space="preserve">TOSHKENT VILOYATI OQQO’RG’ON TUMANI ACHCHI CCG, GULISTON MCG, SULOLA KO'CHASI 19-UY</t>
        </is>
      </c>
      <c r="H949" s="105">
        <v>7.0</v>
      </c>
      <c r="I949" s="105">
        <v>3199976.5</v>
      </c>
    </row>
    <row r="950">
      <c r="A950" s="104" t="inlineStr">
        <is>
          <t xml:space="preserve">ТОШКЕНТ ВИЛОЯТИ</t>
        </is>
      </c>
      <c r="C950" s="104" t="inlineStr">
        <is>
          <t xml:space="preserve">Недозвон</t>
        </is>
      </c>
      <c r="D950" s="104" t="inlineStr">
        <is>
          <t xml:space="preserve">Кр-99041355-2</t>
        </is>
      </c>
      <c r="E950" s="104" t="inlineStr">
        <is>
          <t xml:space="preserve">AMINOVA DIYORA GAYRAT QIZI</t>
        </is>
      </c>
      <c r="F950" s="104" t="inlineStr">
        <is>
          <t xml:space="preserve">+998903720084 SMS O’ZI, 998938118755 SMS UKASI, 998943514441 SMS OPASI, 998971037771 SMS O’ZI 2,</t>
        </is>
      </c>
      <c r="G950" s="104" t="inlineStr">
        <is>
          <t xml:space="preserve">АРМУҒОН МФЙ, БОШЛИК ДАХАСИ,  uy:8 xonadon:67</t>
        </is>
      </c>
      <c r="H950" s="105">
        <v>8.0</v>
      </c>
      <c r="I950" s="105">
        <v>3172375.65</v>
      </c>
    </row>
    <row r="951">
      <c r="A951" s="104" t="inlineStr">
        <is>
          <t xml:space="preserve">ТОШКЕНТ ВИЛОЯТИ</t>
        </is>
      </c>
      <c r="C951" s="104" t="inlineStr">
        <is>
          <t xml:space="preserve">Недозвон</t>
        </is>
      </c>
      <c r="D951" s="104" t="inlineStr">
        <is>
          <t xml:space="preserve">Кр-99038743-1</t>
        </is>
      </c>
      <c r="E951" s="104" t="inlineStr">
        <is>
          <t xml:space="preserve">AXROROV RIXSIBOY ALIJON O’G’LI</t>
        </is>
      </c>
      <c r="F951" s="104" t="inlineStr">
        <is>
          <t xml:space="preserve">998983010220 SMS OSHNASI, 998354110102 SMS OSHNASI 2, 999891717550 SMS ADMINI ISHXONASI,</t>
        </is>
      </c>
      <c r="G951" s="104" t="inlineStr">
        <is>
          <t xml:space="preserve">TOSHKENT VILOYATI OLMALIQ SHAHRI NAMUNA MFY,DEPO PER 7-UY</t>
        </is>
      </c>
      <c r="H951" s="105">
        <v>7.0</v>
      </c>
      <c r="I951" s="105">
        <v>3171904.99</v>
      </c>
    </row>
    <row r="952">
      <c r="A952" s="104" t="inlineStr">
        <is>
          <t xml:space="preserve">ТОШКЕНТ ВИЛОЯТИ</t>
        </is>
      </c>
      <c r="C952" s="104" t="inlineStr">
        <is>
          <t xml:space="preserve">Недозвон</t>
        </is>
      </c>
      <c r="D952" s="104" t="inlineStr">
        <is>
          <t xml:space="preserve">Кр-99056248-1</t>
        </is>
      </c>
      <c r="E952" s="104" t="inlineStr">
        <is>
          <t xml:space="preserve">USMONOV JABBOR SATTOROVICH</t>
        </is>
      </c>
      <c r="F952" s="104" t="inlineStr">
        <is>
          <t xml:space="preserve">998957854875 sms ozi, 998998992821 uzi new,</t>
        </is>
      </c>
      <c r="G952" s="104" t="inlineStr">
        <is>
          <t xml:space="preserve">IIV 26283</t>
        </is>
      </c>
      <c r="H952" s="105">
        <v>12.0</v>
      </c>
      <c r="I952" s="105">
        <v>3169849.12</v>
      </c>
    </row>
    <row r="953">
      <c r="A953" s="104" t="inlineStr">
        <is>
          <t xml:space="preserve">ТОШКЕНТ ВИЛОЯТИ</t>
        </is>
      </c>
      <c r="C953" s="104" t="inlineStr">
        <is>
          <t xml:space="preserve">Недозвон</t>
        </is>
      </c>
      <c r="D953" s="104" t="inlineStr">
        <is>
          <t xml:space="preserve">Кр-99038122-2</t>
        </is>
      </c>
      <c r="E953" s="104" t="inlineStr">
        <is>
          <t xml:space="preserve">UROLOV DILSHODBEK ABDUQAYUM O'G'LI</t>
        </is>
      </c>
      <c r="F953" s="104" t="inlineStr">
        <is>
          <t xml:space="preserve">998909006491 SMS O’ZI, 998931569911 SMS JIYANI, 998947980471 SMS UKASI, 998885510471 SMS DADASI, +998909006490 Primary phone from road24, 998909006490 Primary phone from road24,</t>
        </is>
      </c>
      <c r="G953" s="104" t="inlineStr">
        <is>
          <t xml:space="preserve">zangiota</t>
        </is>
      </c>
      <c r="H953" s="105">
        <v>8.0</v>
      </c>
      <c r="I953" s="105">
        <v>3167794.74</v>
      </c>
    </row>
    <row r="954">
      <c r="A954" s="104" t="inlineStr">
        <is>
          <t xml:space="preserve">ТОШКЕНТ ВИЛОЯТИ</t>
        </is>
      </c>
      <c r="C954" s="104" t="inlineStr">
        <is>
          <t xml:space="preserve">Недозвон</t>
        </is>
      </c>
      <c r="D954" s="104" t="inlineStr">
        <is>
          <t xml:space="preserve">Кр-99042683-1</t>
        </is>
      </c>
      <c r="E954" s="104" t="inlineStr">
        <is>
          <t xml:space="preserve">TOJIBOYEVA SURAYYA KUCHKAROVNA</t>
        </is>
      </c>
      <c r="F954" s="104" t="inlineStr">
        <is>
          <t xml:space="preserve">998774431905 sms qizi, 998885489988 sms ogli, 998978738822 sms ozi,</t>
        </is>
      </c>
      <c r="G954" s="104" t="inlineStr">
        <is>
          <t xml:space="preserve">ОЛМАЛИК Ш., ЧЎЛПОН МФЙ, МЕТАЛЛУРГОВ КЎЧАСИ,  uy:30 xonadon:16</t>
        </is>
      </c>
      <c r="H954" s="105">
        <v>8.0</v>
      </c>
      <c r="I954" s="105">
        <v>3159498.55</v>
      </c>
    </row>
    <row r="955">
      <c r="A955" s="104" t="inlineStr">
        <is>
          <t xml:space="preserve">ТОШКЕНТ ВИЛОЯТИ</t>
        </is>
      </c>
      <c r="C955" s="104" t="inlineStr">
        <is>
          <t xml:space="preserve">Недозвон</t>
        </is>
      </c>
      <c r="D955" s="104" t="inlineStr">
        <is>
          <t xml:space="preserve">Кр-99006716-3</t>
        </is>
      </c>
      <c r="E955" s="104" t="inlineStr">
        <is>
          <t xml:space="preserve">ZAXIDOV MARDON BOTIR O‘G‘LI</t>
        </is>
      </c>
      <c r="F955" s="104" t="inlineStr">
        <is>
          <t xml:space="preserve">99-763-77-71 SMS, 98-369-71-72 SMS, 99-052-14-13 SMS AYOLI, 97-739-71-72 SMS AKASI ILXOM, +998997637771 Primary phone from road24, 998997637771 Primary phone from road24,</t>
        </is>
      </c>
      <c r="G955" s="104" t="inlineStr">
        <is>
          <t xml:space="preserve">Нурафшон МФЙ, Ёшлик кучаси, 80-уй</t>
        </is>
      </c>
      <c r="H955" s="105">
        <v>8.0</v>
      </c>
      <c r="I955" s="105">
        <v>3156456.69</v>
      </c>
    </row>
    <row r="956">
      <c r="A956" s="104" t="inlineStr">
        <is>
          <t xml:space="preserve">ТОШКЕНТ ВИЛОЯТИ</t>
        </is>
      </c>
      <c r="C956" s="104" t="inlineStr">
        <is>
          <t xml:space="preserve">Недозвон</t>
        </is>
      </c>
      <c r="D956" s="104" t="inlineStr">
        <is>
          <t xml:space="preserve">Кр-99058508-1</t>
        </is>
      </c>
      <c r="E956" s="104" t="inlineStr">
        <is>
          <t xml:space="preserve">ERKINOV ERGASHBEK ERKIN O’G’LI</t>
        </is>
      </c>
      <c r="F956" s="104" t="inlineStr">
        <is>
          <t xml:space="preserve">998774528899 SMS OZI, 998935380388 SMS OTASI, 998955364088 SSM OGLI,</t>
        </is>
      </c>
      <c r="G956" s="104" t="inlineStr">
        <is>
          <t xml:space="preserve">TOSHKENT VILOYATI BEKOBOD TUMANI K.FARMONOV MSG, BOGZOR KO'CHASI 4A-UY</t>
        </is>
      </c>
      <c r="H956" s="105">
        <v>8.0</v>
      </c>
      <c r="I956" s="105">
        <v>3149162.0</v>
      </c>
    </row>
    <row r="957">
      <c r="A957" s="104" t="inlineStr">
        <is>
          <t xml:space="preserve">ТОШКЕНТ ВИЛОЯТИ</t>
        </is>
      </c>
      <c r="C957" s="104" t="inlineStr">
        <is>
          <t xml:space="preserve">Недозвон</t>
        </is>
      </c>
      <c r="D957" s="104" t="inlineStr">
        <is>
          <t xml:space="preserve">Кр-99062965-1</t>
        </is>
      </c>
      <c r="E957" s="104" t="inlineStr">
        <is>
          <t xml:space="preserve">MIRKARIMOV DILMUROD DILSHOD O’G’LI</t>
        </is>
      </c>
      <c r="F957" s="104" t="inlineStr">
        <is>
          <t xml:space="preserve">998872208820 SMS OZI, 998887053438 SMS AYOLI, 998977053438 SMS OZI2,</t>
        </is>
      </c>
      <c r="G957" s="104" t="inlineStr">
        <is>
          <t xml:space="preserve">A.ORTIQOV QFY NOV 80-UY</t>
        </is>
      </c>
      <c r="H957" s="105">
        <v>8.0</v>
      </c>
      <c r="I957" s="105">
        <v>3133323.37</v>
      </c>
    </row>
    <row r="958">
      <c r="A958" s="104" t="inlineStr">
        <is>
          <t xml:space="preserve">ТОШКЕНТ ВИЛОЯТИ</t>
        </is>
      </c>
      <c r="C958" s="104" t="inlineStr">
        <is>
          <t xml:space="preserve">Недозвон</t>
        </is>
      </c>
      <c r="D958" s="104" t="inlineStr">
        <is>
          <t xml:space="preserve">Кр-99060913-1</t>
        </is>
      </c>
      <c r="E958" s="104" t="inlineStr">
        <is>
          <t xml:space="preserve">JO’RAYEV ASOMIDDIN KAMOLIDDIN O’G’LI</t>
        </is>
      </c>
      <c r="F958" s="104" t="inlineStr">
        <is>
          <t xml:space="preserve">+998930000608 SMS OZI, 998990575427 SMS UKASI, 998998790945 SMS DADASI,</t>
        </is>
      </c>
      <c r="G958" s="104" t="inlineStr">
        <is>
          <t xml:space="preserve">TOSHKENT VILOYATI TOSHKENT TUMANI KUK TERAK XALIMKOP 49-UY</t>
        </is>
      </c>
      <c r="H958" s="105">
        <v>8.0</v>
      </c>
      <c r="I958" s="105">
        <v>3133066.07</v>
      </c>
    </row>
    <row r="959">
      <c r="A959" s="104" t="inlineStr">
        <is>
          <t xml:space="preserve">ТОШКЕНТ ВИЛОЯТИ</t>
        </is>
      </c>
      <c r="C959" s="104" t="inlineStr">
        <is>
          <t xml:space="preserve">Недозвон</t>
        </is>
      </c>
      <c r="D959" s="104" t="inlineStr">
        <is>
          <t xml:space="preserve">Кр-99062833-1</t>
        </is>
      </c>
      <c r="E959" s="104" t="inlineStr">
        <is>
          <t xml:space="preserve">MASHARIPOVA GULNOZA MUXAMMEDOVNA</t>
        </is>
      </c>
      <c r="F959" s="104" t="inlineStr">
        <is>
          <t xml:space="preserve">998976858480 OZI, 998946255599 UKASI, 998774142135 QIZI,</t>
        </is>
      </c>
      <c r="G959" s="104" t="inlineStr">
        <is>
          <t xml:space="preserve">TOSHKENT VILOYATI YANGIYO'L TUMANI UMID MFY, S.RAXIMOV KO'CHASI 4-UY</t>
        </is>
      </c>
      <c r="H959" s="105">
        <v>8.0</v>
      </c>
      <c r="I959" s="105">
        <v>3126894.05</v>
      </c>
    </row>
    <row r="960">
      <c r="A960" s="104" t="inlineStr">
        <is>
          <t xml:space="preserve">ТОШКЕНТ ВИЛОЯТИ</t>
        </is>
      </c>
      <c r="C960" s="104" t="inlineStr">
        <is>
          <t xml:space="preserve">Недозвон</t>
        </is>
      </c>
      <c r="D960" s="104" t="inlineStr">
        <is>
          <t xml:space="preserve">Кр-99034878-3</t>
        </is>
      </c>
      <c r="E960" s="104" t="inlineStr">
        <is>
          <t xml:space="preserve">TOIRJONOV BAHROMJON BAXTIYOR O’G’LI</t>
        </is>
      </c>
      <c r="F960" s="104" t="inlineStr">
        <is>
          <t xml:space="preserve">998946854848 SMS O’ZI, 998998251114 SMS ZALOGADETOL, 998933965776 SMS AYOLI, 998998750303 SMS UKASI,</t>
        </is>
      </c>
      <c r="G960" s="104" t="inlineStr">
        <is>
          <t xml:space="preserve">Сохибкор МФЙ, Файзли бог кучаси, 169-уй</t>
        </is>
      </c>
      <c r="H960" s="105">
        <v>8.0</v>
      </c>
      <c r="I960" s="105">
        <v>3106846.46</v>
      </c>
    </row>
    <row r="961">
      <c r="A961" s="104" t="inlineStr">
        <is>
          <t xml:space="preserve">ТОШКЕНТ ВИЛОЯТИ</t>
        </is>
      </c>
      <c r="C961" s="104" t="inlineStr">
        <is>
          <t xml:space="preserve">Недозвон</t>
        </is>
      </c>
      <c r="D961" s="104" t="inlineStr">
        <is>
          <t xml:space="preserve">Кр-99038152-1</t>
        </is>
      </c>
      <c r="E961" s="104" t="inlineStr">
        <is>
          <t xml:space="preserve">ERGASHEV GAFUR AZADBEKOVICH</t>
        </is>
      </c>
      <c r="F961" s="104" t="inlineStr">
        <is>
          <t xml:space="preserve">998946502677 SMS OZI, 998946512677 SMS ONASI, 998971782579 SMS AYOLI, 998994650008 SMS OGLI,</t>
        </is>
      </c>
      <c r="G961" s="104" t="inlineStr">
        <is>
          <t xml:space="preserve">TOSHKENT VILOYATI QIBRAY TUMANI O’NQO’RG’ON MFY K.OCHILOV 38-XONADON</t>
        </is>
      </c>
      <c r="H961" s="105">
        <v>1.0</v>
      </c>
      <c r="I961" s="105">
        <v>3092732.7</v>
      </c>
    </row>
    <row r="962">
      <c r="A962" s="104" t="inlineStr">
        <is>
          <t xml:space="preserve">ТОШКЕНТ ВИЛОЯТИ</t>
        </is>
      </c>
      <c r="C962" s="104" t="inlineStr">
        <is>
          <t xml:space="preserve">Недозвон</t>
        </is>
      </c>
      <c r="D962" s="104" t="inlineStr">
        <is>
          <t xml:space="preserve">Кр-99038141-2</t>
        </is>
      </c>
      <c r="E962" s="104" t="inlineStr">
        <is>
          <t xml:space="preserve">YAXSHILIKOV ARABBAY ISKANDAROVICH</t>
        </is>
      </c>
      <c r="F962" s="104" t="inlineStr">
        <is>
          <t xml:space="preserve">998977767874 SMS OZI, 998991476192 SMS  AYOLI, 998887941954 SMS ONASI, 998908084218 SMS AKASI,</t>
        </is>
      </c>
      <c r="G962" s="104" t="inlineStr">
        <is>
          <t xml:space="preserve">Кўкмуйин МФЙ, Чегара кучаси, 2-уй</t>
        </is>
      </c>
      <c r="H962" s="105">
        <v>8.0</v>
      </c>
      <c r="I962" s="105">
        <v>3062067.71</v>
      </c>
    </row>
    <row r="963">
      <c r="A963" s="104" t="inlineStr">
        <is>
          <t xml:space="preserve">ТОШКЕНТ ВИЛОЯТИ</t>
        </is>
      </c>
      <c r="C963" s="104" t="inlineStr">
        <is>
          <t xml:space="preserve">Недозвон</t>
        </is>
      </c>
      <c r="D963" s="104" t="inlineStr">
        <is>
          <t xml:space="preserve">Кр-99034752-2</t>
        </is>
      </c>
      <c r="E963" s="104" t="inlineStr">
        <is>
          <t xml:space="preserve">YUNUSOVA GULSORA SAMATOVNA</t>
        </is>
      </c>
      <c r="F963" s="104" t="inlineStr">
        <is>
          <t xml:space="preserve">998500070744 SMS O’G’LI, 998994810468 SMS O’ZI , 998337330744 tulovchi ug`li , 998994810468 SMS O’ZI, 998946333882 SMS ERI , 998500070744 SMS O’G’LI, 998990809411 SMS KELINI TOLOVCHI ,</t>
        </is>
      </c>
      <c r="G963" s="104" t="inlineStr">
        <is>
          <t xml:space="preserve">TOSHKENT VILOYATI YANGIYO’L SHAHAR NOV MFY OYBEK KO’CHASI 36-UY</t>
        </is>
      </c>
      <c r="H963" s="105">
        <v>8.0</v>
      </c>
      <c r="I963" s="105">
        <v>3046303.04</v>
      </c>
    </row>
    <row r="964">
      <c r="A964" s="104" t="inlineStr">
        <is>
          <t xml:space="preserve">ТОШКЕНТ ВИЛОЯТИ</t>
        </is>
      </c>
      <c r="C964" s="104" t="inlineStr">
        <is>
          <t xml:space="preserve">Недозвон</t>
        </is>
      </c>
      <c r="D964" s="104" t="inlineStr">
        <is>
          <t xml:space="preserve">Кр-99034332-1</t>
        </is>
      </c>
      <c r="E964" s="104" t="inlineStr">
        <is>
          <t xml:space="preserve">NE’MATILLAYEV O’RINBOY UMARALI O’G’LI</t>
        </is>
      </c>
      <c r="F964" s="104" t="inlineStr">
        <is>
          <t xml:space="preserve">998998832599 SMS OZI, 998993278299 SMS AYOLI, 998994385910 SMS OTASI, 998777949212 SMS O'ZI NEW,</t>
        </is>
      </c>
      <c r="G964" s="104" t="inlineStr">
        <is>
          <t xml:space="preserve">TOSHKENT VILOYATI O’RTACHIRCHIQ TUMANI BOYOVUL MFY UYSHUN 2-KO’CHASI 57-UY</t>
        </is>
      </c>
      <c r="H964" s="105">
        <v>4.0</v>
      </c>
      <c r="I964" s="105">
        <v>3033370.39</v>
      </c>
    </row>
    <row r="965">
      <c r="A965" s="104" t="inlineStr">
        <is>
          <t xml:space="preserve">ТОШКЕНТ ВИЛОЯТИ</t>
        </is>
      </c>
      <c r="C965" s="104" t="inlineStr">
        <is>
          <t xml:space="preserve">Недозвон</t>
        </is>
      </c>
      <c r="D965" s="104" t="inlineStr">
        <is>
          <t xml:space="preserve">Кр-99063092-1</t>
        </is>
      </c>
      <c r="E965" s="104" t="inlineStr">
        <is>
          <t xml:space="preserve">ORTIQOV SHERMUXAMMAD ANORMAT O’G’LI</t>
        </is>
      </c>
      <c r="F965" s="104" t="inlineStr">
        <is>
          <t xml:space="preserve">998993070698 OZI, 998930941669 POCHASI TO’LOVCHI, 998947037403 AMMASI, 998934055573 APACHASI,</t>
        </is>
      </c>
      <c r="G965" s="104" t="inlineStr">
        <is>
          <t xml:space="preserve">TOSHKENT VILOYATI OXANGARON TUMANI QORAXITOY QFY TUT MFY OQ TEPA 8-UY</t>
        </is>
      </c>
      <c r="H965" s="105">
        <v>8.0</v>
      </c>
      <c r="I965" s="105">
        <v>2989724.9</v>
      </c>
    </row>
    <row r="966">
      <c r="A966" s="104" t="inlineStr">
        <is>
          <t xml:space="preserve">ТОШКЕНТ ВИЛОЯТИ</t>
        </is>
      </c>
      <c r="C966" s="104" t="inlineStr">
        <is>
          <t xml:space="preserve">Недозвон</t>
        </is>
      </c>
      <c r="D966" s="104" t="inlineStr">
        <is>
          <t xml:space="preserve">Кр-99033180-3</t>
        </is>
      </c>
      <c r="E966" s="104" t="inlineStr">
        <is>
          <t xml:space="preserve">ABDIKAXAROV AVZAL MANNAPOVICH</t>
        </is>
      </c>
      <c r="F966" s="104" t="inlineStr">
        <is>
          <t xml:space="preserve">998971003311 SMS O’ZI, 998998090388 SMS AYOLI, 998946583238 SMS ONASI, 998500938322 SMS ONASI 2,</t>
        </is>
      </c>
      <c r="G966" s="104" t="inlineStr">
        <is>
          <t xml:space="preserve">TOSHKENT VILOYATI TOSHKENT TUMANI UCH-CHINOR MFY, TESARIQ 32</t>
        </is>
      </c>
      <c r="H966" s="105">
        <v>8.0</v>
      </c>
      <c r="I966" s="105">
        <v>2978388.41</v>
      </c>
    </row>
    <row r="967">
      <c r="A967" s="104" t="inlineStr">
        <is>
          <t xml:space="preserve">ТОШКЕНТ ВИЛОЯТИ</t>
        </is>
      </c>
      <c r="C967" s="104" t="inlineStr">
        <is>
          <t xml:space="preserve">Недозвон</t>
        </is>
      </c>
      <c r="D967" s="104" t="inlineStr">
        <is>
          <t xml:space="preserve">Кр-99033830-1</t>
        </is>
      </c>
      <c r="E967" s="104" t="inlineStr">
        <is>
          <t xml:space="preserve">ABDIKADIROV SAIB ABDIMAJITOVICH</t>
        </is>
      </c>
      <c r="F967" s="104" t="inlineStr">
        <is>
          <t xml:space="preserve">998883458687 SMS OZI, 998991186872 SMS OZI, 998889624455 SMS  AYOLI, 998889624455 SMS,</t>
        </is>
      </c>
      <c r="G967" s="104" t="inlineStr">
        <is>
          <t xml:space="preserve">TOSHKENT VILOYATI OQQO’RG’ON TUMANI XAMID OLIMJON MFY FIDOYILAR 38-XONADON</t>
        </is>
      </c>
      <c r="H967" s="105">
        <v>53.0</v>
      </c>
      <c r="I967" s="105">
        <v>2942264.79</v>
      </c>
    </row>
    <row r="968">
      <c r="A968" s="104" t="inlineStr">
        <is>
          <t xml:space="preserve">ТОШКЕНТ ВИЛОЯТИ</t>
        </is>
      </c>
      <c r="C968" s="104" t="inlineStr">
        <is>
          <t xml:space="preserve">Недозвон</t>
        </is>
      </c>
      <c r="D968" s="104" t="inlineStr">
        <is>
          <t xml:space="preserve">Кр-99035963-1</t>
        </is>
      </c>
      <c r="E968" s="104" t="inlineStr">
        <is>
          <t xml:space="preserve">ARTIKOV AKBARJON AKMALJONOVICH</t>
        </is>
      </c>
      <c r="F968" s="104" t="inlineStr">
        <is>
          <t xml:space="preserve">998935992555 SMS O’ZI , 998935118787 SMS UKASI, 998998270960 SMS AYOLI, 998993763131 SMS KELINI,</t>
        </is>
      </c>
      <c r="G968" s="104" t="inlineStr">
        <is>
          <t xml:space="preserve">TOSHKENT VILOYATI YANGIYO’L TUMANI U.MUSAYEV KFY  TUYA BOGIZ YOSHLIK MAHALLASI 68-UY  </t>
        </is>
      </c>
      <c r="H968" s="105">
        <v>1.0</v>
      </c>
      <c r="I968" s="105">
        <v>2932139.24</v>
      </c>
    </row>
    <row r="969">
      <c r="A969" s="104" t="inlineStr">
        <is>
          <t xml:space="preserve">ТОШКЕНТ ВИЛОЯТИ</t>
        </is>
      </c>
      <c r="C969" s="104" t="inlineStr">
        <is>
          <t xml:space="preserve">Недозвон</t>
        </is>
      </c>
      <c r="D969" s="104" t="inlineStr">
        <is>
          <t xml:space="preserve">Кр-99061053-1</t>
        </is>
      </c>
      <c r="E969" s="104" t="inlineStr">
        <is>
          <t xml:space="preserve">O’ROLOV ABDUXOLIQ MUZAFFAR O’G’LI</t>
        </is>
      </c>
      <c r="F969" s="104" t="inlineStr">
        <is>
          <t xml:space="preserve">998977238838 узи, 998977016671 онаси, 998978771759 бувиси, 998900000000 акаси,</t>
        </is>
      </c>
      <c r="G969" s="104" t="inlineStr">
        <is>
          <t xml:space="preserve">TOSHKENT VILOYATI CHINOZ TUMANI, TURKISTON,SAMARQAND MFY, MEZON KO'CHASI, MEZON BERK KO'CHASI 90-UY</t>
        </is>
      </c>
      <c r="H969" s="105">
        <v>8.0</v>
      </c>
      <c r="I969" s="105">
        <v>2895578.46</v>
      </c>
    </row>
    <row r="970">
      <c r="A970" s="104" t="inlineStr">
        <is>
          <t xml:space="preserve">ТОШКЕНТ ВИЛОЯТИ</t>
        </is>
      </c>
      <c r="C970" s="104" t="inlineStr">
        <is>
          <t xml:space="preserve">Недозвон</t>
        </is>
      </c>
      <c r="D970" s="104" t="inlineStr">
        <is>
          <t xml:space="preserve">Кр-99057468-2</t>
        </is>
      </c>
      <c r="E970" s="104" t="inlineStr">
        <is>
          <t xml:space="preserve">MELIBAYEVA GULSHANOY KUDBIDINOVNA</t>
        </is>
      </c>
      <c r="F970" s="104" t="inlineStr">
        <is>
          <t xml:space="preserve">998944506727 OZI, 998979181727 ERI, 998888261727 ONASI,</t>
        </is>
      </c>
      <c r="G970" s="104" t="inlineStr">
        <is>
          <t xml:space="preserve">TOSHKENT VILOYATI YANGIYO’L TUMANI OLMAZOR MFY  SHODLIK KO’CHASI 1/2-UY</t>
        </is>
      </c>
      <c r="H970" s="105">
        <v>13.0</v>
      </c>
      <c r="I970" s="105">
        <v>2887554.0</v>
      </c>
    </row>
    <row r="971">
      <c r="A971" s="104" t="inlineStr">
        <is>
          <t xml:space="preserve">ТОШКЕНТ ВИЛОЯТИ</t>
        </is>
      </c>
      <c r="C971" s="104" t="inlineStr">
        <is>
          <t xml:space="preserve">Недозвон</t>
        </is>
      </c>
      <c r="D971" s="104" t="inlineStr">
        <is>
          <t xml:space="preserve">Кр-99052990-1</t>
        </is>
      </c>
      <c r="E971" s="104" t="inlineStr">
        <is>
          <t xml:space="preserve">IBRAGIMOV AKROMJON KENJA O’G’LI</t>
        </is>
      </c>
      <c r="F971" s="104" t="inlineStr">
        <is>
          <t xml:space="preserve">998998032251 SMS OZI, 998885161966 SMS AYOLI, 998955360601 SMS UKASI, 998977615888 SMS AKASI,</t>
        </is>
      </c>
      <c r="G971" s="104" t="inlineStr">
        <is>
          <t xml:space="preserve">TOSHKENT SHAHAR CHILONZOR TUMANI DOMBROBOD MFY NOVZA-KOZIROBOD KO'CHASI 9-UY 44-XONADON</t>
        </is>
      </c>
      <c r="H971" s="105">
        <v>8.0</v>
      </c>
      <c r="I971" s="105">
        <v>2839341.23</v>
      </c>
    </row>
    <row r="972">
      <c r="A972" s="104" t="inlineStr">
        <is>
          <t xml:space="preserve">ТОШКЕНТ ВИЛОЯТИ</t>
        </is>
      </c>
      <c r="C972" s="104" t="inlineStr">
        <is>
          <t xml:space="preserve">Недозвон</t>
        </is>
      </c>
      <c r="D972" s="104" t="inlineStr">
        <is>
          <t xml:space="preserve">Кр-99063111-2</t>
        </is>
      </c>
      <c r="E972" s="104" t="inlineStr">
        <is>
          <t xml:space="preserve">ZULPIYEVA NODIRA ALIMJON QIZI</t>
        </is>
      </c>
      <c r="F972" s="104" t="inlineStr">
        <is>
          <t xml:space="preserve">998994415245 SMS ERI, 998997845820 SMS O’G’LI,</t>
        </is>
      </c>
      <c r="G972" s="104" t="inlineStr">
        <is>
          <t xml:space="preserve">GULBAXOR KO’CHASI 1-UY.7-XONADON</t>
        </is>
      </c>
      <c r="H972" s="105">
        <v>8.0</v>
      </c>
      <c r="I972" s="105">
        <v>2828097.32</v>
      </c>
    </row>
    <row r="973">
      <c r="A973" s="104" t="inlineStr">
        <is>
          <t xml:space="preserve">ТОШКЕНТ ВИЛОЯТИ</t>
        </is>
      </c>
      <c r="C973" s="104" t="inlineStr">
        <is>
          <t xml:space="preserve">Недозвон</t>
        </is>
      </c>
      <c r="D973" s="104" t="inlineStr">
        <is>
          <t xml:space="preserve">Кр-99063453-1</t>
        </is>
      </c>
      <c r="E973" s="104" t="inlineStr">
        <is>
          <t xml:space="preserve">AKJIGITOVA NARGIZA ILESBAYEVNA</t>
        </is>
      </c>
      <c r="F973" s="104" t="inlineStr">
        <is>
          <t xml:space="preserve">998953161976 Ozi, 998973446913 Singlisi, 998977056505 Singlisi,</t>
        </is>
      </c>
      <c r="G973" s="104" t="inlineStr">
        <is>
          <t xml:space="preserve">YANGIYOL SHAHRI</t>
        </is>
      </c>
      <c r="H973" s="105">
        <v>8.0</v>
      </c>
      <c r="I973" s="105">
        <v>2817299.95</v>
      </c>
    </row>
    <row r="974">
      <c r="A974" s="104" t="inlineStr">
        <is>
          <t xml:space="preserve">ТОШКЕНТ ВИЛОЯТИ</t>
        </is>
      </c>
      <c r="C974" s="104" t="inlineStr">
        <is>
          <t xml:space="preserve">Недозвон</t>
        </is>
      </c>
      <c r="D974" s="104" t="inlineStr">
        <is>
          <t xml:space="preserve">Кр-99063387-1</t>
        </is>
      </c>
      <c r="E974" s="104" t="inlineStr">
        <is>
          <t xml:space="preserve">NURUNBETOV RAVSHAN MURADOVICH</t>
        </is>
      </c>
      <c r="F974" s="104" t="inlineStr">
        <is>
          <t xml:space="preserve">998772354844 SMS UZI, 998940238994 SMS XOTINI, 998940268994 SMS QIZI,</t>
        </is>
      </c>
      <c r="G974" s="104" t="inlineStr">
        <is>
          <t xml:space="preserve">XURRIYAT MFY PAXTAKOR KO’CHASI 38B-UY</t>
        </is>
      </c>
      <c r="H974" s="105">
        <v>8.0</v>
      </c>
      <c r="I974" s="105">
        <v>2799999.93</v>
      </c>
    </row>
    <row r="975">
      <c r="A975" s="104" t="inlineStr">
        <is>
          <t xml:space="preserve">ТОШКЕНТ ВИЛОЯТИ</t>
        </is>
      </c>
      <c r="C975" s="104" t="inlineStr">
        <is>
          <t xml:space="preserve">Недозвон</t>
        </is>
      </c>
      <c r="D975" s="104" t="inlineStr">
        <is>
          <t xml:space="preserve">Кр-99063482-1</t>
        </is>
      </c>
      <c r="E975" s="104" t="inlineStr">
        <is>
          <t xml:space="preserve">YO’LDOSHMURODOV ISMOIL NIG’MONMUROD O’G’LI</t>
        </is>
      </c>
      <c r="F975" s="104" t="inlineStr">
        <is>
          <t xml:space="preserve">998770117776 SMS UKASI, 998935640001 SMS OZI, 998950565550 SMS DOSTI, 998999838880 SMS AYOLI,</t>
        </is>
      </c>
      <c r="G975" s="104" t="inlineStr">
        <is>
          <t xml:space="preserve">NAZARBEK KO’CHASI 5-UY</t>
        </is>
      </c>
      <c r="H975" s="105">
        <v>8.0</v>
      </c>
      <c r="I975" s="105">
        <v>2788706.81</v>
      </c>
    </row>
    <row r="976">
      <c r="A976" s="104" t="inlineStr">
        <is>
          <t xml:space="preserve">ТОШКЕНТ ВИЛОЯТИ</t>
        </is>
      </c>
      <c r="C976" s="104" t="inlineStr">
        <is>
          <t xml:space="preserve">Недозвон</t>
        </is>
      </c>
      <c r="D976" s="104" t="inlineStr">
        <is>
          <t xml:space="preserve">Кр-99063577-1</t>
        </is>
      </c>
      <c r="E976" s="104" t="inlineStr">
        <is>
          <t xml:space="preserve">ISOXO’JAYEV RASHIDXO’JA NABIXO’JA O’G’LI</t>
        </is>
      </c>
      <c r="F976" s="104" t="inlineStr">
        <is>
          <t xml:space="preserve">998945355800 Tolovchi 2-raqami, 998970741118 Dosti, 998997679708 Akasi,</t>
        </is>
      </c>
      <c r="G976" s="104" t="inlineStr">
        <is>
          <t xml:space="preserve">JAMBUL KOCHASI  200-UY</t>
        </is>
      </c>
      <c r="H976" s="105">
        <v>8.0</v>
      </c>
      <c r="I976" s="105">
        <v>2786473.97</v>
      </c>
    </row>
    <row r="977">
      <c r="A977" s="104" t="inlineStr">
        <is>
          <t xml:space="preserve">ТОШКЕНТ ВИЛОЯТИ</t>
        </is>
      </c>
      <c r="C977" s="104" t="inlineStr">
        <is>
          <t xml:space="preserve">Недозвон</t>
        </is>
      </c>
      <c r="D977" s="104" t="inlineStr">
        <is>
          <t xml:space="preserve">Кр-99061718-1</t>
        </is>
      </c>
      <c r="E977" s="104" t="inlineStr">
        <is>
          <t xml:space="preserve">YO’LDOSHBOYEV XAVASBEK TALABBOY O’G’LI</t>
        </is>
      </c>
      <c r="F977" s="104" t="inlineStr">
        <is>
          <t xml:space="preserve">998950685051 SMS OZI, 998992071727 SMS ONASI, 998931680475 SMS DADASI,</t>
        </is>
      </c>
      <c r="G977" s="104" t="inlineStr">
        <is>
          <t xml:space="preserve">TOSHKENT VILOYATI, PARKENT TUMANI, BOSHQIZILSOY QFY, NOVDAK MFY, NOVDANAK KUCHASI,57 UY</t>
        </is>
      </c>
      <c r="H977" s="105">
        <v>8.0</v>
      </c>
      <c r="I977" s="105">
        <v>2770243.42</v>
      </c>
    </row>
    <row r="978">
      <c r="A978" s="104" t="inlineStr">
        <is>
          <t xml:space="preserve">ТОШКЕНТ ВИЛОЯТИ</t>
        </is>
      </c>
      <c r="C978" s="104" t="inlineStr">
        <is>
          <t xml:space="preserve">Недозвон</t>
        </is>
      </c>
      <c r="D978" s="104" t="inlineStr">
        <is>
          <t xml:space="preserve">Кр-99034758-2</t>
        </is>
      </c>
      <c r="E978" s="104" t="inlineStr">
        <is>
          <t xml:space="preserve">NIG’MATILLAYEV MASHRAB DILSHOD O’G’LI</t>
        </is>
      </c>
      <c r="F978" s="104" t="inlineStr">
        <is>
          <t xml:space="preserve">998974497370 SMS OZI, 998334497370 SMS OTASI, 998883307737 SMS ONASI, 998998553444 SMS DOSTI,</t>
        </is>
      </c>
      <c r="G978" s="104" t="inlineStr">
        <is>
          <t xml:space="preserve">Кўксарой МФЙ, Куксарой, ул. 1 кучаси, 37-ер участкаси-уй</t>
        </is>
      </c>
      <c r="H978" s="105">
        <v>8.0</v>
      </c>
      <c r="I978" s="105">
        <v>2626353.28</v>
      </c>
    </row>
    <row r="979">
      <c r="A979" s="104" t="inlineStr">
        <is>
          <t xml:space="preserve">ТОШКЕНТ ВИЛОЯТИ</t>
        </is>
      </c>
      <c r="C979" s="104" t="inlineStr">
        <is>
          <t xml:space="preserve">Недозвон</t>
        </is>
      </c>
      <c r="D979" s="104" t="inlineStr">
        <is>
          <t xml:space="preserve">Кр-99038440-3</t>
        </is>
      </c>
      <c r="E979" s="104" t="inlineStr">
        <is>
          <t xml:space="preserve">AZLAROV AZIZXODJA ASRAROVICH</t>
        </is>
      </c>
      <c r="F979" s="104" t="inlineStr">
        <is>
          <t xml:space="preserve">998770755725 SMS AYOLLI, 998777273525 SMS QIZI, 998999055556 SMS O’ZI, 998999703525 SMS O’G’LI,</t>
        </is>
      </c>
      <c r="G979" s="104" t="inlineStr">
        <is>
          <t xml:space="preserve">ЗАФАРАБОД ҚФЙ, ХЎЖАҚЎРҒОН МФЙ, ЗАФАРАБОД, АДОЛАТ,  uy:34</t>
        </is>
      </c>
      <c r="H979" s="105">
        <v>8.0</v>
      </c>
      <c r="I979" s="105">
        <v>2601253.97</v>
      </c>
    </row>
    <row r="980">
      <c r="A980" s="104" t="inlineStr">
        <is>
          <t xml:space="preserve">ТОШКЕНТ ВИЛОЯТИ</t>
        </is>
      </c>
      <c r="C980" s="104" t="inlineStr">
        <is>
          <t xml:space="preserve">Недозвон</t>
        </is>
      </c>
      <c r="D980" s="104" t="inlineStr">
        <is>
          <t xml:space="preserve">Кр-99037191-1</t>
        </is>
      </c>
      <c r="E980" s="104" t="inlineStr">
        <is>
          <t xml:space="preserve">ERGASHEVA MINAVAR MIRZATILLAYEVNA</t>
        </is>
      </c>
      <c r="F980" s="104" t="inlineStr">
        <is>
          <t xml:space="preserve">998500222628 Ugli, 998995989800 SMS OGLI, 998773003206 SMS OGLI 2, 998998746767 SMS ERI, 998995989800 2 угли, 998998746767 эри,</t>
        </is>
      </c>
      <c r="G980" s="104" t="inlineStr">
        <is>
          <t xml:space="preserve">TOSHKENT VILOYATI OQQO’RG’ON TUMANI QAXRAMON MFY BAXTIYOR KO’CHASI 78-UY</t>
        </is>
      </c>
      <c r="H980" s="105">
        <v>8.0</v>
      </c>
      <c r="I980" s="105">
        <v>2588674.52</v>
      </c>
    </row>
    <row r="981">
      <c r="A981" s="104" t="inlineStr">
        <is>
          <t xml:space="preserve">ТОШКЕНТ ВИЛОЯТИ</t>
        </is>
      </c>
      <c r="C981" s="104" t="inlineStr">
        <is>
          <t xml:space="preserve">Недозвон</t>
        </is>
      </c>
      <c r="D981" s="104" t="inlineStr">
        <is>
          <t xml:space="preserve">Кр-99032245-1</t>
        </is>
      </c>
      <c r="E981" s="104" t="inlineStr">
        <is>
          <t xml:space="preserve">DJUNUSBEKOV RUSTAMBEK RAVSHAN O’G’LI</t>
        </is>
      </c>
      <c r="F981" s="104" t="inlineStr">
        <is>
          <t xml:space="preserve">998997112654 SMS O’ZI, 998096305696 SMS O’ZI 2, 998886210523 SMS AYOLI, 998880130565 ozi,</t>
        </is>
      </c>
      <c r="G981" s="104" t="inlineStr">
        <is>
          <t xml:space="preserve">TOSHKENT VILOYATI O’RTACHIRCHIQ TUMANI NOMDANAK ISTIQLOL KOCHASI 112-UY</t>
        </is>
      </c>
      <c r="H981" s="105">
        <v>11.0</v>
      </c>
      <c r="I981" s="105">
        <v>2580521.15</v>
      </c>
    </row>
    <row r="982">
      <c r="A982" s="104" t="inlineStr">
        <is>
          <t xml:space="preserve">ТОШКЕНТ ВИЛОЯТИ</t>
        </is>
      </c>
      <c r="C982" s="104" t="inlineStr">
        <is>
          <t xml:space="preserve">Недозвон</t>
        </is>
      </c>
      <c r="D982" s="104" t="inlineStr">
        <is>
          <t xml:space="preserve">Кр-99063429-1</t>
        </is>
      </c>
      <c r="E982" s="104" t="inlineStr">
        <is>
          <t xml:space="preserve">XAKIMOV IBROXIM ELMURAD O’G’LI</t>
        </is>
      </c>
      <c r="F982" s="104" t="inlineStr">
        <is>
          <t xml:space="preserve">998974817400 Ozi, 998970104700 Akasi, 998970584700 Onasi,</t>
        </is>
      </c>
      <c r="G982" s="104" t="inlineStr">
        <is>
          <t xml:space="preserve">TOSHKENT VILOYATI YANGIYUL TUMANI GULISTON MFY GULBOG` KOCHASI 100-uy</t>
        </is>
      </c>
      <c r="H982" s="105">
        <v>8.0</v>
      </c>
      <c r="I982" s="105">
        <v>2574777.22</v>
      </c>
    </row>
    <row r="983">
      <c r="A983" s="104" t="inlineStr">
        <is>
          <t xml:space="preserve">ТОШКЕНТ ВИЛОЯТИ</t>
        </is>
      </c>
      <c r="C983" s="104" t="inlineStr">
        <is>
          <t xml:space="preserve">Недозвон</t>
        </is>
      </c>
      <c r="D983" s="104" t="inlineStr">
        <is>
          <t xml:space="preserve">Кр-99038043-2</t>
        </is>
      </c>
      <c r="E983" s="104" t="inlineStr">
        <is>
          <t xml:space="preserve">RAXMONQULOV RADIFJON RAHIMJON O’G’LI</t>
        </is>
      </c>
      <c r="F983" s="104" t="inlineStr">
        <is>
          <t xml:space="preserve">998937010400 SMS OZI, 998997653158 SMS DO’STI, 998992720136 SMS DO’STI, 998936865888 SMS adasi,</t>
        </is>
      </c>
      <c r="G983" s="104" t="inlineStr">
        <is>
          <t xml:space="preserve">ПИСКЕНТ Ш., ЯНГИОБОД МФЙ, ПИСКЕНТ ШАХАР, ЯНГИОБОД МФЙ, ЯНГИОБОД,  uy:2</t>
        </is>
      </c>
      <c r="H983" s="105">
        <v>8.0</v>
      </c>
      <c r="I983" s="105">
        <v>2530470.67</v>
      </c>
    </row>
    <row r="984">
      <c r="A984" s="104" t="inlineStr">
        <is>
          <t xml:space="preserve">ТОШКЕНТ ВИЛОЯТИ</t>
        </is>
      </c>
      <c r="C984" s="104" t="inlineStr">
        <is>
          <t xml:space="preserve">Недозвон</t>
        </is>
      </c>
      <c r="D984" s="104" t="inlineStr">
        <is>
          <t xml:space="preserve">Кр-99041859-1</t>
        </is>
      </c>
      <c r="E984" s="104" t="inlineStr">
        <is>
          <t xml:space="preserve">TOSHMIRZAYEV NODIR SHUXRAT O’G’LI</t>
        </is>
      </c>
      <c r="F984" s="104" t="inlineStr">
        <is>
          <t xml:space="preserve">+998974776949 SMS OZI, 998940746949 SMS AKASI, 998991302323 SMS DOSTI,</t>
        </is>
      </c>
      <c r="G984" s="104" t="inlineStr">
        <is>
          <t xml:space="preserve">ДУРМОН ҚФЙ, ЮҚОРИ ЮЗ МФЙ, ЮКОРИ-ЮЗ Д/О-2 КЎЧАСИ,  uy:6 xonadon:28</t>
        </is>
      </c>
      <c r="H984" s="105">
        <v>8.0</v>
      </c>
      <c r="I984" s="105">
        <v>2529705.51</v>
      </c>
    </row>
    <row r="985">
      <c r="A985" s="104" t="inlineStr">
        <is>
          <t xml:space="preserve">ТОШКЕНТ ВИЛОЯТИ</t>
        </is>
      </c>
      <c r="C985" s="104" t="inlineStr">
        <is>
          <t xml:space="preserve">Недозвон</t>
        </is>
      </c>
      <c r="D985" s="104" t="inlineStr">
        <is>
          <t xml:space="preserve">Кр-99038033-1</t>
        </is>
      </c>
      <c r="E985" s="104" t="inlineStr">
        <is>
          <t xml:space="preserve">NORMATOV BOBURJON SOXIB O'G'LI</t>
        </is>
      </c>
      <c r="F985" s="104" t="inlineStr">
        <is>
          <t xml:space="preserve">998940641242 SMS OZI, 998975402502 SMS OZI 2, 998941404979 SMS TOLOVCHI, 998883542512 SMS TOLOVCHI,</t>
        </is>
      </c>
      <c r="G985" s="104" t="inlineStr">
        <is>
          <t xml:space="preserve">TOSHKENT VILOYATI QUYICHIRCHIQ TUMANI O'JAKENT MFY ROXAT KO'CHASI 43-UY</t>
        </is>
      </c>
      <c r="H985" s="105">
        <v>7.0</v>
      </c>
      <c r="I985" s="105">
        <v>2519883.13</v>
      </c>
    </row>
    <row r="986">
      <c r="A986" s="104" t="inlineStr">
        <is>
          <t xml:space="preserve">ТОШКЕНТ ВИЛОЯТИ</t>
        </is>
      </c>
      <c r="C986" s="104" t="inlineStr">
        <is>
          <t xml:space="preserve">Недозвон</t>
        </is>
      </c>
      <c r="D986" s="104" t="inlineStr">
        <is>
          <t xml:space="preserve">Кр-99037457-2</t>
        </is>
      </c>
      <c r="E986" s="104" t="inlineStr">
        <is>
          <t xml:space="preserve">XODJAVEY KOMOLIDDIN DJURAYEVICH</t>
        </is>
      </c>
      <c r="F986" s="104" t="inlineStr">
        <is>
          <t xml:space="preserve">998998790945 SMS OZI, 998930000608 SMS OGLI, 998946116742 SMS UKASI, 998940075575 SMS KATTA OGLI , 998990575427 SMS OGLI,</t>
        </is>
      </c>
      <c r="G986" s="104" t="inlineStr">
        <is>
          <t xml:space="preserve">TOSHKENT VILOYATI TOSHKENT TUMANI KUK-TERAK MFY  HALIM KO’P KO’CHASI 49-UY</t>
        </is>
      </c>
      <c r="H986" s="105">
        <v>8.0</v>
      </c>
      <c r="I986" s="105">
        <v>2519475.57</v>
      </c>
    </row>
    <row r="987">
      <c r="A987" s="104" t="inlineStr">
        <is>
          <t xml:space="preserve">ТОШКЕНТ ВИЛОЯТИ</t>
        </is>
      </c>
      <c r="C987" s="104" t="inlineStr">
        <is>
          <t xml:space="preserve">Недозвон</t>
        </is>
      </c>
      <c r="D987" s="104" t="inlineStr">
        <is>
          <t xml:space="preserve">Кр-99038819-2</t>
        </is>
      </c>
      <c r="E987" s="104" t="inlineStr">
        <is>
          <t xml:space="preserve">ABDURAZZAQOV RUSTAMJON KELDIBOYEVICH</t>
        </is>
      </c>
      <c r="F987" s="104" t="inlineStr">
        <is>
          <t xml:space="preserve">998933367353 SMS OZI, 998907889166 SMS AYOLI, 998970440924 SMS OGLI, 998902560303 SMS DOSTI,</t>
        </is>
      </c>
      <c r="G987" s="104" t="inlineStr">
        <is>
          <t xml:space="preserve">TOSHKENT VILOYATI TOSHKENT TUMANI CHOSHTEPA, IQBOL MFY, OLMAZOR KO'CHASI 18-UY</t>
        </is>
      </c>
      <c r="H987" s="105">
        <v>11.0</v>
      </c>
      <c r="I987" s="105">
        <v>2501286.05</v>
      </c>
    </row>
    <row r="988">
      <c r="A988" s="104" t="inlineStr">
        <is>
          <t xml:space="preserve">ТОШКЕНТ ВИЛОЯТИ</t>
        </is>
      </c>
      <c r="C988" s="104" t="inlineStr">
        <is>
          <t xml:space="preserve">Недозвон</t>
        </is>
      </c>
      <c r="D988" s="104" t="inlineStr">
        <is>
          <t xml:space="preserve">Кр-99063471-1</t>
        </is>
      </c>
      <c r="E988" s="104" t="inlineStr">
        <is>
          <t xml:space="preserve">ASHUROV DJURABEK MUXAMADIYEVICH</t>
        </is>
      </c>
      <c r="F988" s="104" t="inlineStr">
        <is>
          <t xml:space="preserve">998938309000 OZi, 998958047757 Ukasi, 998970104700 Akasi,</t>
        </is>
      </c>
      <c r="G988" s="104" t="inlineStr">
        <is>
          <t xml:space="preserve">YANGIYOL TUMANI QO`SH YOG`OCH MFY AMIR TEMUR KOCHASI 106-UY</t>
        </is>
      </c>
      <c r="H988" s="105">
        <v>8.0</v>
      </c>
      <c r="I988" s="105">
        <v>2498975.9</v>
      </c>
    </row>
    <row r="989">
      <c r="A989" s="104" t="inlineStr">
        <is>
          <t xml:space="preserve">ТОШКЕНТ ВИЛОЯТИ</t>
        </is>
      </c>
      <c r="C989" s="104" t="inlineStr">
        <is>
          <t xml:space="preserve">Недозвон</t>
        </is>
      </c>
      <c r="D989" s="104" t="inlineStr">
        <is>
          <t xml:space="preserve">Кр-99063721-1</t>
        </is>
      </c>
      <c r="E989" s="104" t="inlineStr">
        <is>
          <t xml:space="preserve">O’KTAMOV FARXODJON QAMBARALI O’G’LI</t>
        </is>
      </c>
      <c r="F989" s="104" t="inlineStr">
        <is>
          <t xml:space="preserve">998900513272 SMS ONASI, 998909651787 SMS TURMUSH ORTOGI, 998939747270 SMS OZI, 998994828262 SMS AKASI,</t>
        </is>
      </c>
      <c r="G989" s="104" t="inlineStr">
        <is>
          <t xml:space="preserve">TOSHKENT VILOYATI NURAFSHON SHAHRI SHODLIK KO’CHASI</t>
        </is>
      </c>
      <c r="H989" s="105">
        <v>8.0</v>
      </c>
      <c r="I989" s="105">
        <v>2498732.1</v>
      </c>
    </row>
    <row r="990">
      <c r="A990" s="104" t="inlineStr">
        <is>
          <t xml:space="preserve">ТОШКЕНТ ВИЛОЯТИ</t>
        </is>
      </c>
      <c r="C990" s="104" t="inlineStr">
        <is>
          <t xml:space="preserve">Недозвон</t>
        </is>
      </c>
      <c r="D990" s="104" t="inlineStr">
        <is>
          <t xml:space="preserve">Кр-99063521-2</t>
        </is>
      </c>
      <c r="E990" s="104" t="inlineStr">
        <is>
          <t xml:space="preserve">AXMEDOV UMIDJON MIRZAKARIM O’G’LI</t>
        </is>
      </c>
      <c r="F990" s="104" t="inlineStr">
        <is>
          <t xml:space="preserve">998885996769 SMS UKASI, 998990717272 AKASI,</t>
        </is>
      </c>
      <c r="G990" s="104" t="inlineStr">
        <is>
          <t xml:space="preserve">TOSHKENT VILOYATI YANGIYO’L SHAHAR SABO MFY TONG DAHASI KOCHASI 11-UY 17-XONADON</t>
        </is>
      </c>
      <c r="H990" s="105">
        <v>8.0</v>
      </c>
      <c r="I990" s="105">
        <v>2491973.49</v>
      </c>
    </row>
    <row r="991">
      <c r="A991" s="104" t="inlineStr">
        <is>
          <t xml:space="preserve">ТОШКЕНТ ВИЛОЯТИ</t>
        </is>
      </c>
      <c r="C991" s="104" t="inlineStr">
        <is>
          <t xml:space="preserve">Недозвон</t>
        </is>
      </c>
      <c r="D991" s="104" t="inlineStr">
        <is>
          <t xml:space="preserve">Кр-99062839-2</t>
        </is>
      </c>
      <c r="E991" s="104" t="inlineStr">
        <is>
          <t xml:space="preserve">XODJABAYEVA QIZILGUL BAYIROVNA</t>
        </is>
      </c>
      <c r="F991" s="104" t="inlineStr">
        <is>
          <t xml:space="preserve">998931889930 SMS OZI, 998944081215 SMS TOLOVCHI, 998949223394 SMS SHERIGI BAXTIYOR,</t>
        </is>
      </c>
      <c r="G991" s="104" t="inlineStr">
        <is>
          <t xml:space="preserve">5/1 DAXA KO’CHASI 4-UY 49-XONADON</t>
        </is>
      </c>
      <c r="H991" s="105">
        <v>8.0</v>
      </c>
      <c r="I991" s="105">
        <v>2420303.17</v>
      </c>
    </row>
    <row r="992">
      <c r="A992" s="104" t="inlineStr">
        <is>
          <t xml:space="preserve">ТОШКЕНТ ВИЛОЯТИ</t>
        </is>
      </c>
      <c r="C992" s="104" t="inlineStr">
        <is>
          <t xml:space="preserve">Недозвон</t>
        </is>
      </c>
      <c r="D992" s="104" t="inlineStr">
        <is>
          <t xml:space="preserve">Кр-99025318-1</t>
        </is>
      </c>
      <c r="E992" s="104" t="inlineStr">
        <is>
          <t xml:space="preserve">IBRAGIMOV DILMUROD TURDIYEVICH</t>
        </is>
      </c>
      <c r="F992" s="104" t="inlineStr">
        <is>
          <t xml:space="preserve">+998885533303 Primary phone from road24, 998885533303 Primary phone from road24, 998775233394 uzi new,</t>
        </is>
      </c>
      <c r="G992" s="104" t="inlineStr">
        <is>
          <t xml:space="preserve">ХАЛКОБОД КФЙ, ХАЛКОБОД МФЙ, ХАЛКОБОД КФЙ, ХАЛКОБОД МФЙ, У.НОРМАТОВ,  uy:12</t>
        </is>
      </c>
      <c r="H992" s="105">
        <v>8.0</v>
      </c>
      <c r="I992" s="105">
        <v>2417846.33</v>
      </c>
    </row>
    <row r="993">
      <c r="A993" s="104" t="inlineStr">
        <is>
          <t xml:space="preserve">ТОШКЕНТ ВИЛОЯТИ</t>
        </is>
      </c>
      <c r="C993" s="104" t="inlineStr">
        <is>
          <t xml:space="preserve">Недозвон</t>
        </is>
      </c>
      <c r="D993" s="104" t="inlineStr">
        <is>
          <t xml:space="preserve">Кр-99063466-1</t>
        </is>
      </c>
      <c r="E993" s="104" t="inlineStr">
        <is>
          <t xml:space="preserve">ABDULLAYEV ZARIFJON NAZIMJONOVICH</t>
        </is>
      </c>
      <c r="F993" s="104" t="inlineStr">
        <is>
          <t xml:space="preserve">998909160996 AYOLI, 998954712205 AKASI,</t>
        </is>
      </c>
      <c r="G993" s="104" t="inlineStr">
        <is>
          <t xml:space="preserve">МЕХНАТОБОД ҚФЙ, ХОС МФЙ, ХОС МФЙ, ХОС,  uy:Р/С</t>
        </is>
      </c>
      <c r="H993" s="105">
        <v>8.0</v>
      </c>
      <c r="I993" s="105">
        <v>2401888.52</v>
      </c>
    </row>
    <row r="994">
      <c r="A994" s="104" t="inlineStr">
        <is>
          <t xml:space="preserve">ТОШКЕНТ ВИЛОЯТИ</t>
        </is>
      </c>
      <c r="C994" s="104" t="inlineStr">
        <is>
          <t xml:space="preserve">Недозвон</t>
        </is>
      </c>
      <c r="D994" s="104" t="inlineStr">
        <is>
          <t xml:space="preserve">Кр-99063909-1</t>
        </is>
      </c>
      <c r="E994" s="104" t="inlineStr">
        <is>
          <t xml:space="preserve">YO’LCHIBEKOV ASADBEK ROVSHAN O’G’LI</t>
        </is>
      </c>
      <c r="F994" s="104" t="inlineStr">
        <is>
          <t xml:space="preserve">+998995719101 SMS OZI, 998971888515 UKASI, 998977977313 SMS AKASI,</t>
        </is>
      </c>
      <c r="G994" s="104" t="inlineStr">
        <is>
          <t xml:space="preserve">TOSHKENT VILOYATI YANGIYO’L SHAHRI RAMADON MAHALLASI SAMARQAND KOCHASI 240-UY</t>
        </is>
      </c>
      <c r="H994" s="105">
        <v>8.0</v>
      </c>
      <c r="I994" s="105">
        <v>2365621.12</v>
      </c>
    </row>
    <row r="995">
      <c r="A995" s="104" t="inlineStr">
        <is>
          <t xml:space="preserve">ТОШКЕНТ ВИЛОЯТИ</t>
        </is>
      </c>
      <c r="C995" s="104" t="inlineStr">
        <is>
          <t xml:space="preserve">Недозвон</t>
        </is>
      </c>
      <c r="D995" s="104" t="inlineStr">
        <is>
          <t xml:space="preserve">Кр-99038753-1</t>
        </is>
      </c>
      <c r="E995" s="104" t="inlineStr">
        <is>
          <t xml:space="preserve">TUYCHIBOYEV RAVSHAN TALABBOYEVICH</t>
        </is>
      </c>
      <c r="F995" s="104" t="inlineStr">
        <is>
          <t xml:space="preserve">998970431162 SMS OZI, 998949343874 SMSV OGLI shu nomerga tolidi, 998948022897 SMS KELINI, 998944450890 SMS QIZI,</t>
        </is>
      </c>
      <c r="G995" s="104" t="inlineStr">
        <is>
          <t xml:space="preserve">TOSHKENT VILOYATI YANGIYO’L TUMANI SHO’RALISOY QFY FAYZOBOD 2-UY</t>
        </is>
      </c>
      <c r="H995" s="105">
        <v>6.0</v>
      </c>
      <c r="I995" s="105">
        <v>2359904.57</v>
      </c>
    </row>
    <row r="996">
      <c r="A996" s="104" t="inlineStr">
        <is>
          <t xml:space="preserve">ТОШКЕНТ ВИЛОЯТИ</t>
        </is>
      </c>
      <c r="C996" s="104" t="inlineStr">
        <is>
          <t xml:space="preserve">Недозвон</t>
        </is>
      </c>
      <c r="D996" s="104" t="inlineStr">
        <is>
          <t xml:space="preserve">Кр-99037101-2</t>
        </is>
      </c>
      <c r="E996" s="104" t="inlineStr">
        <is>
          <t xml:space="preserve">USMONOV ILHOM MAXAMADALI O’G’LI</t>
        </is>
      </c>
      <c r="F996" s="104" t="inlineStr">
        <is>
          <t xml:space="preserve">998990556462 SMS OZI, 998941479704 SMS UKASI, 998501111183 SMS AKASI, 998940245354 SMS SINGLI,</t>
        </is>
      </c>
      <c r="G996" s="104" t="inlineStr">
        <is>
          <t xml:space="preserve">TOSHKENT VILOYATI PARKENT TUMANI MFY SAMSARAK MFY SAMSARAK KO’CHASI 18-UY</t>
        </is>
      </c>
      <c r="H996" s="105">
        <v>11.0</v>
      </c>
      <c r="I996" s="105">
        <v>2236254.04</v>
      </c>
    </row>
    <row r="997">
      <c r="A997" s="104" t="inlineStr">
        <is>
          <t xml:space="preserve">ТОШКЕНТ ВИЛОЯТИ</t>
        </is>
      </c>
      <c r="C997" s="104" t="inlineStr">
        <is>
          <t xml:space="preserve">Недозвон</t>
        </is>
      </c>
      <c r="D997" s="104" t="inlineStr">
        <is>
          <t xml:space="preserve">Кр-99040700-1</t>
        </is>
      </c>
      <c r="E997" s="104" t="inlineStr">
        <is>
          <t xml:space="preserve">GANIYEVA NAZAKAT AZADBAYEVNA</t>
        </is>
      </c>
      <c r="F997" s="104" t="inlineStr">
        <is>
          <t xml:space="preserve">998336601966 ozi neww, 998909721251 ozi 2 new, 998770814488 og'li ,</t>
        </is>
      </c>
      <c r="G997" s="104" t="inlineStr">
        <is>
          <t xml:space="preserve">TOSHKENT VILOYATI</t>
        </is>
      </c>
      <c r="H997" s="105">
        <v>8.0</v>
      </c>
      <c r="I997" s="105">
        <v>2233715.15</v>
      </c>
    </row>
    <row r="998">
      <c r="A998" s="104" t="inlineStr">
        <is>
          <t xml:space="preserve">ТОШКЕНТ ВИЛОЯТИ</t>
        </is>
      </c>
      <c r="C998" s="104" t="inlineStr">
        <is>
          <t xml:space="preserve">Недозвон</t>
        </is>
      </c>
      <c r="D998" s="104" t="inlineStr">
        <is>
          <t xml:space="preserve">Кр-99039301-1</t>
        </is>
      </c>
      <c r="E998" s="104" t="inlineStr">
        <is>
          <t xml:space="preserve">NURALIYEV MUXAMMADALI UMARALI O’G’LI</t>
        </is>
      </c>
      <c r="F998" s="104" t="inlineStr">
        <is>
          <t xml:space="preserve">998901311113 SMS OZI, 998783037470 SMS AKASI, 998318700132 SMS AKASI 2, 998001370302 SMS OZI 2,</t>
        </is>
      </c>
      <c r="G998" s="104" t="inlineStr">
        <is>
          <t xml:space="preserve">TOSHKENT SHAHRI YNUSOBOD TUMANI 10 KVARTIL 14-DOM 44-XONODON</t>
        </is>
      </c>
      <c r="H998" s="105">
        <v>13.0</v>
      </c>
      <c r="I998" s="105">
        <v>2226118.39</v>
      </c>
    </row>
    <row r="999">
      <c r="A999" s="104" t="inlineStr">
        <is>
          <t xml:space="preserve">ТОШКЕНТ ВИЛОЯТИ</t>
        </is>
      </c>
      <c r="C999" s="104" t="inlineStr">
        <is>
          <t xml:space="preserve">Недозвон</t>
        </is>
      </c>
      <c r="D999" s="104" t="inlineStr">
        <is>
          <t xml:space="preserve">Кр-99037521-2</t>
        </is>
      </c>
      <c r="E999" s="104" t="inlineStr">
        <is>
          <t xml:space="preserve">ABDULLAYEV KAMOLIDDIN ERKINOVICH</t>
        </is>
      </c>
      <c r="F999" s="104" t="inlineStr">
        <is>
          <t xml:space="preserve">998998038040 SMS OZI, 998983140090 SMS O’G’LI, 998997700090 SMS AYOLI,</t>
        </is>
      </c>
      <c r="G999" s="104" t="inlineStr">
        <is>
          <t xml:space="preserve">TOSHKENT VILOYATI ZANGIOTA TUMANI YUQORI XASANBOY 5-UY</t>
        </is>
      </c>
      <c r="H999" s="105">
        <v>8.0</v>
      </c>
      <c r="I999" s="105">
        <v>2202847.67</v>
      </c>
    </row>
    <row r="1000">
      <c r="A1000" s="104" t="inlineStr">
        <is>
          <t xml:space="preserve">ТОШКЕНТ ВИЛОЯТИ</t>
        </is>
      </c>
      <c r="C1000" s="104" t="inlineStr">
        <is>
          <t xml:space="preserve">Недозвон</t>
        </is>
      </c>
      <c r="D1000" s="104" t="inlineStr">
        <is>
          <t xml:space="preserve">Кр-99050427-2</t>
        </is>
      </c>
      <c r="E1000" s="104" t="inlineStr">
        <is>
          <t xml:space="preserve">ABDULAZIZOV XUSAN GULYAM O’G’LI</t>
        </is>
      </c>
      <c r="F1000" s="104" t="inlineStr">
        <is>
          <t xml:space="preserve">+998998550638 SMS O’ZI, 998770990797 SMS OZI 3, 998900990797 SMS OZI 2, 998946223203 SMS AKASI,</t>
        </is>
      </c>
      <c r="G1000" s="104" t="inlineStr">
        <is>
          <t xml:space="preserve">DO’STLIK MFY. BALAND KO’PRIK KO’CHASI 14-UY</t>
        </is>
      </c>
      <c r="H1000" s="105">
        <v>8.0</v>
      </c>
      <c r="I1000" s="105">
        <v>2192741.13</v>
      </c>
    </row>
    <row r="1001">
      <c r="A1001" s="104" t="inlineStr">
        <is>
          <t xml:space="preserve">ТОШКЕНТ ВИЛОЯТИ</t>
        </is>
      </c>
      <c r="C1001" s="104" t="inlineStr">
        <is>
          <t xml:space="preserve">Недозвон</t>
        </is>
      </c>
      <c r="D1001" s="104" t="inlineStr">
        <is>
          <t xml:space="preserve">Кр-99063729-1</t>
        </is>
      </c>
      <c r="E1001" s="104" t="inlineStr">
        <is>
          <t xml:space="preserve">XASANOV AZIZBEK RAVSHAN O’G’LI</t>
        </is>
      </c>
      <c r="F1001" s="104" t="inlineStr">
        <is>
          <t xml:space="preserve">998887293525 sms uzi 2, 998888261666 sms uzi, 998971808011 sms ayoli,</t>
        </is>
      </c>
      <c r="G1001" s="104" t="inlineStr">
        <is>
          <t xml:space="preserve">Тиллаобод МФЙ, Мустақиллик кучаси, 50-уй</t>
        </is>
      </c>
      <c r="H1001" s="105">
        <v>12.0</v>
      </c>
      <c r="I1001" s="105">
        <v>2191213.43</v>
      </c>
    </row>
    <row r="1002">
      <c r="A1002" s="104" t="inlineStr">
        <is>
          <t xml:space="preserve">ТОШКЕНТ ВИЛОЯТИ</t>
        </is>
      </c>
      <c r="C1002" s="104" t="inlineStr">
        <is>
          <t xml:space="preserve">Недозвон</t>
        </is>
      </c>
      <c r="D1002" s="104" t="inlineStr">
        <is>
          <t xml:space="preserve">Кр-99035729-1</t>
        </is>
      </c>
      <c r="E1002" s="104" t="inlineStr">
        <is>
          <t xml:space="preserve">IGAMBERDIYEVA MUKARRAM O’RMONOVNA</t>
        </is>
      </c>
      <c r="F1002" s="104" t="inlineStr">
        <is>
          <t xml:space="preserve">998939239443 SMS OZI URTACHIRCHIQDA MAKTABDA ISHLIDI , 998339058000 SMS OGLI , 998946829992 SMS OGLI , 998990780838 SMS OGLI ,</t>
        </is>
      </c>
      <c r="G1002" s="104" t="inlineStr">
        <is>
          <t xml:space="preserve">TOSHKENT SHAHAR UCHTEPA TUMANI 21-KVARTAL 9-UY 35-XONADON / TOSHKENT VILOYATI O’RTACHIRCHIQ TUMANI KIM PEN XVA MFY MUSTAQILLIK KO’CHASI 4-UY</t>
        </is>
      </c>
      <c r="H1002" s="105">
        <v>5.0</v>
      </c>
      <c r="I1002" s="105">
        <v>2174189.43</v>
      </c>
    </row>
    <row r="1003">
      <c r="A1003" s="104" t="inlineStr">
        <is>
          <t xml:space="preserve">ТОШКЕНТ ВИЛОЯТИ</t>
        </is>
      </c>
      <c r="C1003" s="104" t="inlineStr">
        <is>
          <t xml:space="preserve">Недозвон</t>
        </is>
      </c>
      <c r="D1003" s="104" t="inlineStr">
        <is>
          <t xml:space="preserve">Кр-99035782-4</t>
        </is>
      </c>
      <c r="E1003" s="104" t="inlineStr">
        <is>
          <t xml:space="preserve">ZIYOMOV DILSHOD RAXIMJONOVICH</t>
        </is>
      </c>
      <c r="F1003" s="104" t="inlineStr">
        <is>
          <t xml:space="preserve">998974535000 SMS OZI, 998998077617 SMS DOSTI, 998997120330 SMS UKASI, 998999081131 SMS OSHNASI,</t>
        </is>
      </c>
      <c r="G1003" s="104" t="inlineStr">
        <is>
          <t xml:space="preserve">Халимкўп МФЙ, Халимкоп кучаси, 119-уй</t>
        </is>
      </c>
      <c r="H1003" s="105">
        <v>8.0</v>
      </c>
      <c r="I1003" s="105">
        <v>2160339.55</v>
      </c>
    </row>
    <row r="1004">
      <c r="A1004" s="104" t="inlineStr">
        <is>
          <t xml:space="preserve">ТОШКЕНТ ВИЛОЯТИ</t>
        </is>
      </c>
      <c r="C1004" s="104" t="inlineStr">
        <is>
          <t xml:space="preserve">Недозвон</t>
        </is>
      </c>
      <c r="D1004" s="104" t="inlineStr">
        <is>
          <t xml:space="preserve">Кр-99035219-1</t>
        </is>
      </c>
      <c r="E1004" s="104" t="inlineStr">
        <is>
          <t xml:space="preserve">BERDIYOROVA  SEVINCH ZUXRIDDIN QIZI </t>
        </is>
      </c>
      <c r="F1004" s="104" t="inlineStr">
        <is>
          <t xml:space="preserve">998994784416 SMS O’ZI, 998994784411 SMS ERI, 998940042931 SMS O’RTOG’I, 998935772071 SMS ADASI,</t>
        </is>
      </c>
      <c r="G1004" s="104" t="inlineStr">
        <is>
          <t xml:space="preserve">TOSHKENT VILOYATI ZANGIOTA TUMANI  QIZG‘ALDOQ QFY A.NAVOIY KO‘CHASI 56 "A" UY</t>
        </is>
      </c>
      <c r="H1004" s="105">
        <v>4.0</v>
      </c>
      <c r="I1004" s="105">
        <v>2153004.96</v>
      </c>
    </row>
    <row r="1005">
      <c r="A1005" s="104" t="inlineStr">
        <is>
          <t xml:space="preserve">ТОШКЕНТ ВИЛОЯТИ</t>
        </is>
      </c>
      <c r="C1005" s="104" t="inlineStr">
        <is>
          <t xml:space="preserve">Недозвон</t>
        </is>
      </c>
      <c r="D1005" s="104" t="inlineStr">
        <is>
          <t xml:space="preserve">Кр-99063000-1</t>
        </is>
      </c>
      <c r="E1005" s="104" t="inlineStr">
        <is>
          <t xml:space="preserve">SOTIBOLDIYEVA XURSANOY MUSTAFA QIZI</t>
        </is>
      </c>
      <c r="F1005" s="104" t="inlineStr">
        <is>
          <t xml:space="preserve">998880179706 SMS ERI, 998933202223 SMS OZI, 998940292972 SMS OANSI, 998949821501 SMS TOLOVCHI,</t>
        </is>
      </c>
      <c r="G1005" s="104" t="inlineStr">
        <is>
          <t xml:space="preserve">TOSHKENT VILOYTAI BO’KA TUMANI ACHAMAYLI MFY PAHLAVON KOCAHSI 29-UY</t>
        </is>
      </c>
      <c r="H1005" s="105">
        <v>8.0</v>
      </c>
      <c r="I1005" s="105">
        <v>2151837.81</v>
      </c>
    </row>
    <row r="1006">
      <c r="A1006" s="104" t="inlineStr">
        <is>
          <t xml:space="preserve">ТОШКЕНТ ВИЛОЯТИ</t>
        </is>
      </c>
      <c r="C1006" s="104" t="inlineStr">
        <is>
          <t xml:space="preserve">Недозвон</t>
        </is>
      </c>
      <c r="D1006" s="104" t="inlineStr">
        <is>
          <t xml:space="preserve">Кр-99039446-1</t>
        </is>
      </c>
      <c r="E1006" s="104" t="inlineStr">
        <is>
          <t xml:space="preserve">YUNUSOV ELMUROD RUSTAMOVICH</t>
        </is>
      </c>
      <c r="F1006" s="104" t="inlineStr">
        <is>
          <t xml:space="preserve">998936053737 SMS OZI, 998354600862 SMS OZI 2, 998933324343 SMS OGAYNISI, 998558043432 SMS OGAYNISI 2,</t>
        </is>
      </c>
      <c r="G1006" s="104" t="inlineStr">
        <is>
          <t xml:space="preserve">TOSHKENT VILOYATI QIBRAY TUMANI ZAFAROBOD QFY QO’SHTEPA KO’CHASI 11-UY</t>
        </is>
      </c>
      <c r="H1006" s="105">
        <v>7.0</v>
      </c>
      <c r="I1006" s="105">
        <v>2143408.03</v>
      </c>
    </row>
    <row r="1007">
      <c r="A1007" s="104" t="inlineStr">
        <is>
          <t xml:space="preserve">ТОШКЕНТ ВИЛОЯТИ</t>
        </is>
      </c>
      <c r="C1007" s="104" t="inlineStr">
        <is>
          <t xml:space="preserve">Недозвон</t>
        </is>
      </c>
      <c r="D1007" s="104" t="inlineStr">
        <is>
          <t xml:space="preserve">Кр-99035782-8</t>
        </is>
      </c>
      <c r="E1007" s="104" t="inlineStr">
        <is>
          <t xml:space="preserve">ZIYOMOV DILSHOD RAXIMJONOVICH</t>
        </is>
      </c>
      <c r="F1007" s="104" t="inlineStr">
        <is>
          <t xml:space="preserve">998974535000 SMS OZI, 998998077617 SMS DOSTI, 998997120330 SMS UKASI, 998999081131 SMS OSHNASI,</t>
        </is>
      </c>
      <c r="G1007" s="104" t="inlineStr">
        <is>
          <t xml:space="preserve">Халимкўп МФЙ, Халимкоп кучаси, 119-уй</t>
        </is>
      </c>
      <c r="H1007" s="105">
        <v>8.0</v>
      </c>
      <c r="I1007" s="105">
        <v>2116282.03</v>
      </c>
    </row>
    <row r="1008">
      <c r="A1008" s="104" t="inlineStr">
        <is>
          <t xml:space="preserve">ТОШКЕНТ ВИЛОЯТИ</t>
        </is>
      </c>
      <c r="C1008" s="104" t="inlineStr">
        <is>
          <t xml:space="preserve">Недозвон</t>
        </is>
      </c>
      <c r="D1008" s="104" t="inlineStr">
        <is>
          <t xml:space="preserve">Кр-99056297-1</t>
        </is>
      </c>
      <c r="E1008" s="104" t="inlineStr">
        <is>
          <t xml:space="preserve">KOSBAYEV BEKZAT MAXULBEKOVICH</t>
        </is>
      </c>
      <c r="F1008" s="104" t="inlineStr">
        <is>
          <t xml:space="preserve">998900232353 SMS OZI, 998900986108 SMS AYOLI, 998998650368 SMS ONASI,</t>
        </is>
      </c>
      <c r="G1008" s="104" t="inlineStr">
        <is>
          <t xml:space="preserve">TOSHKENT VILOYATI BO’STONLIQ TUMANI QORAMANAS KO’CHASI 3-UY</t>
        </is>
      </c>
      <c r="H1008" s="105">
        <v>8.0</v>
      </c>
      <c r="I1008" s="105">
        <v>2111525.53</v>
      </c>
    </row>
    <row r="1009">
      <c r="A1009" s="104" t="inlineStr">
        <is>
          <t xml:space="preserve">ТОШКЕНТ ВИЛОЯТИ</t>
        </is>
      </c>
      <c r="C1009" s="104" t="inlineStr">
        <is>
          <t xml:space="preserve">Недозвон</t>
        </is>
      </c>
      <c r="D1009" s="104" t="inlineStr">
        <is>
          <t xml:space="preserve">Кр-99063338-1</t>
        </is>
      </c>
      <c r="E1009" s="104" t="inlineStr">
        <is>
          <t xml:space="preserve">XODJAYEVA XANAY MAVLYANKULOVNA</t>
        </is>
      </c>
      <c r="F1009" s="104" t="inlineStr">
        <is>
          <t xml:space="preserve">998881335308 SMS OZI, 998881372201 SMS O’G’LI, 998885070729 SMS O’G’LI, 998885350880 SMS KELINI,</t>
        </is>
      </c>
      <c r="G1009" s="104" t="inlineStr">
        <is>
          <t xml:space="preserve">TOSHKENT VILOYATI CHIRCHIQ TASHKENTSKAYA OBLAST G CHIRCHIK TURON MSG UL 4 KICHIK NOHIYA 44 DOM 51 KVARTIRA</t>
        </is>
      </c>
      <c r="H1009" s="105">
        <v>8.0</v>
      </c>
      <c r="I1009" s="105">
        <v>2108969.47</v>
      </c>
    </row>
    <row r="1010">
      <c r="A1010" s="104" t="inlineStr">
        <is>
          <t xml:space="preserve">ТОШКЕНТ ВИЛОЯТИ</t>
        </is>
      </c>
      <c r="C1010" s="104" t="inlineStr">
        <is>
          <t xml:space="preserve">Недозвон</t>
        </is>
      </c>
      <c r="D1010" s="104" t="inlineStr">
        <is>
          <t xml:space="preserve">Кр-99051158-1</t>
        </is>
      </c>
      <c r="E1010" s="104" t="inlineStr">
        <is>
          <t xml:space="preserve">XODJAYEV ILGAR AZIZOVICH</t>
        </is>
      </c>
      <c r="F1010" s="104" t="inlineStr">
        <is>
          <t xml:space="preserve">998883360204 sms ozi, 998951167505 sms ayoli2, 998973473429 sms ayoli,</t>
        </is>
      </c>
      <c r="G1010" s="104" t="inlineStr">
        <is>
          <t xml:space="preserve">O’RTACHIRCHIQ TUMANI</t>
        </is>
      </c>
      <c r="H1010" s="105">
        <v>12.0</v>
      </c>
      <c r="I1010" s="105">
        <v>2055802.32</v>
      </c>
    </row>
    <row r="1011">
      <c r="A1011" s="104" t="inlineStr">
        <is>
          <t xml:space="preserve">ТОШКЕНТ ВИЛОЯТИ</t>
        </is>
      </c>
      <c r="C1011" s="104" t="inlineStr">
        <is>
          <t xml:space="preserve">Недозвон</t>
        </is>
      </c>
      <c r="D1011" s="104" t="inlineStr">
        <is>
          <t xml:space="preserve">Кр-99038087-1</t>
        </is>
      </c>
      <c r="E1011" s="104" t="inlineStr">
        <is>
          <t xml:space="preserve">DAULBAYEV NURJAN MUSIRMANOVICH</t>
        </is>
      </c>
      <c r="F1011" s="104" t="inlineStr">
        <is>
          <t xml:space="preserve">998975455939 SMS OZI, 998997968701 SMS AYOLI, 998933983301 SMS O’G’LI,</t>
        </is>
      </c>
      <c r="G1011" s="104" t="inlineStr">
        <is>
          <t xml:space="preserve">TOSHKENT VILOYATI BO’STONLIQ TUMANI TUMANI, QARAMANAS MFY 45-UY</t>
        </is>
      </c>
      <c r="H1011" s="105">
        <v>1.0</v>
      </c>
      <c r="I1011" s="105">
        <v>2038326.74</v>
      </c>
    </row>
    <row r="1012">
      <c r="A1012" s="104" t="inlineStr">
        <is>
          <t xml:space="preserve">ТОШКЕНТ ВИЛОЯТИ</t>
        </is>
      </c>
      <c r="C1012" s="104" t="inlineStr">
        <is>
          <t xml:space="preserve">Недозвон</t>
        </is>
      </c>
      <c r="D1012" s="104" t="inlineStr">
        <is>
          <t xml:space="preserve">Кр-99034963-2</t>
        </is>
      </c>
      <c r="E1012" s="104" t="inlineStr">
        <is>
          <t xml:space="preserve">KAMILOVA GULBAHOR MAQSUD QIZI</t>
        </is>
      </c>
      <c r="F1012" s="104" t="inlineStr">
        <is>
          <t xml:space="preserve">998974214242 SMS O’ZI, 998900126414 SMS O’ZI, 998946726665 SMS ONASI, 998505004013 SMS UY,</t>
        </is>
      </c>
      <c r="G1012" s="104" t="inlineStr">
        <is>
          <t xml:space="preserve">TOSHKENT VILOYATI TOSHKENT TUMANI  SHAMSIOBOD MFY MOXIDIL KO’CHASI 6-UY</t>
        </is>
      </c>
      <c r="H1012" s="105">
        <v>5.0</v>
      </c>
      <c r="I1012" s="105">
        <v>1964910.0</v>
      </c>
    </row>
    <row r="1013">
      <c r="A1013" s="104" t="inlineStr">
        <is>
          <t xml:space="preserve">ТОШКЕНТ ВИЛОЯТИ</t>
        </is>
      </c>
      <c r="C1013" s="104" t="inlineStr">
        <is>
          <t xml:space="preserve">Недозвон</t>
        </is>
      </c>
      <c r="D1013" s="104" t="inlineStr">
        <is>
          <t xml:space="preserve">Кр-99029260-1</t>
        </is>
      </c>
      <c r="E1013" s="104" t="inlineStr">
        <is>
          <t xml:space="preserve">KALIMBETOVA GULNOZA MAMATALI QIZI</t>
        </is>
      </c>
      <c r="F1013" s="104" t="inlineStr">
        <is>
          <t xml:space="preserve">97-751-45-76  SMS O'ZI, 88-890-04-94  SMS ERI, 93-534-54-34  SMS ERI 2, 99-838-97-15  SMS SINGLISI,</t>
        </is>
      </c>
      <c r="G1013" s="104" t="inlineStr">
        <is>
          <t xml:space="preserve">TOSHKENT VILOYATI QIBRAY TUMANI QIPCHOQ QFY JALAYER KO’CHASI 35-UY</t>
        </is>
      </c>
      <c r="H1013" s="105">
        <v>7.0</v>
      </c>
      <c r="I1013" s="105">
        <v>1941362.58</v>
      </c>
    </row>
    <row r="1014">
      <c r="A1014" s="104" t="inlineStr">
        <is>
          <t xml:space="preserve">ТОШКЕНТ ВИЛОЯТИ</t>
        </is>
      </c>
      <c r="C1014" s="104" t="inlineStr">
        <is>
          <t xml:space="preserve">Недозвон</t>
        </is>
      </c>
      <c r="D1014" s="104" t="inlineStr">
        <is>
          <t xml:space="preserve">Кр-99051903-3</t>
        </is>
      </c>
      <c r="E1014" s="104" t="inlineStr">
        <is>
          <t xml:space="preserve">SHANAZAROV ILXAM SHAMAXMUDOVICH</t>
        </is>
      </c>
      <c r="F1014" s="104" t="inlineStr">
        <is>
          <t xml:space="preserve">998970166656 SMS UZI, 998974766676 SMS AYOLI, 998978779722 SMS DOSTI,</t>
        </is>
      </c>
      <c r="G1014" s="104" t="inlineStr">
        <is>
          <t xml:space="preserve">TINCHLIK MFY 3-KICHIK NOXIYA 36.10-UY</t>
        </is>
      </c>
      <c r="H1014" s="105">
        <v>13.0</v>
      </c>
      <c r="I1014" s="105">
        <v>1918448.39</v>
      </c>
    </row>
    <row r="1015">
      <c r="A1015" s="104" t="inlineStr">
        <is>
          <t xml:space="preserve">ТОШКЕНТ ВИЛОЯТИ</t>
        </is>
      </c>
      <c r="C1015" s="104" t="inlineStr">
        <is>
          <t xml:space="preserve">Недозвон</t>
        </is>
      </c>
      <c r="D1015" s="104" t="inlineStr">
        <is>
          <t xml:space="preserve">Кр-99059942-1</t>
        </is>
      </c>
      <c r="E1015" s="104" t="inlineStr">
        <is>
          <t xml:space="preserve">TOSHOV AXROR BAXTIYOROVICH</t>
        </is>
      </c>
      <c r="F1015" s="104" t="inlineStr">
        <is>
          <t xml:space="preserve">998977766725 SMS AKASI, 998994709047 SMS OZI, 998994709947 SMS AYOLI,</t>
        </is>
      </c>
      <c r="G1015" s="104" t="inlineStr">
        <is>
          <t xml:space="preserve">TOSHKENT VILOYATI YANGIYO’L TUMANI NAVBAXOR MFY NAVBAXOR KUCHASI 47-UY 17-XONODON</t>
        </is>
      </c>
      <c r="H1015" s="105">
        <v>13.0</v>
      </c>
      <c r="I1015" s="105">
        <v>1886716.32</v>
      </c>
    </row>
    <row r="1016">
      <c r="A1016" s="104" t="inlineStr">
        <is>
          <t xml:space="preserve">ТОШКЕНТ ВИЛОЯТИ</t>
        </is>
      </c>
      <c r="C1016" s="104" t="inlineStr">
        <is>
          <t xml:space="preserve">Недозвон</t>
        </is>
      </c>
      <c r="D1016" s="104" t="inlineStr">
        <is>
          <t xml:space="preserve">Кр-99040800-1</t>
        </is>
      </c>
      <c r="E1016" s="104" t="inlineStr">
        <is>
          <t xml:space="preserve">LATIFOV XUSNITDIN ABDUXAKIM O’G’LI</t>
        </is>
      </c>
      <c r="F1016" s="104" t="inlineStr">
        <is>
          <t xml:space="preserve">+998880003794 SMS O’ZI, 998880533797 SMS AYOLI, 998998474788 SMS O’RTOG’I,</t>
        </is>
      </c>
      <c r="G1016" s="104" t="inlineStr">
        <is>
          <t xml:space="preserve">Ғайрат МФЙ, Туркистон кучаси, 49-уй</t>
        </is>
      </c>
      <c r="H1016" s="105">
        <v>8.0</v>
      </c>
      <c r="I1016" s="105">
        <v>1870626.5</v>
      </c>
    </row>
    <row r="1017">
      <c r="A1017" s="104" t="inlineStr">
        <is>
          <t xml:space="preserve">ТОШКЕНТ ВИЛОЯТИ</t>
        </is>
      </c>
      <c r="C1017" s="104" t="inlineStr">
        <is>
          <t xml:space="preserve">Недозвон</t>
        </is>
      </c>
      <c r="D1017" s="104" t="inlineStr">
        <is>
          <t xml:space="preserve">Кр-99039603-3</t>
        </is>
      </c>
      <c r="E1017" s="104" t="inlineStr">
        <is>
          <t xml:space="preserve">SHARIPXODJAYEVA FAROGAT SHUKURILLAYEVNA</t>
        </is>
      </c>
      <c r="F1017" s="104" t="inlineStr">
        <is>
          <t xml:space="preserve">998977189559 SMS OGLI, 998973169559 SMS OZI, 998977699559 SMS KELINI,</t>
        </is>
      </c>
      <c r="G1017" s="104" t="inlineStr">
        <is>
          <t xml:space="preserve">TOSHKENT VILOYATI TOSHKENT TUMANI NAVOIY MFY GULTEPA KO’CHASI 7-UY</t>
        </is>
      </c>
      <c r="H1017" s="105">
        <v>8.0</v>
      </c>
      <c r="I1017" s="105">
        <v>1802075.69</v>
      </c>
    </row>
    <row r="1018">
      <c r="A1018" s="104" t="inlineStr">
        <is>
          <t xml:space="preserve">ТОШКЕНТ ВИЛОЯТИ</t>
        </is>
      </c>
      <c r="C1018" s="104" t="inlineStr">
        <is>
          <t xml:space="preserve">Недозвон</t>
        </is>
      </c>
      <c r="D1018" s="104" t="inlineStr">
        <is>
          <t xml:space="preserve">Кр-99047607-2</t>
        </is>
      </c>
      <c r="E1018" s="104" t="inlineStr">
        <is>
          <t xml:space="preserve">SANGINOV BURXAN AZIMOVICH</t>
        </is>
      </c>
      <c r="F1018" s="104" t="inlineStr">
        <is>
          <t xml:space="preserve">+998994008530 SMS O’ZI, 998948320492 SMS QAYNISINGLISI, 998959058530 SMS AYOLI,</t>
        </is>
      </c>
      <c r="G1018" s="104" t="inlineStr">
        <is>
          <t xml:space="preserve">TOSHKENT VILOYATI BOKA TUMANI YANGIOBOD MFY MARKAZIY 45-UY</t>
        </is>
      </c>
      <c r="H1018" s="105">
        <v>8.0</v>
      </c>
      <c r="I1018" s="105">
        <v>1801312.65</v>
      </c>
    </row>
    <row r="1019">
      <c r="A1019" s="104" t="inlineStr">
        <is>
          <t xml:space="preserve">ТОШКЕНТ ВИЛОЯТИ</t>
        </is>
      </c>
      <c r="C1019" s="104" t="inlineStr">
        <is>
          <t xml:space="preserve">Недозвон</t>
        </is>
      </c>
      <c r="D1019" s="104" t="inlineStr">
        <is>
          <t xml:space="preserve">Кр-99040533-1</t>
        </is>
      </c>
      <c r="E1019" s="104" t="inlineStr">
        <is>
          <t xml:space="preserve">ABDALIYEV SAYDULA SARDARBEKOVICH</t>
        </is>
      </c>
      <c r="F1019" s="104" t="inlineStr">
        <is>
          <t xml:space="preserve">998992367885 SMS OZI, 998999147885 SMS AYOLI, 998995222805 SMS OGLI, 998945417191 SMS QIZI,</t>
        </is>
      </c>
      <c r="G1019" s="104" t="inlineStr">
        <is>
          <t xml:space="preserve">TOSHKENT VILOYATI OXANGARON TUMANI OZODLIK QFY OBAYT-30 UY</t>
        </is>
      </c>
      <c r="H1019" s="105">
        <v>8.0</v>
      </c>
      <c r="I1019" s="105">
        <v>1800776.64</v>
      </c>
    </row>
    <row r="1020">
      <c r="A1020" s="104" t="inlineStr">
        <is>
          <t xml:space="preserve">ТОШКЕНТ ВИЛОЯТИ</t>
        </is>
      </c>
      <c r="C1020" s="104" t="inlineStr">
        <is>
          <t xml:space="preserve">Недозвон</t>
        </is>
      </c>
      <c r="D1020" s="104" t="inlineStr">
        <is>
          <t xml:space="preserve">Кр-99063056-1</t>
        </is>
      </c>
      <c r="E1020" s="104" t="inlineStr">
        <is>
          <t xml:space="preserve">ARSTANXULOV MARAT SATIBALDIYEVICH</t>
        </is>
      </c>
      <c r="F1020" s="104" t="inlineStr">
        <is>
          <t xml:space="preserve">998887926480 OZI, 998887942680 AYOLI, 998880451408 OGLI, 998999140106 OGLI,</t>
        </is>
      </c>
      <c r="G1020" s="104" t="inlineStr">
        <is>
          <t xml:space="preserve">TOSHKENT VILOYATI YUQORICHIRCHIQ TUMANI TOSHTUGIZOK MFY QORATUXUM MAHALLASI ELDOSH KO'CHASI 41-UY</t>
        </is>
      </c>
      <c r="H1020" s="105">
        <v>8.0</v>
      </c>
      <c r="I1020" s="105">
        <v>1783742.98</v>
      </c>
    </row>
    <row r="1021">
      <c r="A1021" s="104" t="inlineStr">
        <is>
          <t xml:space="preserve">ТОШКЕНТ ВИЛОЯТИ</t>
        </is>
      </c>
      <c r="C1021" s="104" t="inlineStr">
        <is>
          <t xml:space="preserve">Недозвон</t>
        </is>
      </c>
      <c r="D1021" s="104" t="inlineStr">
        <is>
          <t xml:space="preserve">Кр-99036602-2</t>
        </is>
      </c>
      <c r="E1021" s="104" t="inlineStr">
        <is>
          <t xml:space="preserve">HAKIMJONOV RUSTAMJON BAHROMJON O’G’LI</t>
        </is>
      </c>
      <c r="F1021" s="104" t="inlineStr">
        <is>
          <t xml:space="preserve">998887019261 SMS OZI, 998983667506 SMS OZI, 998999089261 SMS AYOLI FOTIMA , 998908223313 SMS UKASI,</t>
        </is>
      </c>
      <c r="G1021" s="104" t="inlineStr">
        <is>
          <t xml:space="preserve">TOSHKENT VILOYATI ZANGI OTA TUMANI O'RTAVUL  NIHOL MFY 30-UY </t>
        </is>
      </c>
      <c r="H1021" s="105">
        <v>8.0</v>
      </c>
      <c r="I1021" s="105">
        <v>1778180.52</v>
      </c>
    </row>
    <row r="1022">
      <c r="A1022" s="104" t="inlineStr">
        <is>
          <t xml:space="preserve">ТОШКЕНТ ВИЛОЯТИ</t>
        </is>
      </c>
      <c r="C1022" s="104" t="inlineStr">
        <is>
          <t xml:space="preserve">Недозвон</t>
        </is>
      </c>
      <c r="D1022" s="104" t="inlineStr">
        <is>
          <t xml:space="preserve">Кр-99063277-1</t>
        </is>
      </c>
      <c r="E1022" s="104" t="inlineStr">
        <is>
          <t xml:space="preserve">BEKMURATOV ELYOR MUSURMONQULOVICH</t>
        </is>
      </c>
      <c r="F1022" s="104" t="inlineStr">
        <is>
          <t xml:space="preserve">998773603202 OZI, 998993418611 OGLI, 998957303202 OGLI 2,</t>
        </is>
      </c>
      <c r="G1022" s="104" t="inlineStr">
        <is>
          <t xml:space="preserve">TOSHKENT VILOYATI PISKENT TUMANI MINGTEPA MFY TADBIRKOR KO’CHASI 31-UY</t>
        </is>
      </c>
      <c r="H1022" s="105">
        <v>8.0</v>
      </c>
      <c r="I1022" s="105">
        <v>1769851.85</v>
      </c>
    </row>
    <row r="1023">
      <c r="A1023" s="104" t="inlineStr">
        <is>
          <t xml:space="preserve">ТОШКЕНТ ВИЛОЯТИ</t>
        </is>
      </c>
      <c r="C1023" s="104" t="inlineStr">
        <is>
          <t xml:space="preserve">Недозвон</t>
        </is>
      </c>
      <c r="D1023" s="104" t="inlineStr">
        <is>
          <t xml:space="preserve">Кр-99039011-1</t>
        </is>
      </c>
      <c r="E1023" s="104" t="inlineStr">
        <is>
          <t xml:space="preserve">HABIBULLAYEV IZZATULLA QUDRATULLA O’G’LI</t>
        </is>
      </c>
      <c r="F1023" s="104" t="inlineStr">
        <is>
          <t xml:space="preserve">998998472131 SMS OZI, 998903333132 SMS AKASI, 998998472131 SMS AKASI 3,</t>
        </is>
      </c>
      <c r="G1023" s="104" t="inlineStr">
        <is>
          <t xml:space="preserve">TOSHKENT VILOYATI TOSHKENT TUMANI KELES MFY,KELES 103 -UY</t>
        </is>
      </c>
      <c r="H1023" s="105">
        <v>5.0</v>
      </c>
      <c r="I1023" s="105">
        <v>1762735.77</v>
      </c>
    </row>
    <row r="1024">
      <c r="A1024" s="104" t="inlineStr">
        <is>
          <t xml:space="preserve">ТОШКЕНТ ВИЛОЯТИ</t>
        </is>
      </c>
      <c r="C1024" s="104" t="inlineStr">
        <is>
          <t xml:space="preserve">Недозвон</t>
        </is>
      </c>
      <c r="D1024" s="104" t="inlineStr">
        <is>
          <t xml:space="preserve">Кр-99034329-1</t>
        </is>
      </c>
      <c r="E1024" s="104" t="inlineStr">
        <is>
          <t xml:space="preserve">MAXMUDOV FURQAT AHAD O’G’LI</t>
        </is>
      </c>
      <c r="F1024" s="104" t="inlineStr">
        <is>
          <t xml:space="preserve">998958787000 SMS OZI, 998334857777 SMS AYOLI, 998339039090 SMS UKASI, 998977066063 SMS AKASI,</t>
        </is>
      </c>
      <c r="G1024" s="104" t="inlineStr">
        <is>
          <t xml:space="preserve">TOSHKENT VILOYATI ZANGIOTA TUMANI TUMANI QIZG’ALDOQ MFY KVARTAL KO’CHASI 16-XONADON</t>
        </is>
      </c>
      <c r="H1024" s="105">
        <v>4.0</v>
      </c>
      <c r="I1024" s="105">
        <v>1762479.33</v>
      </c>
    </row>
    <row r="1025">
      <c r="A1025" s="104" t="inlineStr">
        <is>
          <t xml:space="preserve">ТОШКЕНТ ВИЛОЯТИ</t>
        </is>
      </c>
      <c r="C1025" s="104" t="inlineStr">
        <is>
          <t xml:space="preserve">Недозвон</t>
        </is>
      </c>
      <c r="D1025" s="104" t="inlineStr">
        <is>
          <t xml:space="preserve">Кр-99064096-2</t>
        </is>
      </c>
      <c r="E1025" s="104" t="inlineStr">
        <is>
          <t xml:space="preserve">NAZIRDJONOV NODIRJON NABI O’G’LI</t>
        </is>
      </c>
      <c r="F1025" s="104" t="inlineStr">
        <is>
          <t xml:space="preserve">+998870669977 SMS OZI, 998885056660 SMS AKASI, 998888785676 SMS,</t>
        </is>
      </c>
      <c r="G1025" s="104" t="inlineStr">
        <is>
          <t xml:space="preserve">TOSHKENT VILOYATI YANGIYO’L TUMANI PISTALIK MFY TINCHLIK KOCHASI 51-UY</t>
        </is>
      </c>
      <c r="H1025" s="105">
        <v>8.0</v>
      </c>
      <c r="I1025" s="105">
        <v>1754172.87</v>
      </c>
    </row>
    <row r="1026">
      <c r="A1026" s="104" t="inlineStr">
        <is>
          <t xml:space="preserve">ТОШКЕНТ ВИЛОЯТИ</t>
        </is>
      </c>
      <c r="C1026" s="104" t="inlineStr">
        <is>
          <t xml:space="preserve">Недозвон</t>
        </is>
      </c>
      <c r="D1026" s="104" t="inlineStr">
        <is>
          <t xml:space="preserve">Кр-99044073-1</t>
        </is>
      </c>
      <c r="E1026" s="104" t="inlineStr">
        <is>
          <t xml:space="preserve">TOLISBAYEV RAUSHANBEK TURGANALIYEVICH</t>
        </is>
      </c>
      <c r="F1026" s="104" t="inlineStr">
        <is>
          <t xml:space="preserve">+998998487036 Primary phone from road24, 998998487036 Primary phone from road24, 998948487036 SMS-AYOLI, 998994031609 SMS-ADASI,</t>
        </is>
      </c>
      <c r="G1026" s="104" t="inlineStr">
        <is>
          <t xml:space="preserve">SHUKRONA KO’CHASI 41-UY</t>
        </is>
      </c>
      <c r="H1026" s="105">
        <v>8.0</v>
      </c>
      <c r="I1026" s="105">
        <v>1727733.84</v>
      </c>
    </row>
    <row r="1027">
      <c r="A1027" s="104" t="inlineStr">
        <is>
          <t xml:space="preserve">ТОШКЕНТ ВИЛОЯТИ</t>
        </is>
      </c>
      <c r="C1027" s="104" t="inlineStr">
        <is>
          <t xml:space="preserve">Недозвон</t>
        </is>
      </c>
      <c r="D1027" s="104" t="inlineStr">
        <is>
          <t xml:space="preserve">Кр-99063533-1</t>
        </is>
      </c>
      <c r="E1027" s="104" t="inlineStr">
        <is>
          <t xml:space="preserve">QO’CHQOROV MURODJON ISMOG’IL O’G’LI</t>
        </is>
      </c>
      <c r="F1027" s="104" t="inlineStr">
        <is>
          <t xml:space="preserve">998977725457 SMS UKASI, 998977765457 SMS OZI, 998993756030 SMS QOSHNISI,</t>
        </is>
      </c>
      <c r="G1027" s="104" t="inlineStr">
        <is>
          <t xml:space="preserve">TOSHKENT VILOYATI TOSHKENT TUMANI CHUVACHILI MFY MEVAZOR KOCHASI 18-UY</t>
        </is>
      </c>
      <c r="H1027" s="105">
        <v>8.0</v>
      </c>
      <c r="I1027" s="105">
        <v>1711052.2</v>
      </c>
    </row>
    <row r="1028">
      <c r="A1028" s="104" t="inlineStr">
        <is>
          <t xml:space="preserve">ТОШКЕНТ ВИЛОЯТИ</t>
        </is>
      </c>
      <c r="C1028" s="104" t="inlineStr">
        <is>
          <t xml:space="preserve">Недозвон</t>
        </is>
      </c>
      <c r="D1028" s="104" t="inlineStr">
        <is>
          <t xml:space="preserve">Кр-99041657-1</t>
        </is>
      </c>
      <c r="E1028" s="104" t="inlineStr">
        <is>
          <t xml:space="preserve">G‘ULOMOV NODIR ABDUXAMITOVICH</t>
        </is>
      </c>
      <c r="F1028" s="104" t="inlineStr">
        <is>
          <t xml:space="preserve">998331401516 SSMS AYOLI, 998900946465 SMS OZI, 998908160654 SMS UYI, 998998562969 SMS ONASI, +998900946465 Primary phone from road24,</t>
        </is>
      </c>
      <c r="G1028" s="104" t="inlineStr">
        <is>
          <t xml:space="preserve">Угам МФЙ, Консой кучаси, 38-уй</t>
        </is>
      </c>
      <c r="H1028" s="105">
        <v>8.0</v>
      </c>
      <c r="I1028" s="105">
        <v>1670760.55</v>
      </c>
    </row>
    <row r="1029">
      <c r="A1029" s="104" t="inlineStr">
        <is>
          <t xml:space="preserve">ТОШКЕНТ ВИЛОЯТИ</t>
        </is>
      </c>
      <c r="C1029" s="104" t="inlineStr">
        <is>
          <t xml:space="preserve">Недозвон</t>
        </is>
      </c>
      <c r="D1029" s="104" t="inlineStr">
        <is>
          <t xml:space="preserve">Кр-99026069-2</t>
        </is>
      </c>
      <c r="E1029" s="104" t="inlineStr">
        <is>
          <t xml:space="preserve">BAYSUNOV KALDIBAY BAYDILLAYEVICH</t>
        </is>
      </c>
      <c r="F1029" s="104" t="inlineStr">
        <is>
          <t xml:space="preserve">90-924-81-19 SMS OZI, 99-817-91-86 SMS QIZI, 99-988-28-03 SMS NEVARASI, 95-099-81-19 SMS NEVARASI,</t>
        </is>
      </c>
      <c r="G1029" s="104" t="inlineStr">
        <is>
          <t xml:space="preserve">TOSHKENT SHAHAR YASHNAOBOD TUMANI SERIKBAYEV 54</t>
        </is>
      </c>
      <c r="H1029" s="105">
        <v>1.0</v>
      </c>
      <c r="I1029" s="105">
        <v>1606570.54</v>
      </c>
    </row>
    <row r="1030">
      <c r="A1030" s="104" t="inlineStr">
        <is>
          <t xml:space="preserve">ТОШКЕНТ ВИЛОЯТИ</t>
        </is>
      </c>
      <c r="C1030" s="104" t="inlineStr">
        <is>
          <t xml:space="preserve">Недозвон</t>
        </is>
      </c>
      <c r="D1030" s="104" t="inlineStr">
        <is>
          <t xml:space="preserve">Кр-99063274-1</t>
        </is>
      </c>
      <c r="E1030" s="104" t="inlineStr">
        <is>
          <t xml:space="preserve">UTKIROV ZIYODJON ABDUSADIR O’G’LI</t>
        </is>
      </c>
      <c r="F1030" s="104" t="inlineStr">
        <is>
          <t xml:space="preserve">998900653565 SMS-AYOLI, 998909299750 SMS-ONALARI, 998917798636 SMS-O’ZI, 998949389778 SMS-OPASI,</t>
        </is>
      </c>
      <c r="G1030" s="104" t="inlineStr">
        <is>
          <t xml:space="preserve">TOSHKENT VILOYATI CHIRCHIQ SHAHAR XUMO MFY 8-KICHIK NOXIYA 32-UY  47-XONADON</t>
        </is>
      </c>
      <c r="H1030" s="105">
        <v>8.0</v>
      </c>
      <c r="I1030" s="105">
        <v>1595276.66</v>
      </c>
    </row>
    <row r="1031">
      <c r="A1031" s="104" t="inlineStr">
        <is>
          <t xml:space="preserve">ТОШКЕНТ ВИЛОЯТИ</t>
        </is>
      </c>
      <c r="C1031" s="104" t="inlineStr">
        <is>
          <t xml:space="preserve">Недозвон</t>
        </is>
      </c>
      <c r="D1031" s="104" t="inlineStr">
        <is>
          <t xml:space="preserve">Кр-99036542-2</t>
        </is>
      </c>
      <c r="E1031" s="104" t="inlineStr">
        <is>
          <t xml:space="preserve">ERMONOV DILSHOD YORMON O’G’LI</t>
        </is>
      </c>
      <c r="F1031" s="104" t="inlineStr">
        <is>
          <t xml:space="preserve">998940005584 SMS OZI, 998936041111 SMS OZI2 TOLOVCHI BEKZOD , 998949793333 SMS ONASI, 998949793333 tolovchi,</t>
        </is>
      </c>
      <c r="G1031" s="104" t="inlineStr">
        <is>
          <t xml:space="preserve">TOSHKENT VILOYATI PARKENT TUMANI ,GULBOG MFY,ALISHER NAVOIY KO’CHASI,3-UY</t>
        </is>
      </c>
      <c r="H1031" s="105">
        <v>11.0</v>
      </c>
      <c r="I1031" s="105">
        <v>1529599.56</v>
      </c>
    </row>
    <row r="1032">
      <c r="A1032" s="104" t="inlineStr">
        <is>
          <t xml:space="preserve">ТОШКЕНТ ВИЛОЯТИ</t>
        </is>
      </c>
      <c r="C1032" s="104" t="inlineStr">
        <is>
          <t xml:space="preserve">Недозвон</t>
        </is>
      </c>
      <c r="D1032" s="104" t="inlineStr">
        <is>
          <t xml:space="preserve">Кр-99035734-1</t>
        </is>
      </c>
      <c r="E1032" s="104" t="inlineStr">
        <is>
          <t xml:space="preserve">TASHPULATOVA BARNO NURMATOVNA</t>
        </is>
      </c>
      <c r="F1032" s="104" t="inlineStr">
        <is>
          <t xml:space="preserve">998909971574 OGLI1 MOSHINA USTA , 998909751574 IOGLI2, 998773143344 OGLI 3, 998934540333 QIZI,</t>
        </is>
      </c>
      <c r="G1032" s="104" t="inlineStr">
        <is>
          <t xml:space="preserve">TOSHKENT VILOYATI ZANGIOTA TUMANI NAMUNA MSG UCHQO’RG’ON 5-UY,2-XONADON</t>
        </is>
      </c>
      <c r="H1032" s="105">
        <v>13.0</v>
      </c>
      <c r="I1032" s="105">
        <v>1514835.71</v>
      </c>
    </row>
    <row r="1033">
      <c r="A1033" s="104" t="inlineStr">
        <is>
          <t xml:space="preserve">ТОШКЕНТ ВИЛОЯТИ</t>
        </is>
      </c>
      <c r="C1033" s="104" t="inlineStr">
        <is>
          <t xml:space="preserve">Недозвон</t>
        </is>
      </c>
      <c r="D1033" s="104" t="inlineStr">
        <is>
          <t xml:space="preserve">Кр-99039998-1</t>
        </is>
      </c>
      <c r="E1033" s="104" t="inlineStr">
        <is>
          <t xml:space="preserve">QAYUMOVA ZULFIYA TURSUNBOYEVNA</t>
        </is>
      </c>
      <c r="F1033" s="104" t="inlineStr">
        <is>
          <t xml:space="preserve">998994084056 SMS OZI, 998990878921 SMS JIYANI, 998991621511 SMS OGLI, 998942746368 SMS QIZI,</t>
        </is>
      </c>
      <c r="G1033" s="104" t="inlineStr">
        <is>
          <t xml:space="preserve">TOSHKENT VILOYATI PARKENT TUMANI ISTIQBOL MFY BOG’ISHAMOL KO'CHASI 21-UY</t>
        </is>
      </c>
      <c r="H1033" s="105">
        <v>11.0</v>
      </c>
      <c r="I1033" s="105">
        <v>1485075.48</v>
      </c>
    </row>
    <row r="1034">
      <c r="A1034" s="104" t="inlineStr">
        <is>
          <t xml:space="preserve">ТОШКЕНТ ВИЛОЯТИ</t>
        </is>
      </c>
      <c r="C1034" s="104" t="inlineStr">
        <is>
          <t xml:space="preserve">Недозвон</t>
        </is>
      </c>
      <c r="D1034" s="104" t="inlineStr">
        <is>
          <t xml:space="preserve">Кр-99063014-1</t>
        </is>
      </c>
      <c r="E1034" s="104" t="inlineStr">
        <is>
          <t xml:space="preserve">FATULLAYEV LUTFULLA SHOTULLAYEVICH</t>
        </is>
      </c>
      <c r="F1034" s="104" t="inlineStr">
        <is>
          <t xml:space="preserve">+998931031797 SMS OZI, 998917771797 SMS AYOLI, 998990484604 SMS DOSTI,</t>
        </is>
      </c>
      <c r="G1034" s="104" t="inlineStr">
        <is>
          <t xml:space="preserve">TOSHKENT VILOYATI CHIRCHIQ SHAHRI MIRSHAK KOCHASI 11-UY</t>
        </is>
      </c>
      <c r="H1034" s="105">
        <v>8.0</v>
      </c>
      <c r="I1034" s="105">
        <v>1479891.51</v>
      </c>
    </row>
    <row r="1035">
      <c r="A1035" s="104" t="inlineStr">
        <is>
          <t xml:space="preserve">ТОШКЕНТ ВИЛОЯТИ</t>
        </is>
      </c>
      <c r="C1035" s="104" t="inlineStr">
        <is>
          <t xml:space="preserve">Недозвон</t>
        </is>
      </c>
      <c r="D1035" s="104" t="inlineStr">
        <is>
          <t xml:space="preserve">Кр-99042662-1</t>
        </is>
      </c>
      <c r="E1035" s="104" t="inlineStr">
        <is>
          <t xml:space="preserve">ABDUMALIYEV SAIDQOSIMXO’JA ABDRASIL O’G’LI</t>
        </is>
      </c>
      <c r="F1035" s="104" t="inlineStr">
        <is>
          <t xml:space="preserve">+998887044774 SMS O’ZI, 998900764774 SMS ADASI, 998903154774 SMS ONASI, 998935816365 SMS DO’STI,</t>
        </is>
      </c>
      <c r="G1035" s="104" t="inlineStr">
        <is>
          <t xml:space="preserve">ТОШКЕНТ ВИЛОЯТИ КИБРАЙ ТУМАНИ ЁНАРИК ҚФЙ, МАДАНИЯТ МФЙ, ЁНАРИК, МАРДОНА 1А-ТОР,  uy:13</t>
        </is>
      </c>
      <c r="H1035" s="105">
        <v>8.0</v>
      </c>
      <c r="I1035" s="105">
        <v>1473139.76</v>
      </c>
    </row>
    <row r="1036">
      <c r="A1036" s="104" t="inlineStr">
        <is>
          <t xml:space="preserve">ТОШКЕНТ ВИЛОЯТИ</t>
        </is>
      </c>
      <c r="C1036" s="104" t="inlineStr">
        <is>
          <t xml:space="preserve">Недозвон</t>
        </is>
      </c>
      <c r="D1036" s="104" t="inlineStr">
        <is>
          <t xml:space="preserve">Кр-99034287-1</t>
        </is>
      </c>
      <c r="E1036" s="104" t="inlineStr">
        <is>
          <t xml:space="preserve">MATKARIMOV GAYRAT KARSHIBAYEVCIH</t>
        </is>
      </c>
      <c r="F1036" s="104" t="inlineStr">
        <is>
          <t xml:space="preserve">998944206351 SMS OZI, 998999926616 SMS UKASI TOLOVCHI, 998775000086 SMS SINGLISI ZALOGODATEL (begona tel qilimasin),</t>
        </is>
      </c>
      <c r="G1036" s="104" t="inlineStr">
        <is>
          <t xml:space="preserve">TOSHKENT VILOYATI OLMOLIQ SHAHAR FARVOZ 9-UY</t>
        </is>
      </c>
      <c r="H1036" s="105">
        <v>8.0</v>
      </c>
      <c r="I1036" s="105">
        <v>1459106.2</v>
      </c>
    </row>
    <row r="1037">
      <c r="A1037" s="104" t="inlineStr">
        <is>
          <t xml:space="preserve">ТОШКЕНТ ВИЛОЯТИ</t>
        </is>
      </c>
      <c r="C1037" s="104" t="inlineStr">
        <is>
          <t xml:space="preserve">Недозвон</t>
        </is>
      </c>
      <c r="D1037" s="104" t="inlineStr">
        <is>
          <t xml:space="preserve">Кр-99041374-1</t>
        </is>
      </c>
      <c r="E1037" s="104" t="inlineStr">
        <is>
          <t xml:space="preserve">ISRAILOV JASURBEK MIXLIBOYEVICH</t>
        </is>
      </c>
      <c r="F1037" s="104" t="inlineStr">
        <is>
          <t xml:space="preserve">998770150790 SMS OZI, 998994819797 SMS SHERIGI, 998958429797 SMS UY, 998992100034 SMS UKASI,</t>
        </is>
      </c>
      <c r="G1037" s="104" t="inlineStr">
        <is>
          <t xml:space="preserve">TOSHKENT VILOYATI</t>
        </is>
      </c>
      <c r="H1037" s="105">
        <v>8.0</v>
      </c>
      <c r="I1037" s="105">
        <v>1453128.72</v>
      </c>
    </row>
    <row r="1038">
      <c r="A1038" s="104" t="inlineStr">
        <is>
          <t xml:space="preserve">ТОШКЕНТ ВИЛОЯТИ</t>
        </is>
      </c>
      <c r="C1038" s="104" t="inlineStr">
        <is>
          <t xml:space="preserve">Недозвон</t>
        </is>
      </c>
      <c r="D1038" s="104" t="inlineStr">
        <is>
          <t xml:space="preserve">Кр-99037145-1</t>
        </is>
      </c>
      <c r="E1038" s="104" t="inlineStr">
        <is>
          <t xml:space="preserve">ALQAROV BAHODIR JOZILOVICH</t>
        </is>
      </c>
      <c r="F1038" s="104" t="inlineStr">
        <is>
          <t xml:space="preserve">998999351271 SMS OZI, 998993258371 SMS AYOLI, 998998223156 SMS O’G‘LI, 998996855556 SMS QIZI,</t>
        </is>
      </c>
      <c r="G1038" s="104" t="inlineStr">
        <is>
          <t xml:space="preserve">TOSHKENT VILOYAT YUQORICHIRCHIQ TUMANI BALIQCHI MFY ILDAM KO`CHASI 30 UY </t>
        </is>
      </c>
      <c r="H1038" s="105">
        <v>12.0</v>
      </c>
      <c r="I1038" s="105">
        <v>1438355.8</v>
      </c>
    </row>
    <row r="1039">
      <c r="A1039" s="104" t="inlineStr">
        <is>
          <t xml:space="preserve">ТОШКЕНТ ВИЛОЯТИ</t>
        </is>
      </c>
      <c r="C1039" s="104" t="inlineStr">
        <is>
          <t xml:space="preserve">Недозвон</t>
        </is>
      </c>
      <c r="D1039" s="104" t="inlineStr">
        <is>
          <t xml:space="preserve">Кр-99030923-3</t>
        </is>
      </c>
      <c r="E1039" s="104" t="inlineStr">
        <is>
          <t xml:space="preserve">BUKANOV SODIK MAMATOVICH</t>
        </is>
      </c>
      <c r="F1039" s="104" t="inlineStr">
        <is>
          <t xml:space="preserve">94-144-04-65  SMS O'ZI, 33-115-48-48 SMS  O’G’LI ZALOGADATEL, 90-047-61-01  SMS AYOLI, 90-334-26-16  SMS QIZI,</t>
        </is>
      </c>
      <c r="G1039" s="104" t="inlineStr">
        <is>
          <t xml:space="preserve">TOSHKENT VILOYATI OQQO’RG’ON TUMANI ZAFAR MFY MURABBIYLAR KO’CHASI 67-UY </t>
        </is>
      </c>
      <c r="H1039" s="105">
        <v>8.0</v>
      </c>
      <c r="I1039" s="105">
        <v>1407145.91</v>
      </c>
    </row>
    <row r="1040">
      <c r="A1040" s="104" t="inlineStr">
        <is>
          <t xml:space="preserve">ТОШКЕНТ ВИЛОЯТИ</t>
        </is>
      </c>
      <c r="C1040" s="104" t="inlineStr">
        <is>
          <t xml:space="preserve">Недозвон</t>
        </is>
      </c>
      <c r="D1040" s="104" t="inlineStr">
        <is>
          <t xml:space="preserve">Кр-99028546-1</t>
        </is>
      </c>
      <c r="E1040" s="104" t="inlineStr">
        <is>
          <t xml:space="preserve">NIG’MONOVA IRODAXON BAXTIYOR QIZI</t>
        </is>
      </c>
      <c r="F1040" s="104" t="inlineStr">
        <is>
          <t xml:space="preserve">99-206-96-06 SMS CRM, 94-628-42-32  SMS EGASI, 94-627-22-62  SMS ERI, 99-692-90-99  AKASI,</t>
        </is>
      </c>
      <c r="G1040" s="104" t="inlineStr">
        <is>
          <t xml:space="preserve">TOSHKENT VILOYATI QIBRAY TUMANI O’NGQO’RG’ON QFY GULISTON MFY IQBOL 4-TOR KO’CHASI 19-UY </t>
        </is>
      </c>
      <c r="H1040" s="105">
        <v>1.0</v>
      </c>
      <c r="I1040" s="105">
        <v>1384821.45</v>
      </c>
    </row>
    <row r="1041">
      <c r="A1041" s="104" t="inlineStr">
        <is>
          <t xml:space="preserve">ТОШКЕНТ ВИЛОЯТИ</t>
        </is>
      </c>
      <c r="C1041" s="104" t="inlineStr">
        <is>
          <t xml:space="preserve">Недозвон</t>
        </is>
      </c>
      <c r="D1041" s="104" t="inlineStr">
        <is>
          <t xml:space="preserve">Кр-99063960-1</t>
        </is>
      </c>
      <c r="E1041" s="104" t="inlineStr">
        <is>
          <t xml:space="preserve">TASHPULATOV ABDUMUTAL ABSALOMOVICH</t>
        </is>
      </c>
      <c r="F1041" s="104" t="inlineStr">
        <is>
          <t xml:space="preserve">998935108958 SMS AKASI, 998955258008 SMS UZI, 998971817454 SMS SHERIGI 2, 998995307454 SMS SHERIGI,</t>
        </is>
      </c>
      <c r="G1041" s="104" t="inlineStr">
        <is>
          <t xml:space="preserve">ТОШКЕНТ ВИЛОЯТИ КИБРАЙ ТУМАНИ ЁНАРИК ҚФЙ, ЁНАРИК МФЙ, АХИЛ 3-БЕРК КЎЧАСИ,  uy:2</t>
        </is>
      </c>
      <c r="H1041" s="105">
        <v>8.0</v>
      </c>
      <c r="I1041" s="105">
        <v>1336088.8</v>
      </c>
    </row>
    <row r="1042">
      <c r="A1042" s="104" t="inlineStr">
        <is>
          <t xml:space="preserve">ТОШКЕНТ ВИЛОЯТИ</t>
        </is>
      </c>
      <c r="C1042" s="104" t="inlineStr">
        <is>
          <t xml:space="preserve">Недозвон</t>
        </is>
      </c>
      <c r="D1042" s="104" t="inlineStr">
        <is>
          <t xml:space="preserve">Кр-99053009-1</t>
        </is>
      </c>
      <c r="E1042" s="104" t="inlineStr">
        <is>
          <t xml:space="preserve">NAMAZOVA DILSHODA ABDIXAKIM QIZI</t>
        </is>
      </c>
      <c r="F1042" s="104" t="inlineStr">
        <is>
          <t xml:space="preserve">998945302680 SMS OZI, 998949202032 SMS ERI, 998948971199 SMS ERINI DUSTI,</t>
        </is>
      </c>
      <c r="G1042" s="104" t="inlineStr">
        <is>
          <t xml:space="preserve">TOSHKENT VILOYATI ANGREN SHAHRI GAFUR GULOM 89 UY</t>
        </is>
      </c>
      <c r="H1042" s="105">
        <v>8.0</v>
      </c>
      <c r="I1042" s="105">
        <v>1314921.74</v>
      </c>
    </row>
    <row r="1043">
      <c r="A1043" s="104" t="inlineStr">
        <is>
          <t xml:space="preserve">ТОШКЕНТ ВИЛОЯТИ</t>
        </is>
      </c>
      <c r="C1043" s="104" t="inlineStr">
        <is>
          <t xml:space="preserve">Недозвон</t>
        </is>
      </c>
      <c r="D1043" s="104" t="inlineStr">
        <is>
          <t xml:space="preserve">Кр-99030482-2</t>
        </is>
      </c>
      <c r="E1043" s="104" t="inlineStr">
        <is>
          <t xml:space="preserve">ODILJONOV DAVRON JAMSHID O‘G‘LI</t>
        </is>
      </c>
      <c r="F1043" s="104" t="inlineStr">
        <is>
          <t xml:space="preserve">+998948023636 Primary phone from road24, 998948023636 Primary phone from road24,</t>
        </is>
      </c>
      <c r="G1043" s="104" t="inlineStr">
        <is>
          <t xml:space="preserve">Гулбог МФЙ,  Гулзор кучаси, р/сиз-уй</t>
        </is>
      </c>
      <c r="H1043" s="105">
        <v>8.0</v>
      </c>
      <c r="I1043" s="105">
        <v>1311932.36</v>
      </c>
    </row>
    <row r="1044">
      <c r="A1044" s="104" t="inlineStr">
        <is>
          <t xml:space="preserve">ТОШКЕНТ ВИЛОЯТИ</t>
        </is>
      </c>
      <c r="C1044" s="104" t="inlineStr">
        <is>
          <t xml:space="preserve">Недозвон</t>
        </is>
      </c>
      <c r="D1044" s="104" t="inlineStr">
        <is>
          <t xml:space="preserve">Кр-99020125-3</t>
        </is>
      </c>
      <c r="E1044" s="104" t="inlineStr">
        <is>
          <t xml:space="preserve">UMAROV DOSTON AKMALOVICH</t>
        </is>
      </c>
      <c r="F1044" s="104" t="inlineStr">
        <is>
          <t xml:space="preserve">998976099595 SMS OZI, 998974028919 SMS AYOLI, 998978070454 SMS ONASI , 998971160021 SMS JIYANI,</t>
        </is>
      </c>
      <c r="G1044" s="104" t="inlineStr">
        <is>
          <t xml:space="preserve">TOSHKENT VILOYATI YANGIYUL TUMANI KOVUNCHI MFY SOKIN 21-UY</t>
        </is>
      </c>
      <c r="H1044" s="105">
        <v>8.0</v>
      </c>
      <c r="I1044" s="105">
        <v>1297562.49</v>
      </c>
    </row>
    <row r="1045">
      <c r="A1045" s="104" t="inlineStr">
        <is>
          <t xml:space="preserve">ТОШКЕНТ ВИЛОЯТИ</t>
        </is>
      </c>
      <c r="C1045" s="104" t="inlineStr">
        <is>
          <t xml:space="preserve">Недозвон</t>
        </is>
      </c>
      <c r="D1045" s="104" t="inlineStr">
        <is>
          <t xml:space="preserve">Кр-99062706-1</t>
        </is>
      </c>
      <c r="E1045" s="104" t="inlineStr">
        <is>
          <t xml:space="preserve">ABDUXO’JAYEV BEKZOD MUROD O’G’LI</t>
        </is>
      </c>
      <c r="F1045" s="104" t="inlineStr">
        <is>
          <t xml:space="preserve">998970130223 SMS OZI, 998973129896 SMS AKASI,</t>
        </is>
      </c>
      <c r="G1045" s="104" t="inlineStr">
        <is>
          <t xml:space="preserve">TOSHKENT VILOYATI YANGIYO'L TUMANI ESKI QOVUNCHI QFY YOSHLIK MFY GULISTON KOCHASI 56-UY</t>
        </is>
      </c>
      <c r="H1045" s="105">
        <v>13.0</v>
      </c>
      <c r="I1045" s="105">
        <v>1293996.01</v>
      </c>
    </row>
    <row r="1046">
      <c r="A1046" s="104" t="inlineStr">
        <is>
          <t xml:space="preserve">ТОШКЕНТ ВИЛОЯТИ</t>
        </is>
      </c>
      <c r="C1046" s="104" t="inlineStr">
        <is>
          <t xml:space="preserve">Недозвон</t>
        </is>
      </c>
      <c r="D1046" s="104" t="inlineStr">
        <is>
          <t xml:space="preserve">Кр-99050882-2</t>
        </is>
      </c>
      <c r="E1046" s="104" t="inlineStr">
        <is>
          <t xml:space="preserve">OSPANOV KAMOLIDDIN RASULMAT UGLI</t>
        </is>
      </c>
      <c r="F1046" s="104" t="inlineStr">
        <is>
          <t xml:space="preserve">+998975982565 Primary phone from road24, 998975982565 Primary phone from road24, 998935929793 SMS UKASI, 998991420292 SMS AYOLI,</t>
        </is>
      </c>
      <c r="G1046" s="104" t="inlineStr">
        <is>
          <t xml:space="preserve">TOSHKENT VILOYATI YANGIYO’L SHAHAR SABO MFY YOSHLIK KOCHASI 1-KORPUS 12-UY</t>
        </is>
      </c>
      <c r="H1046" s="105">
        <v>8.0</v>
      </c>
      <c r="I1046" s="105">
        <v>1285636.24</v>
      </c>
    </row>
    <row r="1047">
      <c r="A1047" s="104" t="inlineStr">
        <is>
          <t xml:space="preserve">ТОШКЕНТ ВИЛОЯТИ</t>
        </is>
      </c>
      <c r="C1047" s="104" t="inlineStr">
        <is>
          <t xml:space="preserve">Недозвон</t>
        </is>
      </c>
      <c r="D1047" s="104" t="inlineStr">
        <is>
          <t xml:space="preserve">Кр-99039024-3</t>
        </is>
      </c>
      <c r="E1047" s="104" t="inlineStr">
        <is>
          <t xml:space="preserve">AKBARALIYEV SHINIBEK VATANBEK O’G’LI</t>
        </is>
      </c>
      <c r="F1047" s="104" t="inlineStr">
        <is>
          <t xml:space="preserve">998998053894 SMS OZI, 998993073894 SMS AYOLI, 998990875980 SMS DOSTI, 998993675787 SMS TOGASI,</t>
        </is>
      </c>
      <c r="G1047" s="104" t="inlineStr">
        <is>
          <t xml:space="preserve">TOSHKENT VILOYATI CHINOZ TUMANI YALLAMA MFY CHIN MASJID KO’CHASI 14-UY</t>
        </is>
      </c>
      <c r="H1047" s="105">
        <v>8.0</v>
      </c>
      <c r="I1047" s="105">
        <v>1280997.91</v>
      </c>
    </row>
    <row r="1048">
      <c r="A1048" s="104" t="inlineStr">
        <is>
          <t xml:space="preserve">ТОШКЕНТ ВИЛОЯТИ</t>
        </is>
      </c>
      <c r="C1048" s="104" t="inlineStr">
        <is>
          <t xml:space="preserve">Недозвон</t>
        </is>
      </c>
      <c r="D1048" s="104" t="inlineStr">
        <is>
          <t xml:space="preserve">Кр-99030208-1</t>
        </is>
      </c>
      <c r="E1048" s="104" t="inlineStr">
        <is>
          <t xml:space="preserve">ABDUMANNABOV ULUG’BEK ABDUVAXOBOVICH</t>
        </is>
      </c>
      <c r="F1048" s="104" t="inlineStr">
        <is>
          <t xml:space="preserve">998884880838 uzi, 998978447482 ayoli, 998880003645 ugli,</t>
        </is>
      </c>
      <c r="G1048" s="104" t="inlineStr">
        <is>
          <t xml:space="preserve">TOSHKENT VILOYATI OXANGARON TUMANI</t>
        </is>
      </c>
      <c r="H1048" s="105">
        <v>8.0</v>
      </c>
      <c r="I1048" s="105">
        <v>1251577.27</v>
      </c>
    </row>
    <row r="1049">
      <c r="A1049" s="104" t="inlineStr">
        <is>
          <t xml:space="preserve">ТОШКЕНТ ВИЛОЯТИ</t>
        </is>
      </c>
      <c r="C1049" s="104" t="inlineStr">
        <is>
          <t xml:space="preserve">Недозвон</t>
        </is>
      </c>
      <c r="D1049" s="104" t="inlineStr">
        <is>
          <t xml:space="preserve">Кр-99044914-1</t>
        </is>
      </c>
      <c r="E1049" s="104" t="inlineStr">
        <is>
          <t xml:space="preserve">SHUKUROV DIYORBEK SHUKURBOY O’G’LI</t>
        </is>
      </c>
      <c r="F1049" s="104" t="inlineStr">
        <is>
          <t xml:space="preserve">+998500754117 SMS O’ZI, 998876360220 SMS AKASI, 998930061709 SMS ONASI 2, 998997718559 SMS ONASI,</t>
        </is>
      </c>
      <c r="G1049" s="104" t="inlineStr">
        <is>
          <t xml:space="preserve">Ташкентская область, Ташкентский район, Кизгалдок КФЙ, Захарик МФЙ, ул. Бобур, дом 195</t>
        </is>
      </c>
      <c r="H1049" s="105">
        <v>8.0</v>
      </c>
      <c r="I1049" s="105">
        <v>1228003.15</v>
      </c>
    </row>
    <row r="1050">
      <c r="A1050" s="104" t="inlineStr">
        <is>
          <t xml:space="preserve">ТОШКЕНТ ВИЛОЯТИ</t>
        </is>
      </c>
      <c r="C1050" s="104" t="inlineStr">
        <is>
          <t xml:space="preserve">Недозвон</t>
        </is>
      </c>
      <c r="D1050" s="104" t="inlineStr">
        <is>
          <t xml:space="preserve">Кр-99050922-2</t>
        </is>
      </c>
      <c r="E1050" s="104" t="inlineStr">
        <is>
          <t xml:space="preserve">SHAROPOV MEYIRBEK ZUXRIDDINOVICH</t>
        </is>
      </c>
      <c r="F1050" s="104" t="inlineStr">
        <is>
          <t xml:space="preserve">998901225102 SMS AYOLI, 998909935153 SMS OZI, 998949220294 SMS UKASI,</t>
        </is>
      </c>
      <c r="G1050" s="104" t="inlineStr">
        <is>
          <t xml:space="preserve">U.MUSAYEV QFY QOSH TEPA 40-UY</t>
        </is>
      </c>
      <c r="H1050" s="105">
        <v>8.0</v>
      </c>
      <c r="I1050" s="105">
        <v>1195375.28</v>
      </c>
    </row>
    <row r="1051">
      <c r="A1051" s="104" t="inlineStr">
        <is>
          <t xml:space="preserve">ТОШКЕНТ ВИЛОЯТИ</t>
        </is>
      </c>
      <c r="C1051" s="104" t="inlineStr">
        <is>
          <t xml:space="preserve">Недозвон</t>
        </is>
      </c>
      <c r="D1051" s="104" t="inlineStr">
        <is>
          <t xml:space="preserve">Кр-99040310-1</t>
        </is>
      </c>
      <c r="E1051" s="104" t="inlineStr">
        <is>
          <t xml:space="preserve">RUSTAMOVA IRODAXON ABDULLAYEVNA</t>
        </is>
      </c>
      <c r="F1051" s="104" t="inlineStr">
        <is>
          <t xml:space="preserve">+998947260789 SMS O’ZI, 998933779332 SMS OYISI, 998946758809 SMS ERI,</t>
        </is>
      </c>
      <c r="G1051" s="104" t="inlineStr">
        <is>
          <t xml:space="preserve">Гулбог МФЙ, Узар кучаси, 5-уй</t>
        </is>
      </c>
      <c r="I1051" s="105">
        <v>1148106.74</v>
      </c>
    </row>
    <row r="1052">
      <c r="A1052" s="104" t="inlineStr">
        <is>
          <t xml:space="preserve">ТОШКЕНТ ВИЛОЯТИ</t>
        </is>
      </c>
      <c r="C1052" s="104" t="inlineStr">
        <is>
          <t xml:space="preserve">Недозвон</t>
        </is>
      </c>
      <c r="D1052" s="104" t="inlineStr">
        <is>
          <t xml:space="preserve">Кр-99040529-2</t>
        </is>
      </c>
      <c r="E1052" s="104" t="inlineStr">
        <is>
          <t xml:space="preserve">IBRAGIMOVA AYSULU TULEGENOVNA</t>
        </is>
      </c>
      <c r="F1052" s="104" t="inlineStr">
        <is>
          <t xml:space="preserve">998946701969 SMS OZI, 998940600811 SMS HAMKASBI, 998995632878 SMS KELINI,</t>
        </is>
      </c>
      <c r="G1052" s="104" t="inlineStr">
        <is>
          <t xml:space="preserve">Навруз МФЙ, Алишер Навоий кучаси, 12-уй</t>
        </is>
      </c>
      <c r="H1052" s="105">
        <v>8.0</v>
      </c>
      <c r="I1052" s="105">
        <v>1082210.58</v>
      </c>
    </row>
    <row r="1053">
      <c r="A1053" s="104" t="inlineStr">
        <is>
          <t xml:space="preserve">ТОШКЕНТ ВИЛОЯТИ</t>
        </is>
      </c>
      <c r="C1053" s="104" t="inlineStr">
        <is>
          <t xml:space="preserve">Недозвон</t>
        </is>
      </c>
      <c r="D1053" s="104" t="inlineStr">
        <is>
          <t xml:space="preserve">Кр-99036653-1</t>
        </is>
      </c>
      <c r="E1053" s="104" t="inlineStr">
        <is>
          <t xml:space="preserve">BOLTANIYOZOV VALIJON NURALI O’G’LI</t>
        </is>
      </c>
      <c r="F1053" s="104" t="inlineStr">
        <is>
          <t xml:space="preserve">998998336861 SMS OZI, 998466839792 SMS OZI 2, 998886043979 SMS ONASI,</t>
        </is>
      </c>
      <c r="G1053" s="104" t="inlineStr">
        <is>
          <t xml:space="preserve">TOSHKENT VILOYATI YANGIYO’L SHAHAR NAVRO’Z DAHASI RAMADON MFY 10-UY</t>
        </is>
      </c>
      <c r="H1053" s="105">
        <v>4.0</v>
      </c>
      <c r="I1053" s="105">
        <v>1074689.38</v>
      </c>
    </row>
    <row r="1054">
      <c r="A1054" s="104" t="inlineStr">
        <is>
          <t xml:space="preserve">ТОШКЕНТ ВИЛОЯТИ</t>
        </is>
      </c>
      <c r="C1054" s="104" t="inlineStr">
        <is>
          <t xml:space="preserve">Недозвон</t>
        </is>
      </c>
      <c r="D1054" s="104" t="inlineStr">
        <is>
          <t xml:space="preserve">Кр-99038038-1</t>
        </is>
      </c>
      <c r="E1054" s="104" t="inlineStr">
        <is>
          <t xml:space="preserve">RIXSIBOYEV AZAMAT FARXOD O’G’LI</t>
        </is>
      </c>
      <c r="F1054" s="104" t="inlineStr">
        <is>
          <t xml:space="preserve">998936186966 SMMS OZI, 998970102362 SMS AYOLI, 998200079414 SMS UKASI,</t>
        </is>
      </c>
      <c r="G1054" s="104" t="inlineStr">
        <is>
          <t xml:space="preserve">TOSHKENT VILOYATI CHINOZ TUMANI YALLAMA TUTZOR 11-UY</t>
        </is>
      </c>
      <c r="H1054" s="105">
        <v>7.0</v>
      </c>
      <c r="I1054" s="105">
        <v>1066916.49</v>
      </c>
    </row>
    <row r="1055">
      <c r="A1055" s="104" t="inlineStr">
        <is>
          <t xml:space="preserve">ТОШКЕНТ ВИЛОЯТИ</t>
        </is>
      </c>
      <c r="C1055" s="104" t="inlineStr">
        <is>
          <t xml:space="preserve">Недозвон</t>
        </is>
      </c>
      <c r="D1055" s="104" t="inlineStr">
        <is>
          <t xml:space="preserve">Кр-99063918-1</t>
        </is>
      </c>
      <c r="E1055" s="104" t="inlineStr">
        <is>
          <t xml:space="preserve">TURAKULOV ABDIVOXID ABDUJALOL O’G’LI</t>
        </is>
      </c>
      <c r="F1055" s="104" t="inlineStr">
        <is>
          <t xml:space="preserve">998881231531 SMS AYOLI, 998883361096 SMS UZI, 998990661096 SMS UZI2,</t>
        </is>
      </c>
      <c r="G1055" s="104" t="inlineStr">
        <is>
          <t xml:space="preserve">Tinchlik MFY, 3 kichik noxiya ko’chasi, 17-uy, 25-xonadon</t>
        </is>
      </c>
      <c r="H1055" s="105">
        <v>8.0</v>
      </c>
      <c r="I1055" s="105">
        <v>1057937.28</v>
      </c>
    </row>
    <row r="1056">
      <c r="A1056" s="104" t="inlineStr">
        <is>
          <t xml:space="preserve">ТОШКЕНТ ВИЛОЯТИ</t>
        </is>
      </c>
      <c r="C1056" s="104" t="inlineStr">
        <is>
          <t xml:space="preserve">Недозвон</t>
        </is>
      </c>
      <c r="D1056" s="104" t="inlineStr">
        <is>
          <t xml:space="preserve">Кр-99031362-1</t>
        </is>
      </c>
      <c r="E1056" s="104" t="inlineStr">
        <is>
          <t xml:space="preserve">TO’LQINOV ELDOR ZOKIR O’G’LI</t>
        </is>
      </c>
      <c r="F1056" s="104" t="inlineStr">
        <is>
          <t xml:space="preserve">90-938-30-38  SMS O'ZI, 93-529-09-49  SMS DO’STI ZALOGADATEL, 94-692-27-23  SMS DO’STI, 90-931-30-38  SMS AYOLI,</t>
        </is>
      </c>
      <c r="G1056" s="104" t="inlineStr">
        <is>
          <t xml:space="preserve">TOSHKENT VILOYATI ZANGI-OTA TUMANI O’RIKZOR MFY A.NISHONOV KO’CHASI 54-UY</t>
        </is>
      </c>
      <c r="H1056" s="105">
        <v>8.0</v>
      </c>
      <c r="I1056" s="105">
        <v>1040318.71</v>
      </c>
    </row>
    <row r="1057">
      <c r="A1057" s="104" t="inlineStr">
        <is>
          <t xml:space="preserve">ТОШКЕНТ ВИЛОЯТИ</t>
        </is>
      </c>
      <c r="C1057" s="104" t="inlineStr">
        <is>
          <t xml:space="preserve">Недозвон</t>
        </is>
      </c>
      <c r="D1057" s="104" t="inlineStr">
        <is>
          <t xml:space="preserve">Кр-99016633-1</t>
        </is>
      </c>
      <c r="E1057" s="104" t="inlineStr">
        <is>
          <t xml:space="preserve">DAMINOV BEKZOD QAXROMON O’G’LI</t>
        </is>
      </c>
      <c r="F1057" s="104" t="inlineStr">
        <is>
          <t xml:space="preserve">998998353509 SMS OZI TEMIR YOLDA ISHLIRKAN , 998991903509 SMS AYOLI, 998977210904 SMS ISHXONASI, 998977490924 SMS ISHXONASI,</t>
        </is>
      </c>
      <c r="G1057" s="104" t="inlineStr">
        <is>
          <t xml:space="preserve">TOSHKENT SHAHAR UCHTEPA TUMANI QUYI BUZSUV KO'CHASI 7-UY</t>
        </is>
      </c>
      <c r="I1057" s="105">
        <v>1033495.96</v>
      </c>
    </row>
    <row r="1058">
      <c r="A1058" s="104" t="inlineStr">
        <is>
          <t xml:space="preserve">ТОШКЕНТ ВИЛОЯТИ</t>
        </is>
      </c>
      <c r="C1058" s="104" t="inlineStr">
        <is>
          <t xml:space="preserve">Недозвон</t>
        </is>
      </c>
      <c r="D1058" s="104" t="inlineStr">
        <is>
          <t xml:space="preserve">Кр-99054581-1</t>
        </is>
      </c>
      <c r="E1058" s="104" t="inlineStr">
        <is>
          <t xml:space="preserve">BAXRAMOV ODIL SADIKJANOVICH</t>
        </is>
      </c>
      <c r="F1058" s="104" t="inlineStr">
        <is>
          <t xml:space="preserve">998909514595 SMS OZI, 998909900231 SMS AYOLI, 998951608800 SMS DOSTI,</t>
        </is>
      </c>
      <c r="G1058" s="104" t="inlineStr">
        <is>
          <t xml:space="preserve">TOSHKENT VILOYATI NURAFSHON SHAHRI OBOD MFY MAYRAMKO’L 21</t>
        </is>
      </c>
      <c r="H1058" s="105">
        <v>8.0</v>
      </c>
      <c r="I1058" s="105">
        <v>996582.95</v>
      </c>
    </row>
    <row r="1059">
      <c r="A1059" s="104" t="inlineStr">
        <is>
          <t xml:space="preserve">ТОШКЕНТ ВИЛОЯТИ</t>
        </is>
      </c>
      <c r="C1059" s="104" t="inlineStr">
        <is>
          <t xml:space="preserve">Недозвон</t>
        </is>
      </c>
      <c r="D1059" s="104" t="inlineStr">
        <is>
          <t xml:space="preserve">Кр-99036023-1</t>
        </is>
      </c>
      <c r="E1059" s="104" t="inlineStr">
        <is>
          <t xml:space="preserve">ABDUNAZAROV NARZULLA ABDUVALIYEVICH</t>
        </is>
      </c>
      <c r="F1059" s="104" t="inlineStr">
        <is>
          <t xml:space="preserve">998944243084 SMS OZI, 998909323090 SMS AYOLI, 998955315112 SMS TOGASI, 998909113190 SMS OGLI, 998951235112 sms ozi yengi nomeri,</t>
        </is>
      </c>
      <c r="G1059" s="104" t="inlineStr">
        <is>
          <t xml:space="preserve">TOSHKENT VILOYATI BEKABOD TUMANI XAMZA MFY YANGIOVUL KO’CHASI 150-UY</t>
        </is>
      </c>
      <c r="H1059" s="105">
        <v>1.0</v>
      </c>
      <c r="I1059" s="105">
        <v>950856.89</v>
      </c>
    </row>
    <row r="1060">
      <c r="A1060" s="104" t="inlineStr">
        <is>
          <t xml:space="preserve">ТОШКЕНТ ВИЛОЯТИ</t>
        </is>
      </c>
      <c r="C1060" s="104" t="inlineStr">
        <is>
          <t xml:space="preserve">Недозвон</t>
        </is>
      </c>
      <c r="D1060" s="104" t="inlineStr">
        <is>
          <t xml:space="preserve">Кр-99062747-1</t>
        </is>
      </c>
      <c r="E1060" s="104" t="inlineStr">
        <is>
          <t xml:space="preserve">XOLDORBOYEVA FOTIMA ABDURASHID QIZI</t>
        </is>
      </c>
      <c r="F1060" s="104" t="inlineStr">
        <is>
          <t xml:space="preserve">998338088891 OZI, 998888788891 ERI, 998883052771 ONASI,</t>
        </is>
      </c>
      <c r="G1060" s="104" t="inlineStr">
        <is>
          <t xml:space="preserve">TOSHKENT VILOYATI YANGIYUL TUMANI ESKI QOVUNCHI QFY, YOSHLIK MFY SHUKRONA KOCHASI 26</t>
        </is>
      </c>
      <c r="H1060" s="105">
        <v>12.0</v>
      </c>
      <c r="I1060" s="105">
        <v>945751.17</v>
      </c>
    </row>
    <row r="1061">
      <c r="A1061" s="104" t="inlineStr">
        <is>
          <t xml:space="preserve">ТОШКЕНТ ВИЛОЯТИ</t>
        </is>
      </c>
      <c r="C1061" s="104" t="inlineStr">
        <is>
          <t xml:space="preserve">Недозвон</t>
        </is>
      </c>
      <c r="D1061" s="104" t="inlineStr">
        <is>
          <t xml:space="preserve">Кр-99063493-1</t>
        </is>
      </c>
      <c r="E1061" s="104" t="inlineStr">
        <is>
          <t xml:space="preserve">BAKIYEV DONIYOR SHARIPXONOVICH</t>
        </is>
      </c>
      <c r="F1061" s="104" t="inlineStr">
        <is>
          <t xml:space="preserve">998770118514 SMS O’G’LI, 998773148590 SMS AYOLU, 998935713855 SMS O’ZI,</t>
        </is>
      </c>
      <c r="G1061" s="104" t="inlineStr">
        <is>
          <t xml:space="preserve">QO’RG’ONTEPA KO’CHASI 8-UY</t>
        </is>
      </c>
      <c r="H1061" s="105">
        <v>8.0</v>
      </c>
      <c r="I1061" s="105">
        <v>904068.44</v>
      </c>
    </row>
    <row r="1062">
      <c r="A1062" s="104" t="inlineStr">
        <is>
          <t xml:space="preserve">ТОШКЕНТ ВИЛОЯТИ</t>
        </is>
      </c>
      <c r="C1062" s="104" t="inlineStr">
        <is>
          <t xml:space="preserve">Недозвон</t>
        </is>
      </c>
      <c r="D1062" s="104" t="inlineStr">
        <is>
          <t xml:space="preserve">Кр-99057636-2</t>
        </is>
      </c>
      <c r="E1062" s="104" t="inlineStr">
        <is>
          <t xml:space="preserve">ERMATOVA O’G’ILBU SABRITDINOVNA</t>
        </is>
      </c>
      <c r="F1062" s="104" t="inlineStr">
        <is>
          <t xml:space="preserve">998998340735 SMS OZI, 998936163090 SMS ERI, 998336635330 SMS OZI, 998770470735 SMS  KELIN,</t>
        </is>
      </c>
      <c r="G1062" s="104" t="inlineStr">
        <is>
          <t xml:space="preserve">Ташкентская область, Паркентский район, Коракалпок ССГ, Кургонтепа МСГ, Г.Мавлонов, дом 114</t>
        </is>
      </c>
      <c r="H1062" s="105">
        <v>8.0</v>
      </c>
      <c r="I1062" s="105">
        <v>895210.87</v>
      </c>
    </row>
    <row r="1063">
      <c r="A1063" s="104" t="inlineStr">
        <is>
          <t xml:space="preserve">ТОШКЕНТ ВИЛОЯТИ</t>
        </is>
      </c>
      <c r="C1063" s="104" t="inlineStr">
        <is>
          <t xml:space="preserve">Недозвон</t>
        </is>
      </c>
      <c r="D1063" s="104" t="inlineStr">
        <is>
          <t xml:space="preserve">Кр-99062816-1</t>
        </is>
      </c>
      <c r="E1063" s="104" t="inlineStr">
        <is>
          <t xml:space="preserve">BAXTIYOROV DIYOR DONIYOR O’G’LI</t>
        </is>
      </c>
      <c r="F1063" s="104" t="inlineStr">
        <is>
          <t xml:space="preserve">998993080430 OZI, 998970147300 UKASI, 998970380301 AKASI,</t>
        </is>
      </c>
      <c r="G1063" s="104" t="inlineStr">
        <is>
          <t xml:space="preserve">TOSHKENT VILOYATI YANGIYO'L TUMANI NIYOZBOSH QFY   XAMZA KOCHASI R/X</t>
        </is>
      </c>
      <c r="H1063" s="105">
        <v>8.0</v>
      </c>
      <c r="I1063" s="105">
        <v>838971.51</v>
      </c>
    </row>
    <row r="1064">
      <c r="A1064" s="104" t="inlineStr">
        <is>
          <t xml:space="preserve">ТОШКЕНТ ВИЛОЯТИ</t>
        </is>
      </c>
      <c r="C1064" s="104" t="inlineStr">
        <is>
          <t xml:space="preserve">Недозвон</t>
        </is>
      </c>
      <c r="D1064" s="104" t="inlineStr">
        <is>
          <t xml:space="preserve">Кр-99035551-2</t>
        </is>
      </c>
      <c r="E1064" s="104" t="inlineStr">
        <is>
          <t xml:space="preserve">ALMATOV USMONALI XAMRALIYEVICH</t>
        </is>
      </c>
      <c r="F1064" s="104" t="inlineStr">
        <is>
          <t xml:space="preserve">998942165756 SMS O’ZI, 998999924052 SMS O’G’LI, 998992306945 SMS O’G’LI 2, 998999049786 SMS NEVARASI,</t>
        </is>
      </c>
      <c r="G1064" s="104" t="inlineStr">
        <is>
          <t xml:space="preserve">TOSHKENT VILOYATI OXANGARON TUMANI ILG'OR MFY OLMAZOR KO'CHASI 6-UY</t>
        </is>
      </c>
      <c r="H1064" s="105">
        <v>8.0</v>
      </c>
      <c r="I1064" s="105">
        <v>760881.09</v>
      </c>
    </row>
    <row r="1065">
      <c r="A1065" s="104" t="inlineStr">
        <is>
          <t xml:space="preserve">ТОШКЕНТ ВИЛОЯТИ</t>
        </is>
      </c>
      <c r="C1065" s="104" t="inlineStr">
        <is>
          <t xml:space="preserve">Недозвон</t>
        </is>
      </c>
      <c r="D1065" s="104" t="inlineStr">
        <is>
          <t xml:space="preserve">Кр-99063933-1</t>
        </is>
      </c>
      <c r="E1065" s="104" t="inlineStr">
        <is>
          <t xml:space="preserve">YUSUPOV TURSUNMUROD ULUG’BEK O’G’LI</t>
        </is>
      </c>
      <c r="F1065" s="104" t="inlineStr">
        <is>
          <t xml:space="preserve">998906113838 SMS-AYOLI, 998939663666 SMS-O’ZI, 998959023938 SMS-UKASI,</t>
        </is>
      </c>
      <c r="G1065" s="104" t="inlineStr">
        <is>
          <t xml:space="preserve">TOSHKENT VILOYATI CHIRCHIQ SHAHAR QUYOSH MFY, 1-KICHIK NOXIYA 5-UY 68-XONADON</t>
        </is>
      </c>
      <c r="H1065" s="105">
        <v>8.0</v>
      </c>
      <c r="I1065" s="105">
        <v>665921.19</v>
      </c>
    </row>
    <row r="1066">
      <c r="A1066" s="104" t="inlineStr">
        <is>
          <t xml:space="preserve">ТОШКЕНТ ВИЛОЯТИ</t>
        </is>
      </c>
      <c r="C1066" s="104" t="inlineStr">
        <is>
          <t xml:space="preserve">Недозвон</t>
        </is>
      </c>
      <c r="D1066" s="104" t="inlineStr">
        <is>
          <t xml:space="preserve">Кр-99040201-2</t>
        </is>
      </c>
      <c r="E1066" s="104" t="inlineStr">
        <is>
          <t xml:space="preserve">IBATOVA VISOLA RAYIMBEK</t>
        </is>
      </c>
      <c r="F1066" s="104" t="inlineStr">
        <is>
          <t xml:space="preserve">+998934800059 SMS ERI, 998950701024 SMS AKASI, 998994892410 SMS ZALOGATEL,</t>
        </is>
      </c>
      <c r="G1066" s="104" t="inlineStr">
        <is>
          <t xml:space="preserve">TOSHKENT VILOYATI PSKENT TUMANI FAYZABOD MFY,NAVBAHOR KO’CHASI 37-UY</t>
        </is>
      </c>
      <c r="H1066" s="105">
        <v>8.0</v>
      </c>
      <c r="I1066" s="105">
        <v>662227.17</v>
      </c>
    </row>
    <row r="1067">
      <c r="A1067" s="104" t="inlineStr">
        <is>
          <t xml:space="preserve">ТОШКЕНТ ВИЛОЯТИ</t>
        </is>
      </c>
      <c r="C1067" s="104" t="inlineStr">
        <is>
          <t xml:space="preserve">Недозвон</t>
        </is>
      </c>
      <c r="D1067" s="104" t="inlineStr">
        <is>
          <t xml:space="preserve">Кр-99063598-1</t>
        </is>
      </c>
      <c r="E1067" s="104" t="inlineStr">
        <is>
          <t xml:space="preserve">DUSHANOVA SHAHROZA XOLMAT-QIZI</t>
        </is>
      </c>
      <c r="F1067" s="104" t="inlineStr">
        <is>
          <t xml:space="preserve">998771669398 SMS Ozi, 998999950736  SMS Dugonasi, 998994930498 SMS OZi 2,</t>
        </is>
      </c>
      <c r="G1067" s="104" t="inlineStr">
        <is>
          <t xml:space="preserve">TOSHKENT VILOYATI BEKOBOD TUMANI</t>
        </is>
      </c>
      <c r="H1067" s="105">
        <v>8.0</v>
      </c>
      <c r="I1067" s="105">
        <v>617952.2</v>
      </c>
    </row>
    <row r="1068">
      <c r="A1068" s="104" t="inlineStr">
        <is>
          <t xml:space="preserve">ТОШКЕНТ ВИЛОЯТИ</t>
        </is>
      </c>
      <c r="C1068" s="104" t="inlineStr">
        <is>
          <t xml:space="preserve">Недозвон</t>
        </is>
      </c>
      <c r="D1068" s="104" t="inlineStr">
        <is>
          <t xml:space="preserve">Кр-99035017-1</t>
        </is>
      </c>
      <c r="E1068" s="104" t="inlineStr">
        <is>
          <t xml:space="preserve">ALIMBAYEV MEYIRBEK JOLDAS O’G’LI</t>
        </is>
      </c>
      <c r="F1068" s="104" t="inlineStr">
        <is>
          <t xml:space="preserve">998990973338 OZI, 998950170497 AYOLI, 998997920397 OZI, 998935971604 OGYANISI,</t>
        </is>
      </c>
      <c r="G1068" s="104" t="inlineStr">
        <is>
          <t xml:space="preserve">TOSHKENT VILOYATI YUQORICHIRCHIQ TUMANI OBODON MFY VOFODOR KO’CHASI 77-UY</t>
        </is>
      </c>
      <c r="I1068" s="105">
        <v>524700.42</v>
      </c>
    </row>
    <row r="1069">
      <c r="A1069" s="104" t="inlineStr">
        <is>
          <t xml:space="preserve">ТОШКЕНТ ВИЛОЯТИ</t>
        </is>
      </c>
      <c r="C1069" s="104" t="inlineStr">
        <is>
          <t xml:space="preserve">Недозвон</t>
        </is>
      </c>
      <c r="D1069" s="104" t="inlineStr">
        <is>
          <t xml:space="preserve">Кр-99063641-1</t>
        </is>
      </c>
      <c r="E1069" s="104" t="inlineStr">
        <is>
          <t xml:space="preserve">ABDUMUTALIPOV ABDULLA ZIYADULLA O’G’LI</t>
        </is>
      </c>
      <c r="F1069" s="104" t="inlineStr">
        <is>
          <t xml:space="preserve">+998998195856 SMS-O’ZI, 998931875677 SMS-O’RTOG’I, 998998004538 SMS-UKASI,</t>
        </is>
      </c>
      <c r="G1069" s="104" t="inlineStr">
        <is>
          <t xml:space="preserve">TOSHKENT VILOYATI YUQORICHIRCHIQ TUMANI NAVOIY MFY, YANGI-HAYOT KUCHASI, 1-UY</t>
        </is>
      </c>
      <c r="H1069" s="105">
        <v>8.0</v>
      </c>
      <c r="I1069" s="105">
        <v>520668.87</v>
      </c>
    </row>
    <row r="1070">
      <c r="A1070" s="104" t="inlineStr">
        <is>
          <t xml:space="preserve">ТОШКЕНТ ВИЛОЯТИ</t>
        </is>
      </c>
      <c r="C1070" s="104" t="inlineStr">
        <is>
          <t xml:space="preserve">Недозвон</t>
        </is>
      </c>
      <c r="D1070" s="104" t="inlineStr">
        <is>
          <t xml:space="preserve">Кр-99063353-1</t>
        </is>
      </c>
      <c r="E1070" s="104" t="inlineStr">
        <is>
          <t xml:space="preserve">ABDIKADIROV JUMABEK ANORBAYEVICH</t>
        </is>
      </c>
      <c r="G1070" s="104" t="inlineStr">
        <is>
          <t xml:space="preserve">TOSHKENT VILOYATI PISKENT TUMANI LOLAARIQ MFY MARIFAT KO’CHASI 13-UY</t>
        </is>
      </c>
      <c r="H1070" s="105">
        <v>11.0</v>
      </c>
      <c r="I1070" s="105">
        <v>474713.5</v>
      </c>
    </row>
    <row r="1071">
      <c r="A1071" s="104" t="inlineStr">
        <is>
          <t xml:space="preserve">ТОШКЕНТ ВИЛОЯТИ</t>
        </is>
      </c>
      <c r="C1071" s="104" t="inlineStr">
        <is>
          <t xml:space="preserve">Недозвон</t>
        </is>
      </c>
      <c r="D1071" s="104" t="inlineStr">
        <is>
          <t xml:space="preserve">Кр-99029510-1</t>
        </is>
      </c>
      <c r="E1071" s="104" t="inlineStr">
        <is>
          <t xml:space="preserve">XOLMUXAMEDOVA RAXIMA BAXTIYOROVNA</t>
        </is>
      </c>
      <c r="F1071" s="104" t="inlineStr">
        <is>
          <t xml:space="preserve">97-287-91-95  SMS ERI, 97-785-30-00  SMS QAYNIAKASI, 97-113-11-68  SMS QAYNOTASI, 88-378-91-95  SMS O'ZI,</t>
        </is>
      </c>
      <c r="G1071" s="104" t="inlineStr">
        <is>
          <t xml:space="preserve">TOSHKENT VILOYATI YANGIYUL TUMANI XALQOBOD QFY OLMAZOR KO’CHASI 63-UY</t>
        </is>
      </c>
      <c r="I1071" s="105">
        <v>474532.75</v>
      </c>
    </row>
    <row r="1072">
      <c r="A1072" s="104" t="inlineStr">
        <is>
          <t xml:space="preserve">ТОШКЕНТ ВИЛОЯТИ</t>
        </is>
      </c>
      <c r="C1072" s="104" t="inlineStr">
        <is>
          <t xml:space="preserve">Недозвон</t>
        </is>
      </c>
      <c r="D1072" s="104" t="inlineStr">
        <is>
          <t xml:space="preserve">Кр-99012142-5</t>
        </is>
      </c>
      <c r="E1072" s="104" t="inlineStr">
        <is>
          <t xml:space="preserve">AXMADJONOV JAMSHID NE’MATJAN O’G’LI</t>
        </is>
      </c>
      <c r="F1072" s="104" t="inlineStr">
        <is>
          <t xml:space="preserve">998958777785 SMS UZI, 90-322-23-20 SMS OZI, 99-887-45-53 SMS UKASI SHAXZOD, 99-883-45-53 SMS ONASI, 998903740041 SMS OTASI TOLOVCHI,</t>
        </is>
      </c>
      <c r="G1072" s="104" t="inlineStr">
        <is>
          <t xml:space="preserve">TOSHKENT VILOYATI ZANGIOTA TUMANI ESHONGUZAR QFY NURAFSHON MFY MOXIDIL KOCHASI 6-UY</t>
        </is>
      </c>
      <c r="H1072" s="105">
        <v>8.0</v>
      </c>
      <c r="I1072" s="105">
        <v>374939.84</v>
      </c>
    </row>
    <row r="1073">
      <c r="A1073" s="104" t="inlineStr">
        <is>
          <t xml:space="preserve">ТОШКЕНТ ВИЛОЯТИ</t>
        </is>
      </c>
      <c r="C1073" s="104" t="inlineStr">
        <is>
          <t xml:space="preserve">Недозвон</t>
        </is>
      </c>
      <c r="D1073" s="104" t="inlineStr">
        <is>
          <t xml:space="preserve">Кр-99029144-1</t>
        </is>
      </c>
      <c r="E1073" s="104" t="inlineStr">
        <is>
          <t xml:space="preserve">MAMATQULOV ABDIJALIL TO’YCHI O’G’LI</t>
        </is>
      </c>
      <c r="F1073" s="104" t="inlineStr">
        <is>
          <t xml:space="preserve">991417179 SMS O'ZI, 336989889 SMS JIYANI, 993016096 SMS TOGASI, 332266857 SMS ONASI,</t>
        </is>
      </c>
      <c r="G1073" s="104" t="inlineStr">
        <is>
          <t xml:space="preserve">TOSHKENT VILOYATI YANGIYUL TUMANI SHO'RALISOY MFY TEMIRCHI-2 KO’CHASI 26-UY</t>
        </is>
      </c>
      <c r="H1073" s="105">
        <v>11.0</v>
      </c>
      <c r="I1073" s="105">
        <v>272999.93</v>
      </c>
    </row>
    <row r="1074">
      <c r="A1074" s="104" t="inlineStr">
        <is>
          <t xml:space="preserve">ТОШКЕНТ ВИЛОЯТИ</t>
        </is>
      </c>
      <c r="C1074" s="104" t="inlineStr">
        <is>
          <t xml:space="preserve">Недозвон</t>
        </is>
      </c>
      <c r="D1074" s="104" t="inlineStr">
        <is>
          <t xml:space="preserve">Кр-99063435-1</t>
        </is>
      </c>
      <c r="E1074" s="104" t="inlineStr">
        <is>
          <t xml:space="preserve">MILIYEV BAXTIYAR XIKMATILLAYEVICH</t>
        </is>
      </c>
      <c r="F1074" s="104" t="inlineStr">
        <is>
          <t xml:space="preserve">998884455504 SMS-OYISI, 998973455504 SMS-O’ZI, 998978845504 SMS-AYOLI,</t>
        </is>
      </c>
      <c r="G1074" s="104" t="inlineStr">
        <is>
          <t xml:space="preserve">TOSHKENT VILOYATI CHIRCHIQ SHAHAR KIMYOGAR MFY O’ZBEKISTON 30-YILLIGI KO’CHASI 8-UY</t>
        </is>
      </c>
      <c r="H1074" s="105">
        <v>8.0</v>
      </c>
      <c r="I1074" s="105">
        <v>61931.03</v>
      </c>
    </row>
    <row r="1075">
      <c r="A1075" s="104" t="inlineStr">
        <is>
          <t xml:space="preserve">ТОШКЕНТ ВИЛОЯТИ</t>
        </is>
      </c>
      <c r="C1075" s="104" t="inlineStr">
        <is>
          <t xml:space="preserve">Недозвон</t>
        </is>
      </c>
      <c r="D1075" s="104" t="inlineStr">
        <is>
          <t xml:space="preserve">Кр-99038696-1</t>
        </is>
      </c>
      <c r="E1075" s="104" t="inlineStr">
        <is>
          <t xml:space="preserve">ABASHAMAYEV SANJAR MANSUR O’G’LI</t>
        </is>
      </c>
      <c r="F1075" s="104" t="inlineStr">
        <is>
          <t xml:space="preserve">998998374187 SMS ZOI, 998990515629 SMS ONASI, 998931022526 SMS KASI,</t>
        </is>
      </c>
      <c r="G1075" s="104" t="inlineStr">
        <is>
          <t xml:space="preserve">Toshkent viloyati, O’RTACHIRCHIQ TUMANI, YUNGICHKOLI KFY, YANGI TURMUSH, 88-UY</t>
        </is>
      </c>
      <c r="H1075" s="105">
        <v>8.0</v>
      </c>
      <c r="I1075" s="105">
        <v>55035.9</v>
      </c>
    </row>
    <row r="1076">
      <c r="A1076" s="104" t="inlineStr">
        <is>
          <t xml:space="preserve">ТОШКЕНТ ВИЛОЯТИ</t>
        </is>
      </c>
      <c r="C1076" s="104" t="inlineStr">
        <is>
          <t xml:space="preserve">Недозвон</t>
        </is>
      </c>
      <c r="D1076" s="104" t="inlineStr">
        <is>
          <t xml:space="preserve">Кр-99035263-1</t>
        </is>
      </c>
      <c r="E1076" s="104" t="inlineStr">
        <is>
          <t xml:space="preserve">TURABAYEVA SHAXLO SHAVKATOVNA</t>
        </is>
      </c>
      <c r="F1076" s="104" t="inlineStr">
        <is>
          <t xml:space="preserve">998941739494 SMS O’ZI, 998943041862 SMS ZALOGADETOL, 998940296698 SMS UKASI, 998950841325 SMS UY,</t>
        </is>
      </c>
      <c r="G1076" s="104" t="inlineStr">
        <is>
          <t xml:space="preserve">TOSHKENT VILOYATI TOSHKENT TUMANI MUSTAQILLIK MFY CHIMKENT YO’LI KO’CHA 339 UY</t>
        </is>
      </c>
      <c r="H1076" s="105">
        <v>1.0</v>
      </c>
      <c r="I1076" s="105">
        <v>51681.39</v>
      </c>
    </row>
    <row r="1077">
      <c r="A1077" s="106" t="inlineStr">
        <is>
          <t xml:space="preserve">ТОШКЕНТ ШАХРИ</t>
        </is>
      </c>
      <c r="C1077" s="106" t="inlineStr">
        <is>
          <t xml:space="preserve">Недозвон</t>
        </is>
      </c>
      <c r="D1077" s="106" t="inlineStr">
        <is>
          <t xml:space="preserve">Кр-99038883-2</t>
        </is>
      </c>
      <c r="E1077" s="106" t="inlineStr">
        <is>
          <t xml:space="preserve">MIRZAMAXMUDOV DILMUROD BAXODIROVICH</t>
        </is>
      </c>
      <c r="F1077" s="106" t="inlineStr">
        <is>
          <t xml:space="preserve">998901740500 SMS OZI, 998830770072 SMS OZI2, 998504404670 SMS AYOLI, 998080646702 SMS AYOLI 2,</t>
        </is>
      </c>
      <c r="G1077" s="106" t="inlineStr">
        <is>
          <t xml:space="preserve">TOSHKENT SHAHAR</t>
        </is>
      </c>
      <c r="H1077" s="107">
        <v>253.0</v>
      </c>
      <c r="I1077" s="107">
        <v>111266470.84</v>
      </c>
    </row>
    <row r="1078">
      <c r="A1078" s="106" t="inlineStr">
        <is>
          <t xml:space="preserve">ТОШКЕНТ ШАХРИ</t>
        </is>
      </c>
      <c r="C1078" s="106" t="inlineStr">
        <is>
          <t xml:space="preserve">Недозвон</t>
        </is>
      </c>
      <c r="D1078" s="106" t="inlineStr">
        <is>
          <t xml:space="preserve">Кр-99039650-1</t>
        </is>
      </c>
      <c r="E1078" s="106" t="inlineStr">
        <is>
          <t xml:space="preserve">ABDULLAYEVA RISOLATXON XXX</t>
        </is>
      </c>
      <c r="F1078" s="106" t="inlineStr">
        <is>
          <t xml:space="preserve">998909796050 SMS QIZI, 998712082126 SMS UY, 998770267872 SMS QZI 2, 998977677178 SMS QIZAINING HAMORINI NOMERI,</t>
        </is>
      </c>
      <c r="G1078" s="106" t="inlineStr">
        <is>
          <t xml:space="preserve">TOSHKENT SHAHAR MIRZO ULUG’BEK TUMANI XABIB-ABDULLAYEV MFY, MIRZO ULUG’BEK KO’CHASI 97-UY,29-XONADON</t>
        </is>
      </c>
      <c r="H1078" s="107">
        <v>211.0</v>
      </c>
      <c r="I1078" s="107">
        <v>79536314.78</v>
      </c>
    </row>
    <row r="1079">
      <c r="A1079" s="106" t="inlineStr">
        <is>
          <t xml:space="preserve">ТОШКЕНТ ШАХРИ</t>
        </is>
      </c>
      <c r="C1079" s="106" t="inlineStr">
        <is>
          <t xml:space="preserve">Недозвон</t>
        </is>
      </c>
      <c r="D1079" s="106" t="inlineStr">
        <is>
          <t xml:space="preserve">Кр-99034073-2</t>
        </is>
      </c>
      <c r="E1079" s="106" t="inlineStr">
        <is>
          <t xml:space="preserve">BOLTABOYEV XASANBOY JAMOLIDDINOVICH</t>
        </is>
      </c>
      <c r="F1079" s="106" t="inlineStr">
        <is>
          <t xml:space="preserve">998949072022 SMS O’ZI, 998903168272 SMS O’ZI, 998337939597 SMS O’G’LI, 998970525070 SMS OGLI,</t>
        </is>
      </c>
      <c r="G1079" s="106" t="inlineStr">
        <is>
          <t xml:space="preserve">TOSHKENT SHAHAR MIRZO ULUG’BEK TUMANI BUYUK IPAK YO’LI MFY SAYRAM KO’CHASI 26/9-UY 3-XONADON</t>
        </is>
      </c>
      <c r="H1079" s="107">
        <v>133.0</v>
      </c>
      <c r="I1079" s="107">
        <v>67086407.77</v>
      </c>
    </row>
    <row r="1080">
      <c r="A1080" s="106" t="inlineStr">
        <is>
          <t xml:space="preserve">ТОШКЕНТ ШАХРИ</t>
        </is>
      </c>
      <c r="C1080" s="106" t="inlineStr">
        <is>
          <t xml:space="preserve">Недозвон</t>
        </is>
      </c>
      <c r="D1080" s="106" t="inlineStr">
        <is>
          <t xml:space="preserve">Кр-99062594-1</t>
        </is>
      </c>
      <c r="E1080" s="106" t="inlineStr">
        <is>
          <t xml:space="preserve">TILLAYEV ABBOSXON KAMALITDINOVICH</t>
        </is>
      </c>
      <c r="F1080" s="106" t="inlineStr">
        <is>
          <t xml:space="preserve">998977143393 OZI, 998977493808 ONASI, 998998844343 ONASI,</t>
        </is>
      </c>
      <c r="G1080" s="106" t="inlineStr">
        <is>
          <t xml:space="preserve">TOSHKENT SHAHAR OLMAZOR TUMANI KICHIK HALQA YO’LI KO’CHASI 5-UY 37-XONADON</t>
        </is>
      </c>
      <c r="H1080" s="107">
        <v>71.0</v>
      </c>
      <c r="I1080" s="107">
        <v>49042828.37</v>
      </c>
    </row>
    <row r="1081">
      <c r="A1081" s="106" t="inlineStr">
        <is>
          <t xml:space="preserve">ТОШКЕНТ ШАХРИ</t>
        </is>
      </c>
      <c r="C1081" s="106" t="inlineStr">
        <is>
          <t xml:space="preserve">Недозвон</t>
        </is>
      </c>
      <c r="D1081" s="106" t="inlineStr">
        <is>
          <t xml:space="preserve">Кр-99040844-1</t>
        </is>
      </c>
      <c r="E1081" s="106" t="inlineStr">
        <is>
          <t xml:space="preserve">ABDIMALIKOV MUHAMMAD ALI SOXIBJON O’G’LI</t>
        </is>
      </c>
      <c r="F1081" s="106" t="inlineStr">
        <is>
          <t xml:space="preserve">998948147464 SMS OZI, 998943636872 SMS ONASI, 998946374742 SMS zalok egasi , 998946810230 SMS DADSI NEW,</t>
        </is>
      </c>
      <c r="G1081" s="106" t="inlineStr">
        <is>
          <t xml:space="preserve">TOSHKENT SHAHAR MIRZO-ULUGBEK TUMANI AXMAD YUGNAKIY G-40 UY 70-XONADON</t>
        </is>
      </c>
      <c r="H1081" s="107">
        <v>133.0</v>
      </c>
      <c r="I1081" s="107">
        <v>44592027.33</v>
      </c>
    </row>
    <row r="1082">
      <c r="A1082" s="106" t="inlineStr">
        <is>
          <t xml:space="preserve">ТОШКЕНТ ШАХРИ</t>
        </is>
      </c>
      <c r="C1082" s="106" t="inlineStr">
        <is>
          <t xml:space="preserve">Объезд</t>
        </is>
      </c>
      <c r="D1082" s="106" t="inlineStr">
        <is>
          <t xml:space="preserve">Кр-99039089-1</t>
        </is>
      </c>
      <c r="E1082" s="106" t="inlineStr">
        <is>
          <t xml:space="preserve">SHARIPOVA NARGIZA XUSNITDINOVNA</t>
        </is>
      </c>
      <c r="F1082" s="106" t="inlineStr">
        <is>
          <t xml:space="preserve">998909167565 SMS OZI, 998900136157 SMS SINGLISI, 998951320107 SMS JIYANI,</t>
        </is>
      </c>
      <c r="G1082" s="106" t="inlineStr">
        <is>
          <t xml:space="preserve">TOSHKENT SHAHAR SIRG’ALI TUMANI SERGILI 5-MAVZESI, 67-UY, 11-XONADON</t>
        </is>
      </c>
      <c r="H1082" s="107">
        <v>175.0</v>
      </c>
      <c r="I1082" s="107">
        <v>42668101.77</v>
      </c>
      <c r="K1082" s="106" t="inlineStr">
        <is>
          <t xml:space="preserve">Uyiga borildi - va'da berdi | o'zi o'lgan akasi to'lidi</t>
        </is>
      </c>
    </row>
    <row r="1083">
      <c r="A1083" s="106" t="inlineStr">
        <is>
          <t xml:space="preserve">ТОШКЕНТ ШАХРИ</t>
        </is>
      </c>
      <c r="C1083" s="106" t="inlineStr">
        <is>
          <t xml:space="preserve">Недозвон</t>
        </is>
      </c>
      <c r="D1083" s="106" t="inlineStr">
        <is>
          <t xml:space="preserve">Кр-05555027-1</t>
        </is>
      </c>
      <c r="E1083" s="106" t="inlineStr">
        <is>
          <t xml:space="preserve">SOF AVTO RETAIL Ma’suliyati Cheklangan Jamiyati</t>
        </is>
      </c>
      <c r="F1083" s="106" t="inlineStr">
        <is>
          <t xml:space="preserve">90-261-88-46 SMS O'ZI, 97-261-88-46 SMS O'ZI 2, 90-488-88-00 SMS MARUF DO'STI, 33-111-30-09 SMS DO'STI,</t>
        </is>
      </c>
      <c r="G1083" s="106" t="inlineStr">
        <is>
          <t xml:space="preserve">UCHTEPA TUMANI TINCHLIKOBOD MFY 23-MAVZESI 28A-UY 32-XONADON</t>
        </is>
      </c>
      <c r="H1083" s="107">
        <v>126.0</v>
      </c>
      <c r="I1083" s="107">
        <v>40820376.61</v>
      </c>
    </row>
    <row r="1084">
      <c r="A1084" s="106" t="inlineStr">
        <is>
          <t xml:space="preserve">ТОШКЕНТ ШАХРИ</t>
        </is>
      </c>
      <c r="C1084" s="106" t="inlineStr">
        <is>
          <t xml:space="preserve">Недозвон</t>
        </is>
      </c>
      <c r="D1084" s="106" t="inlineStr">
        <is>
          <t xml:space="preserve">Кр-99062807-2</t>
        </is>
      </c>
      <c r="E1084" s="106" t="inlineStr">
        <is>
          <t xml:space="preserve">USMANOVA BARNO ANVAROVNA</t>
        </is>
      </c>
      <c r="F1084" s="106" t="inlineStr">
        <is>
          <t xml:space="preserve">998935633171 SMS OZI, 998935752119 SMS KELINI, 998998872334 SMS OGLI,</t>
        </is>
      </c>
      <c r="G1084" s="106" t="inlineStr">
        <is>
          <t xml:space="preserve">TOSHKENT SHAHAR MIRZO ULUG’BEK TUMANI ULUG GULOM KOCHASI 30-UY 30-KVARTIRA</t>
        </is>
      </c>
      <c r="H1084" s="107">
        <v>71.0</v>
      </c>
      <c r="I1084" s="107">
        <v>39956850.39</v>
      </c>
    </row>
    <row r="1085">
      <c r="A1085" s="106" t="inlineStr">
        <is>
          <t xml:space="preserve">ТОШКЕНТ ШАХРИ</t>
        </is>
      </c>
      <c r="C1085" s="106" t="inlineStr">
        <is>
          <t xml:space="preserve">Недозвон</t>
        </is>
      </c>
      <c r="D1085" s="106" t="inlineStr">
        <is>
          <t xml:space="preserve">Кр-99027698-3</t>
        </is>
      </c>
      <c r="E1085" s="106" t="inlineStr">
        <is>
          <t xml:space="preserve">VOHIDOV ABDUAZIZ ALISHER O’G’LI</t>
        </is>
      </c>
      <c r="F1085" s="106" t="inlineStr">
        <is>
          <t xml:space="preserve">998993340003 SMS, 90-097-33-22 SMS ORTO SARDOR, 33-004-50-03 SMS UY,</t>
        </is>
      </c>
      <c r="G1085" s="106" t="inlineStr">
        <is>
          <t xml:space="preserve">TOSHKENT SHAHAR UCHTEPA TUMANI ISTIROXAT 4-TOR KOCHASI 34-UY</t>
        </is>
      </c>
      <c r="H1085" s="107">
        <v>71.0</v>
      </c>
      <c r="I1085" s="107">
        <v>38830190.13</v>
      </c>
    </row>
    <row r="1086">
      <c r="A1086" s="106" t="inlineStr">
        <is>
          <t xml:space="preserve">ТОШКЕНТ ШАХРИ</t>
        </is>
      </c>
      <c r="C1086" s="106" t="inlineStr">
        <is>
          <t xml:space="preserve">Недозвон</t>
        </is>
      </c>
      <c r="D1086" s="106" t="inlineStr">
        <is>
          <t xml:space="preserve">Кр-99037421-1</t>
        </is>
      </c>
      <c r="E1086" s="106" t="inlineStr">
        <is>
          <t xml:space="preserve">SADIKOVA GULNORA GOPIROVNA</t>
        </is>
      </c>
      <c r="F1086" s="106" t="inlineStr">
        <is>
          <t xml:space="preserve">998909204652 SMS OZI, 998996096845 SMS OPASI, 998946826845 SMS OGLI, 998909023212 SMS OGLI,</t>
        </is>
      </c>
      <c r="G1086" s="106" t="inlineStr">
        <is>
          <t xml:space="preserve">TOSHKENT SHAHAR CHILONZOR TUMANI XAYRABOD MFY XAYRABOD 4-TOR KO'CHASI 4-UY</t>
        </is>
      </c>
      <c r="H1086" s="107">
        <v>189.0</v>
      </c>
      <c r="I1086" s="107">
        <v>37694988.16</v>
      </c>
    </row>
    <row r="1087">
      <c r="A1087" s="106" t="inlineStr">
        <is>
          <t xml:space="preserve">ТОШКЕНТ ШАХРИ</t>
        </is>
      </c>
      <c r="C1087" s="106" t="inlineStr">
        <is>
          <t xml:space="preserve">Недозвон</t>
        </is>
      </c>
      <c r="D1087" s="106" t="inlineStr">
        <is>
          <t xml:space="preserve">Кр-99063105-1</t>
        </is>
      </c>
      <c r="E1087" s="106" t="inlineStr">
        <is>
          <t xml:space="preserve">RAXIMOVA NILUFAR YULDASHEVNA</t>
        </is>
      </c>
      <c r="F1087" s="106" t="inlineStr">
        <is>
          <t xml:space="preserve">998977927577 OZI, 998995077757 OZI 2, 998985777757 OZI 3, 998770977577 OGLI,</t>
        </is>
      </c>
      <c r="G1087" s="106" t="inlineStr">
        <is>
          <t xml:space="preserve">TOSHKENT SHAHAR SHAYXANTOXUR TUMANI SEBZOR KO’CHASI 7-UY,35-XONADON</t>
        </is>
      </c>
      <c r="H1087" s="107">
        <v>41.0</v>
      </c>
      <c r="I1087" s="107">
        <v>37424137.19</v>
      </c>
    </row>
    <row r="1088">
      <c r="A1088" s="106" t="inlineStr">
        <is>
          <t xml:space="preserve">ТОШКЕНТ ШАХРИ</t>
        </is>
      </c>
      <c r="C1088" s="106" t="inlineStr">
        <is>
          <t xml:space="preserve">Недозвон</t>
        </is>
      </c>
      <c r="D1088" s="106" t="inlineStr">
        <is>
          <t xml:space="preserve">Кр-99037829-1</t>
        </is>
      </c>
      <c r="E1088" s="106" t="inlineStr">
        <is>
          <t xml:space="preserve">ABDULLAYEV ILXAM XALILLAYEVICH</t>
        </is>
      </c>
      <c r="F1088" s="106" t="inlineStr">
        <is>
          <t xml:space="preserve">998974149377 SMS OZI, 998954392171 SMS AYOLI, 998933918808 SMS QIZILARI, 998949896336 SMS OGLI,</t>
        </is>
      </c>
      <c r="G1088" s="106" t="inlineStr">
        <is>
          <t xml:space="preserve">TOSHKENT SHAHAR YUNUSOBOD TUMANI UCH-KAXRAMON MFY 10 MAVZE 1-A-UY 66-XONADON</t>
        </is>
      </c>
      <c r="H1088" s="107">
        <v>225.0</v>
      </c>
      <c r="I1088" s="107">
        <v>35169291.84</v>
      </c>
      <c r="K1088" s="106" t="inlineStr">
        <is>
          <t xml:space="preserve">Telefon ko'tarmadi | muammo</t>
        </is>
      </c>
    </row>
    <row r="1089">
      <c r="A1089" s="106" t="inlineStr">
        <is>
          <t xml:space="preserve">ТОШКЕНТ ШАХРИ</t>
        </is>
      </c>
      <c r="C1089" s="106" t="inlineStr">
        <is>
          <t xml:space="preserve">Недозвон</t>
        </is>
      </c>
      <c r="D1089" s="106" t="inlineStr">
        <is>
          <t xml:space="preserve">Кр-99054221-1</t>
        </is>
      </c>
      <c r="E1089" s="106" t="inlineStr">
        <is>
          <t xml:space="preserve">UMAROV SHERZOD FAYZULLAYEVICH</t>
        </is>
      </c>
      <c r="F1089" s="106" t="inlineStr">
        <is>
          <t xml:space="preserve">+998912121780 Primary phone from road24, 998912121780 Primary phone from road24,</t>
        </is>
      </c>
      <c r="G1089" s="106" t="inlineStr">
        <is>
          <t xml:space="preserve">Гулобод МФЙ, Гулобод мавзеси, 5-уй, 37-хонадон</t>
        </is>
      </c>
      <c r="H1089" s="107">
        <v>43.0</v>
      </c>
      <c r="I1089" s="107">
        <v>33265305.46</v>
      </c>
    </row>
    <row r="1090">
      <c r="A1090" s="106" t="inlineStr">
        <is>
          <t xml:space="preserve">ТОШКЕНТ ШАХРИ</t>
        </is>
      </c>
      <c r="C1090" s="106" t="inlineStr">
        <is>
          <t xml:space="preserve">Недозвон</t>
        </is>
      </c>
      <c r="D1090" s="106" t="inlineStr">
        <is>
          <t xml:space="preserve">Кр-99054221-2</t>
        </is>
      </c>
      <c r="E1090" s="106" t="inlineStr">
        <is>
          <t xml:space="preserve">UMAROV SHERZOD FAYZULLAYEVICH</t>
        </is>
      </c>
      <c r="F1090" s="106" t="inlineStr">
        <is>
          <t xml:space="preserve">+998912121780 Primary phone from road24, 998912121780 Primary phone from road24,</t>
        </is>
      </c>
      <c r="G1090" s="106" t="inlineStr">
        <is>
          <t xml:space="preserve">Гулобод МФЙ, Гулобод мавзеси, 5-уй, 37-хонадон</t>
        </is>
      </c>
      <c r="H1090" s="107">
        <v>43.0</v>
      </c>
      <c r="I1090" s="107">
        <v>32243147.86</v>
      </c>
    </row>
    <row r="1091">
      <c r="A1091" s="106" t="inlineStr">
        <is>
          <t xml:space="preserve">ТОШКЕНТ ШАХРИ</t>
        </is>
      </c>
      <c r="C1091" s="106" t="inlineStr">
        <is>
          <t xml:space="preserve">Недозвон</t>
        </is>
      </c>
      <c r="D1091" s="106" t="inlineStr">
        <is>
          <t xml:space="preserve">Кр-99002592-8</t>
        </is>
      </c>
      <c r="E1091" s="106" t="inlineStr">
        <is>
          <t xml:space="preserve">AZIZXON SEVDA SHAVKATOVNA</t>
        </is>
      </c>
      <c r="F1091" s="106" t="inlineStr">
        <is>
          <t xml:space="preserve">90-331-22-27 SMS, 90-038-22-27 SMS MUROD AKA tolovchi , 71-217-36-07 SMS UY, 99-811-81-12 SMS MUROT AKA,</t>
        </is>
      </c>
      <c r="G1091" s="106" t="inlineStr">
        <is>
          <t xml:space="preserve">TOSHKENT SHAHAR UCHTEPA TUMANI KVL G9a 11 UY 35 XONADON</t>
        </is>
      </c>
      <c r="H1091" s="107">
        <v>13.0</v>
      </c>
      <c r="I1091" s="107">
        <v>32075114.65</v>
      </c>
    </row>
    <row r="1092">
      <c r="A1092" s="106" t="inlineStr">
        <is>
          <t xml:space="preserve">ТОШКЕНТ ШАХРИ</t>
        </is>
      </c>
      <c r="C1092" s="106" t="inlineStr">
        <is>
          <t xml:space="preserve">Недозвон</t>
        </is>
      </c>
      <c r="D1092" s="106" t="inlineStr">
        <is>
          <t xml:space="preserve">Кр-99062904-1</t>
        </is>
      </c>
      <c r="E1092" s="106" t="inlineStr">
        <is>
          <t xml:space="preserve">YULDASHOV ERGASHBOY ADILOVICH</t>
        </is>
      </c>
      <c r="F1092" s="106" t="inlineStr">
        <is>
          <t xml:space="preserve">998773789771 SMS ONASI, 998993229751 SMS TOLOVCHI, 998998909751 SMS OZI,</t>
        </is>
      </c>
      <c r="G1092" s="106" t="inlineStr">
        <is>
          <t xml:space="preserve">TOSHKENT SHAHAR QO’YLIQ OTA MFY QO’YLIQOTA KO’CASHI 9-UY 40-XONADON</t>
        </is>
      </c>
      <c r="H1092" s="107">
        <v>71.0</v>
      </c>
      <c r="I1092" s="107">
        <v>28644193.12</v>
      </c>
    </row>
    <row r="1093">
      <c r="A1093" s="106" t="inlineStr">
        <is>
          <t xml:space="preserve">ТОШКЕНТ ШАХРИ</t>
        </is>
      </c>
      <c r="C1093" s="106" t="inlineStr">
        <is>
          <t xml:space="preserve">Недозвон</t>
        </is>
      </c>
      <c r="D1093" s="106" t="inlineStr">
        <is>
          <t xml:space="preserve">Кр-99032289-3</t>
        </is>
      </c>
      <c r="E1093" s="106" t="inlineStr">
        <is>
          <t xml:space="preserve">VALIYEV IBROXIMBEK ALIJON O’G’LI</t>
        </is>
      </c>
      <c r="F1093" s="106" t="inlineStr">
        <is>
          <t xml:space="preserve">998935513353 SMS O’ZI, 998937111239 SMS AYOLI, 998956960906 SMS TOG’ASI, 998712995407 SMS UY,</t>
        </is>
      </c>
      <c r="G1093" s="106" t="inlineStr">
        <is>
          <t xml:space="preserve">TOSHKENT SHAHAR YASHNOBOD TUMANI FARG’ONA YO’LI 3-TOR KO’CHA 109-UY</t>
        </is>
      </c>
      <c r="H1093" s="107">
        <v>113.0</v>
      </c>
      <c r="I1093" s="107">
        <v>25311601.32</v>
      </c>
      <c r="K1093" s="106" t="inlineStr">
        <is>
          <t xml:space="preserve">Telefon ko'tarmadi | muammo</t>
        </is>
      </c>
    </row>
    <row r="1094">
      <c r="A1094" s="106" t="inlineStr">
        <is>
          <t xml:space="preserve">ТОШКЕНТ ШАХРИ</t>
        </is>
      </c>
      <c r="C1094" s="106" t="inlineStr">
        <is>
          <t xml:space="preserve">Недозвон</t>
        </is>
      </c>
      <c r="D1094" s="106" t="inlineStr">
        <is>
          <t xml:space="preserve">Кр-99063555-2</t>
        </is>
      </c>
      <c r="E1094" s="106" t="inlineStr">
        <is>
          <t xml:space="preserve">SAIDOV SHOHRUH RAVSHAN O’G’LI</t>
        </is>
      </c>
      <c r="G1094" s="106" t="inlineStr">
        <is>
          <t xml:space="preserve">IIV60012</t>
        </is>
      </c>
      <c r="H1094" s="107">
        <v>11.0</v>
      </c>
      <c r="I1094" s="107">
        <v>19109921.76</v>
      </c>
    </row>
    <row r="1095">
      <c r="A1095" s="106" t="inlineStr">
        <is>
          <t xml:space="preserve">ТОШКЕНТ ШАХРИ</t>
        </is>
      </c>
      <c r="C1095" s="106" t="inlineStr">
        <is>
          <t xml:space="preserve">Недозвон</t>
        </is>
      </c>
      <c r="D1095" s="106" t="inlineStr">
        <is>
          <t xml:space="preserve">Кр-99062582-1</t>
        </is>
      </c>
      <c r="E1095" s="106" t="inlineStr">
        <is>
          <t xml:space="preserve">TASHMETOV XONDAMIR MURSALIYEVICH</t>
        </is>
      </c>
      <c r="F1095" s="106" t="inlineStr">
        <is>
          <t xml:space="preserve">998957777748 SMS OZI, 998932222234 SMS AYOLI, 998991289300 SMS DADASIO, 998990405493 SMS ONASI,</t>
        </is>
      </c>
      <c r="G1095" s="106" t="inlineStr">
        <is>
          <t xml:space="preserve">Манзил: TOSHKENT VILOYATI PARKENT TUMANI GULBOG MFY GULZOR 1-8-UY 22-XONADON  </t>
        </is>
      </c>
      <c r="H1095" s="107">
        <v>71.0</v>
      </c>
      <c r="I1095" s="107">
        <v>18042933.74</v>
      </c>
    </row>
    <row r="1096">
      <c r="A1096" s="106" t="inlineStr">
        <is>
          <t xml:space="preserve">ТОШКЕНТ ШАХРИ</t>
        </is>
      </c>
      <c r="C1096" s="106" t="inlineStr">
        <is>
          <t xml:space="preserve">Недозвон</t>
        </is>
      </c>
      <c r="D1096" s="106" t="inlineStr">
        <is>
          <t xml:space="preserve">Кр-99058604-1</t>
        </is>
      </c>
      <c r="E1096" s="106" t="inlineStr">
        <is>
          <t xml:space="preserve">NIGMATOVA MUKARRAM MIRABBASOVNA</t>
        </is>
      </c>
      <c r="F1096" s="106" t="inlineStr">
        <is>
          <t xml:space="preserve">998935319027 SMS OZI, 998950134422 SMS ERI, 998931230171 SMS OGLI, 998990331010 SMS AKASI,</t>
        </is>
      </c>
      <c r="G1096" s="106" t="inlineStr">
        <is>
          <t xml:space="preserve">TOSHKENT SHAHAR OLMAZOR TUMANI QORASAROY MFY, QORASAROY KO’CHASI 6-BERK KO’CHASI 10-UY</t>
        </is>
      </c>
      <c r="H1096" s="107">
        <v>11.0</v>
      </c>
      <c r="I1096" s="107">
        <v>17510551.48</v>
      </c>
    </row>
    <row r="1097">
      <c r="A1097" s="106" t="inlineStr">
        <is>
          <t xml:space="preserve">ТОШКЕНТ ШАХРИ</t>
        </is>
      </c>
      <c r="C1097" s="106" t="inlineStr">
        <is>
          <t xml:space="preserve">Недозвон</t>
        </is>
      </c>
      <c r="D1097" s="106" t="inlineStr">
        <is>
          <t xml:space="preserve">Кр-99033410-2</t>
        </is>
      </c>
      <c r="E1097" s="106" t="inlineStr">
        <is>
          <t xml:space="preserve">ZIYEVIDDINOV ZAFAR ZIAUTDINOVICH</t>
        </is>
      </c>
      <c r="F1097" s="106" t="inlineStr">
        <is>
          <t xml:space="preserve">998900330333 SMS O’ZI, 998983020333 SMS UKASI, 998998330333 SMS AYOLI, 998903220333 SMS ONASI,</t>
        </is>
      </c>
      <c r="G1097" s="106" t="inlineStr">
        <is>
          <t xml:space="preserve">TOSHKENT SHAHAR YAKKASAROY TUMANI DILBULOQ MFY  SH.RUSTAVELI KO’CHASI 77-UY 36-XONADON</t>
        </is>
      </c>
      <c r="H1097" s="107">
        <v>11.0</v>
      </c>
      <c r="I1097" s="107">
        <v>16712368.98</v>
      </c>
    </row>
    <row r="1098">
      <c r="A1098" s="106" t="inlineStr">
        <is>
          <t xml:space="preserve">ТОШКЕНТ ШАХРИ</t>
        </is>
      </c>
      <c r="C1098" s="106" t="inlineStr">
        <is>
          <t xml:space="preserve">Недозвон</t>
        </is>
      </c>
      <c r="D1098" s="106" t="inlineStr">
        <is>
          <t xml:space="preserve">Кр-99027373-3</t>
        </is>
      </c>
      <c r="E1098" s="106" t="inlineStr">
        <is>
          <t xml:space="preserve">SAIDOV FERUZJON UBAYDULLO O’G’LI</t>
        </is>
      </c>
      <c r="F1098" s="106" t="inlineStr">
        <is>
          <t xml:space="preserve">90-976-06-01 SMS O'ZI, 90-019-00-70  SMS AYOLI, 90-061-50-53  SMS OTASI,</t>
        </is>
      </c>
      <c r="G1098" s="106" t="inlineStr">
        <is>
          <t xml:space="preserve">TOSHKENT SHAHAR CHILONZOR TUMANI 19-MAVZE 17-UY 41-XONADON</t>
        </is>
      </c>
      <c r="H1098" s="107">
        <v>8.0</v>
      </c>
      <c r="I1098" s="107">
        <v>15033890.4</v>
      </c>
    </row>
    <row r="1099">
      <c r="A1099" s="106" t="inlineStr">
        <is>
          <t xml:space="preserve">ТОШКЕНТ ШАХРИ</t>
        </is>
      </c>
      <c r="C1099" s="106" t="inlineStr">
        <is>
          <t xml:space="preserve">Недозвон</t>
        </is>
      </c>
      <c r="D1099" s="106" t="inlineStr">
        <is>
          <t xml:space="preserve">Кр-99026924-1</t>
        </is>
      </c>
      <c r="E1099" s="106" t="inlineStr">
        <is>
          <t xml:space="preserve">MINAROV BAXTIYOR TOSHPULATOVICH</t>
        </is>
      </c>
      <c r="F1099" s="106" t="inlineStr">
        <is>
          <t xml:space="preserve">97-780-20-00 SMS O'ZI, 33-400-03-09 SMS O'G'LI, 97-402-02-95 SMS AYOLI, 97-400-02-91 SMS KELINI,</t>
        </is>
      </c>
      <c r="G1099" s="106" t="inlineStr">
        <is>
          <t xml:space="preserve">TOSHKENT SHAHAR YAKKASAROY TUMANI BOBUR KO’CHASI 24-UY 11-XONADON</t>
        </is>
      </c>
      <c r="I1099" s="107">
        <v>14812021.23</v>
      </c>
    </row>
    <row r="1100">
      <c r="A1100" s="106" t="inlineStr">
        <is>
          <t xml:space="preserve">ТОШКЕНТ ШАХРИ</t>
        </is>
      </c>
      <c r="C1100" s="106" t="inlineStr">
        <is>
          <t xml:space="preserve">Недозвон</t>
        </is>
      </c>
      <c r="D1100" s="106" t="inlineStr">
        <is>
          <t xml:space="preserve">Кр-99063351-2</t>
        </is>
      </c>
      <c r="E1100" s="106" t="inlineStr">
        <is>
          <t xml:space="preserve">ISMAILOVA VAZIRA BAXRAMOVNA</t>
        </is>
      </c>
      <c r="F1100" s="106" t="inlineStr">
        <is>
          <t xml:space="preserve">998501044972 SMS NEVARASI, 998909422931 SMS OZI, 998941188288 SMS OZI 2, 998946808607 SMS NEVARASI 2,</t>
        </is>
      </c>
      <c r="G1100" s="106" t="inlineStr">
        <is>
          <t xml:space="preserve">TOSHKENT SHAHAR OLMAZOR TUMANI BESHQO’RG’ON 2-DAXASI 6-UY 63-XONADON</t>
        </is>
      </c>
      <c r="H1100" s="107">
        <v>41.0</v>
      </c>
      <c r="I1100" s="107">
        <v>14343634.77</v>
      </c>
    </row>
    <row r="1101">
      <c r="A1101" s="106" t="inlineStr">
        <is>
          <t xml:space="preserve">ТОШКЕНТ ШАХРИ</t>
        </is>
      </c>
      <c r="C1101" s="106" t="inlineStr">
        <is>
          <t xml:space="preserve">Недозвон</t>
        </is>
      </c>
      <c r="D1101" s="106" t="inlineStr">
        <is>
          <t xml:space="preserve">Кр-99057619-1</t>
        </is>
      </c>
      <c r="E1101" s="106" t="inlineStr">
        <is>
          <t xml:space="preserve">FAYZIYEVA KAMILA BATIROVNA</t>
        </is>
      </c>
      <c r="F1101" s="106" t="inlineStr">
        <is>
          <t xml:space="preserve">998991264514 SMS OZI,</t>
        </is>
      </c>
      <c r="G1101" s="106" t="inlineStr">
        <is>
          <t xml:space="preserve">IIV26296</t>
        </is>
      </c>
      <c r="H1101" s="107">
        <v>11.0</v>
      </c>
      <c r="I1101" s="107">
        <v>14306168.72</v>
      </c>
    </row>
    <row r="1102">
      <c r="A1102" s="106" t="inlineStr">
        <is>
          <t xml:space="preserve">ТОШКЕНТ ШАХРИ</t>
        </is>
      </c>
      <c r="C1102" s="106" t="inlineStr">
        <is>
          <t xml:space="preserve">Недозвон</t>
        </is>
      </c>
      <c r="D1102" s="106" t="inlineStr">
        <is>
          <t xml:space="preserve">Кр-99063555-1</t>
        </is>
      </c>
      <c r="E1102" s="106" t="inlineStr">
        <is>
          <t xml:space="preserve">SAIDOV SHOHRUH RAVSHAN O’G’LI</t>
        </is>
      </c>
      <c r="G1102" s="106" t="inlineStr">
        <is>
          <t xml:space="preserve">IIV60012</t>
        </is>
      </c>
      <c r="H1102" s="107">
        <v>11.0</v>
      </c>
      <c r="I1102" s="107">
        <v>14252391.71</v>
      </c>
    </row>
    <row r="1103">
      <c r="A1103" s="106" t="inlineStr">
        <is>
          <t xml:space="preserve">ТОШКЕНТ ШАХРИ</t>
        </is>
      </c>
      <c r="C1103" s="106" t="inlineStr">
        <is>
          <t xml:space="preserve">Объезд</t>
        </is>
      </c>
      <c r="D1103" s="106" t="inlineStr">
        <is>
          <t xml:space="preserve">Кр-99040408-4</t>
        </is>
      </c>
      <c r="E1103" s="106" t="inlineStr">
        <is>
          <t xml:space="preserve">XODIYEV FARRUX FURQAT O’G’LI</t>
        </is>
      </c>
      <c r="F1103" s="106" t="inlineStr">
        <is>
          <t xml:space="preserve">998995705902 SMS OZI, 998977357760 SMS SHERIGI, 998817877602 SMS SHERIGI 2,</t>
        </is>
      </c>
      <c r="G1103" s="106" t="inlineStr">
        <is>
          <t xml:space="preserve">TOSHKENT SHAHAR YUNUSOBOD TUMANI 11 KVARTAL,57-UY,46-XONADON</t>
        </is>
      </c>
      <c r="H1103" s="107">
        <v>11.0</v>
      </c>
      <c r="I1103" s="107">
        <v>13974380.38</v>
      </c>
      <c r="K1103" s="106" t="inlineStr">
        <is>
          <t xml:space="preserve">Uyiga borildi - va'da berdi</t>
        </is>
      </c>
    </row>
    <row r="1104">
      <c r="A1104" s="106" t="inlineStr">
        <is>
          <t xml:space="preserve">ТОШКЕНТ ШАХРИ</t>
        </is>
      </c>
      <c r="C1104" s="106" t="inlineStr">
        <is>
          <t xml:space="preserve">Недозвон</t>
        </is>
      </c>
      <c r="D1104" s="106" t="inlineStr">
        <is>
          <t xml:space="preserve">Кр-99036691-1</t>
        </is>
      </c>
      <c r="E1104" s="106" t="inlineStr">
        <is>
          <t xml:space="preserve">MAMADALIYEVA FERUZA MAXAMADSIDIKOVNA</t>
        </is>
      </c>
      <c r="F1104" s="106" t="inlineStr">
        <is>
          <t xml:space="preserve">998998889846 SMS OZI, 998917739811 SMS OGLI, 998990979765 SMS XOLASI, 998909661555 SMS QOSHNISI,</t>
        </is>
      </c>
      <c r="G1104" s="106" t="inlineStr">
        <is>
          <t xml:space="preserve">TOSHKENT SHAHAR ,YANGIHAYOT TUMANI,SHOKIR ARIK,G64 KO’CHASI,295-UY,20-XONADON</t>
        </is>
      </c>
      <c r="H1104" s="107">
        <v>1.0</v>
      </c>
      <c r="I1104" s="107">
        <v>13746616.2</v>
      </c>
    </row>
    <row r="1105">
      <c r="A1105" s="106" t="inlineStr">
        <is>
          <t xml:space="preserve">ТОШКЕНТ ШАХРИ</t>
        </is>
      </c>
      <c r="C1105" s="106" t="inlineStr">
        <is>
          <t xml:space="preserve">Недозвон</t>
        </is>
      </c>
      <c r="D1105" s="106" t="inlineStr">
        <is>
          <t xml:space="preserve">Кр-99031250-4</t>
        </is>
      </c>
      <c r="E1105" s="106" t="inlineStr">
        <is>
          <t xml:space="preserve">SADIKOVA ZILOLA ANVAROVNA</t>
        </is>
      </c>
      <c r="F1105" s="106" t="inlineStr">
        <is>
          <t xml:space="preserve">998977533163 SMS O’ZI, 998957533150 SMS O’ZI2, 998933730140 SMS SHERIK, 998999161133 SMS UKASI, 998909755703 SMS IJARA TURGAN UYINI EGASI,</t>
        </is>
      </c>
      <c r="G1105" s="106" t="inlineStr">
        <is>
          <t xml:space="preserve">TOSHKENT SHAHRI MIROBOD TUMANI CHINOR MFY QOYLIQ 1-MAVZESI 4-UY 11-XONADON</t>
        </is>
      </c>
      <c r="H1105" s="107">
        <v>8.0</v>
      </c>
      <c r="I1105" s="107">
        <v>13632074.04</v>
      </c>
    </row>
    <row r="1106">
      <c r="A1106" s="106" t="inlineStr">
        <is>
          <t xml:space="preserve">ТОШКЕНТ ШАХРИ</t>
        </is>
      </c>
      <c r="C1106" s="106" t="inlineStr">
        <is>
          <t xml:space="preserve">Недозвон</t>
        </is>
      </c>
      <c r="D1106" s="106" t="inlineStr">
        <is>
          <t xml:space="preserve">Кр-99063105-2</t>
        </is>
      </c>
      <c r="E1106" s="106" t="inlineStr">
        <is>
          <t xml:space="preserve">RAXIMOVA NILUFAR YULDASHEVNA</t>
        </is>
      </c>
      <c r="F1106" s="106" t="inlineStr">
        <is>
          <t xml:space="preserve">998977927577 OZI, 998995077757 OZI 2, 998985777757 OZI 3, 998770977577 OGLI,</t>
        </is>
      </c>
      <c r="G1106" s="106" t="inlineStr">
        <is>
          <t xml:space="preserve">TOSHKENT SHAHAR SHAYXANTOXUR TUMANI SEBZOR KO’CHASI 7-UY,35-XONADON</t>
        </is>
      </c>
      <c r="H1106" s="107">
        <v>8.0</v>
      </c>
      <c r="I1106" s="107">
        <v>12617588.04</v>
      </c>
    </row>
    <row r="1107">
      <c r="A1107" s="106" t="inlineStr">
        <is>
          <t xml:space="preserve">ТОШКЕНТ ШАХРИ</t>
        </is>
      </c>
      <c r="C1107" s="106" t="inlineStr">
        <is>
          <t xml:space="preserve">Недозвон</t>
        </is>
      </c>
      <c r="D1107" s="106" t="inlineStr">
        <is>
          <t xml:space="preserve">Кр-99062894-1</t>
        </is>
      </c>
      <c r="E1107" s="106" t="inlineStr">
        <is>
          <t xml:space="preserve">RAXIMOV VALIJON RUZALIYEVICH</t>
        </is>
      </c>
      <c r="F1107" s="106" t="inlineStr">
        <is>
          <t xml:space="preserve">998501234576 SMS KICHIK QIZI, 998771266504 SMS KATTA QIZI, 998881700227 SMS OZI, 998975170227 SMS OGLI,</t>
        </is>
      </c>
      <c r="G1107" s="106" t="inlineStr">
        <is>
          <t xml:space="preserve">TOSHKENT SHAHAR SHAYXONTOXUR TUMANI IBIN SINO MFY IBIN SINO KOCHASI 1-MAVZE 9-UY 3-XONADON</t>
        </is>
      </c>
      <c r="H1107" s="107">
        <v>41.0</v>
      </c>
      <c r="I1107" s="107">
        <v>12285605.36</v>
      </c>
    </row>
    <row r="1108">
      <c r="A1108" s="106" t="inlineStr">
        <is>
          <t xml:space="preserve">ТОШКЕНТ ШАХРИ</t>
        </is>
      </c>
      <c r="C1108" s="106" t="inlineStr">
        <is>
          <t xml:space="preserve">Объезд</t>
        </is>
      </c>
      <c r="D1108" s="106" t="inlineStr">
        <is>
          <t xml:space="preserve">Кр-99058714-1</t>
        </is>
      </c>
      <c r="E1108" s="106" t="inlineStr">
        <is>
          <t xml:space="preserve">MAXMATQULOV AKROM ABDIRAXMONOVICH</t>
        </is>
      </c>
      <c r="F1108" s="106" t="inlineStr">
        <is>
          <t xml:space="preserve">998909404168 SMS OZI, 998931464168 SMS AYOLI, 998933034168 SMS OGLI, 998983644168 SMS OZI,</t>
        </is>
      </c>
      <c r="G1108" s="106" t="inlineStr">
        <is>
          <t xml:space="preserve">TOSHKENT SHAHAR YANGIHAYOT TUMANI YANGIHAYOT MFY TURSUNZODA KOCHASI 10-UY 164-XONODON</t>
        </is>
      </c>
      <c r="H1108" s="107">
        <v>11.0</v>
      </c>
      <c r="I1108" s="107">
        <v>12139785.34</v>
      </c>
      <c r="K1108" s="106" t="inlineStr">
        <is>
          <t xml:space="preserve">Uyiga borildi - va'da berdi</t>
        </is>
      </c>
    </row>
    <row r="1109">
      <c r="A1109" s="106" t="inlineStr">
        <is>
          <t xml:space="preserve">ТОШКЕНТ ШАХРИ</t>
        </is>
      </c>
      <c r="C1109" s="106" t="inlineStr">
        <is>
          <t xml:space="preserve">Недозвон</t>
        </is>
      </c>
      <c r="D1109" s="106" t="inlineStr">
        <is>
          <t xml:space="preserve">Кр-99039518-3</t>
        </is>
      </c>
      <c r="E1109" s="106" t="inlineStr">
        <is>
          <t xml:space="preserve">XAYDAROV NURIDDIN RAVSHAN O’G’LI</t>
        </is>
      </c>
      <c r="F1109" s="106" t="inlineStr">
        <is>
          <t xml:space="preserve">+998881255050 o’zi, 998946464477 ukalari, 998958773383 Ukalari, 998958828380 ayoli,</t>
        </is>
      </c>
      <c r="G1109" s="106" t="inlineStr">
        <is>
          <t xml:space="preserve">Иброхим ота МФЙ, Чукурсой кучаси, 13-уй, 16-хонадон</t>
        </is>
      </c>
      <c r="H1109" s="107">
        <v>41.0</v>
      </c>
      <c r="I1109" s="107">
        <v>11987639.1</v>
      </c>
    </row>
    <row r="1110">
      <c r="A1110" s="106" t="inlineStr">
        <is>
          <t xml:space="preserve">ТОШКЕНТ ШАХРИ</t>
        </is>
      </c>
      <c r="C1110" s="106" t="inlineStr">
        <is>
          <t xml:space="preserve">Недозвон</t>
        </is>
      </c>
      <c r="D1110" s="106" t="inlineStr">
        <is>
          <t xml:space="preserve">Кр-99026361-5</t>
        </is>
      </c>
      <c r="E1110" s="106" t="inlineStr">
        <is>
          <t xml:space="preserve">SHERIMBETOVA UMIDA TULKUNOVNA</t>
        </is>
      </c>
      <c r="F1110" s="106" t="inlineStr">
        <is>
          <t xml:space="preserve">93-000-70-81 SMS OZI, 99-825-70-81 SMS OZI, 94-769-72-42 SMS OGLI, 94-666-74-47 SMS OGLI, 930007081 SMS OZI, 946667447 SMS OGLI, 947697242 SMS OGLI, 998257081 SMS OZI,</t>
        </is>
      </c>
      <c r="G1110" s="106" t="inlineStr">
        <is>
          <t xml:space="preserve">Умид МФЙ, Кора-Камиш 2/3 мавзеси, 8-уй, 24-хонадон</t>
        </is>
      </c>
      <c r="H1110" s="107">
        <v>41.0</v>
      </c>
      <c r="I1110" s="107">
        <v>11968749.94</v>
      </c>
    </row>
    <row r="1111">
      <c r="A1111" s="106" t="inlineStr">
        <is>
          <t xml:space="preserve">ТОШКЕНТ ШАХРИ</t>
        </is>
      </c>
      <c r="C1111" s="106" t="inlineStr">
        <is>
          <t xml:space="preserve">Недозвон</t>
        </is>
      </c>
      <c r="D1111" s="106" t="inlineStr">
        <is>
          <t xml:space="preserve">Кр-99043656-5</t>
        </is>
      </c>
      <c r="E1111" s="106" t="inlineStr">
        <is>
          <t xml:space="preserve">SHOMURZOPOV SHOAKBAR SHOMUROD O’G’LI</t>
        </is>
      </c>
      <c r="F1111" s="106" t="inlineStr">
        <is>
          <t xml:space="preserve">+998974777376 Primary phone from road24, 998974777376 Primary phone from road24, 998774085360 SMS UY, 998974005868 SMS ONASI, 998974105330 SMS OTASI,</t>
        </is>
      </c>
      <c r="G1111" s="106" t="inlineStr">
        <is>
          <t xml:space="preserve">TOSHKENT SHAHAR OLMAZOR TUMANI SEBZOR MFY SEBZOR S17/18 DAXASI 35B-UY 11-XONADON</t>
        </is>
      </c>
      <c r="H1111" s="107">
        <v>11.0</v>
      </c>
      <c r="I1111" s="107">
        <v>11495233.53</v>
      </c>
    </row>
    <row r="1112">
      <c r="A1112" s="106" t="inlineStr">
        <is>
          <t xml:space="preserve">ТОШКЕНТ ШАХРИ</t>
        </is>
      </c>
      <c r="C1112" s="106" t="inlineStr">
        <is>
          <t xml:space="preserve">Недозвон</t>
        </is>
      </c>
      <c r="D1112" s="106" t="inlineStr">
        <is>
          <t xml:space="preserve">Кр-99052977-2</t>
        </is>
      </c>
      <c r="E1112" s="106" t="inlineStr">
        <is>
          <t xml:space="preserve">XOSHIMOV XOMIDJON XOSIL O’G’LI</t>
        </is>
      </c>
      <c r="F1112" s="106" t="inlineStr">
        <is>
          <t xml:space="preserve">998977737667 SMS OZI, 998971200213 SMS AYOLI, 998958181022 SMS DOSTI, 998959758555 SMSHAMKASIBI,</t>
        </is>
      </c>
      <c r="G1112" s="106" t="inlineStr">
        <is>
          <t xml:space="preserve">TOSHKENT SHAHAR YUNUSOBOD TUMANI 6-MAVZE,30-UY,2-XONADON</t>
        </is>
      </c>
      <c r="H1112" s="107">
        <v>11.0</v>
      </c>
      <c r="I1112" s="107">
        <v>10923971.62</v>
      </c>
    </row>
    <row r="1113">
      <c r="A1113" s="106" t="inlineStr">
        <is>
          <t xml:space="preserve">ТОШКЕНТ ШАХРИ</t>
        </is>
      </c>
      <c r="C1113" s="106" t="inlineStr">
        <is>
          <t xml:space="preserve">Недозвон</t>
        </is>
      </c>
      <c r="D1113" s="106" t="inlineStr">
        <is>
          <t xml:space="preserve">Кр-99030880-7</t>
        </is>
      </c>
      <c r="E1113" s="106" t="inlineStr">
        <is>
          <t xml:space="preserve">XONKELDIYEVA JAMILA MIRXOSILOVNA</t>
        </is>
      </c>
      <c r="F1113" s="106" t="inlineStr">
        <is>
          <t xml:space="preserve">998974115090 SMS O’ZI, 998977285090 SMS ERI, 998900477075 SMS TOG’ASI,</t>
        </is>
      </c>
      <c r="G1113" s="106" t="inlineStr">
        <is>
          <t xml:space="preserve">TOSHKENT SHAHR YUNUSOBOD TUMANI BEGUBOR MFY 18 MAVZESI 6-UY 32-XONADON</t>
        </is>
      </c>
      <c r="H1113" s="107">
        <v>8.0</v>
      </c>
      <c r="I1113" s="107">
        <v>10847590.7</v>
      </c>
    </row>
    <row r="1114">
      <c r="A1114" s="106" t="inlineStr">
        <is>
          <t xml:space="preserve">ТОШКЕНТ ШАХРИ</t>
        </is>
      </c>
      <c r="C1114" s="106" t="inlineStr">
        <is>
          <t xml:space="preserve">Недозвон</t>
        </is>
      </c>
      <c r="D1114" s="106" t="inlineStr">
        <is>
          <t xml:space="preserve">Кр-99033538-1</t>
        </is>
      </c>
      <c r="E1114" s="106" t="inlineStr">
        <is>
          <t xml:space="preserve">HAMROQULOV SANJAR QURBONOVICH</t>
        </is>
      </c>
      <c r="F1114" s="106" t="inlineStr">
        <is>
          <t xml:space="preserve">998973000017 SMS O’ZI, 998900077707 SMS UKASI, 998960677772 SMS O’ZI 2,</t>
        </is>
      </c>
      <c r="G1114" s="106" t="inlineStr">
        <is>
          <t xml:space="preserve">TOSHKENT SHAHAR SHAYXONTOXUR TUMANI TAXTAPUL MFY TURKKURGON KO’CHASI 71-UY 12-XONADON</t>
        </is>
      </c>
      <c r="H1114" s="107">
        <v>4.0</v>
      </c>
      <c r="I1114" s="107">
        <v>10715973.59</v>
      </c>
    </row>
    <row r="1115">
      <c r="A1115" s="106" t="inlineStr">
        <is>
          <t xml:space="preserve">ТОШКЕНТ ШАХРИ</t>
        </is>
      </c>
      <c r="C1115" s="106" t="inlineStr">
        <is>
          <t xml:space="preserve">Недозвон</t>
        </is>
      </c>
      <c r="D1115" s="106" t="inlineStr">
        <is>
          <t xml:space="preserve">Кр-99040899-2</t>
        </is>
      </c>
      <c r="E1115" s="106" t="inlineStr">
        <is>
          <t xml:space="preserve">PAK NADEJDA  ANDREYEVNA</t>
        </is>
      </c>
      <c r="F1115" s="106" t="inlineStr">
        <is>
          <t xml:space="preserve">998906041146 SMS OZI, 998901680304 SMS OGLI, 998990673231 SMS BOJASI,</t>
        </is>
      </c>
      <c r="G1115" s="106" t="inlineStr">
        <is>
          <t xml:space="preserve">TOSHKENT SHAHRI SERGELI TUMANI, XALQABOD MFY, QO’YLIQ 5 MAVZESI, 55 UY, 19 KVARTIRA  </t>
        </is>
      </c>
      <c r="H1115" s="107">
        <v>11.0</v>
      </c>
      <c r="I1115" s="107">
        <v>10619468.96</v>
      </c>
    </row>
    <row r="1116">
      <c r="A1116" s="106" t="inlineStr">
        <is>
          <t xml:space="preserve">ТОШКЕНТ ШАХРИ</t>
        </is>
      </c>
      <c r="C1116" s="106" t="inlineStr">
        <is>
          <t xml:space="preserve">Недозвон</t>
        </is>
      </c>
      <c r="D1116" s="106" t="inlineStr">
        <is>
          <t xml:space="preserve">Кр-99035609-1</t>
        </is>
      </c>
      <c r="E1116" s="106" t="inlineStr">
        <is>
          <t xml:space="preserve">SULTANOV UMID GAYRAT O’G’LI</t>
        </is>
      </c>
      <c r="F1116" s="106" t="inlineStr">
        <is>
          <t xml:space="preserve">998331393333 SMS O’ZI, 998951009336 SMS AYOLI yashamidi, 998333771963 SMS O’ZI 2, 998332491740 SMS ozi,</t>
        </is>
      </c>
      <c r="G1116" s="106" t="inlineStr">
        <is>
          <t xml:space="preserve">TOSHKENT SHAHAR UCHTEPA TUMANI 30-MAVZE,24-UY,42-XONADON</t>
        </is>
      </c>
      <c r="H1116" s="107">
        <v>97.0</v>
      </c>
      <c r="I1116" s="107">
        <v>10076754.86</v>
      </c>
    </row>
    <row r="1117">
      <c r="A1117" s="106" t="inlineStr">
        <is>
          <t xml:space="preserve">ТОШКЕНТ ШАХРИ</t>
        </is>
      </c>
      <c r="C1117" s="106" t="inlineStr">
        <is>
          <t xml:space="preserve">Недозвон</t>
        </is>
      </c>
      <c r="D1117" s="106" t="inlineStr">
        <is>
          <t xml:space="preserve">Кр-99062789-3</t>
        </is>
      </c>
      <c r="E1117" s="106" t="inlineStr">
        <is>
          <t xml:space="preserve">NAZAROV ISMOIL USMONOVICH</t>
        </is>
      </c>
      <c r="F1117" s="106" t="inlineStr">
        <is>
          <t xml:space="preserve">998904217777 SMS AKASI, 998917752745 SMS OZI, 998997540300 SMS DADASI,</t>
        </is>
      </c>
      <c r="G1117" s="106" t="inlineStr">
        <is>
          <t xml:space="preserve">TOSHKENT SHAHAR UCHTEPA TUAMNI 26-MAVZE 25-KVARTIRA</t>
        </is>
      </c>
      <c r="H1117" s="107">
        <v>11.0</v>
      </c>
      <c r="I1117" s="107">
        <v>9328026.23</v>
      </c>
    </row>
    <row r="1118">
      <c r="A1118" s="106" t="inlineStr">
        <is>
          <t xml:space="preserve">ТОШКЕНТ ШАХРИ</t>
        </is>
      </c>
      <c r="C1118" s="106" t="inlineStr">
        <is>
          <t xml:space="preserve">Недозвон</t>
        </is>
      </c>
      <c r="D1118" s="106" t="inlineStr">
        <is>
          <t xml:space="preserve">Кр-99033616-2</t>
        </is>
      </c>
      <c r="E1118" s="106" t="inlineStr">
        <is>
          <t xml:space="preserve">AKBAROV SHAMSHODBEK SANJAR O’G’LI</t>
        </is>
      </c>
      <c r="F1118" s="106" t="inlineStr">
        <is>
          <t xml:space="preserve">998992828111 SMS O’ZI , 998200000019 SMS AKASI, 998999986679 SMS AKASI 2, 998019500172 SMS O’ZI 2,</t>
        </is>
      </c>
      <c r="G1118" s="106" t="inlineStr">
        <is>
          <t xml:space="preserve">TOSHKENT SHAHAR YUNUSOBOD TUMANI AMIR TEMUR KO'CHASI 2,</t>
        </is>
      </c>
      <c r="H1118" s="107">
        <v>11.0</v>
      </c>
      <c r="I1118" s="107">
        <v>9233891.58</v>
      </c>
    </row>
    <row r="1119">
      <c r="A1119" s="106" t="inlineStr">
        <is>
          <t xml:space="preserve">ТОШКЕНТ ШАХРИ</t>
        </is>
      </c>
      <c r="C1119" s="106" t="inlineStr">
        <is>
          <t xml:space="preserve">Недозвон</t>
        </is>
      </c>
      <c r="D1119" s="106" t="inlineStr">
        <is>
          <t xml:space="preserve">Кр-99048651-2</t>
        </is>
      </c>
      <c r="E1119" s="106" t="inlineStr">
        <is>
          <t xml:space="preserve">QAMBAROVA NODIRA ABDUMALIK QIZI</t>
        </is>
      </c>
      <c r="F1119" s="106" t="inlineStr">
        <is>
          <t xml:space="preserve">998900940110 SMS OZI, 998903212619 SMS ONASI, 998903940110 sms o’zi, 998931800994 SMS AKASI,</t>
        </is>
      </c>
      <c r="G1119" s="106" t="inlineStr">
        <is>
          <t xml:space="preserve">Учтепа, улугбек кучаси, 6 проезд, 7 уй,</t>
        </is>
      </c>
      <c r="H1119" s="107">
        <v>11.0</v>
      </c>
      <c r="I1119" s="107">
        <v>9174418.63</v>
      </c>
    </row>
    <row r="1120">
      <c r="A1120" s="106" t="inlineStr">
        <is>
          <t xml:space="preserve">ТОШКЕНТ ШАХРИ</t>
        </is>
      </c>
      <c r="C1120" s="106" t="inlineStr">
        <is>
          <t xml:space="preserve">Недозвон</t>
        </is>
      </c>
      <c r="D1120" s="106" t="inlineStr">
        <is>
          <t xml:space="preserve">Кр-99030050-2</t>
        </is>
      </c>
      <c r="E1120" s="106" t="inlineStr">
        <is>
          <t xml:space="preserve">MASUDOV RAXMATJON RAXIMDJANOVICH</t>
        </is>
      </c>
      <c r="F1120" s="106" t="inlineStr">
        <is>
          <t xml:space="preserve">90-920-54-44 SMS O'ZI, 90-902-54-44  SMS AYOLI, 94-652-54-44  SMS O'ZI, 71-247-19-44  SMS UYINIKI,</t>
        </is>
      </c>
      <c r="G1120" s="106" t="inlineStr">
        <is>
          <t xml:space="preserve">TOSHKENT SHAHAR UCHTEPA TUMANI MEXMONDO’ST KO’CHASI 6A-UY</t>
        </is>
      </c>
      <c r="H1120" s="107">
        <v>71.0</v>
      </c>
      <c r="I1120" s="107">
        <v>9150947.69</v>
      </c>
    </row>
    <row r="1121">
      <c r="A1121" s="106" t="inlineStr">
        <is>
          <t xml:space="preserve">ТОШКЕНТ ШАХРИ</t>
        </is>
      </c>
      <c r="C1121" s="106" t="inlineStr">
        <is>
          <t xml:space="preserve">Недозвон</t>
        </is>
      </c>
      <c r="D1121" s="106" t="inlineStr">
        <is>
          <t xml:space="preserve">Кр-99028656-1</t>
        </is>
      </c>
      <c r="E1121" s="106" t="inlineStr">
        <is>
          <t xml:space="preserve">UMARQULOV JASURBEK QAXROMON O’G’LI</t>
        </is>
      </c>
      <c r="F1121" s="106" t="inlineStr">
        <is>
          <t xml:space="preserve">99 096-00-96   SMS O'ZI, 33-000-33-96  SMS OZI 2, 98-707-96-90  SMS OZI 3, 93-571-60-93  SMS AKASI JAHONGIR,</t>
        </is>
      </c>
      <c r="G1121" s="106" t="inlineStr">
        <is>
          <t xml:space="preserve">TOSHKENT SHAHAR SERGILI TUMANI OLTIN VODIY KOCHASI 11-UY 14 XONADON</t>
        </is>
      </c>
      <c r="H1121" s="107">
        <v>151.0</v>
      </c>
      <c r="I1121" s="107">
        <v>9089515.26</v>
      </c>
      <c r="K1121" s="106" t="inlineStr">
        <is>
          <t xml:space="preserve">Telefon ko'tarmadi | muammo</t>
        </is>
      </c>
    </row>
    <row r="1122">
      <c r="A1122" s="106" t="inlineStr">
        <is>
          <t xml:space="preserve">ТОШКЕНТ ШАХРИ</t>
        </is>
      </c>
      <c r="C1122" s="106" t="inlineStr">
        <is>
          <t xml:space="preserve">Недозвон</t>
        </is>
      </c>
      <c r="D1122" s="106" t="inlineStr">
        <is>
          <t xml:space="preserve">Кр-99063090-1</t>
        </is>
      </c>
      <c r="E1122" s="106" t="inlineStr">
        <is>
          <t xml:space="preserve">RUSTAMOV JASURBEK QIYOMOVICH</t>
        </is>
      </c>
      <c r="F1122" s="106" t="inlineStr">
        <is>
          <t xml:space="preserve">998978682627 SMS OZI, 998939697577 SMS JIYANI, 998730003572 SMS JIYANI 2, 998500036005 SMS AKASI,</t>
        </is>
      </c>
      <c r="G1122" s="106" t="inlineStr">
        <is>
          <t xml:space="preserve">TOSHKENT SHAHAR SHAYXONTOXUR TUMANI TAXTAPUL MFY ZULFIYAXONIM KO’CHASI 29-UY,19-XONADON</t>
        </is>
      </c>
      <c r="H1122" s="107">
        <v>41.0</v>
      </c>
      <c r="I1122" s="107">
        <v>8816978.06</v>
      </c>
    </row>
    <row r="1123">
      <c r="A1123" s="106" t="inlineStr">
        <is>
          <t xml:space="preserve">ТОШКЕНТ ШАХРИ</t>
        </is>
      </c>
      <c r="C1123" s="106" t="inlineStr">
        <is>
          <t xml:space="preserve">Недозвон</t>
        </is>
      </c>
      <c r="D1123" s="106" t="inlineStr">
        <is>
          <t xml:space="preserve">Кр-99037575-2</t>
        </is>
      </c>
      <c r="E1123" s="106" t="inlineStr">
        <is>
          <t xml:space="preserve">AZIMXODJAYEV BEXZOD DJAMALITDINOVICH</t>
        </is>
      </c>
      <c r="F1123" s="106" t="inlineStr">
        <is>
          <t xml:space="preserve">998998400008 SMS OZI, 998977071020 SMS DO’ST, 998977469176 SMS DOSTI 2, 998930906353 SMS OZI 2,</t>
        </is>
      </c>
      <c r="G1123" s="106" t="inlineStr">
        <is>
          <t xml:space="preserve">TOSHKENT SHAHAR OLMAZOR TUMANI, YANGI TOSHKENT MFY,KELES O’LI 15-UY</t>
        </is>
      </c>
      <c r="H1123" s="107">
        <v>8.0</v>
      </c>
      <c r="I1123" s="107">
        <v>8720846.0</v>
      </c>
    </row>
    <row r="1124">
      <c r="A1124" s="106" t="inlineStr">
        <is>
          <t xml:space="preserve">ТОШКЕНТ ШАХРИ</t>
        </is>
      </c>
      <c r="C1124" s="106" t="inlineStr">
        <is>
          <t xml:space="preserve">Недозвон</t>
        </is>
      </c>
      <c r="D1124" s="106" t="inlineStr">
        <is>
          <t xml:space="preserve">Кр-99038626-1</t>
        </is>
      </c>
      <c r="E1124" s="106" t="inlineStr">
        <is>
          <t xml:space="preserve">ORZIKULOVA GULMIRA NEMATULLOYEVNA</t>
        </is>
      </c>
      <c r="F1124" s="106" t="inlineStr">
        <is>
          <t xml:space="preserve">998911626688 SMS OZI, 998930046000 SMS QAYNISI, 998974640109 SMS QAYNISI, 998975488082 SMS AKASI,</t>
        </is>
      </c>
      <c r="G1124" s="106" t="inlineStr">
        <is>
          <t xml:space="preserve">TOSHKENT SHAHAR MIRZO ULUG’BEK TUMANI MUNAVVAR QORI MFY, CHULDARAXT KO’CHASI 2-UY, 3-XONADON</t>
        </is>
      </c>
      <c r="H1124" s="107">
        <v>74.0</v>
      </c>
      <c r="I1124" s="107">
        <v>8622176.93</v>
      </c>
    </row>
    <row r="1125">
      <c r="A1125" s="106" t="inlineStr">
        <is>
          <t xml:space="preserve">ТОШКЕНТ ШАХРИ</t>
        </is>
      </c>
      <c r="C1125" s="106" t="inlineStr">
        <is>
          <t xml:space="preserve">Недозвон</t>
        </is>
      </c>
      <c r="D1125" s="106" t="inlineStr">
        <is>
          <t xml:space="preserve">Кр-99002959-7</t>
        </is>
      </c>
      <c r="E1125" s="106" t="inlineStr">
        <is>
          <t xml:space="preserve">YULDASHEVA NARGIZA TULKUNOVNA</t>
        </is>
      </c>
      <c r="F1125" s="106" t="inlineStr">
        <is>
          <t xml:space="preserve">998993955070 SMS ozi, 91-190-50-70 ozi , 99-395-50-70 ozi , 90-160-57-69 SMS QIZLARI BIBSORA   бегона,</t>
        </is>
      </c>
      <c r="G1125" s="106" t="inlineStr">
        <is>
          <t xml:space="preserve">TOSHKENT SHAHAR OLMAZOR TUMANI QORA QAMISH 2/1 38 UY 70 XONADON</t>
        </is>
      </c>
      <c r="H1125" s="107">
        <v>8.0</v>
      </c>
      <c r="I1125" s="107">
        <v>8527898.33</v>
      </c>
    </row>
    <row r="1126">
      <c r="A1126" s="106" t="inlineStr">
        <is>
          <t xml:space="preserve">ТОШКЕНТ ШАХРИ</t>
        </is>
      </c>
      <c r="C1126" s="106" t="inlineStr">
        <is>
          <t xml:space="preserve">Недозвон</t>
        </is>
      </c>
      <c r="D1126" s="106" t="inlineStr">
        <is>
          <t xml:space="preserve">Кр-99025906-4</t>
        </is>
      </c>
      <c r="E1126" s="106" t="inlineStr">
        <is>
          <t xml:space="preserve">KARIMOV YUNUS AZIZOVICH</t>
        </is>
      </c>
      <c r="F1126" s="106" t="inlineStr">
        <is>
          <t xml:space="preserve">33-860-08-88  SMS OZI, 97-717-87-65 SMS BAXTIYOR AKA, 90-000-80-07 SMS MUZAFFAR AKA, 71-253-99-31 SMS UYI,</t>
        </is>
      </c>
      <c r="G1126" s="106" t="inlineStr">
        <is>
          <t xml:space="preserve">TOSHKENT SHAHRI YAKKASAROY TUMANI MUQUMIY MFY XAMSHRA KO'CHASI 38-UY</t>
        </is>
      </c>
      <c r="H1126" s="107">
        <v>1.0</v>
      </c>
      <c r="I1126" s="107">
        <v>7848840.89</v>
      </c>
    </row>
    <row r="1127">
      <c r="A1127" s="106" t="inlineStr">
        <is>
          <t xml:space="preserve">ТОШКЕНТ ШАХРИ</t>
        </is>
      </c>
      <c r="C1127" s="106" t="inlineStr">
        <is>
          <t xml:space="preserve">Недозвон</t>
        </is>
      </c>
      <c r="D1127" s="106" t="inlineStr">
        <is>
          <t xml:space="preserve">Кр-99033708-1</t>
        </is>
      </c>
      <c r="E1127" s="106" t="inlineStr">
        <is>
          <t xml:space="preserve">XURRAMOVA DILSHODA NORMUROT QIZI</t>
        </is>
      </c>
      <c r="F1127" s="106" t="inlineStr">
        <is>
          <t xml:space="preserve">998901300506 SMS O’ZI YUNUSOBOD BOZORDA ISHLIDI MEVA SOTADI , 998901231919 SMS QO’SHNISI, 998900606161 SMS QO’SHNISI, 998901789643 SMS ONASI,</t>
        </is>
      </c>
      <c r="G1127" s="106" t="inlineStr">
        <is>
          <t xml:space="preserve">TOSHKENT SHAHAR MIROBOD RAYONI QO’YLIQ 4 -  MASSIV 8 DOM 4-KVARTIRA</t>
        </is>
      </c>
      <c r="H1127" s="107">
        <v>89.0</v>
      </c>
      <c r="I1127" s="107">
        <v>7825008.05</v>
      </c>
    </row>
    <row r="1128">
      <c r="A1128" s="106" t="inlineStr">
        <is>
          <t xml:space="preserve">ТОШКЕНТ ШАХРИ</t>
        </is>
      </c>
      <c r="C1128" s="106" t="inlineStr">
        <is>
          <t xml:space="preserve">Недозвон</t>
        </is>
      </c>
      <c r="D1128" s="106" t="inlineStr">
        <is>
          <t xml:space="preserve">Кр-99025717-4</t>
        </is>
      </c>
      <c r="E1128" s="106" t="inlineStr">
        <is>
          <t xml:space="preserve">DJURAYEVA MUXABBAT SADIKOVNA</t>
        </is>
      </c>
      <c r="F1128" s="106" t="inlineStr">
        <is>
          <t xml:space="preserve">97-035-30-39  SMS KELINI TIKUVCHI , 88-707-30-38 SMS OGLI TULOVCHISI DOSTAVKADA ISHLIDI , 90-008-34-10  SMS OZI TIKUVCHI , 90-922-24-00 SMS OGLI DOSTAVKADA ISHLIDI , 998887444644 SMS OGLI TULOVCHI YANGI DOSTAVKADA ISHLIDI ,</t>
        </is>
      </c>
      <c r="G1128" s="106" t="inlineStr">
        <is>
          <t xml:space="preserve">Ислом ота МФЙ, Кора-Камиш 1/2 мавзеси, 10а-уй, 32-хонадон</t>
        </is>
      </c>
      <c r="H1128" s="107">
        <v>41.0</v>
      </c>
      <c r="I1128" s="107">
        <v>7695719.99</v>
      </c>
    </row>
    <row r="1129">
      <c r="A1129" s="106" t="inlineStr">
        <is>
          <t xml:space="preserve">ТОШКЕНТ ШАХРИ</t>
        </is>
      </c>
      <c r="C1129" s="106" t="inlineStr">
        <is>
          <t xml:space="preserve">Недозвон</t>
        </is>
      </c>
      <c r="D1129" s="106" t="inlineStr">
        <is>
          <t xml:space="preserve">Кр-99037022-3</t>
        </is>
      </c>
      <c r="E1129" s="106" t="inlineStr">
        <is>
          <t xml:space="preserve">SODIQOV ULUG’BEK ZIYODULLA O’GLI</t>
        </is>
      </c>
      <c r="F1129" s="106" t="inlineStr">
        <is>
          <t xml:space="preserve">998935740900 SMS OZI, 998971017799 SMS AKASI, 998900037531 SMS AKASI, 998909707175 SMS AKASI, 998909707571 SMS uzi ulug’bek new,</t>
        </is>
      </c>
      <c r="G1129" s="106" t="inlineStr">
        <is>
          <t xml:space="preserve">TOSHKENT SHAHAR YASHNOBOD TUMANI 2-AVIASOZLAR MAVZESI 26-UY 66- XONADON</t>
        </is>
      </c>
      <c r="H1129" s="107">
        <v>12.0</v>
      </c>
      <c r="I1129" s="107">
        <v>7637944.48</v>
      </c>
    </row>
    <row r="1130">
      <c r="A1130" s="106" t="inlineStr">
        <is>
          <t xml:space="preserve">ТОШКЕНТ ШАХРИ</t>
        </is>
      </c>
      <c r="C1130" s="106" t="inlineStr">
        <is>
          <t xml:space="preserve">Недозвон</t>
        </is>
      </c>
      <c r="D1130" s="106" t="inlineStr">
        <is>
          <t xml:space="preserve">Кр-99055221-3</t>
        </is>
      </c>
      <c r="E1130" s="106" t="inlineStr">
        <is>
          <t xml:space="preserve">ASQAROVA MUNISA ABRORJON QIZI</t>
        </is>
      </c>
      <c r="F1130" s="106" t="inlineStr">
        <is>
          <t xml:space="preserve">998998462022 SMS MASHINA EGASI, 998779759505 SMS OZI, 998903462022 SMS AMAKASI, 998996477783 SMS ONASI,</t>
        </is>
      </c>
      <c r="G1130" s="106" t="inlineStr">
        <is>
          <t xml:space="preserve">ТОШКЕНТ ШАХРИ ОЛМАЗОР ТУМАНИ ИБРОХИМ ОТА МФЙ, ЧУҚУРСОЙ КЎЧАСИ,  uy:106</t>
        </is>
      </c>
      <c r="H1130" s="107">
        <v>8.0</v>
      </c>
      <c r="I1130" s="107">
        <v>7589309.19</v>
      </c>
    </row>
    <row r="1131">
      <c r="A1131" s="106" t="inlineStr">
        <is>
          <t xml:space="preserve">ТОШКЕНТ ШАХРИ</t>
        </is>
      </c>
      <c r="C1131" s="106" t="inlineStr">
        <is>
          <t xml:space="preserve">Недозвон</t>
        </is>
      </c>
      <c r="D1131" s="106" t="inlineStr">
        <is>
          <t xml:space="preserve">Кр-99042127-1</t>
        </is>
      </c>
      <c r="E1131" s="106" t="inlineStr">
        <is>
          <t xml:space="preserve">ABDULLAYEVA SHAXLO SHARIFJONOVNA</t>
        </is>
      </c>
      <c r="F1131" s="106" t="inlineStr">
        <is>
          <t xml:space="preserve">998953205678 SMS OZI begona , 998909813239 SMS ozi , 998946449886 SMS ogli , 998917829977 SMS eri ,</t>
        </is>
      </c>
      <c r="G1131" s="106" t="inlineStr">
        <is>
          <t xml:space="preserve">TOSHKENT SHAHAR YUNUSOBOD TUMANI TIKLANISH MFY TIKLANISH PROEZD 6 KOCHASI 2-UY</t>
        </is>
      </c>
      <c r="H1131" s="107">
        <v>8.0</v>
      </c>
      <c r="I1131" s="107">
        <v>7560282.78</v>
      </c>
    </row>
    <row r="1132">
      <c r="A1132" s="106" t="inlineStr">
        <is>
          <t xml:space="preserve">ТОШКЕНТ ШАХРИ</t>
        </is>
      </c>
      <c r="C1132" s="106" t="inlineStr">
        <is>
          <t xml:space="preserve">Объезд</t>
        </is>
      </c>
      <c r="D1132" s="106" t="inlineStr">
        <is>
          <t xml:space="preserve">Кр-99062871-2</t>
        </is>
      </c>
      <c r="E1132" s="106" t="inlineStr">
        <is>
          <t xml:space="preserve">YUGAY ANDREY VITALEVICH</t>
        </is>
      </c>
      <c r="F1132" s="106" t="inlineStr">
        <is>
          <t xml:space="preserve">998771690087 SMS AKASI, 998971327478 SMS SINGLISI, 998991350078 SMS UKASI, 998996382633 SMS AYOLI,</t>
        </is>
      </c>
      <c r="G1132" s="106" t="inlineStr">
        <is>
          <t xml:space="preserve">TOSHKENT SHAHAR YASHNOBOD TUMANI 1-TUZEL MAVZESI 33-UY 40-XONADON</t>
        </is>
      </c>
      <c r="H1132" s="107">
        <v>8.0</v>
      </c>
      <c r="I1132" s="107">
        <v>7380474.55</v>
      </c>
      <c r="K1132" s="106" t="inlineStr">
        <is>
          <t xml:space="preserve">Uyiga borildi - va'da berdi</t>
        </is>
      </c>
    </row>
    <row r="1133">
      <c r="A1133" s="106" t="inlineStr">
        <is>
          <t xml:space="preserve">ТОШКЕНТ ШАХРИ</t>
        </is>
      </c>
      <c r="C1133" s="106" t="inlineStr">
        <is>
          <t xml:space="preserve">Недозвон</t>
        </is>
      </c>
      <c r="D1133" s="106" t="inlineStr">
        <is>
          <t xml:space="preserve">Кр-99026854-2</t>
        </is>
      </c>
      <c r="E1133" s="106" t="inlineStr">
        <is>
          <t xml:space="preserve">XOLMUXAMEDOV DAVRON ZOKIR O’G’LI</t>
        </is>
      </c>
      <c r="F1133" s="106" t="inlineStr">
        <is>
          <t xml:space="preserve">94-397-88-88  SMS OZI, 94-697-64-34  SMS JIYANI ( BEGANA), 90-021-64-34  SMS OZI 2, 99-049-79-86  SMS UY, 998940331622 SMS UZI SHUNGA QILINSIN ,</t>
        </is>
      </c>
      <c r="G1133" s="106" t="inlineStr">
        <is>
          <t xml:space="preserve">КЎКЧА ОҚТЕПА МФЙ, АЛИ КУШЧИ КЎЧАСИ,  uy:1</t>
        </is>
      </c>
      <c r="H1133" s="107">
        <v>8.0</v>
      </c>
      <c r="I1133" s="107">
        <v>7351404.33</v>
      </c>
    </row>
    <row r="1134">
      <c r="A1134" s="106" t="inlineStr">
        <is>
          <t xml:space="preserve">ТОШКЕНТ ШАХРИ</t>
        </is>
      </c>
      <c r="C1134" s="106" t="inlineStr">
        <is>
          <t xml:space="preserve">Недозвон</t>
        </is>
      </c>
      <c r="D1134" s="106" t="inlineStr">
        <is>
          <t xml:space="preserve">Кр-99032984-2</t>
        </is>
      </c>
      <c r="E1134" s="106" t="inlineStr">
        <is>
          <t xml:space="preserve">SIDIQOVA ROBIYA OLIMJON QIZI</t>
        </is>
      </c>
      <c r="F1134" s="106" t="inlineStr">
        <is>
          <t xml:space="preserve">998998259350 SMS O’ZI, 998998828363 SMS DADASI, 998946294001 SMS OYISI,</t>
        </is>
      </c>
      <c r="G1134" s="106" t="inlineStr">
        <is>
          <t xml:space="preserve">TOSHKENT SHAHAR SHAYXONTOHUR TUMANI SAMARQAND DARVOZA MAVZESI DARVOZA TOR KO’CHASI 38E-UY</t>
        </is>
      </c>
      <c r="H1134" s="107">
        <v>5.0</v>
      </c>
      <c r="I1134" s="107">
        <v>7311869.19</v>
      </c>
    </row>
    <row r="1135">
      <c r="A1135" s="106" t="inlineStr">
        <is>
          <t xml:space="preserve">ТОШКЕНТ ШАХРИ</t>
        </is>
      </c>
      <c r="C1135" s="106" t="inlineStr">
        <is>
          <t xml:space="preserve">Недозвон</t>
        </is>
      </c>
      <c r="D1135" s="106" t="inlineStr">
        <is>
          <t xml:space="preserve">Кр-99036167-2</t>
        </is>
      </c>
      <c r="E1135" s="106" t="inlineStr">
        <is>
          <t xml:space="preserve">AXMEDOV BOTIR YULDASHEVICH</t>
        </is>
      </c>
      <c r="F1135" s="106" t="inlineStr">
        <is>
          <t xml:space="preserve">998998200012 SMS O’ZI , 998710500122 SMS O’ZI 2, 998903165191 SMS AYOLI , 998990952222 SMS O’G’LI ,</t>
        </is>
      </c>
      <c r="G1135" s="106" t="inlineStr">
        <is>
          <t xml:space="preserve">TOSHKENT SHAHAR SIRG’ALI TUMANI YANGI TURMUSH 5-TOR KO’CHASI 25-UY</t>
        </is>
      </c>
      <c r="H1135" s="107">
        <v>75.0</v>
      </c>
      <c r="I1135" s="107">
        <v>7102896.15</v>
      </c>
      <c r="K1135" s="106" t="inlineStr">
        <is>
          <t xml:space="preserve">Telefon ko'tarmadi | muammo</t>
        </is>
      </c>
    </row>
    <row r="1136">
      <c r="A1136" s="106" t="inlineStr">
        <is>
          <t xml:space="preserve">ТОШКЕНТ ШАХРИ</t>
        </is>
      </c>
      <c r="C1136" s="106" t="inlineStr">
        <is>
          <t xml:space="preserve">Недозвон</t>
        </is>
      </c>
      <c r="D1136" s="106" t="inlineStr">
        <is>
          <t xml:space="preserve">Кр-99063113-1</t>
        </is>
      </c>
      <c r="E1136" s="106" t="inlineStr">
        <is>
          <t xml:space="preserve">MAXMUDJONOV ZIYO MA’RUFJON O’G’LI</t>
        </is>
      </c>
      <c r="F1136" s="106" t="inlineStr">
        <is>
          <t xml:space="preserve">998971851991 OZI, 998938031991 AYOLI, 998940071900 FARRUX QARINDOSHI,</t>
        </is>
      </c>
      <c r="G1136" s="106" t="inlineStr">
        <is>
          <t xml:space="preserve">TOSHKENT SHAHAR YAKKASAROY TUMANI QUSHBEGI MFY SOLAR KO’CHASI 10-UY, 93 XONADON</t>
        </is>
      </c>
      <c r="H1136" s="107">
        <v>8.0</v>
      </c>
      <c r="I1136" s="107">
        <v>6807801.36</v>
      </c>
    </row>
    <row r="1137">
      <c r="A1137" s="106" t="inlineStr">
        <is>
          <t xml:space="preserve">ТОШКЕНТ ШАХРИ</t>
        </is>
      </c>
      <c r="C1137" s="106" t="inlineStr">
        <is>
          <t xml:space="preserve">Недозвон</t>
        </is>
      </c>
      <c r="D1137" s="106" t="inlineStr">
        <is>
          <t xml:space="preserve">Кр-99034856-3</t>
        </is>
      </c>
      <c r="E1137" s="106" t="inlineStr">
        <is>
          <t xml:space="preserve">DJUMAYEV IXTIYOR JAMGIROVICH</t>
        </is>
      </c>
      <c r="F1137" s="106" t="inlineStr">
        <is>
          <t xml:space="preserve">998900143883 SMS O’ZI, 998909450954 SMS AYOLI, 998953136661 SMS QIZI, 998947575888 SMS O’G’LI, 998935392278 SMS OGLI NEW,</t>
        </is>
      </c>
      <c r="G1137" s="106" t="inlineStr">
        <is>
          <t xml:space="preserve">TOSHKENT SHAHAR SIRG’ALI TUMANI MADANIYAT MFY,KUYLYUK 5-MAVZESI, 13-UY, 23-XONADON </t>
        </is>
      </c>
      <c r="H1137" s="107">
        <v>11.0</v>
      </c>
      <c r="I1137" s="107">
        <v>6748071.45</v>
      </c>
    </row>
    <row r="1138">
      <c r="A1138" s="106" t="inlineStr">
        <is>
          <t xml:space="preserve">ТОШКЕНТ ШАХРИ</t>
        </is>
      </c>
      <c r="C1138" s="106" t="inlineStr">
        <is>
          <t xml:space="preserve">Недозвон</t>
        </is>
      </c>
      <c r="D1138" s="106" t="inlineStr">
        <is>
          <t xml:space="preserve">Кр-99018233-5</t>
        </is>
      </c>
      <c r="E1138" s="106" t="inlineStr">
        <is>
          <t xml:space="preserve">XODJAYEV KAXRAMON ERKINOVICH</t>
        </is>
      </c>
      <c r="F1138" s="106" t="inlineStr">
        <is>
          <t xml:space="preserve">93-609-93-00  SMS OZI, 97-707-76-90  SMS OZI 2, 99-326-20-49  SMS O'G'LI, 33-322-11-20  SMS O'G'LI 2 , 97-888-41-01 SMS GAROVCHIS,</t>
        </is>
      </c>
      <c r="G1138" s="106" t="inlineStr">
        <is>
          <t xml:space="preserve">TOSHKENT SHAHRI OLMAZOR TUMANI SAG'BON, 30 BERK KO'CHASI 12 - 101- XONADON</t>
        </is>
      </c>
      <c r="H1138" s="107">
        <v>8.0</v>
      </c>
      <c r="I1138" s="107">
        <v>6679696.16</v>
      </c>
    </row>
    <row r="1139">
      <c r="A1139" s="106" t="inlineStr">
        <is>
          <t xml:space="preserve">ТОШКЕНТ ШАХРИ</t>
        </is>
      </c>
      <c r="C1139" s="106" t="inlineStr">
        <is>
          <t xml:space="preserve">Недозвон</t>
        </is>
      </c>
      <c r="D1139" s="106" t="inlineStr">
        <is>
          <t xml:space="preserve">Кр-99057585-1</t>
        </is>
      </c>
      <c r="E1139" s="106" t="inlineStr">
        <is>
          <t xml:space="preserve">OLTIYEV XABIBULLO ZIYODULLOYEVICH</t>
        </is>
      </c>
      <c r="F1139" s="106" t="inlineStr">
        <is>
          <t xml:space="preserve">998874126686 SMS UZI, 998991216686 SMS UGLI,</t>
        </is>
      </c>
      <c r="G1139" s="106" t="inlineStr">
        <is>
          <t xml:space="preserve">TOSHKENT SHAHAR YUNUSOBOD TUMANI XASANBOY MFY KATTA SOY KOCHASI 20-UY</t>
        </is>
      </c>
      <c r="H1139" s="107">
        <v>8.0</v>
      </c>
      <c r="I1139" s="107">
        <v>6674861.65</v>
      </c>
      <c r="K1139" s="106" t="inlineStr">
        <is>
          <t xml:space="preserve">Telefon ko'tarmadi | moshina bizada</t>
        </is>
      </c>
    </row>
    <row r="1140">
      <c r="A1140" s="106" t="inlineStr">
        <is>
          <t xml:space="preserve">ТОШКЕНТ ШАХРИ</t>
        </is>
      </c>
      <c r="C1140" s="106" t="inlineStr">
        <is>
          <t xml:space="preserve">Недозвон</t>
        </is>
      </c>
      <c r="D1140" s="106" t="inlineStr">
        <is>
          <t xml:space="preserve">Кр-99002540-1</t>
        </is>
      </c>
      <c r="E1140" s="106" t="inlineStr">
        <is>
          <t xml:space="preserve">MAXMAYEROV BAXTIYOR RUZIKULOVICH</t>
        </is>
      </c>
      <c r="F1140" s="106" t="inlineStr">
        <is>
          <t xml:space="preserve">998994014747 SMS OZI, 998974018448 SMS AYOLI, 998972930064 SMS ONASI, 998931548448 SMS QIZI,</t>
        </is>
      </c>
      <c r="G1140" s="106" t="inlineStr">
        <is>
          <t xml:space="preserve">TOSHKENT SHAHAR CHILONZOR TUMANI MEVAZOR MFY, MASHRAB KO’CHASI 58-UY, 35-XONADON</t>
        </is>
      </c>
      <c r="H1140" s="107">
        <v>1.0</v>
      </c>
      <c r="I1140" s="107">
        <v>6613612.46</v>
      </c>
    </row>
    <row r="1141">
      <c r="A1141" s="106" t="inlineStr">
        <is>
          <t xml:space="preserve">ТОШКЕНТ ШАХРИ</t>
        </is>
      </c>
      <c r="C1141" s="106" t="inlineStr">
        <is>
          <t xml:space="preserve">Недозвон</t>
        </is>
      </c>
      <c r="D1141" s="106" t="inlineStr">
        <is>
          <t xml:space="preserve">Кр-99047190-1</t>
        </is>
      </c>
      <c r="E1141" s="106" t="inlineStr">
        <is>
          <t xml:space="preserve">NIG’MATILLAYEV JAMSHIDBEK RUSTAMOVICH</t>
        </is>
      </c>
      <c r="F1141" s="106" t="inlineStr">
        <is>
          <t xml:space="preserve">998333330313 SMS O’ZI 2, 998335387777 SMS HAMKASBI, 998998885383 SMS DO’STI,</t>
        </is>
      </c>
      <c r="G1141" s="106" t="inlineStr">
        <is>
          <t xml:space="preserve">OLTINTEPA KO’CHASI 181-UY</t>
        </is>
      </c>
      <c r="H1141" s="107">
        <v>8.0</v>
      </c>
      <c r="I1141" s="107">
        <v>6515976.54</v>
      </c>
    </row>
    <row r="1142">
      <c r="A1142" s="106" t="inlineStr">
        <is>
          <t xml:space="preserve">ТОШКЕНТ ШАХРИ</t>
        </is>
      </c>
      <c r="C1142" s="106" t="inlineStr">
        <is>
          <t xml:space="preserve">Недозвон</t>
        </is>
      </c>
      <c r="D1142" s="106" t="inlineStr">
        <is>
          <t xml:space="preserve">Кр-99035605-1</t>
        </is>
      </c>
      <c r="E1142" s="106" t="inlineStr">
        <is>
          <t xml:space="preserve">MINGISHEV SARDOR OSTONOVICH</t>
        </is>
      </c>
      <c r="F1142" s="106" t="inlineStr">
        <is>
          <t xml:space="preserve">998901127364 SMS OZI, 999311273642 SMS OZI, 998999759777 SMS ISHXONA, 998505747364 SMS QIZI, 998903280305 SMS onasi,</t>
        </is>
      </c>
      <c r="G1142" s="106" t="inlineStr">
        <is>
          <t xml:space="preserve">TOSHKENT SHAHAR OLMAZOR TUMANI SHIFOKOR KO’CHAI 2G-UY</t>
        </is>
      </c>
      <c r="H1142" s="107">
        <v>50.0</v>
      </c>
      <c r="I1142" s="107">
        <v>6498937.88</v>
      </c>
    </row>
    <row r="1143">
      <c r="A1143" s="106" t="inlineStr">
        <is>
          <t xml:space="preserve">ТОШКЕНТ ШАХРИ</t>
        </is>
      </c>
      <c r="C1143" s="106" t="inlineStr">
        <is>
          <t xml:space="preserve">Недозвон</t>
        </is>
      </c>
      <c r="D1143" s="106" t="inlineStr">
        <is>
          <t xml:space="preserve">Кр-99036508-2</t>
        </is>
      </c>
      <c r="E1143" s="106" t="inlineStr">
        <is>
          <t xml:space="preserve">ALAYEVA XILOLA ABDUVALIYEVNA</t>
        </is>
      </c>
      <c r="F1143" s="106" t="inlineStr">
        <is>
          <t xml:space="preserve">998770557477 SMS OZI, 998507058393 SMS OPASI, 998504044662 SMS O’G’LI, 998994704544 SMS OTASI, +998770557477 Primary phone from road24,</t>
        </is>
      </c>
      <c r="G1143" s="106" t="inlineStr">
        <is>
          <t xml:space="preserve">TOSHKENT VILOYATI TOSHKENT TUMANI KIZGALDOK KFY KELES YULI KO’CHASI 180-UY B-BLOK 3-XONADON</t>
        </is>
      </c>
      <c r="H1143" s="107">
        <v>8.0</v>
      </c>
      <c r="I1143" s="107">
        <v>6335361.31</v>
      </c>
    </row>
    <row r="1144">
      <c r="A1144" s="106" t="inlineStr">
        <is>
          <t xml:space="preserve">ТОШКЕНТ ШАХРИ</t>
        </is>
      </c>
      <c r="C1144" s="106" t="inlineStr">
        <is>
          <t xml:space="preserve">Недозвон</t>
        </is>
      </c>
      <c r="D1144" s="106" t="inlineStr">
        <is>
          <t xml:space="preserve">Кр-99027829-3</t>
        </is>
      </c>
      <c r="E1144" s="106" t="inlineStr">
        <is>
          <t xml:space="preserve">MUXAMADJANOVA MUXABBAT FARUXOVNA</t>
        </is>
      </c>
      <c r="F1144" s="106" t="inlineStr">
        <is>
          <t xml:space="preserve">+998998550503 SMS OZI, 998998251505 SMS ONASI,</t>
        </is>
      </c>
      <c r="G1144" s="106" t="inlineStr">
        <is>
          <t xml:space="preserve">ХОНЧОРБОГ МФЙ, ШИМОЛИЙ ОЛМАЗОР ДАХАСИ,  uy:1 xonadon:12</t>
        </is>
      </c>
      <c r="H1144" s="107">
        <v>8.0</v>
      </c>
      <c r="I1144" s="107">
        <v>6332480.55</v>
      </c>
    </row>
    <row r="1145">
      <c r="A1145" s="106" t="inlineStr">
        <is>
          <t xml:space="preserve">ТОШКЕНТ ШАХРИ</t>
        </is>
      </c>
      <c r="C1145" s="106" t="inlineStr">
        <is>
          <t xml:space="preserve">Недозвон</t>
        </is>
      </c>
      <c r="D1145" s="106" t="inlineStr">
        <is>
          <t xml:space="preserve">Кр-99038161-1</t>
        </is>
      </c>
      <c r="E1145" s="106" t="inlineStr">
        <is>
          <t xml:space="preserve">BOZAROVA NAFISA ABDUSALOMOVNA</t>
        </is>
      </c>
      <c r="F1145" s="106" t="inlineStr">
        <is>
          <t xml:space="preserve">998774806787 SMS OZI, 998985604122 SMS OZI 2, 998998154476 SMS QIZI 2, 998991234567 SMS QIZI,</t>
        </is>
      </c>
      <c r="G1145" s="106" t="inlineStr">
        <is>
          <t xml:space="preserve">TOSHKENT SHAHAR SHAYXONTOXUR TUMANI BOG’ KO’CHASI,5-UY,43-XONADON</t>
        </is>
      </c>
      <c r="H1145" s="107">
        <v>1.0</v>
      </c>
      <c r="I1145" s="107">
        <v>6328897.28</v>
      </c>
    </row>
    <row r="1146">
      <c r="A1146" s="106" t="inlineStr">
        <is>
          <t xml:space="preserve">ТОШКЕНТ ШАХРИ</t>
        </is>
      </c>
      <c r="C1146" s="106" t="inlineStr">
        <is>
          <t xml:space="preserve">Недозвон</t>
        </is>
      </c>
      <c r="D1146" s="106" t="inlineStr">
        <is>
          <t xml:space="preserve">Кр-99039892-1</t>
        </is>
      </c>
      <c r="E1146" s="106" t="inlineStr">
        <is>
          <t xml:space="preserve">ATABEKOVA DILNOZA MUROD QIZI</t>
        </is>
      </c>
      <c r="F1146" s="106" t="inlineStr">
        <is>
          <t xml:space="preserve">+998770054745 SMS,</t>
        </is>
      </c>
      <c r="G1146" s="106" t="inlineStr">
        <is>
          <t xml:space="preserve">г. Ташкент, Янгихаётский район, 8-строительная территория, Орият МСГ, 49- Дом, 35- Квартира</t>
        </is>
      </c>
      <c r="H1146" s="107">
        <v>8.0</v>
      </c>
      <c r="I1146" s="107">
        <v>6263687.25</v>
      </c>
    </row>
    <row r="1147">
      <c r="A1147" s="106" t="inlineStr">
        <is>
          <t xml:space="preserve">ТОШКЕНТ ШАХРИ</t>
        </is>
      </c>
      <c r="C1147" s="106" t="inlineStr">
        <is>
          <t xml:space="preserve">Недозвон</t>
        </is>
      </c>
      <c r="D1147" s="106" t="inlineStr">
        <is>
          <t xml:space="preserve">Кр-99038776-2</t>
        </is>
      </c>
      <c r="E1147" s="106" t="inlineStr">
        <is>
          <t xml:space="preserve">AXMEDOVA ZUXRA UROQBAYEVNA</t>
        </is>
      </c>
      <c r="F1147" s="106" t="inlineStr">
        <is>
          <t xml:space="preserve">998994836460 SMS OZI, 998933787333 SMS ERI , 998988364602 SMS ERI 2,</t>
        </is>
      </c>
      <c r="G1147" s="106" t="inlineStr">
        <is>
          <t xml:space="preserve">TOSHKENT SHAHAR UCHTEPA TUMANI IIB </t>
        </is>
      </c>
      <c r="H1147" s="107">
        <v>1.0</v>
      </c>
      <c r="I1147" s="107">
        <v>6241102.61</v>
      </c>
    </row>
    <row r="1148">
      <c r="A1148" s="106" t="inlineStr">
        <is>
          <t xml:space="preserve">ТОШКЕНТ ШАХРИ</t>
        </is>
      </c>
      <c r="C1148" s="106" t="inlineStr">
        <is>
          <t xml:space="preserve">Недозвон</t>
        </is>
      </c>
      <c r="D1148" s="106" t="inlineStr">
        <is>
          <t xml:space="preserve">Кр-99028819-5</t>
        </is>
      </c>
      <c r="E1148" s="106" t="inlineStr">
        <is>
          <t xml:space="preserve">OLLAKULIYEVA GULANDAM SADULLAYEVNA</t>
        </is>
      </c>
      <c r="F1148" s="106" t="inlineStr">
        <is>
          <t xml:space="preserve">998931090558 SMS ERI ODILBEK  MCHSDA OTRYAD KOMANDIR, 998946974542 SMS O'ZI "SPORT JIHOZ LYUX" XUSUSIY KORXONA Tikuv sehi, 889970222882 SMS ERI 2, 998935892982 SMS OGLI Чилонэорда Адамарида ишлиркан ,</t>
        </is>
      </c>
      <c r="G1148" s="106" t="inlineStr">
        <is>
          <t xml:space="preserve">TOSHKENT SHAHAR YASHNOBOD TUMANI TUZEL MFY 1-TUZEL MAVZESI 40-UY 32-XONADON</t>
        </is>
      </c>
      <c r="H1148" s="107">
        <v>8.0</v>
      </c>
      <c r="I1148" s="107">
        <v>6200376.1</v>
      </c>
    </row>
    <row r="1149">
      <c r="A1149" s="106" t="inlineStr">
        <is>
          <t xml:space="preserve">ТОШКЕНТ ШАХРИ</t>
        </is>
      </c>
      <c r="C1149" s="106" t="inlineStr">
        <is>
          <t xml:space="preserve">Недозвон</t>
        </is>
      </c>
      <c r="D1149" s="106" t="inlineStr">
        <is>
          <t xml:space="preserve">Кр-99035848-4</t>
        </is>
      </c>
      <c r="E1149" s="106" t="inlineStr">
        <is>
          <t xml:space="preserve">JURAYEV MUXTOR KENJA O’G’LI</t>
        </is>
      </c>
      <c r="F1149" s="106" t="inlineStr">
        <is>
          <t xml:space="preserve">998909469393 SMS O’ZI , 998935569393 SMS O’ZI 2, 998908064499 SMS AYOLI , 998914748242 SMS OPASI ,</t>
        </is>
      </c>
      <c r="G1149" s="106" t="inlineStr">
        <is>
          <t xml:space="preserve">ШОДИЁНА МФЙ, ҚОРА-ҚАМИШ 2/5 ДАХАСИ,  uy:5 xonadon:67</t>
        </is>
      </c>
      <c r="H1149" s="107">
        <v>8.0</v>
      </c>
      <c r="I1149" s="107">
        <v>6000000.0</v>
      </c>
    </row>
    <row r="1150">
      <c r="A1150" s="106" t="inlineStr">
        <is>
          <t xml:space="preserve">ТОШКЕНТ ШАХРИ</t>
        </is>
      </c>
      <c r="C1150" s="106" t="inlineStr">
        <is>
          <t xml:space="preserve">Объезд</t>
        </is>
      </c>
      <c r="D1150" s="106" t="inlineStr">
        <is>
          <t xml:space="preserve">Кр-99039812-4</t>
        </is>
      </c>
      <c r="E1150" s="106" t="inlineStr">
        <is>
          <t xml:space="preserve">ISRAILOVA DILDORA ABDUJALILOVNA</t>
        </is>
      </c>
      <c r="F1150" s="106" t="inlineStr">
        <is>
          <t xml:space="preserve"> </t>
        </is>
      </c>
      <c r="G1150" s="106" t="inlineStr">
        <is>
          <t xml:space="preserve">Олмос МФЙ, Яккатол,3 тор кўчаси, 38/2-уй, 35-хонадон</t>
        </is>
      </c>
      <c r="H1150" s="107">
        <v>8.0</v>
      </c>
      <c r="I1150" s="107">
        <v>5858734.0</v>
      </c>
      <c r="K1150" s="106" t="inlineStr">
        <is>
          <t xml:space="preserve">Uyiga borildi - va'da berdi</t>
        </is>
      </c>
    </row>
    <row r="1151">
      <c r="A1151" s="106" t="inlineStr">
        <is>
          <t xml:space="preserve">ТОШКЕНТ ШАХРИ</t>
        </is>
      </c>
      <c r="C1151" s="106" t="inlineStr">
        <is>
          <t xml:space="preserve">Недозвон</t>
        </is>
      </c>
      <c r="D1151" s="106" t="inlineStr">
        <is>
          <t xml:space="preserve">Кр-99038147-3</t>
        </is>
      </c>
      <c r="E1151" s="106" t="inlineStr">
        <is>
          <t xml:space="preserve">NAJMITDINOVA BUSTON KAMALOVNA</t>
        </is>
      </c>
      <c r="F1151" s="106" t="inlineStr">
        <is>
          <t xml:space="preserve">998338958507 SMS OZI, 998900261575 SMS KUYOVI, 998949594075 SMS QIZI,</t>
        </is>
      </c>
      <c r="G1151" s="106" t="inlineStr">
        <is>
          <t xml:space="preserve">TOSHKENT SHAHAR MIRZO ULUG’BEK TUMANI, 1-PILLA KO’CHASI,115-UY</t>
        </is>
      </c>
      <c r="H1151" s="107">
        <v>8.0</v>
      </c>
      <c r="I1151" s="107">
        <v>5705988.0</v>
      </c>
    </row>
    <row r="1152">
      <c r="A1152" s="106" t="inlineStr">
        <is>
          <t xml:space="preserve">ТОШКЕНТ ШАХРИ</t>
        </is>
      </c>
      <c r="C1152" s="106" t="inlineStr">
        <is>
          <t xml:space="preserve">Недозвон</t>
        </is>
      </c>
      <c r="D1152" s="106" t="inlineStr">
        <is>
          <t xml:space="preserve">Кр-99062950-2</t>
        </is>
      </c>
      <c r="E1152" s="106" t="inlineStr">
        <is>
          <t xml:space="preserve">MAXMUDJONOV SHOXRUZBEK SHAVKATJONOVICH</t>
        </is>
      </c>
      <c r="F1152" s="106" t="inlineStr">
        <is>
          <t xml:space="preserve">998500024554 SMS OZI, 998904026966 SMS DOSTI, 998952720459 SMS UKASI,</t>
        </is>
      </c>
      <c r="G1152" s="106" t="inlineStr">
        <is>
          <t xml:space="preserve">NAVNIZOL MFY KORAKUL KO6CHASI 32A-UY.63-XONADON</t>
        </is>
      </c>
      <c r="H1152" s="107">
        <v>8.0</v>
      </c>
      <c r="I1152" s="107">
        <v>5661254.82</v>
      </c>
    </row>
    <row r="1153">
      <c r="A1153" s="106" t="inlineStr">
        <is>
          <t xml:space="preserve">ТОШКЕНТ ШАХРИ</t>
        </is>
      </c>
      <c r="C1153" s="106" t="inlineStr">
        <is>
          <t xml:space="preserve">Недозвон</t>
        </is>
      </c>
      <c r="D1153" s="106" t="inlineStr">
        <is>
          <t xml:space="preserve">Кр-99011499-53</t>
        </is>
      </c>
      <c r="E1153" s="106" t="inlineStr">
        <is>
          <t xml:space="preserve">SHODIYEVA ZIYODAJON SADULLAYEVNA</t>
        </is>
      </c>
      <c r="F1153" s="106" t="inlineStr">
        <is>
          <t xml:space="preserve">90-326-00-94 SMS BEGZOD AKA SHEF TEL QLNMASIN , +998903260094 ,</t>
        </is>
      </c>
      <c r="G1153" s="106" t="inlineStr">
        <is>
          <t xml:space="preserve">TOSHKENT SHAHAR MIRZO ULUGBEK TUMANI ALI ISAMUXAMEDOV 31</t>
        </is>
      </c>
      <c r="H1153" s="107">
        <v>8.0</v>
      </c>
      <c r="I1153" s="107">
        <v>5600326.78</v>
      </c>
    </row>
    <row r="1154">
      <c r="A1154" s="106" t="inlineStr">
        <is>
          <t xml:space="preserve">ТОШКЕНТ ШАХРИ</t>
        </is>
      </c>
      <c r="C1154" s="106" t="inlineStr">
        <is>
          <t xml:space="preserve">Недозвон</t>
        </is>
      </c>
      <c r="D1154" s="106" t="inlineStr">
        <is>
          <t xml:space="preserve">Кр-99063104-1</t>
        </is>
      </c>
      <c r="E1154" s="106" t="inlineStr">
        <is>
          <t xml:space="preserve">AKTLEUOV KAZBEK AYMUXANOVICH</t>
        </is>
      </c>
      <c r="F1154" s="106" t="inlineStr">
        <is>
          <t xml:space="preserve">998907242469 OZI, 998940042402 ZALOGADATEL, 998332112121 OGLI,</t>
        </is>
      </c>
      <c r="G1154" s="106" t="inlineStr">
        <is>
          <t xml:space="preserve">TOSHKENT SHAHAR CHILONZOR TUMANI G9-11-KVARTL 3-UY 46-XONADON</t>
        </is>
      </c>
      <c r="H1154" s="107">
        <v>41.0</v>
      </c>
      <c r="I1154" s="107">
        <v>5477307.89</v>
      </c>
    </row>
    <row r="1155">
      <c r="A1155" s="106" t="inlineStr">
        <is>
          <t xml:space="preserve">ТОШКЕНТ ШАХРИ</t>
        </is>
      </c>
      <c r="C1155" s="106" t="inlineStr">
        <is>
          <t xml:space="preserve">Недозвон</t>
        </is>
      </c>
      <c r="D1155" s="106" t="inlineStr">
        <is>
          <t xml:space="preserve">Кр-99037576-2</t>
        </is>
      </c>
      <c r="E1155" s="106" t="inlineStr">
        <is>
          <t xml:space="preserve">SOBIROV BOXODIRJON BOTIR O’G’LI</t>
        </is>
      </c>
      <c r="F1155" s="106" t="inlineStr">
        <is>
          <t xml:space="preserve">998887080100 SMS OZI, 998993525334 SMS AYOLI, 998935103353 SMS AKASI, 998974900506 SMS ONASI,</t>
        </is>
      </c>
      <c r="G1155" s="106" t="inlineStr">
        <is>
          <t xml:space="preserve">TOSHKENT SHAHAR SHAYXONTOXUR TUMANI BELTEPA DAXASI 22-UY 99-XONADON</t>
        </is>
      </c>
      <c r="H1155" s="107">
        <v>8.0</v>
      </c>
      <c r="I1155" s="107">
        <v>5416197.26</v>
      </c>
    </row>
    <row r="1156">
      <c r="A1156" s="106" t="inlineStr">
        <is>
          <t xml:space="preserve">ТОШКЕНТ ШАХРИ</t>
        </is>
      </c>
      <c r="C1156" s="106" t="inlineStr">
        <is>
          <t xml:space="preserve">Недозвон</t>
        </is>
      </c>
      <c r="D1156" s="106" t="inlineStr">
        <is>
          <t xml:space="preserve">Кр-99033174-4</t>
        </is>
      </c>
      <c r="E1156" s="106" t="inlineStr">
        <is>
          <t xml:space="preserve">ASQAROV SARDOR SHARIF O’G’LI</t>
        </is>
      </c>
      <c r="F1156" s="106" t="inlineStr">
        <is>
          <t xml:space="preserve">998998158262 SMS O’ZI, 998081365652 SMS O’ZI 2, 998998745024 SMS AYOLI, 998058509072 SMS AYOLI 2 ,</t>
        </is>
      </c>
      <c r="G1156" s="106" t="inlineStr">
        <is>
          <t xml:space="preserve">TOSHKENT SHAHARI OLAMZOR TUMANI VALI DJUMAYEV 1-TOR, 40-UY</t>
        </is>
      </c>
      <c r="H1156" s="107">
        <v>43.0</v>
      </c>
      <c r="I1156" s="107">
        <v>5381187.22</v>
      </c>
    </row>
    <row r="1157">
      <c r="A1157" s="106" t="inlineStr">
        <is>
          <t xml:space="preserve">ТОШКЕНТ ШАХРИ</t>
        </is>
      </c>
      <c r="C1157" s="106" t="inlineStr">
        <is>
          <t xml:space="preserve">Недозвон</t>
        </is>
      </c>
      <c r="D1157" s="106" t="inlineStr">
        <is>
          <t xml:space="preserve">Кр-99052417-1</t>
        </is>
      </c>
      <c r="E1157" s="106" t="inlineStr">
        <is>
          <t xml:space="preserve">RAXIMBAYEVA NAFISA OLIMJONOVNA</t>
        </is>
      </c>
      <c r="F1157" s="106" t="inlineStr">
        <is>
          <t xml:space="preserve">+998999041111 SMS UKASI TO’LOVCHI, 998901593834 SMS O’ZI, 998915487171 SMS UKASI 2,</t>
        </is>
      </c>
      <c r="G1157" s="106" t="inlineStr">
        <is>
          <t xml:space="preserve">TOSHKENT SHAXAR SERGILI TUMANI BUNYOD MFY TOSHKENT HALQA AVTAMABIL YO’LI KO’CHASI 2-UY 58-KVARTIRA</t>
        </is>
      </c>
      <c r="I1157" s="107">
        <v>5342997.22</v>
      </c>
    </row>
    <row r="1158">
      <c r="A1158" s="106" t="inlineStr">
        <is>
          <t xml:space="preserve">ТОШКЕНТ ШАХРИ</t>
        </is>
      </c>
      <c r="C1158" s="106" t="inlineStr">
        <is>
          <t xml:space="preserve">Недозвон</t>
        </is>
      </c>
      <c r="D1158" s="106" t="inlineStr">
        <is>
          <t xml:space="preserve">Кр-99036278-4</t>
        </is>
      </c>
      <c r="E1158" s="106" t="inlineStr">
        <is>
          <t xml:space="preserve">NIG’MONOVA YULDUZXON MUROD QIZI</t>
        </is>
      </c>
      <c r="F1158" s="106" t="inlineStr">
        <is>
          <t xml:space="preserve">998970330293 SMS O’ZI, 998771787660 SMS AKASI , 998909660834 SMS KENAYISI , 998956282882 SMS O’ZI 2,</t>
        </is>
      </c>
      <c r="G1158" s="106" t="inlineStr">
        <is>
          <t xml:space="preserve">TOSHKENT SHAHRI YUNUSOBOD TUMANI KOZITARNOV 2/9,131 A-XONADON</t>
        </is>
      </c>
      <c r="H1158" s="107">
        <v>8.0</v>
      </c>
      <c r="I1158" s="107">
        <v>5204743.59</v>
      </c>
    </row>
    <row r="1159">
      <c r="A1159" s="106" t="inlineStr">
        <is>
          <t xml:space="preserve">ТОШКЕНТ ШАХРИ</t>
        </is>
      </c>
      <c r="C1159" s="106" t="inlineStr">
        <is>
          <t xml:space="preserve">Недозвон</t>
        </is>
      </c>
      <c r="D1159" s="106" t="inlineStr">
        <is>
          <t xml:space="preserve">Кр-99052886-1</t>
        </is>
      </c>
      <c r="E1159" s="106" t="inlineStr">
        <is>
          <t xml:space="preserve">MASIMOVA UMIDA MAXAMADOVNA</t>
        </is>
      </c>
      <c r="F1159" s="106" t="inlineStr">
        <is>
          <t xml:space="preserve">998903313637 SMS ERI, 998907371414 SMS OGLI, 998909441369 SMS OZI,</t>
        </is>
      </c>
      <c r="G1159" s="106" t="inlineStr">
        <is>
          <t xml:space="preserve">KICHIK HALQA YOLI 18-A UY.</t>
        </is>
      </c>
      <c r="H1159" s="107">
        <v>8.0</v>
      </c>
      <c r="I1159" s="107">
        <v>5107990.32</v>
      </c>
    </row>
    <row r="1160">
      <c r="A1160" s="106" t="inlineStr">
        <is>
          <t xml:space="preserve">ТОШКЕНТ ШАХРИ</t>
        </is>
      </c>
      <c r="C1160" s="106" t="inlineStr">
        <is>
          <t xml:space="preserve">Недозвон</t>
        </is>
      </c>
      <c r="D1160" s="106" t="inlineStr">
        <is>
          <t xml:space="preserve">Кр-99037552-2</t>
        </is>
      </c>
      <c r="E1160" s="106" t="inlineStr">
        <is>
          <t xml:space="preserve">UMAROV MUZAFFAR YULDOSHEVICH</t>
        </is>
      </c>
      <c r="F1160" s="106" t="inlineStr">
        <is>
          <t xml:space="preserve"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G1160" s="106" t="inlineStr">
        <is>
          <t xml:space="preserve">TOSHKENT SHAHAR YUNUSOBOD TUMANI TURKISTON MFY,6-MAVZE,30-UY,6-XONADON</t>
        </is>
      </c>
      <c r="H1160" s="107">
        <v>8.0</v>
      </c>
      <c r="I1160" s="107">
        <v>5052651.89</v>
      </c>
    </row>
    <row r="1161">
      <c r="A1161" s="106" t="inlineStr">
        <is>
          <t xml:space="preserve">ТОШКЕНТ ШАХРИ</t>
        </is>
      </c>
      <c r="C1161" s="106" t="inlineStr">
        <is>
          <t xml:space="preserve">Недозвон</t>
        </is>
      </c>
      <c r="D1161" s="106" t="inlineStr">
        <is>
          <t xml:space="preserve">Кр-99052979-1</t>
        </is>
      </c>
      <c r="E1161" s="106" t="inlineStr">
        <is>
          <t xml:space="preserve">MUMINOVA KAMOLA XIKMATULLAYEVNA</t>
        </is>
      </c>
      <c r="G1161" s="106" t="inlineStr">
        <is>
          <t xml:space="preserve">TOSHKENT SHAHAR OLMAZOR TUMANI YUQORI BESHQO’RG’ON MFY </t>
        </is>
      </c>
      <c r="H1161" s="107">
        <v>8.0</v>
      </c>
      <c r="I1161" s="107">
        <v>5040029.91</v>
      </c>
    </row>
    <row r="1162">
      <c r="A1162" s="106" t="inlineStr">
        <is>
          <t xml:space="preserve">ТОШКЕНТ ШАХРИ</t>
        </is>
      </c>
      <c r="C1162" s="106" t="inlineStr">
        <is>
          <t xml:space="preserve">Недозвон</t>
        </is>
      </c>
      <c r="D1162" s="106" t="inlineStr">
        <is>
          <t xml:space="preserve">Кр-99037320-2</t>
        </is>
      </c>
      <c r="E1162" s="106" t="inlineStr">
        <is>
          <t xml:space="preserve">ZARIFOV FOZILBEK BAXTIYOR O’G’LI</t>
        </is>
      </c>
      <c r="F1162" s="106" t="inlineStr">
        <is>
          <t xml:space="preserve">998948797277 SMS OZI, 998945871718 SMS AYOLI, 998940319325 SMS DOSTI, 998944504497 SMS DOSTI,</t>
        </is>
      </c>
      <c r="G1162" s="106" t="inlineStr">
        <is>
          <t xml:space="preserve">TOSHKENT SHAHAR YUNUSOBOD TUMANI 8/2-116-UY</t>
        </is>
      </c>
      <c r="H1162" s="107">
        <v>8.0</v>
      </c>
      <c r="I1162" s="107">
        <v>5031899.18</v>
      </c>
    </row>
    <row r="1163">
      <c r="A1163" s="106" t="inlineStr">
        <is>
          <t xml:space="preserve">ТОШКЕНТ ШАХРИ</t>
        </is>
      </c>
      <c r="C1163" s="106" t="inlineStr">
        <is>
          <t xml:space="preserve">Недозвон</t>
        </is>
      </c>
      <c r="D1163" s="106" t="inlineStr">
        <is>
          <t xml:space="preserve">Кр-99035700-1</t>
        </is>
      </c>
      <c r="E1163" s="106" t="inlineStr">
        <is>
          <t xml:space="preserve">MEYLIYEV AKRAM NORQO‘CHQOROVICH</t>
        </is>
      </c>
      <c r="F1163" s="106" t="inlineStr">
        <is>
          <t xml:space="preserve">998999865767 SMS O‘ZI, 998903327766 SMS O’ZI 2, 998907241161 SMS AYOLI, 998951075112 SMS QIZI,</t>
        </is>
      </c>
      <c r="G1163" s="106" t="inlineStr">
        <is>
          <t xml:space="preserve">TOSHKENT SHAHAR SIRG‘ALI TUMANI MADANIYAT MFY QO‘YLIQ-5 MAVZESI 22-UY 28-XONADON</t>
        </is>
      </c>
      <c r="H1163" s="107">
        <v>21.0</v>
      </c>
      <c r="I1163" s="107">
        <v>4907459.03</v>
      </c>
    </row>
    <row r="1164">
      <c r="A1164" s="106" t="inlineStr">
        <is>
          <t xml:space="preserve">ТОШКЕНТ ШАХРИ</t>
        </is>
      </c>
      <c r="C1164" s="106" t="inlineStr">
        <is>
          <t xml:space="preserve">Недозвон</t>
        </is>
      </c>
      <c r="D1164" s="106" t="inlineStr">
        <is>
          <t xml:space="preserve">Кр-99036291-3</t>
        </is>
      </c>
      <c r="E1164" s="106" t="inlineStr">
        <is>
          <t xml:space="preserve">ABDUG‘AFOROV ABRORJON ABDURASUL O‘G‘LI</t>
        </is>
      </c>
      <c r="F1164" s="106" t="inlineStr">
        <is>
          <t xml:space="preserve">998998849202 SMS OZI, 998997710748 SMS ISHCHISI , 998932790919 SMS DOSTI, +998998849202 Primary phone from road24,</t>
        </is>
      </c>
      <c r="G1164" s="106" t="inlineStr">
        <is>
          <t xml:space="preserve">БОБОДЕҲҚОН МФЙ, БОБОДЕҲҚОН КЎЧАСИ,  uy:45А</t>
        </is>
      </c>
      <c r="H1164" s="107">
        <v>13.0</v>
      </c>
      <c r="I1164" s="107">
        <v>4887325.92</v>
      </c>
    </row>
    <row r="1165">
      <c r="A1165" s="106" t="inlineStr">
        <is>
          <t xml:space="preserve">ТОШКЕНТ ШАХРИ</t>
        </is>
      </c>
      <c r="C1165" s="106" t="inlineStr">
        <is>
          <t xml:space="preserve">Недозвон</t>
        </is>
      </c>
      <c r="D1165" s="106" t="inlineStr">
        <is>
          <t xml:space="preserve">Кр-99037620-2</t>
        </is>
      </c>
      <c r="E1165" s="106" t="inlineStr">
        <is>
          <t xml:space="preserve">KARIMOV JAXONGIR XIKMATOVICH</t>
        </is>
      </c>
      <c r="F1165" s="106" t="inlineStr">
        <is>
          <t xml:space="preserve">998998460808 SMS O’ZI, 998931895955 SMS O’ZI 2, 998975572758 SMS ONASI, 998998398909 SMS ZALOGADATEL,</t>
        </is>
      </c>
      <c r="G1165" s="106" t="inlineStr">
        <is>
          <t xml:space="preserve">FARG’ONA VILOYATI O’ZBEKISTON TUMANI QO’SHQO’YNOQ MSG QO’SHQO’YNOQ KO’CHASI 85-UY</t>
        </is>
      </c>
      <c r="H1165" s="107">
        <v>8.0</v>
      </c>
      <c r="I1165" s="107">
        <v>4831014.06</v>
      </c>
    </row>
    <row r="1166">
      <c r="A1166" s="106" t="inlineStr">
        <is>
          <t xml:space="preserve">ТОШКЕНТ ШАХРИ</t>
        </is>
      </c>
      <c r="C1166" s="106" t="inlineStr">
        <is>
          <t xml:space="preserve">Объезд</t>
        </is>
      </c>
      <c r="D1166" s="106" t="inlineStr">
        <is>
          <t xml:space="preserve">Кр-99017842-6</t>
        </is>
      </c>
      <c r="E1166" s="106" t="inlineStr">
        <is>
          <t xml:space="preserve">YAKUBJANOV ASADJON AXMADJANOVICH</t>
        </is>
      </c>
      <c r="F1166" s="106" t="inlineStr">
        <is>
          <t xml:space="preserve">99-482-80-45  sms OZI, 97-715-15-83  sms AYOLI, 91-008-35-35  sms O'G'LI, 99-482-80-45  sms OZI,</t>
        </is>
      </c>
      <c r="G1166" s="106" t="inlineStr">
        <is>
          <t xml:space="preserve">TOSHKENT SHAHRI SERGELI TUMANI</t>
        </is>
      </c>
      <c r="H1166" s="107">
        <v>5.0</v>
      </c>
      <c r="I1166" s="107">
        <v>4757650.27</v>
      </c>
      <c r="J1166" s="107">
        <v>4757650.27</v>
      </c>
      <c r="K1166" s="106" t="inlineStr">
        <is>
          <t xml:space="preserve">Uyiga borildi - to'ladi</t>
        </is>
      </c>
    </row>
    <row r="1167">
      <c r="A1167" s="106" t="inlineStr">
        <is>
          <t xml:space="preserve">ТОШКЕНТ ШАХРИ</t>
        </is>
      </c>
      <c r="C1167" s="106" t="inlineStr">
        <is>
          <t xml:space="preserve">Недозвон</t>
        </is>
      </c>
      <c r="D1167" s="106" t="inlineStr">
        <is>
          <t xml:space="preserve">Кр-99061871-1</t>
        </is>
      </c>
      <c r="E1167" s="106" t="inlineStr">
        <is>
          <t xml:space="preserve">SODIQOV BAXTIYOR SHAMSIDDIN O’G’LI</t>
        </is>
      </c>
      <c r="F1167" s="106" t="inlineStr">
        <is>
          <t xml:space="preserve">998955228888 ozi, 998971378116 ortogi, 998903289882 urtogi,</t>
        </is>
      </c>
      <c r="G1167" s="106" t="inlineStr">
        <is>
          <t xml:space="preserve">Манзил: TOSHKENT SHAHAR MIRZO ULUG'BEK TUMANI XABIB ABDULLAEV MFY,YALANG'OCH DAXASI,14 UY 29 XONADON</t>
        </is>
      </c>
      <c r="H1167" s="107">
        <v>8.0</v>
      </c>
      <c r="I1167" s="107">
        <v>4734224.67</v>
      </c>
    </row>
    <row r="1168">
      <c r="A1168" s="106" t="inlineStr">
        <is>
          <t xml:space="preserve">ТОШКЕНТ ШАХРИ</t>
        </is>
      </c>
      <c r="C1168" s="106" t="inlineStr">
        <is>
          <t xml:space="preserve">Недозвон</t>
        </is>
      </c>
      <c r="D1168" s="106" t="inlineStr">
        <is>
          <t xml:space="preserve">Кр-99001416-2</t>
        </is>
      </c>
      <c r="E1168" s="106" t="inlineStr">
        <is>
          <t xml:space="preserve">ERGASHEV BOBIR BOTIR O‘G‘LI</t>
        </is>
      </c>
      <c r="F1168" s="106" t="inlineStr">
        <is>
          <t xml:space="preserve"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1168" s="106" t="inlineStr">
        <is>
          <t xml:space="preserve">Намуна МФЙ, Нурли, пр. 1 кучаси, 19-уй</t>
        </is>
      </c>
      <c r="H1168" s="107">
        <v>1.0</v>
      </c>
      <c r="I1168" s="107">
        <v>4711417.44</v>
      </c>
    </row>
    <row r="1169">
      <c r="A1169" s="106" t="inlineStr">
        <is>
          <t xml:space="preserve">ТОШКЕНТ ШАХРИ</t>
        </is>
      </c>
      <c r="C1169" s="106" t="inlineStr">
        <is>
          <t xml:space="preserve">Недозвон</t>
        </is>
      </c>
      <c r="D1169" s="106" t="inlineStr">
        <is>
          <t xml:space="preserve">Кр-99037130-1</t>
        </is>
      </c>
      <c r="E1169" s="106" t="inlineStr">
        <is>
          <t xml:space="preserve">ABDURAIMOVA DILNAVO ABDUALIMOVNA</t>
        </is>
      </c>
      <c r="F1169" s="106" t="inlineStr">
        <is>
          <t xml:space="preserve">998977146828 SMS OZI, 998996899248 SMS QARINDOSHI, 998884452393 SMS OVSINI, 998917821504 SMS O’ZI 2,</t>
        </is>
      </c>
      <c r="G1169" s="106" t="inlineStr">
        <is>
          <t xml:space="preserve"> KO’RMANA MFY 10-MAVZE 21-UY,10-XONADON</t>
        </is>
      </c>
      <c r="H1169" s="107">
        <v>12.0</v>
      </c>
      <c r="I1169" s="107">
        <v>4697217.56</v>
      </c>
    </row>
    <row r="1170">
      <c r="A1170" s="106" t="inlineStr">
        <is>
          <t xml:space="preserve">ТОШКЕНТ ШАХРИ</t>
        </is>
      </c>
      <c r="C1170" s="106" t="inlineStr">
        <is>
          <t xml:space="preserve">Недозвон</t>
        </is>
      </c>
      <c r="D1170" s="106" t="inlineStr">
        <is>
          <t xml:space="preserve">Кр-99059608-1</t>
        </is>
      </c>
      <c r="E1170" s="106" t="inlineStr">
        <is>
          <t xml:space="preserve">IBROHIMJONOVA MUSLIMA ABDULXAMID QIZI</t>
        </is>
      </c>
      <c r="F1170" s="106" t="inlineStr">
        <is>
          <t xml:space="preserve">+998910187727 SMS OZI, 998900973738 SINGLISI, 998909561417 EIR,</t>
        </is>
      </c>
      <c r="G1170" s="106" t="inlineStr">
        <is>
          <t xml:space="preserve">TOSHKENT SHAHAR OLMAZOR TUMANI NAMUNA MFY BALIQCHI TOR KO’CHASI 4-UY</t>
        </is>
      </c>
      <c r="H1170" s="107">
        <v>8.0</v>
      </c>
      <c r="I1170" s="107">
        <v>4639892.6</v>
      </c>
    </row>
    <row r="1171">
      <c r="A1171" s="106" t="inlineStr">
        <is>
          <t xml:space="preserve">ТОШКЕНТ ШАХРИ</t>
        </is>
      </c>
      <c r="C1171" s="106" t="inlineStr">
        <is>
          <t xml:space="preserve">Недозвон</t>
        </is>
      </c>
      <c r="D1171" s="106" t="inlineStr">
        <is>
          <t xml:space="preserve">Кр-99017798-7</t>
        </is>
      </c>
      <c r="E1171" s="106" t="inlineStr">
        <is>
          <t xml:space="preserve">MAVLYANOVA NARGIZA TAGIROVNA</t>
        </is>
      </c>
      <c r="F1171" s="106" t="inlineStr">
        <is>
          <t xml:space="preserve">90-139-55-44 SMS, 90-941-24-91 SMS, 90-808-36-11 SMS, 93-504-22-04 SMS Ozi 2,</t>
        </is>
      </c>
      <c r="G1171" s="106" t="inlineStr">
        <is>
          <t xml:space="preserve">Тошкент шахар Юнусобод тумани 14-мавзе 53-уй 55-хонадон</t>
        </is>
      </c>
      <c r="H1171" s="107">
        <v>8.0</v>
      </c>
      <c r="I1171" s="107">
        <v>4635091.89</v>
      </c>
    </row>
    <row r="1172">
      <c r="A1172" s="106" t="inlineStr">
        <is>
          <t xml:space="preserve">ТОШКЕНТ ШАХРИ</t>
        </is>
      </c>
      <c r="C1172" s="106" t="inlineStr">
        <is>
          <t xml:space="preserve">Объезд</t>
        </is>
      </c>
      <c r="D1172" s="106" t="inlineStr">
        <is>
          <t xml:space="preserve">Кр-99044706-1</t>
        </is>
      </c>
      <c r="E1172" s="106" t="inlineStr">
        <is>
          <t xml:space="preserve">CHUTBAYEV DOSTON CHARI O’G’LI</t>
        </is>
      </c>
      <c r="F1172" s="106" t="inlineStr">
        <is>
          <t xml:space="preserve">998947771061 SMS AKASI, 998949341916 SMS OZI, 998977277200 SMS AKASI2,</t>
        </is>
      </c>
      <c r="G1172" s="106" t="inlineStr">
        <is>
          <t xml:space="preserve">Daryobo’yi MFY, Daryo bo’yi 1-tor ko’chasi, 26-б-uy</t>
        </is>
      </c>
      <c r="H1172" s="107">
        <v>8.0</v>
      </c>
      <c r="I1172" s="107">
        <v>4629304.83</v>
      </c>
      <c r="K1172" s="106" t="inlineStr">
        <is>
          <t xml:space="preserve">Uyiga borildi - va'da berdi</t>
        </is>
      </c>
    </row>
    <row r="1173">
      <c r="A1173" s="106" t="inlineStr">
        <is>
          <t xml:space="preserve">ТОШКЕНТ ШАХРИ</t>
        </is>
      </c>
      <c r="C1173" s="106" t="inlineStr">
        <is>
          <t xml:space="preserve">Недозвон</t>
        </is>
      </c>
      <c r="D1173" s="106" t="inlineStr">
        <is>
          <t xml:space="preserve">Кр-99025377-8</t>
        </is>
      </c>
      <c r="E1173" s="106" t="inlineStr">
        <is>
          <t xml:space="preserve">RASULEVA MALIKA MAXAMATOVNA</t>
        </is>
      </c>
      <c r="F1173" s="106" t="inlineStr">
        <is>
          <t xml:space="preserve">99-012-54-38 SMS, 95-055-21-06 SMS OZI 2, 99-821-04-08 SMS OGLI MUXAMADAMIN,</t>
        </is>
      </c>
      <c r="G1173" s="106" t="inlineStr">
        <is>
          <t xml:space="preserve">TOSHKENT SHAHAR YUNUSOBOD TUMANI YURTOBOD MFY 19- MAVZESI 20-UY 65-XONADON</t>
        </is>
      </c>
      <c r="H1173" s="107">
        <v>8.0</v>
      </c>
      <c r="I1173" s="107">
        <v>4607112.64</v>
      </c>
    </row>
    <row r="1174">
      <c r="A1174" s="106" t="inlineStr">
        <is>
          <t xml:space="preserve">ТОШКЕНТ ШАХРИ</t>
        </is>
      </c>
      <c r="C1174" s="106" t="inlineStr">
        <is>
          <t xml:space="preserve">Недозвон</t>
        </is>
      </c>
      <c r="D1174" s="106" t="inlineStr">
        <is>
          <t xml:space="preserve">Кр-99033677-1</t>
        </is>
      </c>
      <c r="E1174" s="106" t="inlineStr">
        <is>
          <t xml:space="preserve">XUDOYBERDIYEVA MOHIRA SUVONOVNA</t>
        </is>
      </c>
      <c r="F1174" s="106" t="inlineStr">
        <is>
          <t xml:space="preserve">998977825550 SMS ERI, 998977099004 SMS OZI, 998770033335 SMS OGLI, 998770022223 SMS QIZI,</t>
        </is>
      </c>
      <c r="G1174" s="106" t="inlineStr">
        <is>
          <t xml:space="preserve">TOSHKENT SHAHAR CHILONZOR TUMANI 18-MAVZE,11-UY,3-XONADON</t>
        </is>
      </c>
      <c r="H1174" s="107">
        <v>5.0</v>
      </c>
      <c r="I1174" s="107">
        <v>4418408.78</v>
      </c>
    </row>
    <row r="1175">
      <c r="A1175" s="106" t="inlineStr">
        <is>
          <t xml:space="preserve">ТОШКЕНТ ШАХРИ</t>
        </is>
      </c>
      <c r="C1175" s="106" t="inlineStr">
        <is>
          <t xml:space="preserve">Недозвон</t>
        </is>
      </c>
      <c r="D1175" s="106" t="inlineStr">
        <is>
          <t xml:space="preserve">Кр-99037891-2</t>
        </is>
      </c>
      <c r="E1175" s="106" t="inlineStr">
        <is>
          <t xml:space="preserve">SHERMATOVA DILBAR ABDIKARIMOVNA</t>
        </is>
      </c>
      <c r="F1175" s="106" t="inlineStr">
        <is>
          <t xml:space="preserve">998958450674 SMS OZI , 998903498776 SMS QIZI, 998950152662 SMS ERI,</t>
        </is>
      </c>
      <c r="G1175" s="106" t="inlineStr">
        <is>
          <t xml:space="preserve">TOSHKENT SHAHAR BEKTEMIR TUMANI ABAY MFY, ROXAT KO'CHASI 20-UY, 32-XONADON</t>
        </is>
      </c>
      <c r="H1175" s="107">
        <v>4.0</v>
      </c>
      <c r="I1175" s="107">
        <v>4414337.2</v>
      </c>
    </row>
    <row r="1176">
      <c r="A1176" s="106" t="inlineStr">
        <is>
          <t xml:space="preserve">ТОШКЕНТ ШАХРИ</t>
        </is>
      </c>
      <c r="C1176" s="106" t="inlineStr">
        <is>
          <t xml:space="preserve">Недозвон</t>
        </is>
      </c>
      <c r="D1176" s="106" t="inlineStr">
        <is>
          <t xml:space="preserve">Кр-99039913-4</t>
        </is>
      </c>
      <c r="E1176" s="106" t="inlineStr">
        <is>
          <t xml:space="preserve">ABDUVALIYEVA ZULXUMOR RAXIMOVNA</t>
        </is>
      </c>
      <c r="F1176" s="106" t="inlineStr">
        <is>
          <t xml:space="preserve">998999355867 SMS O’ZI tel qilinmasin, +998999355865 ,</t>
        </is>
      </c>
      <c r="G1176" s="106" t="inlineStr">
        <is>
          <t xml:space="preserve">Зиёнур МФЙ, Куйлик-2 мавзеси, 6-уй, 29-хонадон</t>
        </is>
      </c>
      <c r="H1176" s="107">
        <v>8.0</v>
      </c>
      <c r="I1176" s="107">
        <v>4389418.36</v>
      </c>
    </row>
    <row r="1177">
      <c r="A1177" s="106" t="inlineStr">
        <is>
          <t xml:space="preserve">ТОШКЕНТ ШАХРИ</t>
        </is>
      </c>
      <c r="C1177" s="106" t="inlineStr">
        <is>
          <t xml:space="preserve">Недозвон</t>
        </is>
      </c>
      <c r="D1177" s="106" t="inlineStr">
        <is>
          <t xml:space="preserve">Кр-99063129-1</t>
        </is>
      </c>
      <c r="E1177" s="106" t="inlineStr">
        <is>
          <t xml:space="preserve">UBAYDULLAYEV ISMOIL XAMIDULLA O’G’LI</t>
        </is>
      </c>
      <c r="F1177" s="106" t="inlineStr">
        <is>
          <t xml:space="preserve">998958444133 SMS AYOLI, 998998709967 SMS UY RAQAMI, 998998972810 SMS UZI,</t>
        </is>
      </c>
      <c r="G1177" s="106" t="inlineStr">
        <is>
          <t xml:space="preserve">ЧЎПОНОТА МФЙ, БОГИСТОН КЎЧАСИ,  uy:100</t>
        </is>
      </c>
      <c r="H1177" s="107">
        <v>8.0</v>
      </c>
      <c r="I1177" s="107">
        <v>4343489.62</v>
      </c>
    </row>
    <row r="1178">
      <c r="A1178" s="106" t="inlineStr">
        <is>
          <t xml:space="preserve">ТОШКЕНТ ШАХРИ</t>
        </is>
      </c>
      <c r="C1178" s="106" t="inlineStr">
        <is>
          <t xml:space="preserve">Объезд</t>
        </is>
      </c>
      <c r="D1178" s="106" t="inlineStr">
        <is>
          <t xml:space="preserve">Кр-99044187-1</t>
        </is>
      </c>
      <c r="E1178" s="106" t="inlineStr">
        <is>
          <t xml:space="preserve">AKMALDINOV NURIDDIN FAXRIDINOVICH</t>
        </is>
      </c>
      <c r="F1178" s="106" t="inlineStr">
        <is>
          <t xml:space="preserve">998770509929 SMS O’ZI, 998950126264 SMS OYISI, 998976333666 SMS SINGLISI, 998992193943 SMS UKASI,</t>
        </is>
      </c>
      <c r="G1178" s="106" t="inlineStr">
        <is>
          <t xml:space="preserve">ОХАНГАРОБО КУЧАСИ 1 ТОР 67 УЙ</t>
        </is>
      </c>
      <c r="H1178" s="107">
        <v>8.0</v>
      </c>
      <c r="I1178" s="107">
        <v>4295232.77</v>
      </c>
      <c r="K1178" s="106" t="inlineStr">
        <is>
          <t xml:space="preserve">Uyiga borildi - va'da berdi</t>
        </is>
      </c>
    </row>
    <row r="1179">
      <c r="A1179" s="106" t="inlineStr">
        <is>
          <t xml:space="preserve">ТОШКЕНТ ШАХРИ</t>
        </is>
      </c>
      <c r="C1179" s="106" t="inlineStr">
        <is>
          <t xml:space="preserve">Недозвон</t>
        </is>
      </c>
      <c r="D1179" s="106" t="inlineStr">
        <is>
          <t xml:space="preserve">Кр-99003208-24</t>
        </is>
      </c>
      <c r="E1179" s="106" t="inlineStr">
        <is>
          <t xml:space="preserve">YO’LDOSHEV SHOXRUX ANVAR O’G’LI</t>
        </is>
      </c>
      <c r="F1179" s="106" t="inlineStr">
        <is>
          <t xml:space="preserve">97-701-87-08 SMS AKASI, 97-733-18-18 SMS OZI chiroyliro gaplashish kk, 97-733-18-18 SMS O’ZI,</t>
        </is>
      </c>
      <c r="G1179" s="106" t="inlineStr">
        <is>
          <t xml:space="preserve">TOSHKENT SHAHAR OLMAZOR TUMANI SHIFONUR 2-46</t>
        </is>
      </c>
      <c r="H1179" s="107">
        <v>8.0</v>
      </c>
      <c r="I1179" s="107">
        <v>4286812.17</v>
      </c>
    </row>
    <row r="1180">
      <c r="A1180" s="106" t="inlineStr">
        <is>
          <t xml:space="preserve">ТОШКЕНТ ШАХРИ</t>
        </is>
      </c>
      <c r="C1180" s="106" t="inlineStr">
        <is>
          <t xml:space="preserve">Недозвон</t>
        </is>
      </c>
      <c r="D1180" s="106" t="inlineStr">
        <is>
          <t xml:space="preserve">Кр-99052985-1</t>
        </is>
      </c>
      <c r="E1180" s="106" t="inlineStr">
        <is>
          <t xml:space="preserve">GANIYEVA BARNO XASANOVNA</t>
        </is>
      </c>
      <c r="F1180" s="106" t="inlineStr">
        <is>
          <t xml:space="preserve">998949464248 SMS OZI, 998956470310 SMS ONASI, 998935956513 SMS OTASI ,</t>
        </is>
      </c>
      <c r="G1180" s="106" t="inlineStr">
        <is>
          <t xml:space="preserve">TOSHKENT SHAHAR OLMAZOR TUMANI QORA QAMISH 2/4 MAVZESI ,30-UY,35-XONADON</t>
        </is>
      </c>
      <c r="H1180" s="107">
        <v>8.0</v>
      </c>
      <c r="I1180" s="107">
        <v>4279144.4</v>
      </c>
    </row>
    <row r="1181">
      <c r="A1181" s="106" t="inlineStr">
        <is>
          <t xml:space="preserve">ТОШКЕНТ ШАХРИ</t>
        </is>
      </c>
      <c r="C1181" s="106" t="inlineStr">
        <is>
          <t xml:space="preserve">Недозвон</t>
        </is>
      </c>
      <c r="D1181" s="106" t="inlineStr">
        <is>
          <t xml:space="preserve">Кр-99028933-4</t>
        </is>
      </c>
      <c r="E1181" s="106" t="inlineStr">
        <is>
          <t xml:space="preserve">ALIXONOV AKMALJON MIRZOXID O’G’LI</t>
        </is>
      </c>
      <c r="F1181" s="106" t="inlineStr">
        <is>
          <t xml:space="preserve">93-747-58-56  SMS MIRZOXID TO’LOVCHI, 93-553-58-56  SMS TO’LOVCHINI AYOLI, 93-366-55-14  SMS O'ZI, 33-717-15-61  SMS TO’LOVCHINI O'G'LI XASAN, 998954448262 SHUNGA QLINSIN , 998946968787 AKASI XUSAN ,</t>
        </is>
      </c>
      <c r="G1181" s="106" t="inlineStr">
        <is>
          <t xml:space="preserve">TOSHKENT SHAHAR YANGIXAYOT TUMANI 9-QURUVCHILAR MAVZESI MARXAMT MFY 25-UY 40-XONADON</t>
        </is>
      </c>
      <c r="H1181" s="107">
        <v>8.0</v>
      </c>
      <c r="I1181" s="107">
        <v>4181591.97</v>
      </c>
    </row>
    <row r="1182">
      <c r="A1182" s="106" t="inlineStr">
        <is>
          <t xml:space="preserve">ТОШКЕНТ ШАХРИ</t>
        </is>
      </c>
      <c r="C1182" s="106" t="inlineStr">
        <is>
          <t xml:space="preserve">Недозвон</t>
        </is>
      </c>
      <c r="D1182" s="106" t="inlineStr">
        <is>
          <t xml:space="preserve">Кр-99035936-4</t>
        </is>
      </c>
      <c r="E1182" s="106" t="inlineStr">
        <is>
          <t xml:space="preserve">YULDASHEVA QUNDUZXON ERGASHEVNA</t>
        </is>
      </c>
      <c r="F1182" s="106" t="inlineStr">
        <is>
          <t xml:space="preserve">998909351593 SMS OZI, 998911653410 SMS QIZI, 998116534202 SMS QIZI, 998500016752 SMS OGLI, 998700560956 SMS QIZI NEWW,</t>
        </is>
      </c>
      <c r="G1182" s="106" t="inlineStr">
        <is>
          <t xml:space="preserve">TOSHKENT SHAHRI SHAYXONTOXUR TUMANI C15 2-19 XONADON</t>
        </is>
      </c>
      <c r="H1182" s="107">
        <v>1.0</v>
      </c>
      <c r="I1182" s="107">
        <v>4132540.88</v>
      </c>
    </row>
    <row r="1183">
      <c r="A1183" s="106" t="inlineStr">
        <is>
          <t xml:space="preserve">ТОШКЕНТ ШАХРИ</t>
        </is>
      </c>
      <c r="C1183" s="106" t="inlineStr">
        <is>
          <t xml:space="preserve">Недозвон</t>
        </is>
      </c>
      <c r="D1183" s="106" t="inlineStr">
        <is>
          <t xml:space="preserve">Кр-99034301-1</t>
        </is>
      </c>
      <c r="E1183" s="106" t="inlineStr">
        <is>
          <t xml:space="preserve">OZODOV BOBOMUROD XAMDAMBEKOVICH</t>
        </is>
      </c>
      <c r="F1183" s="106" t="inlineStr">
        <is>
          <t xml:space="preserve">998887900007 SMS OZI, 998924210072 SMS OZI , 998993486974 SMS ORTOGI,</t>
        </is>
      </c>
      <c r="G1183" s="106" t="inlineStr">
        <is>
          <t xml:space="preserve">TOSHKENT SHAHAR YASHNOBOD TUMANI FIDOIYLAR MFY MAXTUMQULI KO’CHASI 122/1-UY 14-XONADON</t>
        </is>
      </c>
      <c r="H1183" s="107">
        <v>39.0</v>
      </c>
      <c r="I1183" s="107">
        <v>4132510.32</v>
      </c>
    </row>
    <row r="1184">
      <c r="A1184" s="106" t="inlineStr">
        <is>
          <t xml:space="preserve">ТОШКЕНТ ШАХРИ</t>
        </is>
      </c>
      <c r="C1184" s="106" t="inlineStr">
        <is>
          <t xml:space="preserve">Недозвон</t>
        </is>
      </c>
      <c r="D1184" s="106" t="inlineStr">
        <is>
          <t xml:space="preserve">Кр-99039923-1</t>
        </is>
      </c>
      <c r="E1184" s="106" t="inlineStr">
        <is>
          <t xml:space="preserve">IKROMOV JALOLIDDIN BAXODIR O’G’LI</t>
        </is>
      </c>
      <c r="F1184" s="106" t="inlineStr">
        <is>
          <t xml:space="preserve">+998999383890 SMS O’ZI, 998996999939 SMS O’ZI 3, 998999461540 SMS O’ZI 2,</t>
        </is>
      </c>
      <c r="G1184" s="106" t="inlineStr">
        <is>
          <t xml:space="preserve">БОҒКЎЧА МФЙ, БОҒКЎЧА МАВЗЕСИ,  uy:20 БЛОК, 9</t>
        </is>
      </c>
      <c r="H1184" s="107">
        <v>8.0</v>
      </c>
      <c r="I1184" s="107">
        <v>3993760.1</v>
      </c>
    </row>
    <row r="1185">
      <c r="A1185" s="106" t="inlineStr">
        <is>
          <t xml:space="preserve">ТОШКЕНТ ШАХРИ</t>
        </is>
      </c>
      <c r="C1185" s="106" t="inlineStr">
        <is>
          <t xml:space="preserve">Недозвон</t>
        </is>
      </c>
      <c r="D1185" s="106" t="inlineStr">
        <is>
          <t xml:space="preserve">Кр-99062339-1</t>
        </is>
      </c>
      <c r="E1185" s="106" t="inlineStr">
        <is>
          <t xml:space="preserve">JURAYEV FAXRIDDIN USMONOVICH</t>
        </is>
      </c>
      <c r="F1185" s="106" t="inlineStr">
        <is>
          <t xml:space="preserve">998901158349 OZI, 998935138386 AYOLI, 998920017595 O`G`LI,</t>
        </is>
      </c>
      <c r="G1185" s="106" t="inlineStr">
        <is>
          <t xml:space="preserve">TOSHKENT SHAHAR YASHNOBOB TUMANI AHMAD YASSAVIY MAHALLASI XOVOS 2-TOR KO`CHASI 8/1,</t>
        </is>
      </c>
      <c r="H1185" s="107">
        <v>8.0</v>
      </c>
      <c r="I1185" s="107">
        <v>3976524.72</v>
      </c>
      <c r="K1185" s="106" t="inlineStr">
        <is>
          <t xml:space="preserve">Telefon ko'tarmadi</t>
        </is>
      </c>
    </row>
    <row r="1186">
      <c r="A1186" s="106" t="inlineStr">
        <is>
          <t xml:space="preserve">ТОШКЕНТ ШАХРИ</t>
        </is>
      </c>
      <c r="C1186" s="106" t="inlineStr">
        <is>
          <t xml:space="preserve">Недозвон</t>
        </is>
      </c>
      <c r="D1186" s="106" t="inlineStr">
        <is>
          <t xml:space="preserve">Кр-99063068-2</t>
        </is>
      </c>
      <c r="E1186" s="106" t="inlineStr">
        <is>
          <t xml:space="preserve">XOJIMUROT ANVAR ABDUKARIM - O’G’LI</t>
        </is>
      </c>
      <c r="F1186" s="106" t="inlineStr">
        <is>
          <t xml:space="preserve">+998997173085 SMS OZI, 998339939933 SMS JIYANI, 998509002245 SMS AYOLI, 998994383034 SMS OZI 2,</t>
        </is>
      </c>
      <c r="G1186" s="106" t="inlineStr">
        <is>
          <t xml:space="preserve">DONISHMAND KUCHASI 11-UY</t>
        </is>
      </c>
      <c r="H1186" s="107">
        <v>8.0</v>
      </c>
      <c r="I1186" s="107">
        <v>3974870.6</v>
      </c>
      <c r="K1186" s="106" t="inlineStr">
        <is>
          <t xml:space="preserve">Telefon ko'tarmadi</t>
        </is>
      </c>
    </row>
    <row r="1187">
      <c r="A1187" s="106" t="inlineStr">
        <is>
          <t xml:space="preserve">ТОШКЕНТ ШАХРИ</t>
        </is>
      </c>
      <c r="C1187" s="106" t="inlineStr">
        <is>
          <t xml:space="preserve">Недозвон</t>
        </is>
      </c>
      <c r="D1187" s="106" t="inlineStr">
        <is>
          <t xml:space="preserve">Кр-99045569-2</t>
        </is>
      </c>
      <c r="E1187" s="106" t="inlineStr">
        <is>
          <t xml:space="preserve">BOBOMURODZODA MAXMUDA AXMADJON QIZI</t>
        </is>
      </c>
      <c r="F1187" s="106" t="inlineStr">
        <is>
          <t xml:space="preserve">998333232020 SMS ERI, 998770404340 SMS OZI, 998957666006 sms uzi new,</t>
        </is>
      </c>
      <c r="G1187" s="106" t="inlineStr">
        <is>
          <t xml:space="preserve">Янгизамон МФЙ, Куддус, туп. 1 кучаси, 10-уй</t>
        </is>
      </c>
      <c r="H1187" s="107">
        <v>13.0</v>
      </c>
      <c r="I1187" s="107">
        <v>3953323.66</v>
      </c>
    </row>
    <row r="1188">
      <c r="A1188" s="106" t="inlineStr">
        <is>
          <t xml:space="preserve">ТОШКЕНТ ШАХРИ</t>
        </is>
      </c>
      <c r="C1188" s="106" t="inlineStr">
        <is>
          <t xml:space="preserve">Недозвон</t>
        </is>
      </c>
      <c r="D1188" s="106" t="inlineStr">
        <is>
          <t xml:space="preserve">Кр-99023949-4</t>
        </is>
      </c>
      <c r="E1188" s="106" t="inlineStr">
        <is>
          <t xml:space="preserve">XAYRULLAYEV ABDULLO SHUKURULLO O’G’LI</t>
        </is>
      </c>
      <c r="F1188" s="106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1188" s="106" t="inlineStr">
        <is>
          <t xml:space="preserve">MUNAVVARQORI MFY 2-PILLA KO’CHASI 53-UY</t>
        </is>
      </c>
      <c r="H1188" s="107">
        <v>8.0</v>
      </c>
      <c r="I1188" s="107">
        <v>3823624.76</v>
      </c>
    </row>
    <row r="1189">
      <c r="A1189" s="106" t="inlineStr">
        <is>
          <t xml:space="preserve">ТОШКЕНТ ШАХРИ</t>
        </is>
      </c>
      <c r="C1189" s="106" t="inlineStr">
        <is>
          <t xml:space="preserve">Недозвон</t>
        </is>
      </c>
      <c r="D1189" s="106" t="inlineStr">
        <is>
          <t xml:space="preserve">Кр-99043744-1</t>
        </is>
      </c>
      <c r="E1189" s="106" t="inlineStr">
        <is>
          <t xml:space="preserve">NUSRATOV ASLIDDIN FAXRIDDIN O‘G‘LI</t>
        </is>
      </c>
      <c r="F1189" s="106" t="inlineStr">
        <is>
          <t xml:space="preserve">+998916387115 Primary phone from road24, 998916387115 Primary phone from road24,</t>
        </is>
      </c>
      <c r="G1189" s="106" t="inlineStr">
        <is>
          <t xml:space="preserve">Ширин МФЙ, 26 мавзеси, 23-уй, 83-хонадон</t>
        </is>
      </c>
      <c r="H1189" s="107">
        <v>8.0</v>
      </c>
      <c r="I1189" s="107">
        <v>3805127.73</v>
      </c>
    </row>
    <row r="1190">
      <c r="A1190" s="106" t="inlineStr">
        <is>
          <t xml:space="preserve">ТОШКЕНТ ШАХРИ</t>
        </is>
      </c>
      <c r="C1190" s="106" t="inlineStr">
        <is>
          <t xml:space="preserve">Недозвон</t>
        </is>
      </c>
      <c r="D1190" s="106" t="inlineStr">
        <is>
          <t xml:space="preserve">Кр-99052100-1</t>
        </is>
      </c>
      <c r="E1190" s="106" t="inlineStr">
        <is>
          <t xml:space="preserve">RUSTAMOV SHOXRUX MUZAFFAR O'G'LI</t>
        </is>
      </c>
      <c r="F1190" s="106" t="inlineStr">
        <is>
          <t xml:space="preserve">998935725151 SMS OZI, 998515045502 SMS OZI 2, 998933757980 SMS UKASI,</t>
        </is>
      </c>
      <c r="G1190" s="106" t="inlineStr">
        <is>
          <t xml:space="preserve">TOSHKENT SHAHAR SIRG’ALI TUMANI BUYODOBOD MFY SERGELI 6A- MAVZESI ,9-UY,1-XONADON</t>
        </is>
      </c>
      <c r="H1190" s="107">
        <v>11.0</v>
      </c>
      <c r="I1190" s="107">
        <v>3791491.21</v>
      </c>
    </row>
    <row r="1191">
      <c r="A1191" s="106" t="inlineStr">
        <is>
          <t xml:space="preserve">ТОШКЕНТ ШАХРИ</t>
        </is>
      </c>
      <c r="C1191" s="106" t="inlineStr">
        <is>
          <t xml:space="preserve">Недозвон</t>
        </is>
      </c>
      <c r="D1191" s="106" t="inlineStr">
        <is>
          <t xml:space="preserve">Кр-99036018-1</t>
        </is>
      </c>
      <c r="E1191" s="106" t="inlineStr">
        <is>
          <t xml:space="preserve">ARIPOVA SANOBAR NARIMANOVNA</t>
        </is>
      </c>
      <c r="F1191" s="106" t="inlineStr">
        <is>
          <t xml:space="preserve">998910141058 SMS OZI, 998900073026 SMS KELINI, 998935287242 SMS OGLI, 998358306912 SMS KELINI,</t>
        </is>
      </c>
      <c r="G1191" s="106" t="inlineStr">
        <is>
          <t xml:space="preserve">TOSHKENT SHAHAR YUNUSOBOD TUMANI 10-MAVZE 7- UY 37- KVARTIRA</t>
        </is>
      </c>
      <c r="H1191" s="107">
        <v>1.0</v>
      </c>
      <c r="I1191" s="107">
        <v>3763996.33</v>
      </c>
    </row>
    <row r="1192">
      <c r="A1192" s="106" t="inlineStr">
        <is>
          <t xml:space="preserve">ТОШКЕНТ ШАХРИ</t>
        </is>
      </c>
      <c r="C1192" s="106" t="inlineStr">
        <is>
          <t xml:space="preserve">Недозвон</t>
        </is>
      </c>
      <c r="D1192" s="106" t="inlineStr">
        <is>
          <t xml:space="preserve">Кр-99041239-1</t>
        </is>
      </c>
      <c r="E1192" s="106" t="inlineStr">
        <is>
          <t xml:space="preserve">MIRPULATOV ATABEK BAXODIROVICH</t>
        </is>
      </c>
      <c r="F1192" s="106" t="inlineStr">
        <is>
          <t xml:space="preserve">+998504404255 SMS OZI, 998335008080 SMS AYOLI, 998977602900 SMS O’G’LI,</t>
        </is>
      </c>
      <c r="G1192" s="106" t="inlineStr">
        <is>
          <t xml:space="preserve">г. Ташкент, Юнусабадский район, ул. Исломобод, проезд 6, Исломобод МСГ, 46- Дом, -</t>
        </is>
      </c>
      <c r="H1192" s="107">
        <v>1.0</v>
      </c>
      <c r="I1192" s="107">
        <v>3698775.67</v>
      </c>
    </row>
    <row r="1193">
      <c r="A1193" s="106" t="inlineStr">
        <is>
          <t xml:space="preserve">ТОШКЕНТ ШАХРИ</t>
        </is>
      </c>
      <c r="C1193" s="106" t="inlineStr">
        <is>
          <t xml:space="preserve">Недозвон</t>
        </is>
      </c>
      <c r="D1193" s="106" t="inlineStr">
        <is>
          <t xml:space="preserve">Кр-99036425-1</t>
        </is>
      </c>
      <c r="E1193" s="106" t="inlineStr">
        <is>
          <t xml:space="preserve">XALMUXAMEDOV DILSHOD FURKATOVICH</t>
        </is>
      </c>
      <c r="F1193" s="106" t="inlineStr">
        <is>
          <t xml:space="preserve">998946982030 SMS OZI, 998935421667 SMS JIYANI, 998946242030 SMS AYOLI, 998946982030 SMS OZI,</t>
        </is>
      </c>
      <c r="G1193" s="106" t="inlineStr">
        <is>
          <t xml:space="preserve">TOSHKENT SHAHAR YUNUSOBOD TUMANI ,14-MAVZE,8-UY,53-XONADON</t>
        </is>
      </c>
      <c r="H1193" s="107">
        <v>21.0</v>
      </c>
      <c r="I1193" s="107">
        <v>3619221.41</v>
      </c>
    </row>
    <row r="1194">
      <c r="A1194" s="106" t="inlineStr">
        <is>
          <t xml:space="preserve">ТОШКЕНТ ШАХРИ</t>
        </is>
      </c>
      <c r="C1194" s="106" t="inlineStr">
        <is>
          <t xml:space="preserve">Объезд</t>
        </is>
      </c>
      <c r="D1194" s="106" t="inlineStr">
        <is>
          <t xml:space="preserve">Кр-99063089-1</t>
        </is>
      </c>
      <c r="E1194" s="106" t="inlineStr">
        <is>
          <t xml:space="preserve">YUZBAYEV DILMUROD ALLAMURAD O’G’LI</t>
        </is>
      </c>
      <c r="F1194" s="106" t="inlineStr">
        <is>
          <t xml:space="preserve">998946736370 OZI, 998940206370 AYOLI, 998500573637 DOSTI,</t>
        </is>
      </c>
      <c r="G1194" s="106" t="inlineStr">
        <is>
          <t xml:space="preserve">TOSHKENT SHAHAR YASHNOBOD TUMANI BOYQO’RG’ON KO’CHASI 11/3 UY,63-A XONADON</t>
        </is>
      </c>
      <c r="H1194" s="107">
        <v>8.0</v>
      </c>
      <c r="I1194" s="107">
        <v>3507336.81</v>
      </c>
      <c r="K1194" s="106" t="inlineStr">
        <is>
          <t xml:space="preserve">Uyiga borildi - va'da berdi</t>
        </is>
      </c>
    </row>
    <row r="1195">
      <c r="A1195" s="106" t="inlineStr">
        <is>
          <t xml:space="preserve">ТОШКЕНТ ШАХРИ</t>
        </is>
      </c>
      <c r="C1195" s="106" t="inlineStr">
        <is>
          <t xml:space="preserve">Недозвон</t>
        </is>
      </c>
      <c r="D1195" s="106" t="inlineStr">
        <is>
          <t xml:space="preserve">Кр-99035003-2</t>
        </is>
      </c>
      <c r="E1195" s="106" t="inlineStr">
        <is>
          <t xml:space="preserve">ABDULAZIZOV AKBARJON ABDUSALOM O‘G‘LI</t>
        </is>
      </c>
      <c r="F1195" s="106" t="inlineStr">
        <is>
          <t xml:space="preserve">998998865038 SMS O’ZI, 998811103432 SMS O’ZI 2, 998994092541 SMS DO’STI, 998998865038 SMS O’ZI 3, +998998865038 Primary phone from road24,</t>
        </is>
      </c>
      <c r="G1195" s="106" t="inlineStr">
        <is>
          <t xml:space="preserve">УСТА ШИРИН МФЙ, КЎРГАЗМА КЎЧАСИ,  uy:57</t>
        </is>
      </c>
      <c r="H1195" s="107">
        <v>8.0</v>
      </c>
      <c r="I1195" s="107">
        <v>3505402.5</v>
      </c>
    </row>
    <row r="1196">
      <c r="A1196" s="106" t="inlineStr">
        <is>
          <t xml:space="preserve">ТОШКЕНТ ШАХРИ</t>
        </is>
      </c>
      <c r="C1196" s="106" t="inlineStr">
        <is>
          <t xml:space="preserve">Недозвон</t>
        </is>
      </c>
      <c r="D1196" s="106" t="inlineStr">
        <is>
          <t xml:space="preserve">Кр-99039479-2</t>
        </is>
      </c>
      <c r="E1196" s="106" t="inlineStr">
        <is>
          <t xml:space="preserve">BOYMUROTOVA DILNOZA DAVLATILLA QIZI</t>
        </is>
      </c>
      <c r="F1196" s="106" t="inlineStr">
        <is>
          <t xml:space="preserve">998974432612 SMS OZI, 998883514444 SMS ERI, 998909397454 SMS ONASI,</t>
        </is>
      </c>
      <c r="G1196" s="106" t="inlineStr">
        <is>
          <t xml:space="preserve">TOSHKENT SHAHAR BEKTEMIR TUMANI ROXAT KO’CHASI 11-BERK 35-XONADON</t>
        </is>
      </c>
      <c r="H1196" s="107">
        <v>8.0</v>
      </c>
      <c r="I1196" s="107">
        <v>3490303.06</v>
      </c>
    </row>
    <row r="1197">
      <c r="A1197" s="106" t="inlineStr">
        <is>
          <t xml:space="preserve">ТОШКЕНТ ШАХРИ</t>
        </is>
      </c>
      <c r="C1197" s="106" t="inlineStr">
        <is>
          <t xml:space="preserve">Недозвон</t>
        </is>
      </c>
      <c r="D1197" s="106" t="inlineStr">
        <is>
          <t xml:space="preserve">Кр-99021371-2</t>
        </is>
      </c>
      <c r="E1197" s="106" t="inlineStr">
        <is>
          <t xml:space="preserve">XAMIDXODJAYEV ZUXRUTDIN IKRAMOVICH</t>
        </is>
      </c>
      <c r="F1197" s="106" t="inlineStr">
        <is>
          <t xml:space="preserve">90-031-15-65 SMS OZI, 97-131-63-60 SMS ONASI, 90-823-66-00 SMS AKASI, 91-774-01-68 SMS O’G’LI,</t>
        </is>
      </c>
      <c r="G1197" s="106" t="inlineStr">
        <is>
          <t xml:space="preserve">TOSHKENT SHAHAHR OLMAZOR TUMANI QIZIL QO’SHIN 95-XONADON</t>
        </is>
      </c>
      <c r="H1197" s="107">
        <v>8.0</v>
      </c>
      <c r="I1197" s="107">
        <v>3476979.58</v>
      </c>
    </row>
    <row r="1198">
      <c r="A1198" s="106" t="inlineStr">
        <is>
          <t xml:space="preserve">ТОШКЕНТ ШАХРИ</t>
        </is>
      </c>
      <c r="C1198" s="106" t="inlineStr">
        <is>
          <t xml:space="preserve">Недозвон</t>
        </is>
      </c>
      <c r="D1198" s="106" t="inlineStr">
        <is>
          <t xml:space="preserve">Кр-99062689-1</t>
        </is>
      </c>
      <c r="E1198" s="106" t="inlineStr">
        <is>
          <t xml:space="preserve">TOXIROV ABDULLO SHOHIDJON O’G’LI</t>
        </is>
      </c>
      <c r="F1198" s="106" t="inlineStr">
        <is>
          <t xml:space="preserve">998338303003 SMS OZI, 998998300706 SMS AKASI, 998887099951 SMS UAKSI,</t>
        </is>
      </c>
      <c r="G1198" s="106" t="inlineStr">
        <is>
          <t xml:space="preserve">TOSHKENT SHAHAR UCHTEPA TUMANI SHOFTOLIZOR MFY 4-PR SHOYI 4-UY</t>
        </is>
      </c>
      <c r="H1198" s="107">
        <v>8.0</v>
      </c>
      <c r="I1198" s="107">
        <v>3457768.13</v>
      </c>
    </row>
    <row r="1199">
      <c r="A1199" s="106" t="inlineStr">
        <is>
          <t xml:space="preserve">ТОШКЕНТ ШАХРИ</t>
        </is>
      </c>
      <c r="C1199" s="106" t="inlineStr">
        <is>
          <t xml:space="preserve">Недозвон</t>
        </is>
      </c>
      <c r="D1199" s="106" t="inlineStr">
        <is>
          <t xml:space="preserve">Кр-99052350-1</t>
        </is>
      </c>
      <c r="E1199" s="106" t="inlineStr">
        <is>
          <t xml:space="preserve">XASANOVA LILIYA AVAZBEKOVNA</t>
        </is>
      </c>
      <c r="F1199" s="106" t="inlineStr">
        <is>
          <t xml:space="preserve">998333111103 SMS DADASI, 998334221202 SMS AKASI, 998336860205 SMS OZI, 998996647887 SMS AKAASI 2,</t>
        </is>
      </c>
      <c r="G1199" s="106" t="inlineStr">
        <is>
          <t xml:space="preserve">TOSHKENT SHAHAR YASHNABOD TUMANI KATTA QOYLIQ MFY 8-TUYONA KO’CHASI  15-UY</t>
        </is>
      </c>
      <c r="H1199" s="107">
        <v>11.0</v>
      </c>
      <c r="I1199" s="107">
        <v>3343648.35</v>
      </c>
    </row>
    <row r="1200">
      <c r="A1200" s="106" t="inlineStr">
        <is>
          <t xml:space="preserve">ТОШКЕНТ ШАХРИ</t>
        </is>
      </c>
      <c r="C1200" s="106" t="inlineStr">
        <is>
          <t xml:space="preserve">Объезд</t>
        </is>
      </c>
      <c r="D1200" s="106" t="inlineStr">
        <is>
          <t xml:space="preserve">Кр-99063244-1</t>
        </is>
      </c>
      <c r="E1200" s="106" t="inlineStr">
        <is>
          <t xml:space="preserve">QUDRATXODJAYEV BEHZOD SHUXRATOVICH</t>
        </is>
      </c>
      <c r="F1200" s="106" t="inlineStr">
        <is>
          <t xml:space="preserve">998200001426 SMS OZI, 998997012006 SMS JIYANI, 998998604005 SMS OANSI,</t>
        </is>
      </c>
      <c r="G1200" s="106" t="inlineStr">
        <is>
          <t xml:space="preserve">TOSHKENT SHAHAR YUNUSOBOD TUMANI O’LKAOBOD KOCHASI 4-UY</t>
        </is>
      </c>
      <c r="H1200" s="107">
        <v>13.0</v>
      </c>
      <c r="I1200" s="107">
        <v>3189339.16</v>
      </c>
      <c r="J1200" s="107">
        <v>3189339.16</v>
      </c>
      <c r="K1200" s="106" t="inlineStr">
        <is>
          <t xml:space="preserve">Uyiga borildi - to'ladi</t>
        </is>
      </c>
    </row>
    <row r="1201">
      <c r="A1201" s="106" t="inlineStr">
        <is>
          <t xml:space="preserve">ТОШКЕНТ ШАХРИ</t>
        </is>
      </c>
      <c r="C1201" s="106" t="inlineStr">
        <is>
          <t xml:space="preserve">Недозвон</t>
        </is>
      </c>
      <c r="D1201" s="106" t="inlineStr">
        <is>
          <t xml:space="preserve">Кр-99062611-1</t>
        </is>
      </c>
      <c r="E1201" s="106" t="inlineStr">
        <is>
          <t xml:space="preserve">MIRSAGATOVA FARANGIZ RASULJON QIZI</t>
        </is>
      </c>
      <c r="F1201" s="106" t="inlineStr">
        <is>
          <t xml:space="preserve">998900170003 узи, 998998545678 эри, 998900383801 дусти,</t>
        </is>
      </c>
      <c r="G1201" s="106" t="inlineStr">
        <is>
          <t xml:space="preserve">TOSHKENT SHAHAR SHAYXONTOXUR TUMANI KOXOTA MFY 25-XONADON</t>
        </is>
      </c>
      <c r="H1201" s="107">
        <v>8.0</v>
      </c>
      <c r="I1201" s="107">
        <v>3175592.36</v>
      </c>
    </row>
    <row r="1202">
      <c r="A1202" s="106" t="inlineStr">
        <is>
          <t xml:space="preserve">ТОШКЕНТ ШАХРИ</t>
        </is>
      </c>
      <c r="C1202" s="106" t="inlineStr">
        <is>
          <t xml:space="preserve">Недозвон</t>
        </is>
      </c>
      <c r="D1202" s="106" t="inlineStr">
        <is>
          <t xml:space="preserve">Кр-99062687-1</t>
        </is>
      </c>
      <c r="E1202" s="106" t="inlineStr">
        <is>
          <t xml:space="preserve">ABDULLAYEV ZIYODJON ERKINOVICH</t>
        </is>
      </c>
      <c r="F1202" s="106" t="inlineStr">
        <is>
          <t xml:space="preserve">998995020770 SMS OZI, 999883025158 SMS AYOLI, 998857978888 SMS AKASI,</t>
        </is>
      </c>
      <c r="G1202" s="106" t="inlineStr">
        <is>
          <t xml:space="preserve">TOSHKENT SHAHAR YUNUSOBOD TUMANI RAYON 11-UY</t>
        </is>
      </c>
      <c r="H1202" s="107">
        <v>8.0</v>
      </c>
      <c r="I1202" s="107">
        <v>3166235.7</v>
      </c>
    </row>
    <row r="1203">
      <c r="A1203" s="106" t="inlineStr">
        <is>
          <t xml:space="preserve">ТОШКЕНТ ШАХРИ</t>
        </is>
      </c>
      <c r="C1203" s="106" t="inlineStr">
        <is>
          <t xml:space="preserve">Недозвон</t>
        </is>
      </c>
      <c r="D1203" s="106" t="inlineStr">
        <is>
          <t xml:space="preserve">Кр-99062775-1</t>
        </is>
      </c>
      <c r="E1203" s="106" t="inlineStr">
        <is>
          <t xml:space="preserve">TESHABAYEV KOZIM KAMILOVICH</t>
        </is>
      </c>
      <c r="F1203" s="106" t="inlineStr">
        <is>
          <t xml:space="preserve">998990224325 OZI, 998990386707 ONASI, 998935148829 AYOLI,</t>
        </is>
      </c>
      <c r="G1203" s="106" t="inlineStr">
        <is>
          <t xml:space="preserve">TOSHKENT SHAHAR YANGIHAYOT TUMANI DO’STLIK MFY 2-MAVZESI 9-UY,52-XONADON</t>
        </is>
      </c>
      <c r="H1203" s="107">
        <v>11.0</v>
      </c>
      <c r="I1203" s="107">
        <v>3144143.73</v>
      </c>
      <c r="K1203" s="106" t="inlineStr">
        <is>
          <t xml:space="preserve">Telefon ko'tarmadi</t>
        </is>
      </c>
    </row>
    <row r="1204">
      <c r="A1204" s="106" t="inlineStr">
        <is>
          <t xml:space="preserve">ТОШКЕНТ ШАХРИ</t>
        </is>
      </c>
      <c r="C1204" s="106" t="inlineStr">
        <is>
          <t xml:space="preserve">Недозвон</t>
        </is>
      </c>
      <c r="D1204" s="106" t="inlineStr">
        <is>
          <t xml:space="preserve">Кр-99062644-1</t>
        </is>
      </c>
      <c r="E1204" s="106" t="inlineStr">
        <is>
          <t xml:space="preserve">ALIMXODJAYEV MUXABBAT RADISOVNA</t>
        </is>
      </c>
      <c r="F1204" s="106" t="inlineStr">
        <is>
          <t xml:space="preserve">998977474348 узи, 998974323663 эри, 998999888827 онаси,</t>
        </is>
      </c>
      <c r="G1204" s="106" t="inlineStr">
        <is>
          <t xml:space="preserve">TOSHKENT SHAHAR OLMAZOR TUMANI QAMARNISO 28A,13UY</t>
        </is>
      </c>
      <c r="H1204" s="107">
        <v>8.0</v>
      </c>
      <c r="I1204" s="107">
        <v>3135744.99</v>
      </c>
    </row>
    <row r="1205">
      <c r="A1205" s="106" t="inlineStr">
        <is>
          <t xml:space="preserve">ТОШКЕНТ ШАХРИ</t>
        </is>
      </c>
      <c r="C1205" s="106" t="inlineStr">
        <is>
          <t xml:space="preserve">Недозвон</t>
        </is>
      </c>
      <c r="D1205" s="106" t="inlineStr">
        <is>
          <t xml:space="preserve">Кр-99052930-1</t>
        </is>
      </c>
      <c r="E1205" s="106" t="inlineStr">
        <is>
          <t xml:space="preserve">BOYMIRZAYEV SHAXZOD XOLMIRZA O’G’LI</t>
        </is>
      </c>
      <c r="F1205" s="106" t="inlineStr">
        <is>
          <t xml:space="preserve">998998610910 SMS OZI, 998988086680 SMS AKASI, 998770881600 SMS ONASI, 998998839906 SMS OPASI,</t>
        </is>
      </c>
      <c r="G1205" s="106" t="inlineStr">
        <is>
          <t xml:space="preserve">TOSHKEN SHAXAR UCHTEPA TUMANI YANGIYO’L MFY QURULISH KO’CHASI 43-UY 171-KVARTIRA</t>
        </is>
      </c>
      <c r="H1205" s="107">
        <v>8.0</v>
      </c>
      <c r="I1205" s="107">
        <v>3110822.42</v>
      </c>
    </row>
    <row r="1206">
      <c r="A1206" s="106" t="inlineStr">
        <is>
          <t xml:space="preserve">ТОШКЕНТ ШАХРИ</t>
        </is>
      </c>
      <c r="C1206" s="106" t="inlineStr">
        <is>
          <t xml:space="preserve">Недозвон</t>
        </is>
      </c>
      <c r="D1206" s="106" t="inlineStr">
        <is>
          <t xml:space="preserve">Кр-99004337-2</t>
        </is>
      </c>
      <c r="E1206" s="106" t="inlineStr">
        <is>
          <t xml:space="preserve">GULAMOV AVAZBEK IBAYDULLAYEVICH</t>
        </is>
      </c>
      <c r="F1206" s="106" t="inlineStr">
        <is>
          <t xml:space="preserve">99-881-87-77 SMS UZI HAR DOIM ISHLAYDI , 99-004-00-07 SMS UZI, 998909636333 SMS OZI 2, 998998816111 SMS AYOLI,</t>
        </is>
      </c>
      <c r="G1206" s="106" t="inlineStr">
        <is>
          <t xml:space="preserve">TOSHKENT SHAHAR SIRG’ALI TUMANI SIRG’ALI 5-51-12</t>
        </is>
      </c>
      <c r="H1206" s="107">
        <v>13.0</v>
      </c>
      <c r="I1206" s="107">
        <v>3098481.31</v>
      </c>
    </row>
    <row r="1207">
      <c r="A1207" s="106" t="inlineStr">
        <is>
          <t xml:space="preserve">ТОШКЕНТ ШАХРИ</t>
        </is>
      </c>
      <c r="C1207" s="106" t="inlineStr">
        <is>
          <t xml:space="preserve">Недозвон</t>
        </is>
      </c>
      <c r="D1207" s="106" t="inlineStr">
        <is>
          <t xml:space="preserve">Кр-99029623-6</t>
        </is>
      </c>
      <c r="E1207" s="106" t="inlineStr">
        <is>
          <t xml:space="preserve">BAHODIROV NODIRBEK IXTIYOR O’G’LI</t>
        </is>
      </c>
      <c r="F1207" s="106" t="inlineStr">
        <is>
          <t xml:space="preserve">90-606-59-19 SMS OZI, 33-909-59-19 SMS OZI, 88-929-59-19 SMS UKASI RAXMATULLA,</t>
        </is>
      </c>
      <c r="G1207" s="106" t="inlineStr">
        <is>
          <t xml:space="preserve">Тепақўрғон МФЙ, 11 мавзеси, 47-уй, 23-хонадон</t>
        </is>
      </c>
      <c r="H1207" s="107">
        <v>13.0</v>
      </c>
      <c r="I1207" s="107">
        <v>3036397.54</v>
      </c>
    </row>
    <row r="1208">
      <c r="A1208" s="106" t="inlineStr">
        <is>
          <t xml:space="preserve">ТОШКЕНТ ШАХРИ</t>
        </is>
      </c>
      <c r="C1208" s="106" t="inlineStr">
        <is>
          <t xml:space="preserve">Недозвон</t>
        </is>
      </c>
      <c r="D1208" s="106" t="inlineStr">
        <is>
          <t xml:space="preserve">Кр-99035019-2</t>
        </is>
      </c>
      <c r="E1208" s="106" t="inlineStr">
        <is>
          <t xml:space="preserve">ISRAILOV RUSTAM SULTANOVICH</t>
        </is>
      </c>
      <c r="F1208" s="106" t="inlineStr">
        <is>
          <t xml:space="preserve">998712485251 SMS O’ZI, 998999994524 SMS OGLI, 998981241558 SMS O’G’LI,</t>
        </is>
      </c>
      <c r="G1208" s="106" t="inlineStr">
        <is>
          <t xml:space="preserve">TOSHKENT SHAHAR OLMAZOR TUMANI GULZOR MFY CHUKURSOY KO’CHASI 187-A XONADON</t>
        </is>
      </c>
      <c r="H1208" s="107">
        <v>8.0</v>
      </c>
      <c r="I1208" s="107">
        <v>3021031.34</v>
      </c>
    </row>
    <row r="1209">
      <c r="A1209" s="106" t="inlineStr">
        <is>
          <t xml:space="preserve">ТОШКЕНТ ШАХРИ</t>
        </is>
      </c>
      <c r="C1209" s="106" t="inlineStr">
        <is>
          <t xml:space="preserve">Недозвон</t>
        </is>
      </c>
      <c r="D1209" s="106" t="inlineStr">
        <is>
          <t xml:space="preserve">Кр-99042128-1</t>
        </is>
      </c>
      <c r="E1209" s="106" t="inlineStr">
        <is>
          <t xml:space="preserve">ALIMOV SHUXRAT MUBASHIROVICH</t>
        </is>
      </c>
      <c r="F1209" s="106" t="inlineStr">
        <is>
          <t xml:space="preserve">998772014574 SMS O’G’LI, 998777067445 SMS AYOLLI, 998907885212 SMS O’ZI 2, 998998007445 SMSM O’ZI, +998777859797 Primary phone from road24, 998777859797 Primary phone from road24,</t>
        </is>
      </c>
      <c r="G1209" s="106" t="inlineStr">
        <is>
          <t xml:space="preserve">ОЛТИН ВОДИЙ МФЙ, САМО, 2 БЕРК КЎЧАСИ,  uy:8</t>
        </is>
      </c>
      <c r="H1209" s="107">
        <v>8.0</v>
      </c>
      <c r="I1209" s="107">
        <v>3009837.35</v>
      </c>
    </row>
    <row r="1210">
      <c r="A1210" s="106" t="inlineStr">
        <is>
          <t xml:space="preserve">ТОШКЕНТ ШАХРИ</t>
        </is>
      </c>
      <c r="C1210" s="106" t="inlineStr">
        <is>
          <t xml:space="preserve">Недозвон</t>
        </is>
      </c>
      <c r="D1210" s="106" t="inlineStr">
        <is>
          <t xml:space="preserve">Кр-99037834-2</t>
        </is>
      </c>
      <c r="E1210" s="106" t="inlineStr">
        <is>
          <t xml:space="preserve">ARIPOVA NOIBA SHUKURULLAYEVNA</t>
        </is>
      </c>
      <c r="F1210" s="106" t="inlineStr">
        <is>
          <t xml:space="preserve">998946781213 SMS OZI, 998998773919 SMS ERI, 998555081231 SMS UYI,</t>
        </is>
      </c>
      <c r="G1210" s="106" t="inlineStr">
        <is>
          <t xml:space="preserve">TOSHKENT SHAHAR SHAYHONTOXUR TUMANI GULOBOD KO’CHASI 68-UY</t>
        </is>
      </c>
      <c r="H1210" s="107">
        <v>8.0</v>
      </c>
      <c r="I1210" s="107">
        <v>2897590.23</v>
      </c>
    </row>
    <row r="1211">
      <c r="A1211" s="106" t="inlineStr">
        <is>
          <t xml:space="preserve">ТОШКЕНТ ШАХРИ</t>
        </is>
      </c>
      <c r="C1211" s="106" t="inlineStr">
        <is>
          <t xml:space="preserve">Недозвон</t>
        </is>
      </c>
      <c r="D1211" s="106" t="inlineStr">
        <is>
          <t xml:space="preserve">Кр-99039083-1</t>
        </is>
      </c>
      <c r="E1211" s="106" t="inlineStr">
        <is>
          <t xml:space="preserve">TO’RAXODJAYEVA MANZURA ALISHEROVNA</t>
        </is>
      </c>
      <c r="F1211" s="106" t="inlineStr">
        <is>
          <t xml:space="preserve">998908309889 SMS OZI, 998909920099 SMS OZI , 998903580333 SMS UKASI,</t>
        </is>
      </c>
      <c r="G1211" s="106" t="inlineStr">
        <is>
          <t xml:space="preserve">TOSHKENT SHAHRI MIROBOD TUMANI ODOBLIK MFY  1-UY,2-XONADON</t>
        </is>
      </c>
      <c r="H1211" s="107">
        <v>5.0</v>
      </c>
      <c r="I1211" s="107">
        <v>2882372.3</v>
      </c>
    </row>
    <row r="1212">
      <c r="A1212" s="106" t="inlineStr">
        <is>
          <t xml:space="preserve">ТОШКЕНТ ШАХРИ</t>
        </is>
      </c>
      <c r="C1212" s="106" t="inlineStr">
        <is>
          <t xml:space="preserve">Недозвон</t>
        </is>
      </c>
      <c r="D1212" s="106" t="inlineStr">
        <is>
          <t xml:space="preserve">Кр-99037060-2</t>
        </is>
      </c>
      <c r="E1212" s="106" t="inlineStr">
        <is>
          <t xml:space="preserve">NO’MONOV HUMOYUNBEK QAHRAMON O’G’LI</t>
        </is>
      </c>
      <c r="F1212" s="106" t="inlineStr">
        <is>
          <t xml:space="preserve">998954348866 SMS OZI, 998917387171 SMS AKASI, 998501501737 SMS UKASI, 998888171737 SMS DADASI,</t>
        </is>
      </c>
      <c r="G1212" s="106" t="inlineStr">
        <is>
          <t xml:space="preserve">TOSHKENT SHAHAR CHILONZOR TUMANI OLMAZOR DAHASI 8/1 UY 23- XONADON</t>
        </is>
      </c>
      <c r="H1212" s="107">
        <v>1.0</v>
      </c>
      <c r="I1212" s="107">
        <v>2834680.37</v>
      </c>
    </row>
    <row r="1213">
      <c r="A1213" s="106" t="inlineStr">
        <is>
          <t xml:space="preserve">ТОШКЕНТ ШАХРИ</t>
        </is>
      </c>
      <c r="C1213" s="106" t="inlineStr">
        <is>
          <t xml:space="preserve">Объезд</t>
        </is>
      </c>
      <c r="D1213" s="106" t="inlineStr">
        <is>
          <t xml:space="preserve">Кр-99044138-2</t>
        </is>
      </c>
      <c r="E1213" s="106" t="inlineStr">
        <is>
          <t xml:space="preserve">ABDURASHIDOV ABDULAZIZ ABDULATIF O’G’LI</t>
        </is>
      </c>
      <c r="F1213" s="106" t="inlineStr">
        <is>
          <t xml:space="preserve">998946236666 SMS OZI 2, 998946638777 SMS OZI, 998983664777 SMS UKASI,</t>
        </is>
      </c>
      <c r="G1213" s="106" t="inlineStr">
        <is>
          <t xml:space="preserve">Oltin vodiy MFY, Samo 1-berk ko’chasi, 18-uy</t>
        </is>
      </c>
      <c r="H1213" s="107">
        <v>8.0</v>
      </c>
      <c r="I1213" s="107">
        <v>2828306.36</v>
      </c>
      <c r="J1213" s="107">
        <v>2828306.36</v>
      </c>
      <c r="K1213" s="106" t="inlineStr">
        <is>
          <t xml:space="preserve">Uyiga borildi - to'ladi</t>
        </is>
      </c>
    </row>
    <row r="1214">
      <c r="A1214" s="106" t="inlineStr">
        <is>
          <t xml:space="preserve">ТОШКЕНТ ШАХРИ</t>
        </is>
      </c>
      <c r="C1214" s="106" t="inlineStr">
        <is>
          <t xml:space="preserve">Недозвон</t>
        </is>
      </c>
      <c r="D1214" s="106" t="inlineStr">
        <is>
          <t xml:space="preserve">Кр-99027053-2</t>
        </is>
      </c>
      <c r="E1214" s="106" t="inlineStr">
        <is>
          <t xml:space="preserve">XAMRAKULOV SHOYADBEK SHUXRATOVICH</t>
        </is>
      </c>
      <c r="F1214" s="106" t="inlineStr">
        <is>
          <t xml:space="preserve">97-420-08-87 SMS OZI, 998974200392 SMS AYOLI, 998977334088 SMS SINGLISI,</t>
        </is>
      </c>
      <c r="G1214" s="106" t="inlineStr">
        <is>
          <t xml:space="preserve">TOSHKENT SHAHAR UCHTEPA TUMANI 23-MAVZE 3-UY 8-XONADON</t>
        </is>
      </c>
      <c r="H1214" s="107">
        <v>8.0</v>
      </c>
      <c r="I1214" s="107">
        <v>2820719.52</v>
      </c>
    </row>
    <row r="1215">
      <c r="A1215" s="106" t="inlineStr">
        <is>
          <t xml:space="preserve">ТОШКЕНТ ШАХРИ</t>
        </is>
      </c>
      <c r="C1215" s="106" t="inlineStr">
        <is>
          <t xml:space="preserve">Недозвон</t>
        </is>
      </c>
      <c r="D1215" s="106" t="inlineStr">
        <is>
          <t xml:space="preserve">Кр-99063537-1</t>
        </is>
      </c>
      <c r="E1215" s="106" t="inlineStr">
        <is>
          <t xml:space="preserve">RUSTAMOV ABDULLOH SHOXAKIM O’G’LI</t>
        </is>
      </c>
      <c r="F1215" s="106" t="inlineStr">
        <is>
          <t xml:space="preserve">998200071717 SMS ORTOGI, 998982001212 SMS UKALAARI, 998996069036 SMS OZI, 998998889878 SMS AKASI,</t>
        </is>
      </c>
      <c r="G1215" s="106" t="inlineStr">
        <is>
          <t xml:space="preserve">TOSHKENT SHAHAR CHILONZOR TUMANI 1-QATORTOL MFY KATOROL 1 TOR  KOCHASI 47-UY</t>
        </is>
      </c>
      <c r="H1215" s="107">
        <v>8.0</v>
      </c>
      <c r="I1215" s="107">
        <v>2798577.36</v>
      </c>
    </row>
    <row r="1216">
      <c r="A1216" s="106" t="inlineStr">
        <is>
          <t xml:space="preserve">ТОШКЕНТ ШАХРИ</t>
        </is>
      </c>
      <c r="C1216" s="106" t="inlineStr">
        <is>
          <t xml:space="preserve">Недозвон</t>
        </is>
      </c>
      <c r="D1216" s="106" t="inlineStr">
        <is>
          <t xml:space="preserve">Кр-99033435-1</t>
        </is>
      </c>
      <c r="E1216" s="106" t="inlineStr">
        <is>
          <t xml:space="preserve">AKROMOV SAIDMAXMUDXON SAID O’G’LI</t>
        </is>
      </c>
      <c r="F1216" s="106" t="inlineStr">
        <is>
          <t xml:space="preserve">998977394545 SMS O’ZI, 998833752522 SMS O’ZI 2, 998977855252 SMS AYOLI, 998953025252 SMS AYOLI2,</t>
        </is>
      </c>
      <c r="G1216" s="106" t="inlineStr">
        <is>
          <t xml:space="preserve">TOSHKENT SHAHARI  UCHTEPA TUMANI  DILNAVO KO'CHASI  UY-28</t>
        </is>
      </c>
      <c r="H1216" s="107">
        <v>4.0</v>
      </c>
      <c r="I1216" s="107">
        <v>2791413.94</v>
      </c>
    </row>
    <row r="1217">
      <c r="A1217" s="106" t="inlineStr">
        <is>
          <t xml:space="preserve">ТОШКЕНТ ШАХРИ</t>
        </is>
      </c>
      <c r="C1217" s="106" t="inlineStr">
        <is>
          <t xml:space="preserve">Недозвон</t>
        </is>
      </c>
      <c r="D1217" s="106" t="inlineStr">
        <is>
          <t xml:space="preserve">Кр-99038726-1</t>
        </is>
      </c>
      <c r="E1217" s="106" t="inlineStr">
        <is>
          <t xml:space="preserve">CHULPANOVA MUXAYYO RAXMANOVNA</t>
        </is>
      </c>
      <c r="F1217" s="106" t="inlineStr">
        <is>
          <t xml:space="preserve">998990666363 SMS OZI, 998998219789 SMS OZI  TOLOVCHI XATAM AKA SHUNGA QILIP YOQIW KERE , 998950306363 SMS QIZI,</t>
        </is>
      </c>
      <c r="G1217" s="106" t="inlineStr">
        <is>
          <t xml:space="preserve">TOSHKENT SHAHAR YASHNABOD TUMANI AVIAZOZLAR 2 MAVZESI 5-UY, 3-XONADON</t>
        </is>
      </c>
      <c r="H1217" s="107">
        <v>6.0</v>
      </c>
      <c r="I1217" s="107">
        <v>2776012.58</v>
      </c>
    </row>
    <row r="1218">
      <c r="A1218" s="106" t="inlineStr">
        <is>
          <t xml:space="preserve">ТОШКЕНТ ШАХРИ</t>
        </is>
      </c>
      <c r="C1218" s="106" t="inlineStr">
        <is>
          <t xml:space="preserve">Недозвон</t>
        </is>
      </c>
      <c r="D1218" s="106" t="inlineStr">
        <is>
          <t xml:space="preserve">Кр-99024123-5</t>
        </is>
      </c>
      <c r="E1218" s="106" t="inlineStr">
        <is>
          <t xml:space="preserve">XASANOV ISLOM RUSTAM O’G’LI</t>
        </is>
      </c>
      <c r="F1218" s="106" t="inlineStr">
        <is>
          <t xml:space="preserve">998933784525 SMS OZI ESKI TASHMIDA ISHLIRKAN VRACH , 97 422-11-21  SMS DOSTI, 90 937-55-87 SMS AKASI, 998933784525 SMS O’ZI, +998933784525 SMS O’ZI, 998974221121 SMS DOSTI,</t>
        </is>
      </c>
      <c r="G1218" s="106" t="inlineStr">
        <is>
          <t xml:space="preserve">Олтинкул МФЙ, Олтинкул кучаси, 94-уй, 33-хонадон</t>
        </is>
      </c>
      <c r="H1218" s="107">
        <v>8.0</v>
      </c>
      <c r="I1218" s="107">
        <v>2760428.15</v>
      </c>
    </row>
    <row r="1219">
      <c r="A1219" s="106" t="inlineStr">
        <is>
          <t xml:space="preserve">ТОШКЕНТ ШАХРИ</t>
        </is>
      </c>
      <c r="C1219" s="106" t="inlineStr">
        <is>
          <t xml:space="preserve">Недозвон</t>
        </is>
      </c>
      <c r="D1219" s="106" t="inlineStr">
        <is>
          <t xml:space="preserve">Кр-99020748-5</t>
        </is>
      </c>
      <c r="E1219" s="106" t="inlineStr">
        <is>
          <t xml:space="preserve">ABDUG’AFFOROVA DILAFRUZAXON UMIDJON QIZI</t>
        </is>
      </c>
      <c r="F1219" s="106" t="inlineStr">
        <is>
          <t xml:space="preserve">93-520-84-88 SMS ozi, 99-812-56-98 SMS OZI 2, 94-670-49-44 SMS ISHCHISI, 95-177-84-80 SMS ISHXONASI,</t>
        </is>
      </c>
      <c r="G1219" s="106" t="inlineStr">
        <is>
          <t xml:space="preserve">TOSHKENT SHAHAR OLAMZOR TUMANI QORAQAMISH 2/4, 51-DOM 3-XONADON</t>
        </is>
      </c>
      <c r="H1219" s="107">
        <v>8.0</v>
      </c>
      <c r="I1219" s="107">
        <v>2711306.71</v>
      </c>
    </row>
    <row r="1220">
      <c r="A1220" s="106" t="inlineStr">
        <is>
          <t xml:space="preserve">ТОШКЕНТ ШАХРИ</t>
        </is>
      </c>
      <c r="C1220" s="106" t="inlineStr">
        <is>
          <t xml:space="preserve">Недозвон</t>
        </is>
      </c>
      <c r="D1220" s="106" t="inlineStr">
        <is>
          <t xml:space="preserve">Кр-99060454-2</t>
        </is>
      </c>
      <c r="E1220" s="106" t="inlineStr">
        <is>
          <t xml:space="preserve">MIRSAMIKOV NURIDDIN KABILOVICH</t>
        </is>
      </c>
      <c r="F1220" s="106" t="inlineStr">
        <is>
          <t xml:space="preserve">+998993025448 SMS OZI, 998888520971 SMS AYOLI, 998948280541 SMS DADASI, 998881555855 SMS ukasi,</t>
        </is>
      </c>
      <c r="G1220" s="106" t="inlineStr">
        <is>
          <t xml:space="preserve">TOSHKENT SHAHAR YASHNOBOD TUMANI AXMAD YASSAVIY MFY XOVOS PR 2 KUCHASI 68-UY</t>
        </is>
      </c>
      <c r="H1220" s="107">
        <v>8.0</v>
      </c>
      <c r="I1220" s="107">
        <v>2599745.3</v>
      </c>
    </row>
    <row r="1221">
      <c r="A1221" s="106" t="inlineStr">
        <is>
          <t xml:space="preserve">ТОШКЕНТ ШАХРИ</t>
        </is>
      </c>
      <c r="C1221" s="106" t="inlineStr">
        <is>
          <t xml:space="preserve">Недозвон</t>
        </is>
      </c>
      <c r="D1221" s="106" t="inlineStr">
        <is>
          <t xml:space="preserve">Кр-99039271-1</t>
        </is>
      </c>
      <c r="E1221" s="106" t="inlineStr">
        <is>
          <t xml:space="preserve">NAZAROV SOBIRJON ZAKIROVICH</t>
        </is>
      </c>
      <c r="F1221" s="106" t="inlineStr">
        <is>
          <t xml:space="preserve">998946388043 SMS OZI, 998946119354 SMS AYOLI, 998995169662 SMS QIZLARI,</t>
        </is>
      </c>
      <c r="G1221" s="106" t="inlineStr">
        <is>
          <t xml:space="preserve">TOSHKENT SHAHAR OLMAZOR TUMANI BESHQO`RG`ON 3 DAXA 23 UY 13 XONADON</t>
        </is>
      </c>
      <c r="H1221" s="107">
        <v>12.0</v>
      </c>
      <c r="I1221" s="107">
        <v>2576200.35</v>
      </c>
    </row>
    <row r="1222">
      <c r="A1222" s="106" t="inlineStr">
        <is>
          <t xml:space="preserve">ТОШКЕНТ ШАХРИ</t>
        </is>
      </c>
      <c r="C1222" s="106" t="inlineStr">
        <is>
          <t xml:space="preserve">Недозвон</t>
        </is>
      </c>
      <c r="D1222" s="106" t="inlineStr">
        <is>
          <t xml:space="preserve">Кр-99040289-2</t>
        </is>
      </c>
      <c r="E1222" s="106" t="inlineStr">
        <is>
          <t xml:space="preserve">YUNUSXONOVA NAFISA TO’LQIN QIZI</t>
        </is>
      </c>
      <c r="F1222" s="106" t="inlineStr">
        <is>
          <t xml:space="preserve">998978055008 SMS ERI,</t>
        </is>
      </c>
      <c r="G1222" s="106" t="inlineStr">
        <is>
          <t xml:space="preserve">НАҚҚОШЛИК МФЙ, НАККОШЛИК КЎЧАСИ,  uy:20 xonadon:81</t>
        </is>
      </c>
      <c r="H1222" s="107">
        <v>11.0</v>
      </c>
      <c r="I1222" s="107">
        <v>2555415.75</v>
      </c>
    </row>
    <row r="1223">
      <c r="A1223" s="106" t="inlineStr">
        <is>
          <t xml:space="preserve">ТОШКЕНТ ШАХРИ</t>
        </is>
      </c>
      <c r="C1223" s="106" t="inlineStr">
        <is>
          <t xml:space="preserve">Недозвон</t>
        </is>
      </c>
      <c r="D1223" s="106" t="inlineStr">
        <is>
          <t xml:space="preserve">Кр-99035831-1</t>
        </is>
      </c>
      <c r="E1223" s="106" t="inlineStr">
        <is>
          <t xml:space="preserve">XAMIDOV BUNYOD QAXOR O’G’LI</t>
        </is>
      </c>
      <c r="F1223" s="106" t="inlineStr">
        <is>
          <t xml:space="preserve">998977246861 SMS OZI, 998935303136 SMS UKASI, 998351959042 SMS UKASI, 998482468612 SMS OZI,</t>
        </is>
      </c>
      <c r="G1223" s="106" t="inlineStr">
        <is>
          <t xml:space="preserve">TOSHKENT SHAHAR SIRG’ALI TUMANI XONTEPA MFY XONABOD KO’CHASI 14-UY</t>
        </is>
      </c>
      <c r="H1223" s="107">
        <v>8.0</v>
      </c>
      <c r="I1223" s="107">
        <v>2546125.23</v>
      </c>
    </row>
    <row r="1224">
      <c r="A1224" s="106" t="inlineStr">
        <is>
          <t xml:space="preserve">ТОШКЕНТ ШАХРИ</t>
        </is>
      </c>
      <c r="C1224" s="106" t="inlineStr">
        <is>
          <t xml:space="preserve">Недозвон</t>
        </is>
      </c>
      <c r="D1224" s="106" t="inlineStr">
        <is>
          <t xml:space="preserve">Кр-99033645-6</t>
        </is>
      </c>
      <c r="E1224" s="106" t="inlineStr">
        <is>
          <t xml:space="preserve">PACHURIN VYACHESLAV VLADIMIROVICH</t>
        </is>
      </c>
      <c r="F1224" s="106" t="inlineStr">
        <is>
          <t xml:space="preserve">998903260038 SMS O’ZI, 998990098018 SMS , 998913090019 SMS,</t>
        </is>
      </c>
      <c r="G1224" s="106" t="inlineStr">
        <is>
          <t xml:space="preserve">TOSHKENT SHAHAR OLMAZOR TUMANI GURUCH ARIQ MFY SAG’BON 30 BERK KO’CHASI 1-UY 30-XONADON</t>
        </is>
      </c>
      <c r="I1224" s="107">
        <v>2537158.72</v>
      </c>
    </row>
    <row r="1225">
      <c r="A1225" s="106" t="inlineStr">
        <is>
          <t xml:space="preserve">ТОШКЕНТ ШАХРИ</t>
        </is>
      </c>
      <c r="C1225" s="106" t="inlineStr">
        <is>
          <t xml:space="preserve">Недозвон</t>
        </is>
      </c>
      <c r="D1225" s="106" t="inlineStr">
        <is>
          <t xml:space="preserve">Кр-99039501-2</t>
        </is>
      </c>
      <c r="E1225" s="106" t="inlineStr">
        <is>
          <t xml:space="preserve">QORIYEV SARVAR NOSIRJONOVICH</t>
        </is>
      </c>
      <c r="F1225" s="106" t="inlineStr">
        <is>
          <t xml:space="preserve">+998936474400 SMS OZI, 998941373443 SMS DOSTI 2, 998951142949 SMS DOSTI,</t>
        </is>
      </c>
      <c r="G1225" s="106" t="inlineStr">
        <is>
          <t xml:space="preserve">г. Ташкент, Юнусабадский район, кв. 6, Туркистон МСГ, 15- Дом, 34- Квартира</t>
        </is>
      </c>
      <c r="H1225" s="107">
        <v>8.0</v>
      </c>
      <c r="I1225" s="107">
        <v>2532317.35</v>
      </c>
    </row>
    <row r="1226">
      <c r="A1226" s="106" t="inlineStr">
        <is>
          <t xml:space="preserve">ТОШКЕНТ ШАХРИ</t>
        </is>
      </c>
      <c r="C1226" s="106" t="inlineStr">
        <is>
          <t xml:space="preserve">Недозвон</t>
        </is>
      </c>
      <c r="D1226" s="106" t="inlineStr">
        <is>
          <t xml:space="preserve">Кр-99063615-1</t>
        </is>
      </c>
      <c r="E1226" s="106" t="inlineStr">
        <is>
          <t xml:space="preserve">MULLADJANOV ZIYODJON MURATOVICH</t>
        </is>
      </c>
      <c r="F1226" s="106" t="inlineStr">
        <is>
          <t xml:space="preserve">998917957878 SMS JIYANI, 998956592777 SMS AYOLI, 998956594777 SMS OZI, 998994113101 SMS узи,</t>
        </is>
      </c>
      <c r="G1226" s="106" t="inlineStr">
        <is>
          <t xml:space="preserve">11-мавзе 12-уй 33-хонадон</t>
        </is>
      </c>
      <c r="H1226" s="107">
        <v>8.0</v>
      </c>
      <c r="I1226" s="107">
        <v>2518018.92</v>
      </c>
    </row>
    <row r="1227">
      <c r="A1227" s="106" t="inlineStr">
        <is>
          <t xml:space="preserve">ТОШКЕНТ ШАХРИ</t>
        </is>
      </c>
      <c r="C1227" s="106" t="inlineStr">
        <is>
          <t xml:space="preserve">Объезд</t>
        </is>
      </c>
      <c r="D1227" s="106" t="inlineStr">
        <is>
          <t xml:space="preserve">Кр-99037634-2</t>
        </is>
      </c>
      <c r="E1227" s="106" t="inlineStr">
        <is>
          <t xml:space="preserve">XUDOYBERGANOV DONIYOR TUYG’UN O’G’LI</t>
        </is>
      </c>
      <c r="F1227" s="106" t="inlineStr">
        <is>
          <t xml:space="preserve">998946895455 SMS O’ZI, 998950051505 SMS DO’STI, 998900543915 SMS O’ZI, 998331775455 SMS UKASI,</t>
        </is>
      </c>
      <c r="G1227" s="106" t="inlineStr">
        <is>
          <t xml:space="preserve">Бободехкон МФЙ, Хусайни, туп. 2 кучаси, 9-уй</t>
        </is>
      </c>
      <c r="H1227" s="107">
        <v>8.0</v>
      </c>
      <c r="I1227" s="107">
        <v>2516559.46</v>
      </c>
      <c r="J1227" s="107">
        <v>2516559.46</v>
      </c>
      <c r="K1227" s="106" t="inlineStr">
        <is>
          <t xml:space="preserve">Uyiga borildi - to'ladi</t>
        </is>
      </c>
    </row>
    <row r="1228">
      <c r="A1228" s="106" t="inlineStr">
        <is>
          <t xml:space="preserve">ТОШКЕНТ ШАХРИ</t>
        </is>
      </c>
      <c r="C1228" s="106" t="inlineStr">
        <is>
          <t xml:space="preserve">Недозвон</t>
        </is>
      </c>
      <c r="D1228" s="106" t="inlineStr">
        <is>
          <t xml:space="preserve">Кр-99002442-11</t>
        </is>
      </c>
      <c r="E1228" s="106" t="inlineStr">
        <is>
          <t xml:space="preserve">FAYZILLAYEV LUTFILLA NARZILLA O’G’LI</t>
        </is>
      </c>
      <c r="F1228" s="106" t="inlineStr">
        <is>
          <t xml:space="preserve">93-813-36-36 SMS, 93-813-62-68 SMS XOTINI, 71-220-62-06 sms UY NOMER, 90-126-23-45 SMS SHOHRUX AKA ,</t>
        </is>
      </c>
      <c r="G1228" s="106" t="inlineStr">
        <is>
          <t xml:space="preserve">TOSHKENT SHAHAR YUNUSOBOD TUMANI YOSHLIK KUCHASI 26 UY</t>
        </is>
      </c>
      <c r="H1228" s="107">
        <v>8.0</v>
      </c>
      <c r="I1228" s="107">
        <v>2504980.49</v>
      </c>
      <c r="K1228" s="106" t="inlineStr">
        <is>
          <t xml:space="preserve">Telefon ko'tarmadi</t>
        </is>
      </c>
    </row>
    <row r="1229">
      <c r="A1229" s="106" t="inlineStr">
        <is>
          <t xml:space="preserve">ТОШКЕНТ ШАХРИ</t>
        </is>
      </c>
      <c r="C1229" s="106" t="inlineStr">
        <is>
          <t xml:space="preserve">Недозвон</t>
        </is>
      </c>
      <c r="D1229" s="106" t="inlineStr">
        <is>
          <t xml:space="preserve">Кр-99061551-1</t>
        </is>
      </c>
      <c r="E1229" s="106" t="inlineStr">
        <is>
          <t xml:space="preserve">SHARIBAYEVA ALINA IBRAGIMOVNA</t>
        </is>
      </c>
      <c r="F1229" s="106" t="inlineStr">
        <is>
          <t xml:space="preserve">998910197490 SMS OZI, 998900323016 SMS ERI, 998946644311 SMS SINGLISI,</t>
        </is>
      </c>
      <c r="G1229" s="106" t="inlineStr">
        <is>
          <t xml:space="preserve">TOSHKENT SHAXRI YASHNOBOD TUMANI AXMAD YASSAVIY MFY, XOVOS,2 TOR KO'CHASI,1/15 -UY </t>
        </is>
      </c>
      <c r="H1229" s="107">
        <v>8.0</v>
      </c>
      <c r="I1229" s="107">
        <v>2495715.79</v>
      </c>
      <c r="K1229" s="106" t="inlineStr">
        <is>
          <t xml:space="preserve">Telefon ko'tarmadi</t>
        </is>
      </c>
    </row>
    <row r="1230">
      <c r="A1230" s="106" t="inlineStr">
        <is>
          <t xml:space="preserve">ТОШКЕНТ ШАХРИ</t>
        </is>
      </c>
      <c r="C1230" s="106" t="inlineStr">
        <is>
          <t xml:space="preserve">Недозвон</t>
        </is>
      </c>
      <c r="D1230" s="106" t="inlineStr">
        <is>
          <t xml:space="preserve">Кр-99039231-1</t>
        </is>
      </c>
      <c r="E1230" s="106" t="inlineStr">
        <is>
          <t xml:space="preserve">SHARIPOVA MUKADDAS VAXABOVNA</t>
        </is>
      </c>
      <c r="F1230" s="106" t="inlineStr">
        <is>
          <t xml:space="preserve">998999092148 SMS OZI, 998974462121 SMS OZI 2, 998974642323 SMS OGLI, 998977123735 SMS QIZ,</t>
        </is>
      </c>
      <c r="G1230" s="106" t="inlineStr">
        <is>
          <t xml:space="preserve">TOSHKENT SHAHAR SHAYHANTOXUR TUMANI BOG’ KO’CHASI 12-UY</t>
        </is>
      </c>
      <c r="H1230" s="107">
        <v>7.0</v>
      </c>
      <c r="I1230" s="107">
        <v>2482200.8</v>
      </c>
    </row>
    <row r="1231">
      <c r="A1231" s="106" t="inlineStr">
        <is>
          <t xml:space="preserve">ТОШКЕНТ ШАХРИ</t>
        </is>
      </c>
      <c r="C1231" s="106" t="inlineStr">
        <is>
          <t xml:space="preserve">Недозвон</t>
        </is>
      </c>
      <c r="D1231" s="106" t="inlineStr">
        <is>
          <t xml:space="preserve">Кр-99037361-1</t>
        </is>
      </c>
      <c r="E1231" s="106" t="inlineStr">
        <is>
          <t xml:space="preserve">SHUKUROV TAXIR VARISOVICH</t>
        </is>
      </c>
      <c r="F1231" s="106" t="inlineStr">
        <is>
          <t xml:space="preserve">998935632910 SMS O’ZI TEL QILINMASIN, 998951781006 SMS O’G’LI, 998712170735 SMS UY RAQAMI, 998887020400 SMS UGLI TULOVCHI ,</t>
        </is>
      </c>
      <c r="G1231" s="106" t="inlineStr">
        <is>
          <t xml:space="preserve">TOSHKENT SHAHAR CHILONZOR TUMANI XOSILOT KO’CHASI ,49-UY</t>
        </is>
      </c>
      <c r="H1231" s="107">
        <v>1.0</v>
      </c>
      <c r="I1231" s="107">
        <v>2476649.77</v>
      </c>
    </row>
    <row r="1232">
      <c r="A1232" s="106" t="inlineStr">
        <is>
          <t xml:space="preserve">ТОШКЕНТ ШАХРИ</t>
        </is>
      </c>
      <c r="C1232" s="106" t="inlineStr">
        <is>
          <t xml:space="preserve">Недозвон</t>
        </is>
      </c>
      <c r="D1232" s="106" t="inlineStr">
        <is>
          <t xml:space="preserve">Кр-99036612-1</t>
        </is>
      </c>
      <c r="E1232" s="106" t="inlineStr">
        <is>
          <t xml:space="preserve">UMAROVA NAZIRA TURAXO’JA QIZI </t>
        </is>
      </c>
      <c r="F1232" s="106" t="inlineStr">
        <is>
          <t xml:space="preserve">998992348433 SMS OZI, 998953790030 SMS akasi tolovchi, 998952234550 SMS AKASI, 998952224550 SMS AKASI, 998992348433 SMS tolovchi, 998951552298 ozi, 998953790030 akasi tolovchi,</t>
        </is>
      </c>
      <c r="G1232" s="106" t="inlineStr">
        <is>
          <t xml:space="preserve">TOSHKENT SHAHAR CHILONZOR TUMANI BAHORISTON MFY, GULISTON DAXASI, 53-UY, 17-XONADON</t>
        </is>
      </c>
      <c r="H1232" s="107">
        <v>5.0</v>
      </c>
      <c r="I1232" s="107">
        <v>2457430.31</v>
      </c>
    </row>
    <row r="1233">
      <c r="A1233" s="106" t="inlineStr">
        <is>
          <t xml:space="preserve">ТОШКЕНТ ШАХРИ</t>
        </is>
      </c>
      <c r="C1233" s="106" t="inlineStr">
        <is>
          <t xml:space="preserve">Недозвон</t>
        </is>
      </c>
      <c r="D1233" s="106" t="inlineStr">
        <is>
          <t xml:space="preserve">Кр-99063891-1</t>
        </is>
      </c>
      <c r="E1233" s="106" t="inlineStr">
        <is>
          <t xml:space="preserve">ABDUFATTOXOV ABDUVALI ABDUMANNOP O’G’LI</t>
        </is>
      </c>
      <c r="G1233" s="106" t="inlineStr">
        <is>
          <t xml:space="preserve">IIV 26277</t>
        </is>
      </c>
      <c r="H1233" s="107">
        <v>8.0</v>
      </c>
      <c r="I1233" s="107">
        <v>2429720.21</v>
      </c>
    </row>
    <row r="1234">
      <c r="A1234" s="106" t="inlineStr">
        <is>
          <t xml:space="preserve">ТОШКЕНТ ШАХРИ</t>
        </is>
      </c>
      <c r="C1234" s="106" t="inlineStr">
        <is>
          <t xml:space="preserve">Недозвон</t>
        </is>
      </c>
      <c r="D1234" s="106" t="inlineStr">
        <is>
          <t xml:space="preserve">Кр-99038611-1</t>
        </is>
      </c>
      <c r="E1234" s="106" t="inlineStr">
        <is>
          <t xml:space="preserve">ZAKIROV MIRZOXID MIRDJALALOVICH</t>
        </is>
      </c>
      <c r="F1234" s="106" t="inlineStr">
        <is>
          <t xml:space="preserve">998773690239 SMS O’ZI, 998997567337 SMS AYOLI, 998998170815 SMS ONASI, 998998163557 SMS  DADASI ,</t>
        </is>
      </c>
      <c r="G1234" s="106" t="inlineStr">
        <is>
          <t xml:space="preserve">TOSHKENT OLMAZOR TUMANI XASTIMOM MFY ZARQAYNAR OLCHA TUP 2 TOR KUCHASI 6-UY</t>
        </is>
      </c>
      <c r="H1234" s="107">
        <v>6.0</v>
      </c>
      <c r="I1234" s="107">
        <v>2381107.06</v>
      </c>
    </row>
    <row r="1235">
      <c r="A1235" s="106" t="inlineStr">
        <is>
          <t xml:space="preserve">ТОШКЕНТ ШАХРИ</t>
        </is>
      </c>
      <c r="C1235" s="106" t="inlineStr">
        <is>
          <t xml:space="preserve">Недозвон</t>
        </is>
      </c>
      <c r="D1235" s="106" t="inlineStr">
        <is>
          <t xml:space="preserve">Кр-99033141-2</t>
        </is>
      </c>
      <c r="E1235" s="106" t="inlineStr">
        <is>
          <t xml:space="preserve">ESHONKULOVA NILUFAR XAYRULLAYEVNA</t>
        </is>
      </c>
      <c r="F1235" s="106" t="inlineStr">
        <is>
          <t xml:space="preserve">998900410662 SMS O’ZI, 998990002657 SMS ERI, 998900662701 SMS O’G’LI, 998931101972 SMS O’ZI 2,</t>
        </is>
      </c>
      <c r="G1235" s="106" t="inlineStr">
        <is>
          <t xml:space="preserve">TOSHKENT SHAHAR SIRG’ALI TUMANI SERGELI 7-MAVZE    32-UY   47-XONADON</t>
        </is>
      </c>
      <c r="H1235" s="107">
        <v>8.0</v>
      </c>
      <c r="I1235" s="107">
        <v>2331173.14</v>
      </c>
    </row>
    <row r="1236">
      <c r="A1236" s="106" t="inlineStr">
        <is>
          <t xml:space="preserve">ТОШКЕНТ ШАХРИ</t>
        </is>
      </c>
      <c r="C1236" s="106" t="inlineStr">
        <is>
          <t xml:space="preserve">Недозвон</t>
        </is>
      </c>
      <c r="D1236" s="106" t="inlineStr">
        <is>
          <t xml:space="preserve">Кр-99056482-2</t>
        </is>
      </c>
      <c r="E1236" s="106" t="inlineStr">
        <is>
          <t xml:space="preserve">SADIKOV BEKZOD KURVONALI O’G’LI</t>
        </is>
      </c>
      <c r="F1236" s="106" t="inlineStr">
        <is>
          <t xml:space="preserve">998958093262 SMS OZI , 998946626959 SMS OZI 2, 998958092262 SMS ONASI, 998958092262 sms onasi  shunga qlinsin ,</t>
        </is>
      </c>
      <c r="G1236" s="106" t="inlineStr">
        <is>
          <t xml:space="preserve">TOSHKENT SHAHRI MIRZO ULUG'BEK TUMANI CHINGELDI MFY TABARRUK KO'CHASI 3-UY</t>
        </is>
      </c>
      <c r="H1236" s="107">
        <v>8.0</v>
      </c>
      <c r="I1236" s="107">
        <v>2314325.75</v>
      </c>
    </row>
    <row r="1237">
      <c r="A1237" s="106" t="inlineStr">
        <is>
          <t xml:space="preserve">ТОШКЕНТ ШАХРИ</t>
        </is>
      </c>
      <c r="C1237" s="106" t="inlineStr">
        <is>
          <t xml:space="preserve">Недозвон</t>
        </is>
      </c>
      <c r="D1237" s="106" t="inlineStr">
        <is>
          <t xml:space="preserve">Кр-99058140-1</t>
        </is>
      </c>
      <c r="E1237" s="106" t="inlineStr">
        <is>
          <t xml:space="preserve">EGAMBERDIYEV FARRUX SHOXRUX O’G’LI</t>
        </is>
      </c>
      <c r="F1237" s="106" t="inlineStr">
        <is>
          <t xml:space="preserve">998900696949 sms ozi,</t>
        </is>
      </c>
      <c r="G1237" s="106" t="inlineStr">
        <is>
          <t xml:space="preserve">TOSHKENT SHAHR OLMAZOR TUMANI</t>
        </is>
      </c>
      <c r="H1237" s="107">
        <v>8.0</v>
      </c>
      <c r="I1237" s="107">
        <v>2305006.48</v>
      </c>
    </row>
    <row r="1238">
      <c r="A1238" s="106" t="inlineStr">
        <is>
          <t xml:space="preserve">ТОШКЕНТ ШАХРИ</t>
        </is>
      </c>
      <c r="C1238" s="106" t="inlineStr">
        <is>
          <t xml:space="preserve">Недозвон</t>
        </is>
      </c>
      <c r="D1238" s="106" t="inlineStr">
        <is>
          <t xml:space="preserve">Кр-99020581-6</t>
        </is>
      </c>
      <c r="E1238" s="106" t="inlineStr">
        <is>
          <t xml:space="preserve">ASKAROV SHOAKBAR SHOADILOVICH</t>
        </is>
      </c>
      <c r="F1238" s="106" t="inlineStr">
        <is>
          <t xml:space="preserve">99-617-00-59  SMS OZI, 94-696-76-67  SMS AYOLI, 71-298-45-74  SMS UY, 71-248-08-03  SMS UY 2,</t>
        </is>
      </c>
      <c r="G1238" s="106" t="inlineStr">
        <is>
          <t xml:space="preserve">TOSHKENT SHAHAR OLMAZOR TUMANI X.RAXMONOV 10-XONADON</t>
        </is>
      </c>
      <c r="H1238" s="107">
        <v>8.0</v>
      </c>
      <c r="I1238" s="107">
        <v>2269721.43</v>
      </c>
    </row>
    <row r="1239">
      <c r="A1239" s="106" t="inlineStr">
        <is>
          <t xml:space="preserve">ТОШКЕНТ ШАХРИ</t>
        </is>
      </c>
      <c r="C1239" s="106" t="inlineStr">
        <is>
          <t xml:space="preserve">Недозвон</t>
        </is>
      </c>
      <c r="D1239" s="106" t="inlineStr">
        <is>
          <t xml:space="preserve">Кр-99034730-2</t>
        </is>
      </c>
      <c r="E1239" s="106" t="inlineStr">
        <is>
          <t xml:space="preserve">TO’LAGANOV SHOHRUHXON AKMAL O’G’LI</t>
        </is>
      </c>
      <c r="F1239" s="106" t="inlineStr">
        <is>
          <t xml:space="preserve">998994363838 SMS OZI, 998946322959 SMS AKASI, 998946215057 SMS OPASI, 998772080441 SMS UKASI, 998990206116 SMS POCHASI, 998998203767 SMS OPASI,</t>
        </is>
      </c>
      <c r="G1239" s="106" t="inlineStr">
        <is>
          <t xml:space="preserve">ТОШКЕНТ ШАХРИ ОЛМАЗОР ТУМАНИ ГАЛАБА МФЙ, ҚОРА-ҚАМИШ 2/4 ДАХАСИ,  uy:48 xonadon:10</t>
        </is>
      </c>
      <c r="H1239" s="107">
        <v>8.0</v>
      </c>
      <c r="I1239" s="107">
        <v>2213665.79</v>
      </c>
    </row>
    <row r="1240">
      <c r="A1240" s="106" t="inlineStr">
        <is>
          <t xml:space="preserve">ТОШКЕНТ ШАХРИ</t>
        </is>
      </c>
      <c r="C1240" s="106" t="inlineStr">
        <is>
          <t xml:space="preserve">Недозвон</t>
        </is>
      </c>
      <c r="D1240" s="106" t="inlineStr">
        <is>
          <t xml:space="preserve">Кр-99039378-1</t>
        </is>
      </c>
      <c r="E1240" s="106" t="inlineStr">
        <is>
          <t xml:space="preserve">TOXIROVA SHAXZODAXON TOXIR QIZI</t>
        </is>
      </c>
      <c r="F1240" s="106" t="inlineStr">
        <is>
          <t xml:space="preserve">+998946494367 SMS O’ZI, 998909833055 SMS AYOLI 2, 998933498843 SMS AYOLI,</t>
        </is>
      </c>
      <c r="G1240" s="106" t="inlineStr">
        <is>
          <t xml:space="preserve">кв. Сергели 1, дом 10, кв. 20</t>
        </is>
      </c>
      <c r="H1240" s="107">
        <v>8.0</v>
      </c>
      <c r="I1240" s="107">
        <v>2202511.19</v>
      </c>
    </row>
    <row r="1241">
      <c r="A1241" s="106" t="inlineStr">
        <is>
          <t xml:space="preserve">ТОШКЕНТ ШАХРИ</t>
        </is>
      </c>
      <c r="C1241" s="106" t="inlineStr">
        <is>
          <t xml:space="preserve">Недозвон</t>
        </is>
      </c>
      <c r="D1241" s="106" t="inlineStr">
        <is>
          <t xml:space="preserve">Кр-99027542-2</t>
        </is>
      </c>
      <c r="E1241" s="106" t="inlineStr">
        <is>
          <t xml:space="preserve">YO’LDOSHEV XOJIAKBAR RAVSHAN O’G’LI</t>
        </is>
      </c>
      <c r="F1241" s="106" t="inlineStr">
        <is>
          <t xml:space="preserve">90-925-57-47  SMS O'ZI, 99-824-83-99  SMS AKASI, 90-902-61-62  SMS AKASI 2, 998336476162 SMS AKASI, 998901863325 SMS dadasin nomeri,</t>
        </is>
      </c>
      <c r="G1241" s="106" t="inlineStr">
        <is>
          <t xml:space="preserve">TOSHKENT SHAHAR OLMAZOR TUMANI CHILTUG’ON 3-BERK KO’CHASI 22-UY</t>
        </is>
      </c>
      <c r="H1241" s="107">
        <v>8.0</v>
      </c>
      <c r="I1241" s="107">
        <v>2195716.51</v>
      </c>
    </row>
    <row r="1242">
      <c r="A1242" s="106" t="inlineStr">
        <is>
          <t xml:space="preserve">ТОШКЕНТ ШАХРИ</t>
        </is>
      </c>
      <c r="C1242" s="106" t="inlineStr">
        <is>
          <t xml:space="preserve">Недозвон</t>
        </is>
      </c>
      <c r="D1242" s="106" t="inlineStr">
        <is>
          <t xml:space="preserve">Кр-99062768-1</t>
        </is>
      </c>
      <c r="E1242" s="106" t="inlineStr">
        <is>
          <t xml:space="preserve">RAXMANOVA XILOLA IBRAGIMOVNA</t>
        </is>
      </c>
      <c r="F1242" s="106" t="inlineStr">
        <is>
          <t xml:space="preserve">998971046161 OZI, 998886959098 QIZI,</t>
        </is>
      </c>
      <c r="G1242" s="106" t="inlineStr">
        <is>
          <t xml:space="preserve">Toshkent shahri  Bektemir tumani Musaffo MFY
Charog'on ko'chasi 2-uy 3-xonadon</t>
        </is>
      </c>
      <c r="H1242" s="107">
        <v>12.0</v>
      </c>
      <c r="I1242" s="107">
        <v>2190331.76</v>
      </c>
    </row>
    <row r="1243">
      <c r="A1243" s="106" t="inlineStr">
        <is>
          <t xml:space="preserve">ТОШКЕНТ ШАХРИ</t>
        </is>
      </c>
      <c r="C1243" s="106" t="inlineStr">
        <is>
          <t xml:space="preserve">Недозвон</t>
        </is>
      </c>
      <c r="D1243" s="106" t="inlineStr">
        <is>
          <t xml:space="preserve">Кр-99063464-1</t>
        </is>
      </c>
      <c r="E1243" s="106" t="inlineStr">
        <is>
          <t xml:space="preserve">AZIMOVA ZEBOXON TOXIROVNA</t>
        </is>
      </c>
      <c r="F1243" s="106" t="inlineStr">
        <is>
          <t xml:space="preserve">998998562803 Ozi, 998909774699 Eri, 998935854699 Mul egasi dodasi,</t>
        </is>
      </c>
      <c r="G1243" s="106" t="inlineStr">
        <is>
          <t xml:space="preserve">OLMAZOR TUMANI</t>
        </is>
      </c>
      <c r="H1243" s="107">
        <v>8.0</v>
      </c>
      <c r="I1243" s="107">
        <v>1972493.6</v>
      </c>
    </row>
    <row r="1244">
      <c r="A1244" s="106" t="inlineStr">
        <is>
          <t xml:space="preserve">ТОШКЕНТ ШАХРИ</t>
        </is>
      </c>
      <c r="C1244" s="106" t="inlineStr">
        <is>
          <t xml:space="preserve">Недозвон</t>
        </is>
      </c>
      <c r="D1244" s="106" t="inlineStr">
        <is>
          <t xml:space="preserve">Кр-99041059-1</t>
        </is>
      </c>
      <c r="E1244" s="106" t="inlineStr">
        <is>
          <t xml:space="preserve">ABBOSOV NOZIMJON XOJIAKBAR O’G’LI</t>
        </is>
      </c>
      <c r="F1244" s="106" t="inlineStr">
        <is>
          <t xml:space="preserve">+998774889944 SMS O’ZI, 998950227769 SMS ONASI, 998991445334 SMS ADASI,</t>
        </is>
      </c>
      <c r="G1244" s="106" t="inlineStr">
        <is>
          <t xml:space="preserve">YANGIHAYOT TUMANI YANGI SERGELI 2-UY</t>
        </is>
      </c>
      <c r="H1244" s="107">
        <v>11.0</v>
      </c>
      <c r="I1244" s="107">
        <v>1930154.73</v>
      </c>
    </row>
    <row r="1245">
      <c r="A1245" s="106" t="inlineStr">
        <is>
          <t xml:space="preserve">ТОШКЕНТ ШАХРИ</t>
        </is>
      </c>
      <c r="C1245" s="106" t="inlineStr">
        <is>
          <t xml:space="preserve">Недозвон</t>
        </is>
      </c>
      <c r="D1245" s="106" t="inlineStr">
        <is>
          <t xml:space="preserve">Кр-99039458-1</t>
        </is>
      </c>
      <c r="E1245" s="106" t="inlineStr">
        <is>
          <t xml:space="preserve">SHARIPOV BAXODIR ATAXANOVICH</t>
        </is>
      </c>
      <c r="F1245" s="106" t="inlineStr">
        <is>
          <t xml:space="preserve">998333930802 SMS QIZI, 998889964445 SMS OZI, 998914237477 SMS AYOLI,</t>
        </is>
      </c>
      <c r="G1245" s="106" t="inlineStr">
        <is>
          <t xml:space="preserve">г. Ташкент, Чиланзарский район, кв. 19, Шухрат МСГ, 29- Дом, 49- Квартира</t>
        </is>
      </c>
      <c r="I1245" s="107">
        <v>1927068.33</v>
      </c>
    </row>
    <row r="1246">
      <c r="A1246" s="106" t="inlineStr">
        <is>
          <t xml:space="preserve">ТОШКЕНТ ШАХРИ</t>
        </is>
      </c>
      <c r="C1246" s="106" t="inlineStr">
        <is>
          <t xml:space="preserve">Недозвон</t>
        </is>
      </c>
      <c r="D1246" s="106" t="inlineStr">
        <is>
          <t xml:space="preserve">Кр-99036235-2</t>
        </is>
      </c>
      <c r="E1246" s="106" t="inlineStr">
        <is>
          <t xml:space="preserve">KIRGIZBAYEV JAMSHID VALIJANOVICH</t>
        </is>
      </c>
      <c r="F1246" s="106" t="inlineStr">
        <is>
          <t xml:space="preserve">998988000703 SMS O’ZI, 998998615414 SMS O’ZI 2, 998909005414 SMS AYOLI,</t>
        </is>
      </c>
      <c r="G1246" s="106" t="inlineStr">
        <is>
          <t xml:space="preserve">мас. Узгариш, дом 1, кв. 213</t>
        </is>
      </c>
      <c r="H1246" s="107">
        <v>8.0</v>
      </c>
      <c r="I1246" s="107">
        <v>1910130.32</v>
      </c>
    </row>
    <row r="1247">
      <c r="A1247" s="106" t="inlineStr">
        <is>
          <t xml:space="preserve">ТОШКЕНТ ШАХРИ</t>
        </is>
      </c>
      <c r="C1247" s="106" t="inlineStr">
        <is>
          <t xml:space="preserve">Недозвон</t>
        </is>
      </c>
      <c r="D1247" s="106" t="inlineStr">
        <is>
          <t xml:space="preserve">Кр-99041453-2</t>
        </is>
      </c>
      <c r="E1247" s="106" t="inlineStr">
        <is>
          <t xml:space="preserve">RO’ZIBOYEV OTABEK MATYAKUBOVICH</t>
        </is>
      </c>
      <c r="F1247" s="106" t="inlineStr">
        <is>
          <t xml:space="preserve">+998994344088 SMS O’ZI, 998994682414 SMS OPASI, 998995484088 SMS AYOLI, 998998168018 SMS AYOLINI DUGONASI,</t>
        </is>
      </c>
      <c r="G1247" s="106" t="inlineStr">
        <is>
          <t xml:space="preserve">КАТКАЛЪА ҚФЙ, ТУПРОҚҚАЛЪА МФЙ, УЧ ЧИНОР КЎЧАСИ,  uy:131</t>
        </is>
      </c>
      <c r="H1247" s="107">
        <v>8.0</v>
      </c>
      <c r="I1247" s="107">
        <v>1884067.22</v>
      </c>
    </row>
    <row r="1248">
      <c r="A1248" s="106" t="inlineStr">
        <is>
          <t xml:space="preserve">ТОШКЕНТ ШАХРИ</t>
        </is>
      </c>
      <c r="C1248" s="106" t="inlineStr">
        <is>
          <t xml:space="preserve">Недозвон</t>
        </is>
      </c>
      <c r="D1248" s="106" t="inlineStr">
        <is>
          <t xml:space="preserve">Кр-99058068-1</t>
        </is>
      </c>
      <c r="E1248" s="106" t="inlineStr">
        <is>
          <t xml:space="preserve">MUSTOFOYEV SUNNATULLOJON MUROD O’G’LI</t>
        </is>
      </c>
      <c r="F1248" s="106" t="inlineStr">
        <is>
          <t xml:space="preserve">+998770346263 Primary phone from road24, 998770346263 Primary phone from road24, 998880142555 SMS OZI, 998888771424 SMS OZI3, 998977604678 SMS OZI,</t>
        </is>
      </c>
      <c r="G1248" s="106" t="inlineStr">
        <is>
          <t xml:space="preserve">Султония МФЙ, Кора-Су-1 мавзеси, 6-уй, 36-хонадон</t>
        </is>
      </c>
      <c r="H1248" s="107">
        <v>8.0</v>
      </c>
      <c r="I1248" s="107">
        <v>1852515.31</v>
      </c>
    </row>
    <row r="1249">
      <c r="A1249" s="106" t="inlineStr">
        <is>
          <t xml:space="preserve">ТОШКЕНТ ШАХРИ</t>
        </is>
      </c>
      <c r="C1249" s="106" t="inlineStr">
        <is>
          <t xml:space="preserve">Недозвон</t>
        </is>
      </c>
      <c r="D1249" s="106" t="inlineStr">
        <is>
          <t xml:space="preserve">Кр-99059022-1</t>
        </is>
      </c>
      <c r="E1249" s="106" t="inlineStr">
        <is>
          <t xml:space="preserve">SHAVKATOV BEKZOD AKROM O’G’LI</t>
        </is>
      </c>
      <c r="F1249" s="106" t="inlineStr">
        <is>
          <t xml:space="preserve">+998997213270 Primary phone from road24, 998997213270 Primary phone from road24, 998889541208 SMS ONASI, 998912222873 SMS AKASI,</t>
        </is>
      </c>
      <c r="G1249" s="106" t="inlineStr">
        <is>
          <t xml:space="preserve">Zaminobod MFY, Oq-yo’l ko’chasi, 293а-uy</t>
        </is>
      </c>
      <c r="H1249" s="107">
        <v>8.0</v>
      </c>
      <c r="I1249" s="107">
        <v>1791714.29</v>
      </c>
    </row>
    <row r="1250">
      <c r="A1250" s="106" t="inlineStr">
        <is>
          <t xml:space="preserve">ТОШКЕНТ ШАХРИ</t>
        </is>
      </c>
      <c r="C1250" s="106" t="inlineStr">
        <is>
          <t xml:space="preserve">Недозвон</t>
        </is>
      </c>
      <c r="D1250" s="106" t="inlineStr">
        <is>
          <t xml:space="preserve">Кр-99060954-1</t>
        </is>
      </c>
      <c r="E1250" s="106" t="inlineStr">
        <is>
          <t xml:space="preserve">ABDULXAMID YAXYO TOXIRJON O’G’LI</t>
        </is>
      </c>
      <c r="F1250" s="106" t="inlineStr">
        <is>
          <t xml:space="preserve">998948934004 O`ZI, 998990044753 O`ZI 2, 998998171775 AKASI, 998949922299 O`RTOG`I,</t>
        </is>
      </c>
      <c r="G1250" s="106" t="inlineStr">
        <is>
          <t xml:space="preserve">IIV 26277</t>
        </is>
      </c>
      <c r="H1250" s="107">
        <v>8.0</v>
      </c>
      <c r="I1250" s="107">
        <v>1737105.76</v>
      </c>
    </row>
    <row r="1251">
      <c r="A1251" s="106" t="inlineStr">
        <is>
          <t xml:space="preserve">ТОШКЕНТ ШАХРИ</t>
        </is>
      </c>
      <c r="C1251" s="106" t="inlineStr">
        <is>
          <t xml:space="preserve">Недозвон</t>
        </is>
      </c>
      <c r="D1251" s="106" t="inlineStr">
        <is>
          <t xml:space="preserve">Кр-99037515-3</t>
        </is>
      </c>
      <c r="E1251" s="106" t="inlineStr">
        <is>
          <t xml:space="preserve">XAKIMOV AKBAR ASQAR O‘G‘LI</t>
        </is>
      </c>
      <c r="F1251" s="106" t="inlineStr">
        <is>
          <t xml:space="preserve">998990525262 SMS O’ZI, 998996550366 SMS OPALARI, 998946401009 SMS OPALARI , 998998918185 SMS AKALARI, +998990525262 Primary phone from road24,</t>
        </is>
      </c>
      <c r="G1251" s="106" t="inlineStr">
        <is>
          <t xml:space="preserve">ЭЗГУЛИК МФЙ, СЕРГЕЛИ 8А МАВЗЕСИ,  uy:11 xonadon:23</t>
        </is>
      </c>
      <c r="H1251" s="107">
        <v>8.0</v>
      </c>
      <c r="I1251" s="107">
        <v>1731268.98</v>
      </c>
    </row>
    <row r="1252">
      <c r="A1252" s="106" t="inlineStr">
        <is>
          <t xml:space="preserve">ТОШКЕНТ ШАХРИ</t>
        </is>
      </c>
      <c r="C1252" s="106" t="inlineStr">
        <is>
          <t xml:space="preserve">Недозвон</t>
        </is>
      </c>
      <c r="D1252" s="106" t="inlineStr">
        <is>
          <t xml:space="preserve">Кр-99058287-1</t>
        </is>
      </c>
      <c r="E1252" s="106" t="inlineStr">
        <is>
          <t xml:space="preserve">MAHAMMADIYEV MEHROJ MUHIDDIN O’G’LI</t>
        </is>
      </c>
      <c r="F1252" s="106" t="inlineStr">
        <is>
          <t xml:space="preserve">998500555534 SMS OZI, 998888949099 SMS ZALOGATEL, 998998261654 SMS AKASI, 998733712202 SMS AKASI 2,</t>
        </is>
      </c>
      <c r="G1252" s="106" t="inlineStr">
        <is>
          <t xml:space="preserve">TOSHKENT SHAHAR SERGILI TUAMANI SPUTNIK 3 4-DOM 42-XONODON </t>
        </is>
      </c>
      <c r="H1252" s="107">
        <v>8.0</v>
      </c>
      <c r="I1252" s="107">
        <v>1729104.49</v>
      </c>
    </row>
    <row r="1253">
      <c r="A1253" s="106" t="inlineStr">
        <is>
          <t xml:space="preserve">ТОШКЕНТ ШАХРИ</t>
        </is>
      </c>
      <c r="C1253" s="106" t="inlineStr">
        <is>
          <t xml:space="preserve">Недозвон</t>
        </is>
      </c>
      <c r="D1253" s="106" t="inlineStr">
        <is>
          <t xml:space="preserve">Кр-99040234-1</t>
        </is>
      </c>
      <c r="E1253" s="106" t="inlineStr">
        <is>
          <t xml:space="preserve">KURBANALIYEV RUSTAM AXMADOVICH</t>
        </is>
      </c>
      <c r="F1253" s="106" t="inlineStr">
        <is>
          <t xml:space="preserve">998903599440 SMS OZI, 998935160041 SMS OPASI, 998974009331 SMS AYOLI, 998977246755 SMS OPASI,</t>
        </is>
      </c>
      <c r="G1253" s="106" t="inlineStr">
        <is>
          <t xml:space="preserve">Хусайн Бойкаро МФЙ, Юкори Чирчик кучаси, 34-уй, 8-хонадон</t>
        </is>
      </c>
      <c r="H1253" s="107">
        <v>13.0</v>
      </c>
      <c r="I1253" s="107">
        <v>1673796.11</v>
      </c>
    </row>
    <row r="1254">
      <c r="A1254" s="106" t="inlineStr">
        <is>
          <t xml:space="preserve">ТОШКЕНТ ШАХРИ</t>
        </is>
      </c>
      <c r="C1254" s="106" t="inlineStr">
        <is>
          <t xml:space="preserve">Объезд</t>
        </is>
      </c>
      <c r="D1254" s="106" t="inlineStr">
        <is>
          <t xml:space="preserve">Кр-99057349-1</t>
        </is>
      </c>
      <c r="E1254" s="106" t="inlineStr">
        <is>
          <t xml:space="preserve">XOLXO’JAYEV SHERZOD NIG’MONXO’JA O’G’LI</t>
        </is>
      </c>
      <c r="F1254" s="106" t="inlineStr">
        <is>
          <t xml:space="preserve">998900230492 SMS OZI, 998977499495 SMS UKASI begona tel qilinmasin, 998909010493 SMS ONASI, 998903530373 SMS OSHNASI,</t>
        </is>
      </c>
      <c r="G1254" s="106" t="inlineStr">
        <is>
          <t xml:space="preserve">TOSHKENT SHAHAR YANGIHAYOT TUMANI CHORTOK MFY, BIRLIK KO’CHASI 73-UY</t>
        </is>
      </c>
      <c r="H1254" s="107">
        <v>8.0</v>
      </c>
      <c r="I1254" s="107">
        <v>1586742.39</v>
      </c>
      <c r="K1254" s="106" t="inlineStr">
        <is>
          <t xml:space="preserve">Uyiga borildi - va'da berdi</t>
        </is>
      </c>
    </row>
    <row r="1255">
      <c r="A1255" s="106" t="inlineStr">
        <is>
          <t xml:space="preserve">ТОШКЕНТ ШАХРИ</t>
        </is>
      </c>
      <c r="C1255" s="106" t="inlineStr">
        <is>
          <t xml:space="preserve">Недозвон</t>
        </is>
      </c>
      <c r="D1255" s="106" t="inlineStr">
        <is>
          <t xml:space="preserve">Кр-99037547-4</t>
        </is>
      </c>
      <c r="E1255" s="106" t="inlineStr">
        <is>
          <t xml:space="preserve">ZIYAYEV RAXMATDJAN MANSUROVICH</t>
        </is>
      </c>
      <c r="F1255" s="106" t="inlineStr">
        <is>
          <t xml:space="preserve">998935620702 SMS OZI, 998935611274 SMS SINGLISI, 998955535151 SMS NABIRASI, 998903211215 SMS NABIRASI 2,</t>
        </is>
      </c>
      <c r="G1255" s="106" t="inlineStr">
        <is>
          <t xml:space="preserve">TOSHKENT SHAHAR OLMAZOR TUMANI  MASSIV OLIMPIYA 4-UY 40-XONADON</t>
        </is>
      </c>
      <c r="H1255" s="107">
        <v>11.0</v>
      </c>
      <c r="I1255" s="107">
        <v>1578622.09</v>
      </c>
    </row>
    <row r="1256">
      <c r="A1256" s="106" t="inlineStr">
        <is>
          <t xml:space="preserve">ТОШКЕНТ ШАХРИ</t>
        </is>
      </c>
      <c r="C1256" s="106" t="inlineStr">
        <is>
          <t xml:space="preserve">Недозвон</t>
        </is>
      </c>
      <c r="D1256" s="106" t="inlineStr">
        <is>
          <t xml:space="preserve">Кр-99038196-1</t>
        </is>
      </c>
      <c r="E1256" s="106" t="inlineStr">
        <is>
          <t xml:space="preserve">XIDOYATOVA GULBAXOR SHAKIRDJANOVNA</t>
        </is>
      </c>
      <c r="F1256" s="106" t="inlineStr">
        <is>
          <t xml:space="preserve">998997208711 SMS OZI, 998981260705 SMS AYOLI, 998981277010 SMS AKASI, 998901277010 SMS OVSINI, 998977373737 SMS xojayni,</t>
        </is>
      </c>
      <c r="G1256" s="106" t="inlineStr">
        <is>
          <t xml:space="preserve">TOSHKENT SHAHAR SHAYXONTOXUR TUMANI BUSTON MFY AL-XORAZMIY KO’CHASI 57UY</t>
        </is>
      </c>
      <c r="I1256" s="107">
        <v>1509132.74</v>
      </c>
    </row>
    <row r="1257">
      <c r="A1257" s="106" t="inlineStr">
        <is>
          <t xml:space="preserve">ТОШКЕНТ ШАХРИ</t>
        </is>
      </c>
      <c r="C1257" s="106" t="inlineStr">
        <is>
          <t xml:space="preserve">Недозвон</t>
        </is>
      </c>
      <c r="D1257" s="106" t="inlineStr">
        <is>
          <t xml:space="preserve">Кр-99044324-1</t>
        </is>
      </c>
      <c r="E1257" s="106" t="inlineStr">
        <is>
          <t xml:space="preserve">SALIMOV RAVSHAN XASANOVICH</t>
        </is>
      </c>
      <c r="F1257" s="106" t="inlineStr">
        <is>
          <t xml:space="preserve">+998935115158 SMS O’ZI, 998900399343 SMS O’G’LI, 998909115933 SMS O’GLI, 998946682311 SMS AYOLI,</t>
        </is>
      </c>
      <c r="G1257" s="106" t="inlineStr">
        <is>
          <t xml:space="preserve">г. Ташкент, Шайхантахурский район, ул. Шуманай, проезд 4, Жарарик МСГ, 90а- Дом,</t>
        </is>
      </c>
      <c r="H1257" s="107">
        <v>8.0</v>
      </c>
      <c r="I1257" s="107">
        <v>1489733.32</v>
      </c>
    </row>
    <row r="1258">
      <c r="A1258" s="106" t="inlineStr">
        <is>
          <t xml:space="preserve">ТОШКЕНТ ШАХРИ</t>
        </is>
      </c>
      <c r="C1258" s="106" t="inlineStr">
        <is>
          <t xml:space="preserve">Недозвон</t>
        </is>
      </c>
      <c r="D1258" s="106" t="inlineStr">
        <is>
          <t xml:space="preserve">Кр-99039317-1</t>
        </is>
      </c>
      <c r="E1258" s="106" t="inlineStr">
        <is>
          <t xml:space="preserve">ERGASHBOYEVA MALOXAT BAXTIYOR QIZI</t>
        </is>
      </c>
      <c r="F1258" s="106" t="inlineStr">
        <is>
          <t xml:space="preserve">998998767634 SMS OZI , 998931035553 SMS ONASI , 998990311101 SMS ERI , 998931767634 SMS ERI ,</t>
        </is>
      </c>
      <c r="G1258" s="106" t="inlineStr">
        <is>
          <t xml:space="preserve">TOSHKENT SHAHAR CHILONZOR TUMANI TIRSAKOBOD MFY  SHOSH KO’CHASI 37-UY</t>
        </is>
      </c>
      <c r="H1258" s="107">
        <v>12.0</v>
      </c>
      <c r="I1258" s="107">
        <v>1463674.76</v>
      </c>
    </row>
    <row r="1259">
      <c r="A1259" s="106" t="inlineStr">
        <is>
          <t xml:space="preserve">ТОШКЕНТ ШАХРИ</t>
        </is>
      </c>
      <c r="C1259" s="106" t="inlineStr">
        <is>
          <t xml:space="preserve">Недозвон</t>
        </is>
      </c>
      <c r="D1259" s="106" t="inlineStr">
        <is>
          <t xml:space="preserve">Кр-99035088-4</t>
        </is>
      </c>
      <c r="E1259" s="106" t="inlineStr">
        <is>
          <t xml:space="preserve">MAMADALIYEV BAXADIR SATVOLDIYEVICH</t>
        </is>
      </c>
      <c r="F1259" s="106" t="inlineStr">
        <is>
          <t xml:space="preserve">998935116436 SMS O’ZI, 998935226436 SMS AYOLI, 998946312014 SMS O’G’LI, 998935126436 SMS NEVARASI,</t>
        </is>
      </c>
      <c r="G1259" s="106" t="inlineStr">
        <is>
          <t xml:space="preserve">IIV60003</t>
        </is>
      </c>
      <c r="H1259" s="107">
        <v>12.0</v>
      </c>
      <c r="I1259" s="107">
        <v>1459525.65</v>
      </c>
    </row>
    <row r="1260">
      <c r="A1260" s="106" t="inlineStr">
        <is>
          <t xml:space="preserve">ТОШКЕНТ ШАХРИ</t>
        </is>
      </c>
      <c r="C1260" s="106" t="inlineStr">
        <is>
          <t xml:space="preserve">Недозвон</t>
        </is>
      </c>
      <c r="D1260" s="106" t="inlineStr">
        <is>
          <t xml:space="preserve">Кр-99041153-2</t>
        </is>
      </c>
      <c r="E1260" s="106" t="inlineStr">
        <is>
          <t xml:space="preserve">SHOG’IYOSOV ZIYOVIDDIN KAMOLIDDIN O’G’LI</t>
        </is>
      </c>
      <c r="F1260" s="106" t="inlineStr">
        <is>
          <t xml:space="preserve">998967106260 SMS O’ZI, 998919451141 SMS AKASI 2, 999443574435 SMS AKASI,</t>
        </is>
      </c>
      <c r="G1260" s="106" t="inlineStr">
        <is>
          <t xml:space="preserve">г. Ташкент, Шайхантахурский район, ул. Зафаробод, Зафаробод МСГ, 52а- Дом, -</t>
        </is>
      </c>
      <c r="H1260" s="107">
        <v>8.0</v>
      </c>
      <c r="I1260" s="107">
        <v>1447093.39</v>
      </c>
    </row>
    <row r="1261">
      <c r="A1261" s="106" t="inlineStr">
        <is>
          <t xml:space="preserve">ТОШКЕНТ ШАХРИ</t>
        </is>
      </c>
      <c r="C1261" s="106" t="inlineStr">
        <is>
          <t xml:space="preserve">Недозвон</t>
        </is>
      </c>
      <c r="D1261" s="106" t="inlineStr">
        <is>
          <t xml:space="preserve">Кр-99062684-3</t>
        </is>
      </c>
      <c r="E1261" s="106" t="inlineStr">
        <is>
          <t xml:space="preserve">ARASLANOV AZIZXO’JA YOQUBJON O’G’LI</t>
        </is>
      </c>
      <c r="F1261" s="106" t="inlineStr">
        <is>
          <t xml:space="preserve">+998935367357 SMS OZI, 998949817557 SMS OZI 2, 998971601090 SMNS AYOLI,</t>
        </is>
      </c>
      <c r="G1261" s="106" t="inlineStr">
        <is>
          <t xml:space="preserve">TOSHKENT SHAHAR MIROBOD TUMANI QO’YLIQ 3 30-UY 21-XONADON</t>
        </is>
      </c>
      <c r="H1261" s="107">
        <v>13.0</v>
      </c>
      <c r="I1261" s="107">
        <v>1431837.18</v>
      </c>
    </row>
    <row r="1262">
      <c r="A1262" s="106" t="inlineStr">
        <is>
          <t xml:space="preserve">ТОШКЕНТ ШАХРИ</t>
        </is>
      </c>
      <c r="C1262" s="106" t="inlineStr">
        <is>
          <t xml:space="preserve">Недозвон</t>
        </is>
      </c>
      <c r="D1262" s="106" t="inlineStr">
        <is>
          <t xml:space="preserve">Кр-99039289-3</t>
        </is>
      </c>
      <c r="E1262" s="106" t="inlineStr">
        <is>
          <t xml:space="preserve">MELIBOYEV ILXOMJON TUXTAMURAD O‘G‘LI</t>
        </is>
      </c>
      <c r="F1262" s="106" t="inlineStr">
        <is>
          <t xml:space="preserve">+998977327476 SMS O’ZI, 998909559323 SMS AYOLI, 998958602050 SMS O’ZI 2, 998977327476 Primary phone from road24,</t>
        </is>
      </c>
      <c r="G1262" s="106" t="inlineStr">
        <is>
          <t xml:space="preserve">Юсуф Саккокий МФЙ, Мирхунд, проезд 8 кучаси, 1а-уй</t>
        </is>
      </c>
      <c r="H1262" s="107">
        <v>8.0</v>
      </c>
      <c r="I1262" s="107">
        <v>1408725.44</v>
      </c>
    </row>
    <row r="1263">
      <c r="A1263" s="106" t="inlineStr">
        <is>
          <t xml:space="preserve">ТОШКЕНТ ШАХРИ</t>
        </is>
      </c>
      <c r="C1263" s="106" t="inlineStr">
        <is>
          <t xml:space="preserve">Недозвон</t>
        </is>
      </c>
      <c r="D1263" s="106" t="inlineStr">
        <is>
          <t xml:space="preserve">Кр-99062992-3</t>
        </is>
      </c>
      <c r="E1263" s="106" t="inlineStr">
        <is>
          <t xml:space="preserve">UMARBEKOV AZIZBEK MUZRABOEVICH</t>
        </is>
      </c>
      <c r="F1263" s="106" t="inlineStr">
        <is>
          <t xml:space="preserve">+998933001149 SMS OZI, 998977841723 SMS ONASI, 998977842985 SMS UKASI,</t>
        </is>
      </c>
      <c r="G1263" s="106" t="inlineStr">
        <is>
          <t xml:space="preserve">TOSHKENT SHAHAR SHAYHANTOXUR TUMANI IBN SINO-2 MAVZESI 13-UY 8-XONADON</t>
        </is>
      </c>
      <c r="H1263" s="107">
        <v>8.0</v>
      </c>
      <c r="I1263" s="107">
        <v>1397387.85</v>
      </c>
    </row>
    <row r="1264">
      <c r="A1264" s="106" t="inlineStr">
        <is>
          <t xml:space="preserve">ТОШКЕНТ ШАХРИ</t>
        </is>
      </c>
      <c r="C1264" s="106" t="inlineStr">
        <is>
          <t xml:space="preserve">Недозвон</t>
        </is>
      </c>
      <c r="D1264" s="106" t="inlineStr">
        <is>
          <t xml:space="preserve">Кр-99040882-1</t>
        </is>
      </c>
      <c r="E1264" s="106" t="inlineStr">
        <is>
          <t xml:space="preserve">SULTANOV JAVLONBEK ABDUJABBAROVICH</t>
        </is>
      </c>
      <c r="F1264" s="106" t="inlineStr">
        <is>
          <t xml:space="preserve">998903742111 SMS O’ZI, 998990709939 SMS O’G’LI , 998939901334 SMS O’G’LI , 998999179907 SMS AYOLI,</t>
        </is>
      </c>
      <c r="G1264" s="106" t="inlineStr">
        <is>
          <t xml:space="preserve">TOSHKENT SHAHAR SHAYXONTOXUR TUMANI CHORSU MFY, CHORSU MAVZESI 10-UY,40-XONADON</t>
        </is>
      </c>
      <c r="H1264" s="107">
        <v>13.0</v>
      </c>
      <c r="I1264" s="107">
        <v>1372902.44</v>
      </c>
    </row>
    <row r="1265">
      <c r="A1265" s="106" t="inlineStr">
        <is>
          <t xml:space="preserve">ТОШКЕНТ ШАХРИ</t>
        </is>
      </c>
      <c r="C1265" s="106" t="inlineStr">
        <is>
          <t xml:space="preserve">Объезд</t>
        </is>
      </c>
      <c r="D1265" s="106" t="inlineStr">
        <is>
          <t xml:space="preserve">Кр-99041437-1</t>
        </is>
      </c>
      <c r="E1265" s="106" t="inlineStr">
        <is>
          <t xml:space="preserve">MUSAYEV NODIR TOXTASINOVICH</t>
        </is>
      </c>
      <c r="F1265" s="106" t="inlineStr">
        <is>
          <t xml:space="preserve">+998974400425 SMS O’ZI, 998909391070 SMS DO’STI, 998909485772 SMS KENOYISI, 998950760939 SMS OKASI,</t>
        </is>
      </c>
      <c r="G1265" s="106" t="inlineStr">
        <is>
          <t xml:space="preserve">ТОШКЕНТ ШАХРИ ЯШНОБОД ТУМАНИ БЕҲИЗОР МФЙ, ШОХСАНАМ КЎЧАСИ,  uy:104 (4-ХОНАДОН)</t>
        </is>
      </c>
      <c r="H1265" s="107">
        <v>8.0</v>
      </c>
      <c r="I1265" s="107">
        <v>1360281.32</v>
      </c>
      <c r="J1265" s="107">
        <v>1360281.32</v>
      </c>
      <c r="K1265" s="106" t="inlineStr">
        <is>
          <t xml:space="preserve">Uyiga borildi - to'ladi</t>
        </is>
      </c>
    </row>
    <row r="1266">
      <c r="A1266" s="106" t="inlineStr">
        <is>
          <t xml:space="preserve">ТОШКЕНТ ШАХРИ</t>
        </is>
      </c>
      <c r="C1266" s="106" t="inlineStr">
        <is>
          <t xml:space="preserve">Недозвон</t>
        </is>
      </c>
      <c r="D1266" s="106" t="inlineStr">
        <is>
          <t xml:space="preserve">Кр-99057403-2</t>
        </is>
      </c>
      <c r="E1266" s="106" t="inlineStr">
        <is>
          <t xml:space="preserve">ABDULLAYEV DILMUROD DILSHOD O’G’LI</t>
        </is>
      </c>
      <c r="F1266" s="106" t="inlineStr">
        <is>
          <t xml:space="preserve">998991013223 SMS OZI, 998977708097 SMS OZI 2, 998993407702 AYOLI, 998933239559 SMS UKASI,</t>
        </is>
      </c>
      <c r="G1266" s="106" t="inlineStr">
        <is>
          <t xml:space="preserve">TOSHKENT VILOYATI TOSHKENT SHAHRI YASHNOBOD TUMANI TONG MFY 2-TUZEL MAVZESI 20 XONODON 11 UY</t>
        </is>
      </c>
      <c r="H1266" s="107">
        <v>8.0</v>
      </c>
      <c r="I1266" s="107">
        <v>1353985.05</v>
      </c>
    </row>
    <row r="1267">
      <c r="A1267" s="106" t="inlineStr">
        <is>
          <t xml:space="preserve">ТОШКЕНТ ШАХРИ</t>
        </is>
      </c>
      <c r="C1267" s="106" t="inlineStr">
        <is>
          <t xml:space="preserve">Недозвон</t>
        </is>
      </c>
      <c r="D1267" s="106" t="inlineStr">
        <is>
          <t xml:space="preserve">Кр-99007254-3</t>
        </is>
      </c>
      <c r="E1267" s="106" t="inlineStr">
        <is>
          <t xml:space="preserve">OSPANOV AZAT BAXODIROVICH</t>
        </is>
      </c>
      <c r="F1267" s="106" t="inlineStr">
        <is>
          <t xml:space="preserve">90-116-63-00 SMS OZI, 90-002-42-58 SMS AYOLI, 90-041-73-94 SMS TULOVCHI, 97-784-74-93 SMS TULOVCHI,</t>
        </is>
      </c>
      <c r="G1267" s="106" t="inlineStr">
        <is>
          <t xml:space="preserve">TOSHKENT SHAHAR YUNUSOBOD TUMANI CHINOBOD 8 10-94</t>
        </is>
      </c>
      <c r="H1267" s="107">
        <v>8.0</v>
      </c>
      <c r="I1267" s="107">
        <v>1332073.76</v>
      </c>
    </row>
    <row r="1268">
      <c r="A1268" s="106" t="inlineStr">
        <is>
          <t xml:space="preserve">ТОШКЕНТ ШАХРИ</t>
        </is>
      </c>
      <c r="C1268" s="106" t="inlineStr">
        <is>
          <t xml:space="preserve">Недозвон</t>
        </is>
      </c>
      <c r="D1268" s="106" t="inlineStr">
        <is>
          <t xml:space="preserve">Кр-99039458-2</t>
        </is>
      </c>
      <c r="E1268" s="106" t="inlineStr">
        <is>
          <t xml:space="preserve">SHARIPOV BAXODIR ATAXANOVICH</t>
        </is>
      </c>
      <c r="F1268" s="106" t="inlineStr">
        <is>
          <t xml:space="preserve">998333930802 SMS QIZI, 998889964445 SMS OZI, 998914237477 SMS AYOLI,</t>
        </is>
      </c>
      <c r="G1268" s="106" t="inlineStr">
        <is>
          <t xml:space="preserve">г. Ташкент, Чиланзарский район, кв. 19, Шухрат МСГ, 29- Дом, 49- Квартира</t>
        </is>
      </c>
      <c r="H1268" s="107">
        <v>8.0</v>
      </c>
      <c r="I1268" s="107">
        <v>1263118.12</v>
      </c>
    </row>
    <row r="1269">
      <c r="A1269" s="106" t="inlineStr">
        <is>
          <t xml:space="preserve">ТОШКЕНТ ШАХРИ</t>
        </is>
      </c>
      <c r="C1269" s="106" t="inlineStr">
        <is>
          <t xml:space="preserve">Недозвон</t>
        </is>
      </c>
      <c r="D1269" s="106" t="inlineStr">
        <is>
          <t xml:space="preserve">Кр-99038569-1</t>
        </is>
      </c>
      <c r="E1269" s="106" t="inlineStr">
        <is>
          <t xml:space="preserve">SIDDIQOV OZODBEK ILXOMJONOVICH</t>
        </is>
      </c>
      <c r="F1269" s="106" t="inlineStr">
        <is>
          <t xml:space="preserve">998946197711 SMS OZI, 998887092777 SMS AKASI, 998977826646 SMS AYOLI, 998881393733 SMNS OSHNASI,</t>
        </is>
      </c>
      <c r="G1269" s="106" t="inlineStr">
        <is>
          <t xml:space="preserve">ANDIJON VILOYATI/TOSHKENT SHAHAR OLMAZOR TUMANI TABASSUM MFY,QORA-QAMISH 2/4 MAVZESI 39-UY,34-XONADON</t>
        </is>
      </c>
      <c r="H1269" s="107">
        <v>12.0</v>
      </c>
      <c r="I1269" s="107">
        <v>1260557.21</v>
      </c>
    </row>
    <row r="1270">
      <c r="A1270" s="106" t="inlineStr">
        <is>
          <t xml:space="preserve">ТОШКЕНТ ШАХРИ</t>
        </is>
      </c>
      <c r="C1270" s="106" t="inlineStr">
        <is>
          <t xml:space="preserve">Недозвон</t>
        </is>
      </c>
      <c r="D1270" s="106" t="inlineStr">
        <is>
          <t xml:space="preserve">Кр-99042721-1</t>
        </is>
      </c>
      <c r="E1270" s="106" t="inlineStr">
        <is>
          <t xml:space="preserve">JO’RAYEV SHAROFIDDIN NAVRUZ O’G’LI</t>
        </is>
      </c>
      <c r="F1270" s="106" t="inlineStr">
        <is>
          <t xml:space="preserve">998330391938 SMS OZI, 998771676734 SMS OZI2, 998975160730 SMS UKASI,</t>
        </is>
      </c>
      <c r="G1270" s="106" t="inlineStr">
        <is>
          <t xml:space="preserve">НИЛУФАР МФЙ, СЕРГЕЛИ 2 МАВЗЕСИ,  uy:41 xonadon:38</t>
        </is>
      </c>
      <c r="H1270" s="107">
        <v>8.0</v>
      </c>
      <c r="I1270" s="107">
        <v>1198421.86</v>
      </c>
    </row>
    <row r="1271">
      <c r="A1271" s="106" t="inlineStr">
        <is>
          <t xml:space="preserve">ТОШКЕНТ ШАХРИ</t>
        </is>
      </c>
      <c r="C1271" s="106" t="inlineStr">
        <is>
          <t xml:space="preserve">Недозвон</t>
        </is>
      </c>
      <c r="D1271" s="106" t="inlineStr">
        <is>
          <t xml:space="preserve">Кр-99043464-1</t>
        </is>
      </c>
      <c r="E1271" s="106" t="inlineStr">
        <is>
          <t xml:space="preserve">KUCHKAROVA ZULXUMOR GULYAMOVNA</t>
        </is>
      </c>
      <c r="G1271" s="106" t="inlineStr">
        <is>
          <t xml:space="preserve">TOSHKENT</t>
        </is>
      </c>
      <c r="H1271" s="107">
        <v>8.0</v>
      </c>
      <c r="I1271" s="107">
        <v>1192112.93</v>
      </c>
    </row>
    <row r="1272">
      <c r="A1272" s="106" t="inlineStr">
        <is>
          <t xml:space="preserve">ТОШКЕНТ ШАХРИ</t>
        </is>
      </c>
      <c r="C1272" s="106" t="inlineStr">
        <is>
          <t xml:space="preserve">Недозвон</t>
        </is>
      </c>
      <c r="D1272" s="106" t="inlineStr">
        <is>
          <t xml:space="preserve">Кр-99035201-3</t>
        </is>
      </c>
      <c r="E1272" s="106" t="inlineStr">
        <is>
          <t xml:space="preserve">ABDUFATTOXOV ABDUG’AFFOR JAXONGIR O’G’LI</t>
        </is>
      </c>
      <c r="F1272" s="106" t="inlineStr">
        <is>
          <t xml:space="preserve">998974454581 SMS O’ZI, 998999037757 SMS AKASI, 998990204270 SMS DO’STI, 998901225256 SMS UKASI, 998977417070 SMS shuxrat amakisi,</t>
        </is>
      </c>
      <c r="G1272" s="106" t="inlineStr">
        <is>
          <t xml:space="preserve">TOSHKENT SHAHAR SHAYXONTOXUR TUMANI XUVAYDI MFY ZAFAROBOD KO’CHASI 2-UY</t>
        </is>
      </c>
      <c r="H1272" s="107">
        <v>8.0</v>
      </c>
      <c r="I1272" s="107">
        <v>1156619.15</v>
      </c>
    </row>
    <row r="1273">
      <c r="A1273" s="106" t="inlineStr">
        <is>
          <t xml:space="preserve">ТОШКЕНТ ШАХРИ</t>
        </is>
      </c>
      <c r="C1273" s="106" t="inlineStr">
        <is>
          <t xml:space="preserve">Недозвон</t>
        </is>
      </c>
      <c r="D1273" s="106" t="inlineStr">
        <is>
          <t xml:space="preserve">Кр-99039074-1</t>
        </is>
      </c>
      <c r="E1273" s="106" t="inlineStr">
        <is>
          <t xml:space="preserve">G’AYBULLAYEV JASURBEK G’AYRAT O’G’LI</t>
        </is>
      </c>
      <c r="F1273" s="106" t="inlineStr">
        <is>
          <t xml:space="preserve">998935205108 SMS UKASI, 998946127155 SMS UZI, 998946392008 SMS ONASI, 998951221212 SMS UKASI 2,</t>
        </is>
      </c>
      <c r="G1273" s="106" t="inlineStr">
        <is>
          <t xml:space="preserve">TOSHKENT SHAHAR SHAYHANTOXUR TUMANI ILGOR MFY BERUNIY MATLUBOT KOCHASI 1-UY 175-XONADON</t>
        </is>
      </c>
      <c r="H1273" s="107">
        <v>8.0</v>
      </c>
      <c r="I1273" s="107">
        <v>1155598.0</v>
      </c>
    </row>
    <row r="1274">
      <c r="A1274" s="106" t="inlineStr">
        <is>
          <t xml:space="preserve">ТОШКЕНТ ШАХРИ</t>
        </is>
      </c>
      <c r="C1274" s="106" t="inlineStr">
        <is>
          <t xml:space="preserve">Недозвон</t>
        </is>
      </c>
      <c r="D1274" s="106" t="inlineStr">
        <is>
          <t xml:space="preserve">Кр-99029023-2</t>
        </is>
      </c>
      <c r="E1274" s="106" t="inlineStr">
        <is>
          <t xml:space="preserve">RUSTAMOVA O’G’ILOY KOMILJON QIZI</t>
        </is>
      </c>
      <c r="F1274" s="106" t="inlineStr">
        <is>
          <t xml:space="preserve">99-066-11-88 SMS, 91-013-33-23 SMS Ukasi , 99-830-39-63 SMS Ayoli, +998990661188 SMS TO’LOVCHI, 998910133323 SMS UKASI, 998994105665 SMS UKASI 2, 998995105665 SMS OR’RTOG’I,</t>
        </is>
      </c>
      <c r="G1274" s="106" t="inlineStr">
        <is>
          <t xml:space="preserve">TOSHKENT SHAHAR OLMAZOR TUMANI FAROBIY DUTORCHI TOR KOCHASI 29-UY</t>
        </is>
      </c>
      <c r="I1274" s="107">
        <v>1129057.32</v>
      </c>
    </row>
    <row r="1275">
      <c r="A1275" s="106" t="inlineStr">
        <is>
          <t xml:space="preserve">ТОШКЕНТ ШАХРИ</t>
        </is>
      </c>
      <c r="C1275" s="106" t="inlineStr">
        <is>
          <t xml:space="preserve">Недозвон</t>
        </is>
      </c>
      <c r="D1275" s="106" t="inlineStr">
        <is>
          <t xml:space="preserve">Кр-99040087-2</t>
        </is>
      </c>
      <c r="E1275" s="106" t="inlineStr">
        <is>
          <t xml:space="preserve">BERDIBEKOVA UMIDA SADRIDDIN QIZI</t>
        </is>
      </c>
      <c r="F1275" s="106" t="inlineStr">
        <is>
          <t xml:space="preserve">998933931436 SMS OZI, 998933961436 SMS ERI,</t>
        </is>
      </c>
      <c r="G1275" s="106" t="inlineStr">
        <is>
          <t xml:space="preserve">Хонободтепа МФЙ, Хонободтепа,4 тор кўчаси, 5-уй</t>
        </is>
      </c>
      <c r="H1275" s="107">
        <v>8.0</v>
      </c>
      <c r="I1275" s="107">
        <v>1093054.65</v>
      </c>
    </row>
    <row r="1276">
      <c r="A1276" s="106" t="inlineStr">
        <is>
          <t xml:space="preserve">ТОШКЕНТ ШАХРИ</t>
        </is>
      </c>
      <c r="C1276" s="106" t="inlineStr">
        <is>
          <t xml:space="preserve">Недозвон</t>
        </is>
      </c>
      <c r="D1276" s="106" t="inlineStr">
        <is>
          <t xml:space="preserve">Кр-99062037-1</t>
        </is>
      </c>
      <c r="E1276" s="106" t="inlineStr">
        <is>
          <t xml:space="preserve">INOGAMOV  ZIYOVIDDIN ZINAMUDDINOVICH</t>
        </is>
      </c>
      <c r="F1276" s="106" t="inlineStr">
        <is>
          <t xml:space="preserve">998977009002 O`ZI begona qilinmasin, 998954397905 OZI 2, 998948180316 OSHNASI, 998881995335 HAMKASBI бегона клинмасин ,</t>
        </is>
      </c>
      <c r="G1276" s="106" t="inlineStr">
        <is>
          <t xml:space="preserve">TOSHKENT SHAHAR YASHNOBOD TUMANI XOSIYAT 1 TOR 11</t>
        </is>
      </c>
      <c r="H1276" s="107">
        <v>8.0</v>
      </c>
      <c r="I1276" s="107">
        <v>1089043.37</v>
      </c>
      <c r="K1276" s="106" t="inlineStr">
        <is>
          <t xml:space="preserve">Telefon ko'tarmadi</t>
        </is>
      </c>
    </row>
    <row r="1277">
      <c r="A1277" s="106" t="inlineStr">
        <is>
          <t xml:space="preserve">ТОШКЕНТ ШАХРИ</t>
        </is>
      </c>
      <c r="C1277" s="106" t="inlineStr">
        <is>
          <t xml:space="preserve">Недозвон</t>
        </is>
      </c>
      <c r="D1277" s="106" t="inlineStr">
        <is>
          <t xml:space="preserve">Кр-99031812-1</t>
        </is>
      </c>
      <c r="E1277" s="106" t="inlineStr">
        <is>
          <t xml:space="preserve">NASRIDDINOV BAXTIYORXO’JA BAHODIR O’G’LI</t>
        </is>
      </c>
      <c r="F1277" s="106" t="inlineStr">
        <is>
          <t xml:space="preserve">998935181434 SMS O’ZI FIRMADA DOSTAVCHIK , 998744484412 SMS O’ZI 2, 998946262720 SMS UKASI, 998317488882 SMS UKASI 2,</t>
        </is>
      </c>
      <c r="G1277" s="106" t="inlineStr">
        <is>
          <t xml:space="preserve">TOSHKENT SHAHAR SIRG’ALI TUMANI O’ZGARISH MFY, SERGELI MAVZESI 5, 44-UY, 11-XONADON</t>
        </is>
      </c>
      <c r="H1277" s="107">
        <v>1.0</v>
      </c>
      <c r="I1277" s="107">
        <v>1028355.24</v>
      </c>
    </row>
    <row r="1278">
      <c r="A1278" s="106" t="inlineStr">
        <is>
          <t xml:space="preserve">ТОШКЕНТ ШАХРИ</t>
        </is>
      </c>
      <c r="C1278" s="106" t="inlineStr">
        <is>
          <t xml:space="preserve">Недозвон</t>
        </is>
      </c>
      <c r="D1278" s="106" t="inlineStr">
        <is>
          <t xml:space="preserve">Кр-99064118-1</t>
        </is>
      </c>
      <c r="E1278" s="106" t="inlineStr">
        <is>
          <t xml:space="preserve">DUSTKULOVA MUKADDAM RAXMONOVNA</t>
        </is>
      </c>
      <c r="F1278" s="106" t="inlineStr">
        <is>
          <t xml:space="preserve">998900066468 SMS KELINI, 998955916468 SMS UZI, 998996776020 SMS UGLI,</t>
        </is>
      </c>
      <c r="G1278" s="106" t="inlineStr">
        <is>
          <t xml:space="preserve">САЙРАМ МФЙ, САЙРАМ, 5 ТОР КЎЧАСИ,  uy:15/2 xonadon:34А</t>
        </is>
      </c>
      <c r="H1278" s="107">
        <v>8.0</v>
      </c>
      <c r="I1278" s="107">
        <v>1003425.22</v>
      </c>
    </row>
    <row r="1279">
      <c r="A1279" s="106" t="inlineStr">
        <is>
          <t xml:space="preserve">ТОШКЕНТ ШАХРИ</t>
        </is>
      </c>
      <c r="C1279" s="106" t="inlineStr">
        <is>
          <t xml:space="preserve">Недозвон</t>
        </is>
      </c>
      <c r="D1279" s="106" t="inlineStr">
        <is>
          <t xml:space="preserve">Кр-99039331-1</t>
        </is>
      </c>
      <c r="E1279" s="106" t="inlineStr">
        <is>
          <t xml:space="preserve">BABAYEV MAXAMADJON MUXAMEDOVICH</t>
        </is>
      </c>
      <c r="F1279" s="106" t="inlineStr">
        <is>
          <t xml:space="preserve">+998939833002 SMS O’ZI, 998339805349 SMS OPASI, 998935290300 SMS JIYANI, 998977085669 SMS OZI  begona qilinmasin !!!,</t>
        </is>
      </c>
      <c r="G1279" s="106" t="inlineStr">
        <is>
          <t xml:space="preserve">TOSHKENT SHAHRI YASHNOBOD TUMANI XILOL MFY YANGI XAYOT 2 TOR KO'CHASI 14-UY</t>
        </is>
      </c>
      <c r="H1279" s="107">
        <v>8.0</v>
      </c>
      <c r="I1279" s="107">
        <v>995184.67</v>
      </c>
    </row>
    <row r="1280">
      <c r="A1280" s="106" t="inlineStr">
        <is>
          <t xml:space="preserve">ТОШКЕНТ ШАХРИ</t>
        </is>
      </c>
      <c r="C1280" s="106" t="inlineStr">
        <is>
          <t xml:space="preserve">Недозвон</t>
        </is>
      </c>
      <c r="D1280" s="106" t="inlineStr">
        <is>
          <t xml:space="preserve">Кр-99021933-1</t>
        </is>
      </c>
      <c r="E1280" s="106" t="inlineStr">
        <is>
          <t xml:space="preserve">MAXAMADALIYEV ABDURAXIM ABDUXAMIDOVICH</t>
        </is>
      </c>
      <c r="F1280" s="106" t="inlineStr">
        <is>
          <t xml:space="preserve">998990908118 SMS AYOLI, 998997273438 SMS OZI 2, 998998806697 SMS OZI, 998998808118 SMS ONASI,</t>
        </is>
      </c>
      <c r="G1280" s="106" t="inlineStr">
        <is>
          <t xml:space="preserve">TOSHKENT SHAHAR OLMAZOR TUMANI XO’JALIK TOR KO’CHASI 1-UY</t>
        </is>
      </c>
      <c r="H1280" s="107">
        <v>11.0</v>
      </c>
      <c r="I1280" s="107">
        <v>981407.62</v>
      </c>
    </row>
    <row r="1281">
      <c r="A1281" s="106" t="inlineStr">
        <is>
          <t xml:space="preserve">ТОШКЕНТ ШАХРИ</t>
        </is>
      </c>
      <c r="C1281" s="106" t="inlineStr">
        <is>
          <t xml:space="preserve">Объезд</t>
        </is>
      </c>
      <c r="D1281" s="106" t="inlineStr">
        <is>
          <t xml:space="preserve">Кр-99041945-3</t>
        </is>
      </c>
      <c r="E1281" s="106" t="inlineStr">
        <is>
          <t xml:space="preserve">BEKMATOVA MAXMUDA AKRAMOVNA</t>
        </is>
      </c>
      <c r="F1281" s="106" t="inlineStr">
        <is>
          <t xml:space="preserve">998903154326 SMS QIZI, 998903970616 SMS OZI, 998946472100 SMS GAROVCHI, 998977078333 SMS OGLI,</t>
        </is>
      </c>
      <c r="G1281" s="106" t="inlineStr">
        <is>
          <t xml:space="preserve">MUYNOQ KO’CHASI 116-UY</t>
        </is>
      </c>
      <c r="H1281" s="107">
        <v>8.0</v>
      </c>
      <c r="I1281" s="107">
        <v>972330.93</v>
      </c>
      <c r="K1281" s="106" t="inlineStr">
        <is>
          <t xml:space="preserve">Uyiga borildi - va'da berdi</t>
        </is>
      </c>
    </row>
    <row r="1282">
      <c r="A1282" s="106" t="inlineStr">
        <is>
          <t xml:space="preserve">ТОШКЕНТ ШАХРИ</t>
        </is>
      </c>
      <c r="C1282" s="106" t="inlineStr">
        <is>
          <t xml:space="preserve">Недозвон</t>
        </is>
      </c>
      <c r="D1282" s="106" t="inlineStr">
        <is>
          <t xml:space="preserve">Кр-99027555-1</t>
        </is>
      </c>
      <c r="E1282" s="106" t="inlineStr">
        <is>
          <t xml:space="preserve">MIRXALIKOVA NODIRA RUSTAMOVNA</t>
        </is>
      </c>
      <c r="F1282" s="106" t="inlineStr">
        <is>
          <t xml:space="preserve">93-595-90-08  SMS O'ZI, 93-508-76-01  SMS TOLOVCHI, 99-076-27-07  SMS ERI, 90-938-96-29  SMS O'G'LI, 93-554-05-69 sms tolovchisi,</t>
        </is>
      </c>
      <c r="G1282" s="106" t="inlineStr">
        <is>
          <t xml:space="preserve">TOSHKENT SHAHAR YUNUSOBOD TUMANI BOG’ISHAMOL KO’CHASI 131-UY 16-XONADON</t>
        </is>
      </c>
      <c r="H1282" s="107">
        <v>1.0</v>
      </c>
      <c r="I1282" s="107">
        <v>949889.4</v>
      </c>
    </row>
    <row r="1283">
      <c r="A1283" s="106" t="inlineStr">
        <is>
          <t xml:space="preserve">ТОШКЕНТ ШАХРИ</t>
        </is>
      </c>
      <c r="C1283" s="106" t="inlineStr">
        <is>
          <t xml:space="preserve">Недозвон</t>
        </is>
      </c>
      <c r="D1283" s="106" t="inlineStr">
        <is>
          <t xml:space="preserve">Кр-99037456-1</t>
        </is>
      </c>
      <c r="E1283" s="106" t="inlineStr">
        <is>
          <t xml:space="preserve">XUJAYEVA SHOXISTA SHOVKIYEVNA</t>
        </is>
      </c>
      <c r="F1283" s="106" t="inlineStr">
        <is>
          <t xml:space="preserve">998954346010 SMS O’ZI, 998990734627 SMS UY,</t>
        </is>
      </c>
      <c r="G1283" s="106" t="inlineStr">
        <is>
          <t xml:space="preserve">ТОШКЕНТ ШАҲР ЯНГИҲАЁТ ТУМАНИ ЁРКИН ХАЁТ МФЙ СПУТНИК 16 МАВЗЕСИ Ёркин хаёт МФЙ, Спутник 16 мавзеси, 4а-уй, 33-хонадон</t>
        </is>
      </c>
      <c r="H1283" s="107">
        <v>4.0</v>
      </c>
      <c r="I1283" s="107">
        <v>920306.69</v>
      </c>
    </row>
    <row r="1284">
      <c r="A1284" s="106" t="inlineStr">
        <is>
          <t xml:space="preserve">ТОШКЕНТ ШАХРИ</t>
        </is>
      </c>
      <c r="C1284" s="106" t="inlineStr">
        <is>
          <t xml:space="preserve">Недозвон</t>
        </is>
      </c>
      <c r="D1284" s="106" t="inlineStr">
        <is>
          <t xml:space="preserve">Кр-99030019-3</t>
        </is>
      </c>
      <c r="E1284" s="106" t="inlineStr">
        <is>
          <t xml:space="preserve">BARATOV DILSHOD ZAKIRJANOVICH</t>
        </is>
      </c>
      <c r="F1284" s="106" t="inlineStr">
        <is>
          <t xml:space="preserve">90-809-51-80  SMS O'ZI, 98-809-51-80   SMS O’ZI 2, 94-086-88-55 SMS OPASI, 94-664-51-80 SMS JIYANI,</t>
        </is>
      </c>
      <c r="G1284" s="106" t="inlineStr">
        <is>
          <t xml:space="preserve">TOSHKENT SHAHAR SIRG’ALI BUYUK AVLOD 18- XONADON</t>
        </is>
      </c>
      <c r="H1284" s="107">
        <v>6.0</v>
      </c>
      <c r="I1284" s="107">
        <v>710831.42</v>
      </c>
    </row>
    <row r="1285">
      <c r="A1285" s="106" t="inlineStr">
        <is>
          <t xml:space="preserve">ТОШКЕНТ ШАХРИ</t>
        </is>
      </c>
      <c r="C1285" s="106" t="inlineStr">
        <is>
          <t xml:space="preserve">Недозвон</t>
        </is>
      </c>
      <c r="D1285" s="106" t="inlineStr">
        <is>
          <t xml:space="preserve">Кр-99062970-1</t>
        </is>
      </c>
      <c r="E1285" s="106" t="inlineStr">
        <is>
          <t xml:space="preserve">ISKANDAROV OTABEK SAMANDAROVICH</t>
        </is>
      </c>
      <c r="F1285" s="106" t="inlineStr">
        <is>
          <t xml:space="preserve">998956632014 XATO, 998930757920 SMS AYOLI, 998977750969 SMS OZI, 998999047579 SMS O’G’LI,</t>
        </is>
      </c>
      <c r="G1285" s="106" t="inlineStr">
        <is>
          <t xml:space="preserve">TOSHKENT SHAHAR YAKKASAROY TUMANI BOSHLIK KUCHASI 10 UY 11 XONADON</t>
        </is>
      </c>
      <c r="H1285" s="107">
        <v>8.0</v>
      </c>
      <c r="I1285" s="107">
        <v>701349.93</v>
      </c>
    </row>
    <row r="1286">
      <c r="A1286" s="106" t="inlineStr">
        <is>
          <t xml:space="preserve">ТОШКЕНТ ШАХРИ</t>
        </is>
      </c>
      <c r="C1286" s="106" t="inlineStr">
        <is>
          <t xml:space="preserve">Недозвон</t>
        </is>
      </c>
      <c r="D1286" s="106" t="inlineStr">
        <is>
          <t xml:space="preserve">Кр-99023341-1</t>
        </is>
      </c>
      <c r="E1286" s="106" t="inlineStr">
        <is>
          <t xml:space="preserve">RAIMOV FARXOD MAXMUDJANOVICH</t>
        </is>
      </c>
      <c r="F1286" s="106" t="inlineStr">
        <is>
          <t xml:space="preserve">998973728008 sms tolovchi, 998996907535 sms ozi,</t>
        </is>
      </c>
      <c r="G1286" s="106" t="inlineStr">
        <is>
          <t xml:space="preserve">TOSHKENT SHAHRI UCHTEPA TUMANI IBRAT KO’CHASI 87-UY</t>
        </is>
      </c>
      <c r="H1286" s="107">
        <v>8.0</v>
      </c>
      <c r="I1286" s="107">
        <v>658590.35</v>
      </c>
    </row>
    <row r="1287">
      <c r="A1287" s="106" t="inlineStr">
        <is>
          <t xml:space="preserve">ТОШКЕНТ ШАХРИ</t>
        </is>
      </c>
      <c r="C1287" s="106" t="inlineStr">
        <is>
          <t xml:space="preserve">Недозвон</t>
        </is>
      </c>
      <c r="D1287" s="106" t="inlineStr">
        <is>
          <t xml:space="preserve">Кр-99010086-6</t>
        </is>
      </c>
      <c r="E1287" s="106" t="inlineStr">
        <is>
          <t xml:space="preserve">OTAJONOV TO’LAGAN KARIMJON O’G’LI</t>
        </is>
      </c>
      <c r="F1287" s="106" t="inlineStr">
        <is>
          <t xml:space="preserve">90-093-33-38  SMS UZI, 71-240-53-47  SMS UY, 93-004-80-09  SMS AKASI, 93-580-88-71  SMS ONASI, +998900933338 SMS O’ZI,</t>
        </is>
      </c>
      <c r="G1287" s="106" t="inlineStr">
        <is>
          <t xml:space="preserve">Тошкент шахри Шайхонтохур тумани Кохота МФЙ, Кохота-Парашутная кучаси, 137-уй</t>
        </is>
      </c>
      <c r="H1287" s="107">
        <v>8.0</v>
      </c>
      <c r="I1287" s="107">
        <v>609741.93</v>
      </c>
    </row>
    <row r="1288">
      <c r="A1288" s="106" t="inlineStr">
        <is>
          <t xml:space="preserve">ТОШКЕНТ ШАХРИ</t>
        </is>
      </c>
      <c r="C1288" s="106" t="inlineStr">
        <is>
          <t xml:space="preserve">Недозвон</t>
        </is>
      </c>
      <c r="D1288" s="106" t="inlineStr">
        <is>
          <t xml:space="preserve">Кр-99027295-4</t>
        </is>
      </c>
      <c r="E1288" s="106" t="inlineStr">
        <is>
          <t xml:space="preserve">GULOMOV JAMOLIDDIN DJURAYEVICH</t>
        </is>
      </c>
      <c r="F1288" s="106" t="inlineStr">
        <is>
          <t xml:space="preserve">99-882-49-24 SMS, 99-888-49-24 SMS Ogli Jamshid TOLOVCHI, 99-070-77-51 SMS Ayoli, 93-377-62-20 SMS UY,</t>
        </is>
      </c>
      <c r="G1288" s="106" t="inlineStr">
        <is>
          <t xml:space="preserve">Тошкент шахар Олмазор тумани Хислат МФЙ Шифокорлар Шахарчаси 30Г Даха</t>
        </is>
      </c>
      <c r="I1288" s="107">
        <v>549513.71</v>
      </c>
    </row>
    <row r="1289">
      <c r="A1289" s="106" t="inlineStr">
        <is>
          <t xml:space="preserve">ТОШКЕНТ ШАХРИ</t>
        </is>
      </c>
      <c r="C1289" s="106" t="inlineStr">
        <is>
          <t xml:space="preserve">Недозвон</t>
        </is>
      </c>
      <c r="D1289" s="106" t="inlineStr">
        <is>
          <t xml:space="preserve">Кр-99019234-3</t>
        </is>
      </c>
      <c r="E1289" s="106" t="inlineStr">
        <is>
          <t xml:space="preserve">QULAHMATOV ASATILLA FATXULLA O’G’LI</t>
        </is>
      </c>
      <c r="F1289" s="106" t="inlineStr">
        <is>
          <t xml:space="preserve">93-005-00-11 SMS  UZI, 998935489499 SMS AKASI, 998946622226 SMS AKASI 2,</t>
        </is>
      </c>
      <c r="G1289" s="106" t="inlineStr">
        <is>
          <t xml:space="preserve">TOSHKENT SHAHAR OLMAZOR TUMANI A-SHOSHIY KOCHASI 53-UY</t>
        </is>
      </c>
      <c r="H1289" s="107">
        <v>8.0</v>
      </c>
      <c r="I1289" s="107">
        <v>484955.13</v>
      </c>
    </row>
    <row r="1290">
      <c r="A1290" s="106" t="inlineStr">
        <is>
          <t xml:space="preserve">ТОШКЕНТ ШАХРИ</t>
        </is>
      </c>
      <c r="C1290" s="106" t="inlineStr">
        <is>
          <t xml:space="preserve">Недозвон</t>
        </is>
      </c>
      <c r="D1290" s="106" t="inlineStr">
        <is>
          <t xml:space="preserve">Кр-99062782-1</t>
        </is>
      </c>
      <c r="E1290" s="106" t="inlineStr">
        <is>
          <t xml:space="preserve">SOBIRJONOV AZIZBEK ODIL O’G’LI</t>
        </is>
      </c>
      <c r="F1290" s="106" t="inlineStr">
        <is>
          <t xml:space="preserve">998909026006 SMS AKASI, 998909075959 SMSM OZI, 998940875888 SMS SINGLISI, 998991093131 SMS AYOLI,</t>
        </is>
      </c>
      <c r="G1290" s="106" t="inlineStr">
        <is>
          <t xml:space="preserve">BELTEPA MFY 13-A 12-UY</t>
        </is>
      </c>
      <c r="I1290" s="107">
        <v>458775.19</v>
      </c>
    </row>
    <row r="1291">
      <c r="A1291" s="108" t="inlineStr">
        <is>
          <t xml:space="preserve">ФАРГОНА ВИЛОЯТИ</t>
        </is>
      </c>
      <c r="C1291" s="108" t="inlineStr">
        <is>
          <t xml:space="preserve">Недозвон</t>
        </is>
      </c>
      <c r="D1291" s="108" t="inlineStr">
        <is>
          <t xml:space="preserve">Кр-99021030-1</t>
        </is>
      </c>
      <c r="E1291" s="108" t="inlineStr">
        <is>
          <t xml:space="preserve">XAYITBOYEV BOBIRJON MADAMINOVICH</t>
        </is>
      </c>
      <c r="F1291" s="108" t="inlineStr">
        <is>
          <t xml:space="preserve">91-128-80-09  SMS OZI BOG'CHALARGA GO'SHT TARQATADI , 94-235-80-09  SMS OZI 2 BEGONA, 91-660-53-47  SMS AYOLI, 90-531-73-73  SMS UKASI,</t>
        </is>
      </c>
      <c r="G1291" s="108" t="inlineStr">
        <is>
          <t xml:space="preserve">FARG'ONA VILOYATI QUVA TUMANI MANAVIYAT KO'CHASI 44-XONADON</t>
        </is>
      </c>
      <c r="H1291" s="109">
        <v>222.0</v>
      </c>
      <c r="I1291" s="109">
        <v>98879244.04</v>
      </c>
    </row>
    <row r="1292">
      <c r="A1292" s="108" t="inlineStr">
        <is>
          <t xml:space="preserve">ФАРГОНА ВИЛОЯТИ</t>
        </is>
      </c>
      <c r="C1292" s="108" t="inlineStr">
        <is>
          <t xml:space="preserve">Недозвон</t>
        </is>
      </c>
      <c r="D1292" s="108" t="inlineStr">
        <is>
          <t xml:space="preserve">Кр-99057107-2</t>
        </is>
      </c>
      <c r="E1292" s="108" t="inlineStr">
        <is>
          <t xml:space="preserve">SHOKIROVA JAMILAXON XOJBALAYEVNA</t>
        </is>
      </c>
      <c r="F1292" s="108" t="inlineStr">
        <is>
          <t xml:space="preserve">998934170721 OZI, 998940433005 UKASI, 998911221777 JIYANI, 998932462898 SHERIGI,</t>
        </is>
      </c>
      <c r="G1292" s="108" t="inlineStr">
        <is>
          <t xml:space="preserve">FARG’ONA VILOYATI FARG’ONA SHAHAR MIRZO ULUG’BEK MFY O’ZBEKISTON OVOZI KO’CHASI 16-UY 4-XONADON</t>
        </is>
      </c>
      <c r="H1292" s="109">
        <v>102.0</v>
      </c>
      <c r="I1292" s="109">
        <v>61150726.9</v>
      </c>
      <c r="K1292" s="108" t="inlineStr">
        <is>
          <t xml:space="preserve">Telefon ko'tarmadi | 14996970.3</t>
        </is>
      </c>
    </row>
    <row r="1293">
      <c r="A1293" s="108" t="inlineStr">
        <is>
          <t xml:space="preserve">ФАРГОНА ВИЛОЯТИ</t>
        </is>
      </c>
      <c r="C1293" s="108" t="inlineStr">
        <is>
          <t xml:space="preserve">Объезд</t>
        </is>
      </c>
      <c r="D1293" s="108" t="inlineStr">
        <is>
          <t xml:space="preserve">Кр-99036825-1</t>
        </is>
      </c>
      <c r="E1293" s="108" t="inlineStr">
        <is>
          <t xml:space="preserve">RAXMANKULOVA RANO EMINOVNA</t>
        </is>
      </c>
      <c r="F1293" s="108" t="inlineStr">
        <is>
          <t xml:space="preserve">998916619568 SMS OZI, 998916667777 SMS OGLI BEGONA, 998992041119 SMS OGLI 2, 998902741221 SMS UYI BEGONA, 998972711111 SMS ,</t>
        </is>
      </c>
      <c r="G1293" s="108" t="inlineStr">
        <is>
          <t xml:space="preserve">FARG’ONA VILOYATI FARG’ONA SHAHAR OQARIQ MFY OQARIQ KO’CHASI 350-A UY </t>
        </is>
      </c>
      <c r="H1293" s="109">
        <v>120.0</v>
      </c>
      <c r="I1293" s="109">
        <v>53771510.2</v>
      </c>
      <c r="K1293" s="108" t="inlineStr">
        <is>
          <t xml:space="preserve">Uyiga borildi | 20648677.87</t>
        </is>
      </c>
    </row>
    <row r="1294">
      <c r="A1294" s="108" t="inlineStr">
        <is>
          <t xml:space="preserve">ФАРГОНА ВИЛОЯТИ</t>
        </is>
      </c>
      <c r="C1294" s="108" t="inlineStr">
        <is>
          <t xml:space="preserve">Недозвон</t>
        </is>
      </c>
      <c r="D1294" s="108" t="inlineStr">
        <is>
          <t xml:space="preserve">Кр-99039882-1</t>
        </is>
      </c>
      <c r="E1294" s="108" t="inlineStr">
        <is>
          <t xml:space="preserve">AYMATOV SARDORBEK IQBOL O’G’LI</t>
        </is>
      </c>
      <c r="F1294" s="108" t="inlineStr">
        <is>
          <t xml:space="preserve">998904050044 SMS OZI, 998972677557 SMS UKASI, 998902324418 SMS AKASI,</t>
        </is>
      </c>
      <c r="G1294" s="108" t="inlineStr">
        <is>
          <t xml:space="preserve">FARG’ONA VILOYATI FARG’ONA SHAHAR AL-XORAZMIY MFY JOMIY KO’CHASI 5-A UY 12-XONADON</t>
        </is>
      </c>
      <c r="H1294" s="109">
        <v>253.0</v>
      </c>
      <c r="I1294" s="109">
        <v>52826466.81</v>
      </c>
      <c r="K1294" s="108" t="inlineStr">
        <is>
          <t xml:space="preserve">Telefon ko'tarmadi | 15938452.84</t>
        </is>
      </c>
    </row>
    <row r="1295">
      <c r="A1295" s="108" t="inlineStr">
        <is>
          <t xml:space="preserve">ФАРГОНА ВИЛОЯТИ</t>
        </is>
      </c>
      <c r="C1295" s="108" t="inlineStr">
        <is>
          <t xml:space="preserve">Недозвон</t>
        </is>
      </c>
      <c r="D1295" s="108" t="inlineStr">
        <is>
          <t xml:space="preserve">Кр-99060404-1</t>
        </is>
      </c>
      <c r="E1295" s="108" t="inlineStr">
        <is>
          <t xml:space="preserve">MAXAMMADOVA ANORAXON BAXODIROVNA</t>
        </is>
      </c>
      <c r="F1295" s="108" t="inlineStr">
        <is>
          <t xml:space="preserve">998911111580 ozi, 998910476111 eri, 998919843005 akasi, 998911221777 TULOVCHI AKASI,</t>
        </is>
      </c>
      <c r="G1295" s="108" t="inlineStr">
        <is>
          <t xml:space="preserve">Манзил: FARG’ONA VILOYATI QUVA TUMANI GO’ZAL MFY TINCHILIK KO’CHASI 6-UY 27-XONADON</t>
        </is>
      </c>
      <c r="H1295" s="109">
        <v>102.0</v>
      </c>
      <c r="I1295" s="109">
        <v>51374143.82</v>
      </c>
      <c r="K1295" s="108" t="inlineStr">
        <is>
          <t xml:space="preserve">Telefon ko'tarmadi | 12500000</t>
        </is>
      </c>
    </row>
    <row r="1296">
      <c r="A1296" s="108" t="inlineStr">
        <is>
          <t xml:space="preserve">ФАРГОНА ВИЛОЯТИ</t>
        </is>
      </c>
      <c r="C1296" s="108" t="inlineStr">
        <is>
          <t xml:space="preserve">Объезд</t>
        </is>
      </c>
      <c r="D1296" s="108" t="inlineStr">
        <is>
          <t xml:space="preserve">Кр-99044960-2</t>
        </is>
      </c>
      <c r="E1296" s="108" t="inlineStr">
        <is>
          <t xml:space="preserve">ABDULLAYEV BEGALI MIRZAJONOVICH</t>
        </is>
      </c>
      <c r="F1296" s="108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1296" s="108" t="inlineStr">
        <is>
          <t xml:space="preserve">FARG’ONA VILOYATI BESHARIQ TUMANI SHOBERDI MFY GULYOR KO’CHASI 40-UY</t>
        </is>
      </c>
      <c r="H1296" s="109">
        <v>133.0</v>
      </c>
      <c r="I1296" s="109">
        <v>46884561.84</v>
      </c>
      <c r="K1296" s="108" t="inlineStr">
        <is>
          <t xml:space="preserve">Uyiga borildi - va'da berdi | 11979165</t>
        </is>
      </c>
    </row>
    <row r="1297">
      <c r="A1297" s="108" t="inlineStr">
        <is>
          <t xml:space="preserve">ФАРГОНА ВИЛОЯТИ</t>
        </is>
      </c>
      <c r="C1297" s="108" t="inlineStr">
        <is>
          <t xml:space="preserve">Недозвон</t>
        </is>
      </c>
      <c r="D1297" s="108" t="inlineStr">
        <is>
          <t xml:space="preserve">Кр-99041102-2</t>
        </is>
      </c>
      <c r="E1297" s="108" t="inlineStr">
        <is>
          <t xml:space="preserve">KADIROVA MAVLUDA ANVAROVNA</t>
        </is>
      </c>
      <c r="F1297" s="108" t="inlineStr">
        <is>
          <t xml:space="preserve">998916508656 SMS OZI , 998910478741 SMS O’G’LI, 998916540408 SMS OPASI,</t>
        </is>
      </c>
      <c r="G1297" s="108" t="inlineStr">
        <is>
          <t xml:space="preserve">FARG’ONA VILOYATI FARG’ONA SHAHAR TO’QIMACHILAR MFY AFROSIYOB KO’CHASI 2-UY 17-XONADON</t>
        </is>
      </c>
      <c r="H1297" s="109">
        <v>102.0</v>
      </c>
      <c r="I1297" s="109">
        <v>46084828.5</v>
      </c>
      <c r="K1297" s="108" t="inlineStr">
        <is>
          <t xml:space="preserve">Telefon ko'tarmadi | 11250000</t>
        </is>
      </c>
    </row>
    <row r="1298">
      <c r="A1298" s="108" t="inlineStr">
        <is>
          <t xml:space="preserve">ФАРГОНА ВИЛОЯТИ</t>
        </is>
      </c>
      <c r="C1298" s="108" t="inlineStr">
        <is>
          <t xml:space="preserve">Недозвон</t>
        </is>
      </c>
      <c r="D1298" s="108" t="inlineStr">
        <is>
          <t xml:space="preserve">Кр-99055167-1</t>
        </is>
      </c>
      <c r="E1298" s="108" t="inlineStr">
        <is>
          <t xml:space="preserve">BERDIYEV ODILJON ISLOMJONOVICH</t>
        </is>
      </c>
      <c r="F1298" s="108" t="inlineStr">
        <is>
          <t xml:space="preserve">998943536773 SMS, 998200008402 SMS, 998508819593 SMS,</t>
        </is>
      </c>
      <c r="G1298" s="108" t="inlineStr">
        <is>
          <t xml:space="preserve">BOG’DOD TUMANI</t>
        </is>
      </c>
      <c r="H1298" s="109">
        <v>133.0</v>
      </c>
      <c r="I1298" s="109">
        <v>44107737.01</v>
      </c>
      <c r="K1298" s="108" t="inlineStr">
        <is>
          <t xml:space="preserve">Telefon ko'tarmadi | 10414494.29</t>
        </is>
      </c>
    </row>
    <row r="1299">
      <c r="A1299" s="108" t="inlineStr">
        <is>
          <t xml:space="preserve">ФАРГОНА ВИЛОЯТИ</t>
        </is>
      </c>
      <c r="C1299" s="108" t="inlineStr">
        <is>
          <t xml:space="preserve">Недозвон</t>
        </is>
      </c>
      <c r="D1299" s="108" t="inlineStr">
        <is>
          <t xml:space="preserve">Кр-99027530-1</t>
        </is>
      </c>
      <c r="E1299" s="108" t="inlineStr">
        <is>
          <t xml:space="preserve">USMONALIYEV ANZORBEK BAXROMJON O’G’LI</t>
        </is>
      </c>
      <c r="F1299" s="108" t="inlineStr">
        <is>
          <t xml:space="preserve">94-642-45-95  SMS TOLOVCHI, 93-913-53-54  SMS TOLOVCHI 2, 90-362-70-15  SMS O'ZI, 93-166-22-92  SMS AKASI, 998916924164 Maxala Faoli Toberishka xarakat qivotila ,</t>
        </is>
      </c>
      <c r="G1299" s="108" t="inlineStr">
        <is>
          <t xml:space="preserve">FARG’ONA VILOYATI BAG’DOD TUMANI 2-BAG’DOD QISHLOG’I KORNIZAR 1 MFY 40-UY</t>
        </is>
      </c>
      <c r="H1299" s="109">
        <v>13.0</v>
      </c>
      <c r="I1299" s="109">
        <v>35000000.0</v>
      </c>
    </row>
    <row r="1300">
      <c r="A1300" s="108" t="inlineStr">
        <is>
          <t xml:space="preserve">ФАРГОНА ВИЛОЯТИ</t>
        </is>
      </c>
      <c r="C1300" s="108" t="inlineStr">
        <is>
          <t xml:space="preserve">Объезд</t>
        </is>
      </c>
      <c r="D1300" s="108" t="inlineStr">
        <is>
          <t xml:space="preserve">Кр-99060331-1</t>
        </is>
      </c>
      <c r="E1300" s="108" t="inlineStr">
        <is>
          <t xml:space="preserve">UMAROVA EXTIBOR SOTVOLDIYEVNA</t>
        </is>
      </c>
      <c r="F1300" s="108" t="inlineStr">
        <is>
          <t xml:space="preserve">998905331878 узи, 998932974444 невара, 998982775557 уй, 998943313223 эри,</t>
        </is>
      </c>
      <c r="G1300" s="108" t="inlineStr">
        <is>
          <t xml:space="preserve">FARG’ONA VILOYATI, FARG’ONA SHAHRI, FARG’ONA MFY, FITRAT KO’CHASI, 27-UY</t>
        </is>
      </c>
      <c r="H1300" s="109">
        <v>41.0</v>
      </c>
      <c r="I1300" s="109">
        <v>32347767.32</v>
      </c>
      <c r="K1300" s="108" t="inlineStr">
        <is>
          <t xml:space="preserve">Uyiga borildi - va'da berdi | ERTAGA KECHROQA FILALGA BORIB TOLAB QOYADI EKAN | 9776256.28</t>
        </is>
      </c>
    </row>
    <row r="1301">
      <c r="A1301" s="108" t="inlineStr">
        <is>
          <t xml:space="preserve">ФАРГОНА ВИЛОЯТИ</t>
        </is>
      </c>
      <c r="C1301" s="108" t="inlineStr">
        <is>
          <t xml:space="preserve">Недозвон</t>
        </is>
      </c>
      <c r="D1301" s="108" t="inlineStr">
        <is>
          <t xml:space="preserve">Кр-99040124-3</t>
        </is>
      </c>
      <c r="E1301" s="108" t="inlineStr">
        <is>
          <t xml:space="preserve">MUXAMMADJONOV MUXAMMADALI XXX</t>
        </is>
      </c>
      <c r="F1301" s="108" t="inlineStr">
        <is>
          <t xml:space="preserve">998919937777 SMS OZI, 998911381309 SMS UY, 998911381673 SMS AKASI, 998945581001 SMS UKASI,</t>
        </is>
      </c>
      <c r="G1301" s="108" t="inlineStr">
        <is>
          <t xml:space="preserve">FARG’ONA VILOYATI FURQAT TUMANI ESHON MFY FAROG’AT KO’CHASI 69 A UY</t>
        </is>
      </c>
      <c r="H1301" s="109">
        <v>41.0</v>
      </c>
      <c r="I1301" s="109">
        <v>27342689.63</v>
      </c>
      <c r="K1301" s="108" t="inlineStr">
        <is>
          <t xml:space="preserve">Telefon ko'tarmadi | MIRZOXID AKA UNDIRADI | 7962630.41</t>
        </is>
      </c>
    </row>
    <row r="1302">
      <c r="A1302" s="108" t="inlineStr">
        <is>
          <t xml:space="preserve">ФАРГОНА ВИЛОЯТИ</t>
        </is>
      </c>
      <c r="C1302" s="108" t="inlineStr">
        <is>
          <t xml:space="preserve">Объезд</t>
        </is>
      </c>
      <c r="D1302" s="108" t="inlineStr">
        <is>
          <t xml:space="preserve">Кр-99035879-1</t>
        </is>
      </c>
      <c r="E1302" s="108" t="inlineStr">
        <is>
          <t xml:space="preserve">OBIYEVA MOHIRA ANVARJON QIZI</t>
        </is>
      </c>
      <c r="F1302" s="108" t="inlineStr">
        <is>
          <t xml:space="preserve">998911571991 SMS O’ZI, 998954059090 SMS ERI begana, 998900731111 SMS OPASI begana, 998911053107 SMS OPASI 2, 998906729797 SMS UKASI ,</t>
        </is>
      </c>
      <c r="G1302" s="108" t="inlineStr">
        <is>
          <t xml:space="preserve">FARG’ONA VILOYATI RISHTON TUMANI ZOXIDON MFY GULUSTON KO’CHASI</t>
        </is>
      </c>
      <c r="H1302" s="109">
        <v>99.0</v>
      </c>
      <c r="I1302" s="109">
        <v>22233536.25</v>
      </c>
      <c r="K1302" s="108" t="inlineStr">
        <is>
          <t xml:space="preserve">Uyiga borildi | 9348178.95</t>
        </is>
      </c>
    </row>
    <row r="1303">
      <c r="A1303" s="108" t="inlineStr">
        <is>
          <t xml:space="preserve">ФАРГОНА ВИЛОЯТИ</t>
        </is>
      </c>
      <c r="C1303" s="108" t="inlineStr">
        <is>
          <t xml:space="preserve">Недозвон</t>
        </is>
      </c>
      <c r="D1303" s="108" t="inlineStr">
        <is>
          <t xml:space="preserve">Кр-99035634-1</t>
        </is>
      </c>
      <c r="E1303" s="108" t="inlineStr">
        <is>
          <t xml:space="preserve">QORABOYEVA GULXUMOR MUXAMMADRO’ZIYEVNA</t>
        </is>
      </c>
      <c r="F1303" s="108" t="inlineStr">
        <is>
          <t xml:space="preserve">998908538090 SMS OZI, 998908581817 SMS OGLI, 998916884060 SMS QIZI, 998902934565 SMS JIYANI, 998910207077 KUYOVI TOLOVCHI ,</t>
        </is>
      </c>
      <c r="G1303" s="108" t="inlineStr">
        <is>
          <t xml:space="preserve">FARG’ONA VILOYATI BOG’DOD TUMANI MURUVAT MFY YOSH AVLOD KO’CHASI 12-UY 14-XONADON</t>
        </is>
      </c>
      <c r="H1303" s="109">
        <v>113.0</v>
      </c>
      <c r="I1303" s="109">
        <v>21896916.02</v>
      </c>
      <c r="K1303" s="108" t="inlineStr">
        <is>
          <t xml:space="preserve">Telefon ko'tarmadi | 10716000</t>
        </is>
      </c>
    </row>
    <row r="1304">
      <c r="A1304" s="108" t="inlineStr">
        <is>
          <t xml:space="preserve">ФАРГОНА ВИЛОЯТИ</t>
        </is>
      </c>
      <c r="C1304" s="108" t="inlineStr">
        <is>
          <t xml:space="preserve">Объезд</t>
        </is>
      </c>
      <c r="D1304" s="108" t="inlineStr">
        <is>
          <t xml:space="preserve">Кр-99040913-4</t>
        </is>
      </c>
      <c r="E1304" s="108" t="inlineStr">
        <is>
          <t xml:space="preserve">ISMIXANOVA SEVILA MUSTAFAYEVNA</t>
        </is>
      </c>
      <c r="F1304" s="108" t="inlineStr">
        <is>
          <t xml:space="preserve">+998907030041 O’ZI, 998904077354 SHERIGI, 998905815272 SINGLI, 998907040019 SMS O’ZI,</t>
        </is>
      </c>
      <c r="G1304" s="108" t="inlineStr">
        <is>
          <t xml:space="preserve">FARG’ONA VILOYATI FARG’ONA SHAHAR IBRAT MFY REGISTON (O’RTA SHO’RA) KO’CHASI 2-UY 9-XONADON</t>
        </is>
      </c>
      <c r="H1304" s="109">
        <v>71.0</v>
      </c>
      <c r="I1304" s="109">
        <v>21657013.3</v>
      </c>
      <c r="K1304" s="108" t="inlineStr">
        <is>
          <t xml:space="preserve">Uyiga borildi - va'da berdi | 6873199.01</t>
        </is>
      </c>
    </row>
    <row r="1305">
      <c r="A1305" s="108" t="inlineStr">
        <is>
          <t xml:space="preserve">ФАРГОНА ВИЛОЯТИ</t>
        </is>
      </c>
      <c r="C1305" s="108" t="inlineStr">
        <is>
          <t xml:space="preserve">Недозвон</t>
        </is>
      </c>
      <c r="D1305" s="108" t="inlineStr">
        <is>
          <t xml:space="preserve">Кр-99057050-1</t>
        </is>
      </c>
      <c r="E1305" s="108" t="inlineStr">
        <is>
          <t xml:space="preserve">ABDULLAYEVA EXTIBOR TURAXODJAYEVNA</t>
        </is>
      </c>
      <c r="F1305" s="108" t="inlineStr">
        <is>
          <t xml:space="preserve">998917364446 SMS OZI, 998990670502 SMS O'G'LI, 998170930302 SMS O'G'LI, 998905896636 SMS KELINI,</t>
        </is>
      </c>
      <c r="G1305" s="108" t="inlineStr">
        <is>
          <t xml:space="preserve">FARG’ONA VILOYATI QO’QON SHAHAR ALISHER NAVOIY MFY BODOMZOR KO’CHASI 92-XONADON</t>
        </is>
      </c>
      <c r="H1305" s="109">
        <v>41.0</v>
      </c>
      <c r="I1305" s="109">
        <v>17802337.22</v>
      </c>
      <c r="K1305" s="108" t="inlineStr">
        <is>
          <t xml:space="preserve">Telefon ko'tarmadi | 5487909.54</t>
        </is>
      </c>
    </row>
    <row r="1306">
      <c r="A1306" s="108" t="inlineStr">
        <is>
          <t xml:space="preserve">ФАРГОНА ВИЛОЯТИ</t>
        </is>
      </c>
      <c r="C1306" s="108" t="inlineStr">
        <is>
          <t xml:space="preserve">Объезд</t>
        </is>
      </c>
      <c r="D1306" s="108" t="inlineStr">
        <is>
          <t xml:space="preserve">Кр-99055209-1</t>
        </is>
      </c>
      <c r="E1306" s="108" t="inlineStr">
        <is>
          <t xml:space="preserve">ISMOILOV KOMOLJON ISROILOVICH</t>
        </is>
      </c>
      <c r="F1306" s="108" t="inlineStr">
        <is>
          <t xml:space="preserve">998911083458 OZI, 998916523715 AYOLI, 998911165525 SINGLISI, 998905343715 UKASI,</t>
        </is>
      </c>
      <c r="G1306" s="108" t="inlineStr">
        <is>
          <t xml:space="preserve">FARG’ONA VILOYATI FARG’ONA SHAHAR OQARIQ MFY OQARIQ KO’CHASI 235-UY</t>
        </is>
      </c>
      <c r="H1306" s="109">
        <v>41.0</v>
      </c>
      <c r="I1306" s="109">
        <v>17611984.26</v>
      </c>
      <c r="K1306" s="108" t="inlineStr">
        <is>
          <t xml:space="preserve">Uyiga borildi - va'da berdi | 5416666</t>
        </is>
      </c>
    </row>
    <row r="1307">
      <c r="A1307" s="108" t="inlineStr">
        <is>
          <t xml:space="preserve">ФАРГОНА ВИЛОЯТИ</t>
        </is>
      </c>
      <c r="C1307" s="108" t="inlineStr">
        <is>
          <t xml:space="preserve">Объезд</t>
        </is>
      </c>
      <c r="D1307" s="108" t="inlineStr">
        <is>
          <t xml:space="preserve">Кр-99060453-1</t>
        </is>
      </c>
      <c r="E1307" s="108" t="inlineStr">
        <is>
          <t xml:space="preserve">YUSUPOVA OMINAXON XXX</t>
        </is>
      </c>
      <c r="F1307" s="108" t="inlineStr">
        <is>
          <t xml:space="preserve">998975555600 SMS OZI, 998335757777 SMS OGLI, 998981700078 SMS NEVARASI, 998505102702 SMS OGLI,</t>
        </is>
      </c>
      <c r="G1307" s="108" t="inlineStr">
        <is>
          <t xml:space="preserve">FARG’ONA VILOYATI FARG’ONA TUMANI BIRDAMLIK MFY MURUVVAT KO’CHASI 46-XONADON</t>
        </is>
      </c>
      <c r="H1307" s="109">
        <v>41.0</v>
      </c>
      <c r="I1307" s="109">
        <v>15666666.66</v>
      </c>
      <c r="K1307" s="108" t="inlineStr">
        <is>
          <t xml:space="preserve">Uyiga borildi - va'da berdi | PULI KELMAY QOLIBDI ERTAGA KELISHI BILAN TOLAB QOYADI EKAN | 6060606</t>
        </is>
      </c>
    </row>
    <row r="1308">
      <c r="A1308" s="108" t="inlineStr">
        <is>
          <t xml:space="preserve">ФАРГОНА ВИЛОЯТИ</t>
        </is>
      </c>
      <c r="C1308" s="108" t="inlineStr">
        <is>
          <t xml:space="preserve">Объезд</t>
        </is>
      </c>
      <c r="D1308" s="108" t="inlineStr">
        <is>
          <t xml:space="preserve">Кр-99058090-1</t>
        </is>
      </c>
      <c r="E1308" s="108" t="inlineStr">
        <is>
          <t xml:space="preserve">YUNUSOVA UMIDA OBIDJON QIZI</t>
        </is>
      </c>
      <c r="F1308" s="108" t="inlineStr">
        <is>
          <t xml:space="preserve">998902900988 SMS OZI, 998916681988 SMS QIZI, 998910402015 SMS OGL, 998905812051 SMS OANSI,</t>
        </is>
      </c>
      <c r="G1308" s="108" t="inlineStr">
        <is>
          <t xml:space="preserve">FARG’ONA VILOYATI FARG’ONA SHAHAR O’ZBEKISTON MFY A-QODIRIY KO’CHASI 148-UY 26-XONADON</t>
        </is>
      </c>
      <c r="H1308" s="109">
        <v>41.0</v>
      </c>
      <c r="I1308" s="109">
        <v>13367443.95</v>
      </c>
      <c r="K1308" s="108" t="inlineStr">
        <is>
          <t xml:space="preserve">Uyiga borildi - va'da berdi | 4050817.89</t>
        </is>
      </c>
    </row>
    <row r="1309">
      <c r="A1309" s="108" t="inlineStr">
        <is>
          <t xml:space="preserve">ФАРГОНА ВИЛОЯТИ</t>
        </is>
      </c>
      <c r="C1309" s="108" t="inlineStr">
        <is>
          <t xml:space="preserve">Недозвон</t>
        </is>
      </c>
      <c r="D1309" s="108" t="inlineStr">
        <is>
          <t xml:space="preserve">Кр-99059331-3</t>
        </is>
      </c>
      <c r="E1309" s="108" t="inlineStr">
        <is>
          <t xml:space="preserve">YUSUPOV AXATJON MARUFOVICH</t>
        </is>
      </c>
      <c r="F1309" s="108" t="inlineStr">
        <is>
          <t xml:space="preserve">+998944490113 SMS, 998941575202 SMS QARINDASH, 998948220113 SMS AYOLI, 998930617923 ORTOGI ,</t>
        </is>
      </c>
      <c r="G1309" s="108" t="inlineStr">
        <is>
          <t xml:space="preserve">FARG’ONA VILOYATI FURQAT TUMANI XALQABOD MFY  XALQABOD QISHLOGI 26-UY</t>
        </is>
      </c>
      <c r="H1309" s="109">
        <v>41.0</v>
      </c>
      <c r="I1309" s="109">
        <v>12623689.98</v>
      </c>
      <c r="K1309" s="108" t="inlineStr">
        <is>
          <t xml:space="preserve">Telefon ko'tarmadi | 7411175.03</t>
        </is>
      </c>
    </row>
    <row r="1310">
      <c r="A1310" s="108" t="inlineStr">
        <is>
          <t xml:space="preserve">ФАРГОНА ВИЛОЯТИ</t>
        </is>
      </c>
      <c r="C1310" s="108" t="inlineStr">
        <is>
          <t xml:space="preserve">Объезд</t>
        </is>
      </c>
      <c r="D1310" s="108" t="inlineStr">
        <is>
          <t xml:space="preserve">Кр-99041275-1</t>
        </is>
      </c>
      <c r="E1310" s="108" t="inlineStr">
        <is>
          <t xml:space="preserve">JUMAMATOVA ZULXUMOR ISAKOVNA</t>
        </is>
      </c>
      <c r="F1310" s="108" t="inlineStr">
        <is>
          <t xml:space="preserve">+998907788327 O’ZI, 998947215300 UY, 998982787707 ERI, 998987781111 O’G’LI TOLOVCHI,</t>
        </is>
      </c>
      <c r="G1310" s="108" t="inlineStr">
        <is>
          <t xml:space="preserve">13-СИМТЕПА (Х.ИБРАГИМОВА) МФЙ, ОБИХАЁТ (ШОКИРОВА) КЎЧАСИ,  uy:32А</t>
        </is>
      </c>
      <c r="H1310" s="109">
        <v>71.0</v>
      </c>
      <c r="I1310" s="109">
        <v>10508395.32</v>
      </c>
      <c r="K1310" s="108" t="inlineStr">
        <is>
          <t xml:space="preserve">Uyiga borildi - va'da berdi | 2964372.32</t>
        </is>
      </c>
    </row>
    <row r="1311">
      <c r="A1311" s="108" t="inlineStr">
        <is>
          <t xml:space="preserve">ФАРГОНА ВИЛОЯТИ</t>
        </is>
      </c>
      <c r="C1311" s="108" t="inlineStr">
        <is>
          <t xml:space="preserve">Недозвон</t>
        </is>
      </c>
      <c r="D1311" s="108" t="inlineStr">
        <is>
          <t xml:space="preserve">Кр-99039349-1</t>
        </is>
      </c>
      <c r="E1311" s="108" t="inlineStr">
        <is>
          <t xml:space="preserve">MAMADJANOV AKMALJON AKRAMOVICH</t>
        </is>
      </c>
      <c r="F1311" s="108" t="inlineStr">
        <is>
          <t xml:space="preserve">998976675000 SMS OZI, 998931377454 SMS AYOLI, 998994417770 SMS OGLI, 998941766699 SMS QIZI begona ,</t>
        </is>
      </c>
      <c r="G1311" s="108" t="inlineStr">
        <is>
          <t xml:space="preserve">FARG’ONA VILOYATI RISHTON TUMANI MINOR MFY M.IBRAGIMOV KO’CHASI 8-XONADON</t>
        </is>
      </c>
      <c r="H1311" s="109">
        <v>6.0</v>
      </c>
      <c r="I1311" s="109">
        <v>9137638.96</v>
      </c>
      <c r="K1311" s="108" t="inlineStr">
        <is>
          <t xml:space="preserve">Telefon ko'tarmadi | 4545455</t>
        </is>
      </c>
    </row>
    <row r="1312">
      <c r="A1312" s="108" t="inlineStr">
        <is>
          <t xml:space="preserve">ФАРГОНА ВИЛОЯТИ</t>
        </is>
      </c>
      <c r="C1312" s="108" t="inlineStr">
        <is>
          <t xml:space="preserve">Недозвон</t>
        </is>
      </c>
      <c r="D1312" s="108" t="inlineStr">
        <is>
          <t xml:space="preserve">Кр-99062879-1</t>
        </is>
      </c>
      <c r="E1312" s="108" t="inlineStr">
        <is>
          <t xml:space="preserve">XOLBEKOV TO’LQINJON FOZILOVICH</t>
        </is>
      </c>
      <c r="F1312" s="108" t="inlineStr">
        <is>
          <t xml:space="preserve">998972906368 SMS QIZI, 998974206368 SMS OZI, 998992206368 SMS AYOLI,</t>
        </is>
      </c>
      <c r="G1312" s="108" t="inlineStr">
        <is>
          <t xml:space="preserve">QO’SHTEPA TUMANI , MEVAZOR 80-XONADON</t>
        </is>
      </c>
      <c r="H1312" s="109">
        <v>41.0</v>
      </c>
      <c r="I1312" s="109">
        <v>8834695.87</v>
      </c>
    </row>
    <row r="1313">
      <c r="A1313" s="108" t="inlineStr">
        <is>
          <t xml:space="preserve">ФАРГОНА ВИЛОЯТИ</t>
        </is>
      </c>
      <c r="C1313" s="108" t="inlineStr">
        <is>
          <t xml:space="preserve">Объезд</t>
        </is>
      </c>
      <c r="D1313" s="108" t="inlineStr">
        <is>
          <t xml:space="preserve">Кр-99062630-1</t>
        </is>
      </c>
      <c r="E1313" s="108" t="inlineStr">
        <is>
          <t xml:space="preserve">XASANOV OTABEK AZIZJONOVICH</t>
        </is>
      </c>
      <c r="F1313" s="108" t="inlineStr">
        <is>
          <t xml:space="preserve">998916577977 узи, 998911590079 угли, 998958290856 акаси, 998938820883 JIYANI TOLOVCHI ,</t>
        </is>
      </c>
      <c r="G1313" s="108" t="inlineStr">
        <is>
          <t xml:space="preserve">OLTIARIQ TUMANI</t>
        </is>
      </c>
      <c r="H1313" s="109">
        <v>11.0</v>
      </c>
      <c r="I1313" s="109">
        <v>8538415.68</v>
      </c>
      <c r="J1313" s="109">
        <v>2708333.0</v>
      </c>
      <c r="K1313" s="108" t="inlineStr">
        <is>
          <t xml:space="preserve">Uyiga borildi - to'ladi | 2708333</t>
        </is>
      </c>
    </row>
    <row r="1314">
      <c r="A1314" s="108" t="inlineStr">
        <is>
          <t xml:space="preserve">ФАРГОНА ВИЛОЯТИ</t>
        </is>
      </c>
      <c r="C1314" s="108" t="inlineStr">
        <is>
          <t xml:space="preserve">Недозвон</t>
        </is>
      </c>
      <c r="D1314" s="108" t="inlineStr">
        <is>
          <t xml:space="preserve">Кр-99039434-1</t>
        </is>
      </c>
      <c r="E1314" s="108" t="inlineStr">
        <is>
          <t xml:space="preserve">ILYASOVA AZIZA RAVSHANBEKOVNA</t>
        </is>
      </c>
      <c r="F1314" s="108" t="inlineStr">
        <is>
          <t xml:space="preserve">998916776263 SMS OZI, 998911145898 SMS DADASI, 998901793077 SMS OPASI, 998913976968 SMS QIZI,</t>
        </is>
      </c>
      <c r="G1314" s="108" t="inlineStr">
        <is>
          <t xml:space="preserve">FARG’ONA VILOYATI OLTIARIQ TUMANI SHODLIK MFY U YUSUPOV KO’CHASI 4-XONADON</t>
        </is>
      </c>
      <c r="H1314" s="109">
        <v>7.0</v>
      </c>
      <c r="I1314" s="109">
        <v>8497004.03</v>
      </c>
    </row>
    <row r="1315">
      <c r="A1315" s="108" t="inlineStr">
        <is>
          <t xml:space="preserve">ФАРГОНА ВИЛОЯТИ</t>
        </is>
      </c>
      <c r="C1315" s="108" t="inlineStr">
        <is>
          <t xml:space="preserve">Недозвон</t>
        </is>
      </c>
      <c r="D1315" s="108" t="inlineStr">
        <is>
          <t xml:space="preserve">Кр-99063122-1</t>
        </is>
      </c>
      <c r="E1315" s="108" t="inlineStr">
        <is>
          <t xml:space="preserve">XOSHIMOV OZODBEK QOSIMOVICH</t>
        </is>
      </c>
      <c r="F1315" s="108" t="inlineStr">
        <is>
          <t xml:space="preserve">+998931567009 SMS O’ZI, 998502701901 O’G’LI 2, 998930015484 AYOLI, 998944082929 O’G’LI,</t>
        </is>
      </c>
      <c r="G1315" s="108" t="inlineStr">
        <is>
          <t xml:space="preserve">FARG’ONA VILOYATI QUVA TUMANI BO’STON MFY QASHQIR KO’CHASI 82-UY</t>
        </is>
      </c>
      <c r="H1315" s="109">
        <v>8.0</v>
      </c>
      <c r="I1315" s="109">
        <v>8382671.19</v>
      </c>
      <c r="K1315" s="108" t="inlineStr">
        <is>
          <t xml:space="preserve">Telefon ko'tarmadi | 2499999.89</t>
        </is>
      </c>
    </row>
    <row r="1316">
      <c r="A1316" s="108" t="inlineStr">
        <is>
          <t xml:space="preserve">ФАРГОНА ВИЛОЯТИ</t>
        </is>
      </c>
      <c r="C1316" s="108" t="inlineStr">
        <is>
          <t xml:space="preserve">Объезд</t>
        </is>
      </c>
      <c r="D1316" s="108" t="inlineStr">
        <is>
          <t xml:space="preserve">Кр-99061811-1</t>
        </is>
      </c>
      <c r="E1316" s="108" t="inlineStr">
        <is>
          <t xml:space="preserve">RASULOVA ODINA ABDURAXMONOVNA</t>
        </is>
      </c>
      <c r="F1316" s="108" t="inlineStr">
        <is>
          <t xml:space="preserve">998905355332 OZI , 998772567505 QIZI , 998882066464 OGLI , 998958680024 UY ,</t>
        </is>
      </c>
      <c r="G1316" s="108" t="inlineStr">
        <is>
          <t xml:space="preserve">FARG’ONA VILOYATI FARG’ONA SHAHAR TEMIRYOL 60-UY</t>
        </is>
      </c>
      <c r="H1316" s="109">
        <v>11.0</v>
      </c>
      <c r="I1316" s="109">
        <v>7523329.49</v>
      </c>
      <c r="K1316" s="108" t="inlineStr">
        <is>
          <t xml:space="preserve">Uyiga borildi - va'da berdi | JUMAKUNI KECHGACHA TOLAB QOYADI EKAN SAVDOSI YAXSHI BOMAYABDI EKAN | 2708333</t>
        </is>
      </c>
    </row>
    <row r="1317">
      <c r="A1317" s="108" t="inlineStr">
        <is>
          <t xml:space="preserve">ФАРГОНА ВИЛОЯТИ</t>
        </is>
      </c>
      <c r="C1317" s="108" t="inlineStr">
        <is>
          <t xml:space="preserve">Недозвон</t>
        </is>
      </c>
      <c r="D1317" s="108" t="inlineStr">
        <is>
          <t xml:space="preserve">Кр-99041055-5</t>
        </is>
      </c>
      <c r="E1317" s="108" t="inlineStr">
        <is>
          <t xml:space="preserve">MUMINOV MAMIRJON ABDUMALIKOVICH</t>
        </is>
      </c>
      <c r="F1317" s="108" t="inlineStr">
        <is>
          <t xml:space="preserve">+998958366468 O’ZI, 998942063001 O¹G’LI,</t>
        </is>
      </c>
      <c r="G1317" s="108" t="inlineStr">
        <is>
          <t xml:space="preserve">FARG’ONA VILOYATI QO’SHTEPA TUMANI KARNAYCHI MFY ARCHAZOR KO’CHASI 234-UY</t>
        </is>
      </c>
      <c r="H1317" s="109">
        <v>8.0</v>
      </c>
      <c r="I1317" s="109">
        <v>7386859.69</v>
      </c>
      <c r="K1317" s="108" t="inlineStr">
        <is>
          <t xml:space="preserve">Telefon ko'tarmadi | 2187499.65</t>
        </is>
      </c>
    </row>
    <row r="1318">
      <c r="A1318" s="108" t="inlineStr">
        <is>
          <t xml:space="preserve">ФАРГОНА ВИЛОЯТИ</t>
        </is>
      </c>
      <c r="C1318" s="108" t="inlineStr">
        <is>
          <t xml:space="preserve">Недозвон</t>
        </is>
      </c>
      <c r="D1318" s="108" t="inlineStr">
        <is>
          <t xml:space="preserve">Кр-99036005-1</t>
        </is>
      </c>
      <c r="E1318" s="108" t="inlineStr">
        <is>
          <t xml:space="preserve">YO’LDASHEV JASURBEK JALOLIDIN O’G’LI</t>
        </is>
      </c>
      <c r="F1318" s="108" t="inlineStr">
        <is>
          <t xml:space="preserve">998940591389 SMS O’ZI, 998939749309 SMS AYOLI, 998950051108 SMS ONASI , 998999150265 SMS DADASI ,</t>
        </is>
      </c>
      <c r="G1318" s="108" t="inlineStr">
        <is>
          <t xml:space="preserve">FARG’ONA VILOYATI BESHARIQ TUMANI KUM MFY KO’KDALA KO’CHASI 531-XONADON</t>
        </is>
      </c>
      <c r="H1318" s="109">
        <v>29.0</v>
      </c>
      <c r="I1318" s="109">
        <v>6515790.83</v>
      </c>
      <c r="K1318" s="108" t="inlineStr">
        <is>
          <t xml:space="preserve">Telefon ko'tarmadi | 2899660.65</t>
        </is>
      </c>
    </row>
    <row r="1319">
      <c r="A1319" s="108" t="inlineStr">
        <is>
          <t xml:space="preserve">ФАРГОНА ВИЛОЯТИ</t>
        </is>
      </c>
      <c r="C1319" s="108" t="inlineStr">
        <is>
          <t xml:space="preserve">Объезд</t>
        </is>
      </c>
      <c r="D1319" s="108" t="inlineStr">
        <is>
          <t xml:space="preserve">Кр-99063728-1</t>
        </is>
      </c>
      <c r="E1319" s="108" t="inlineStr">
        <is>
          <t xml:space="preserve">RAXMATALIYEVA GULXAYO MAVZURJONOVNA</t>
        </is>
      </c>
      <c r="F1319" s="108" t="inlineStr">
        <is>
          <t xml:space="preserve">998979559393 OZI, 998337030333 ERI , 998951669090 ERI 2,</t>
        </is>
      </c>
      <c r="G1319" s="108" t="inlineStr">
        <is>
          <t xml:space="preserve">SHO`R KOCHASI</t>
        </is>
      </c>
      <c r="H1319" s="109">
        <v>11.0</v>
      </c>
      <c r="I1319" s="109">
        <v>6184204.04</v>
      </c>
      <c r="K1319" s="108" t="inlineStr">
        <is>
          <t xml:space="preserve">Uyiga borildi - va'da berdi | 5 LARGA QAYTA ALOQA ERI TOLOV QILISHGA HARAKAT QILADI EKAN | 2291667</t>
        </is>
      </c>
    </row>
    <row r="1320">
      <c r="A1320" s="108" t="inlineStr">
        <is>
          <t xml:space="preserve">ФАРГОНА ВИЛОЯТИ</t>
        </is>
      </c>
      <c r="C1320" s="108" t="inlineStr">
        <is>
          <t xml:space="preserve">Объезд</t>
        </is>
      </c>
      <c r="D1320" s="108" t="inlineStr">
        <is>
          <t xml:space="preserve">Кр-99062779-1</t>
        </is>
      </c>
      <c r="E1320" s="108" t="inlineStr">
        <is>
          <t xml:space="preserve">JURAYEVA SADOKAT ADILOVNA</t>
        </is>
      </c>
      <c r="F1320" s="108" t="inlineStr">
        <is>
          <t xml:space="preserve">+998903683078 SMS O’ZI, 998903035444 QIZI 2, 998908474999 UY, 998974176939 QIZI, 998905801885 TOLOVCHI,</t>
        </is>
      </c>
      <c r="G1320" s="108" t="inlineStr">
        <is>
          <t xml:space="preserve">FARG’ONA VILOYATI FARG’ONA SHAHAR YULDUZ MFY YANGI ASR KO’CHASI 100-A UY 22-XONADON</t>
        </is>
      </c>
      <c r="H1320" s="109">
        <v>11.0</v>
      </c>
      <c r="I1320" s="109">
        <v>6070519.75</v>
      </c>
      <c r="K1320" s="108" t="inlineStr">
        <is>
          <t xml:space="preserve">Uyiga borildi - va'da berdi | ERI CHETAN PUL JONATISHI KERAK EKAN JONATISHI BILAN YOPADI EKAN | 1874999.75</t>
        </is>
      </c>
    </row>
    <row r="1321">
      <c r="A1321" s="108" t="inlineStr">
        <is>
          <t xml:space="preserve">ФАРГОНА ВИЛОЯТИ</t>
        </is>
      </c>
      <c r="C1321" s="108" t="inlineStr">
        <is>
          <t xml:space="preserve">Недозвон</t>
        </is>
      </c>
      <c r="D1321" s="108" t="inlineStr">
        <is>
          <t xml:space="preserve">Кр-99057280-1</t>
        </is>
      </c>
      <c r="E1321" s="108" t="inlineStr">
        <is>
          <t xml:space="preserve">MURADOVA GULNOZ TUXTASINOVNA</t>
        </is>
      </c>
      <c r="F1321" s="108" t="inlineStr">
        <is>
          <t xml:space="preserve">998200108929 SMS UZI, 998908361292 SMS O'G'LI, 998911121963 SMS ERI, 998905832105 SMS UY, 998918061292 SMS OGLI ,</t>
        </is>
      </c>
      <c r="G1321" s="108" t="inlineStr">
        <is>
          <t xml:space="preserve">FARG’ONA VILOYATI MARG’ILON SHAHAR</t>
        </is>
      </c>
      <c r="H1321" s="109">
        <v>8.0</v>
      </c>
      <c r="I1321" s="109">
        <v>5889437.02</v>
      </c>
      <c r="K1321" s="108" t="inlineStr">
        <is>
          <t xml:space="preserve">Telefon ko'tarmadi | 1875000</t>
        </is>
      </c>
    </row>
    <row r="1322">
      <c r="A1322" s="108" t="inlineStr">
        <is>
          <t xml:space="preserve">ФАРГОНА ВИЛОЯТИ</t>
        </is>
      </c>
      <c r="C1322" s="108" t="inlineStr">
        <is>
          <t xml:space="preserve">Объезд</t>
        </is>
      </c>
      <c r="D1322" s="108" t="inlineStr">
        <is>
          <t xml:space="preserve">Кр-99052308-1</t>
        </is>
      </c>
      <c r="E1322" s="108" t="inlineStr">
        <is>
          <t xml:space="preserve">DEXKONOV BAXTIYOR TURSUNOVICH</t>
        </is>
      </c>
      <c r="F1322" s="108" t="inlineStr">
        <is>
          <t xml:space="preserve">998979496268 O`ZI, 998940905979 UY, 998911196869 AYOLI, 998940965979 SMS OZI NEW,</t>
        </is>
      </c>
      <c r="G1322" s="108" t="inlineStr">
        <is>
          <t xml:space="preserve">FARGONA VILOYATI</t>
        </is>
      </c>
      <c r="H1322" s="109">
        <v>8.0</v>
      </c>
      <c r="I1322" s="109">
        <v>5801905.09</v>
      </c>
      <c r="K1322" s="108" t="inlineStr">
        <is>
          <t xml:space="preserve">Uyiga borildi - va'da berdi | 1875000</t>
        </is>
      </c>
    </row>
    <row r="1323">
      <c r="A1323" s="108" t="inlineStr">
        <is>
          <t xml:space="preserve">ФАРГОНА ВИЛОЯТИ</t>
        </is>
      </c>
      <c r="C1323" s="108" t="inlineStr">
        <is>
          <t xml:space="preserve">Объезд</t>
        </is>
      </c>
      <c r="D1323" s="108" t="inlineStr">
        <is>
          <t xml:space="preserve">Кр-99041300-1</t>
        </is>
      </c>
      <c r="E1323" s="108" t="inlineStr">
        <is>
          <t xml:space="preserve">RAXMONOV ELDORBEK IFTIXORJON O’G’LI</t>
        </is>
      </c>
      <c r="F1323" s="108" t="inlineStr">
        <is>
          <t xml:space="preserve">+998906283573 O’ZI, 998911170209 AKASI, 998952250504 DADASI BEGONA, 998959681278 ONASI,</t>
        </is>
      </c>
      <c r="G1323" s="108" t="inlineStr">
        <is>
          <t xml:space="preserve">Ферганская область, Фуркатский район, Хайит МСГ, киш. Доғистон, дом 26</t>
        </is>
      </c>
      <c r="H1323" s="109">
        <v>8.0</v>
      </c>
      <c r="I1323" s="109">
        <v>5788284.31</v>
      </c>
      <c r="K1323" s="108" t="inlineStr">
        <is>
          <t xml:space="preserve">Uyiga borildi - va'da berdi | 2476821.26</t>
        </is>
      </c>
    </row>
    <row r="1324">
      <c r="A1324" s="108" t="inlineStr">
        <is>
          <t xml:space="preserve">ФАРГОНА ВИЛОЯТИ</t>
        </is>
      </c>
      <c r="C1324" s="108" t="inlineStr">
        <is>
          <t xml:space="preserve">Объезд</t>
        </is>
      </c>
      <c r="D1324" s="108" t="inlineStr">
        <is>
          <t xml:space="preserve">Кр-99063120-1</t>
        </is>
      </c>
      <c r="E1324" s="108" t="inlineStr">
        <is>
          <t xml:space="preserve">ABDURAXIMOVA DURDONAXON SHAVKATJON QIZI</t>
        </is>
      </c>
      <c r="F1324" s="108" t="inlineStr">
        <is>
          <t xml:space="preserve">998978123377 SMS OZI, 998952320043 SMS AYOLI, 998886616191 SMS TOGASI, 998932183388 SMS ERI,</t>
        </is>
      </c>
      <c r="G1324" s="108" t="inlineStr">
        <is>
          <t xml:space="preserve">FARG’ONA VILOYATI QUVA TUMANI BO’STON MFY SALIM KO’CHASI 386-UY</t>
        </is>
      </c>
      <c r="H1324" s="109">
        <v>8.0</v>
      </c>
      <c r="I1324" s="109">
        <v>5350927.31</v>
      </c>
      <c r="J1324" s="109">
        <v>1667000.0</v>
      </c>
      <c r="K1324" s="108" t="inlineStr">
        <is>
          <t xml:space="preserve">Uyiga borildi - to'ladi | 1667000</t>
        </is>
      </c>
    </row>
    <row r="1325">
      <c r="A1325" s="108" t="inlineStr">
        <is>
          <t xml:space="preserve">ФАРГОНА ВИЛОЯТИ</t>
        </is>
      </c>
      <c r="C1325" s="108" t="inlineStr">
        <is>
          <t xml:space="preserve">Объезд</t>
        </is>
      </c>
      <c r="D1325" s="108" t="inlineStr">
        <is>
          <t xml:space="preserve">Кр-99048975-1</t>
        </is>
      </c>
      <c r="E1325" s="108" t="inlineStr">
        <is>
          <t xml:space="preserve">ERGASHEV ASRORBEK PAXLAVON O’G’LI</t>
        </is>
      </c>
      <c r="F1325" s="108" t="inlineStr">
        <is>
          <t xml:space="preserve">+998941302940 SMS O’ZI, 998888201114 AKASI, 998906860405 AYOLI, 998916548020 UKASI, 998952298454 OZI NEW,</t>
        </is>
      </c>
      <c r="G1325" s="108" t="inlineStr">
        <is>
          <t xml:space="preserve">FARG’ONA VILOYATI QO’SHTEPA TUMANI QAMISHTEPA MFY CHORBOG’ KO’CHASI 1.2-UY 16-XONADON</t>
        </is>
      </c>
      <c r="H1325" s="109">
        <v>8.0</v>
      </c>
      <c r="I1325" s="109">
        <v>5290642.23</v>
      </c>
      <c r="K1325" s="108" t="inlineStr">
        <is>
          <t xml:space="preserve">Uyiga borildi - va'da berdi | 16 CHI KUNI PULIM KELADI KELISHI BILAN TOLAB QOYADI EKAN | 1666665.82</t>
        </is>
      </c>
    </row>
    <row r="1326">
      <c r="A1326" s="108" t="inlineStr">
        <is>
          <t xml:space="preserve">ФАРГОНА ВИЛОЯТИ</t>
        </is>
      </c>
      <c r="C1326" s="108" t="inlineStr">
        <is>
          <t xml:space="preserve">Объезд</t>
        </is>
      </c>
      <c r="D1326" s="108" t="inlineStr">
        <is>
          <t xml:space="preserve">Кр-99042987-1</t>
        </is>
      </c>
      <c r="E1326" s="108" t="inlineStr">
        <is>
          <t xml:space="preserve">ERGASHEVA MARXABOXON MADAMINOVNA</t>
        </is>
      </c>
      <c r="F1326" s="108" t="inlineStr">
        <is>
          <t xml:space="preserve">+998911085015 SMS O’ZI, 998911582303 OPASI ,BEGONAAAA, 998916694832 ERI, 998985750796 JIYANI,</t>
        </is>
      </c>
      <c r="G1326" s="108" t="inlineStr">
        <is>
          <t xml:space="preserve">FARG’ONA VILOYATI QO’SHTEPA TUMANI BALANDMASJID MFY NAVQURON KO’CHASI 25-XONADON</t>
        </is>
      </c>
      <c r="H1326" s="109">
        <v>8.0</v>
      </c>
      <c r="I1326" s="109">
        <v>5249968.32</v>
      </c>
      <c r="K1326" s="108" t="inlineStr">
        <is>
          <t xml:space="preserve">Uyiga borildi - va'da berdi | 1666665.68</t>
        </is>
      </c>
    </row>
    <row r="1327">
      <c r="A1327" s="108" t="inlineStr">
        <is>
          <t xml:space="preserve">ФАРГОНА ВИЛОЯТИ</t>
        </is>
      </c>
      <c r="C1327" s="108" t="inlineStr">
        <is>
          <t xml:space="preserve">Недозвон</t>
        </is>
      </c>
      <c r="D1327" s="108" t="inlineStr">
        <is>
          <t xml:space="preserve">Кр-99047608-1</t>
        </is>
      </c>
      <c r="E1327" s="108" t="inlineStr">
        <is>
          <t xml:space="preserve">ADXAMOV ABDUXALIL AKRAMJONOVICH</t>
        </is>
      </c>
      <c r="F1327" s="108" t="inlineStr">
        <is>
          <t xml:space="preserve">998886630222 SMS JIYANI TOLOVCHI, 998939840364 SMS OZI , 998889840364 SMS AYOLI, 998881519222 SMS OGLI, 998889440364 OZI NEW, 998912821221 TOLOVCHINI DUGONASINI DADASI DUGONASI BILAN BIRGA TOLAYDI ,</t>
        </is>
      </c>
      <c r="G1327" s="108" t="inlineStr">
        <is>
          <t xml:space="preserve">QUVASOY SHAHRI</t>
        </is>
      </c>
      <c r="H1327" s="109">
        <v>8.0</v>
      </c>
      <c r="I1327" s="109">
        <v>5107250.87</v>
      </c>
      <c r="K1327" s="108" t="inlineStr">
        <is>
          <t xml:space="preserve">Telefon ko'tarmadi | 1667000</t>
        </is>
      </c>
    </row>
    <row r="1328">
      <c r="A1328" s="108" t="inlineStr">
        <is>
          <t xml:space="preserve">ФАРГОНА ВИЛОЯТИ</t>
        </is>
      </c>
      <c r="C1328" s="108" t="inlineStr">
        <is>
          <t xml:space="preserve">Объезд</t>
        </is>
      </c>
      <c r="D1328" s="108" t="inlineStr">
        <is>
          <t xml:space="preserve">Кр-99042673-1</t>
        </is>
      </c>
      <c r="E1328" s="108" t="inlineStr">
        <is>
          <t xml:space="preserve">UMURZAKOVA MUNIRA BAXTIYAROVNA</t>
        </is>
      </c>
      <c r="F1328" s="108" t="inlineStr">
        <is>
          <t xml:space="preserve">+998951500250 SMS O’ZI, 998916501497 O’G’LI 2, 998936499485 O’G’LI, 998972050027 UY,</t>
        </is>
      </c>
      <c r="G1328" s="108" t="inlineStr">
        <is>
          <t xml:space="preserve">FARG’ONA VILOYATI QO’SHTEPA TUMANI QAMISHTEPA MFY SERQO’YOSH KO’CHASI 90-XONADON</t>
        </is>
      </c>
      <c r="H1328" s="109">
        <v>8.0</v>
      </c>
      <c r="I1328" s="109">
        <v>5083970.66</v>
      </c>
      <c r="K1328" s="108" t="inlineStr">
        <is>
          <t xml:space="preserve">Uyiga borildi - va'da berdi | BOLIB BOLIB TOLAYDI 25GACHA POLI TOLAB QOYADI EKAN | 1812270.59</t>
        </is>
      </c>
    </row>
    <row r="1329">
      <c r="A1329" s="108" t="inlineStr">
        <is>
          <t xml:space="preserve">ФАРГОНА ВИЛОЯТИ</t>
        </is>
      </c>
      <c r="C1329" s="108" t="inlineStr">
        <is>
          <t xml:space="preserve">Объезд</t>
        </is>
      </c>
      <c r="D1329" s="108" t="inlineStr">
        <is>
          <t xml:space="preserve">Кр-99052972-1</t>
        </is>
      </c>
      <c r="E1329" s="108" t="inlineStr">
        <is>
          <t xml:space="preserve">AXMATQULOV JUMAQO’ZI ERGASHEVICH</t>
        </is>
      </c>
      <c r="F1329" s="108" t="inlineStr">
        <is>
          <t xml:space="preserve">998916882765 SMS OZI, 998901512394 SMS OGL, 998954976569 SMS AYOOLI, 998580532372 SMS OGLI, 998958889169 OZI NEW,</t>
        </is>
      </c>
      <c r="G1329" s="108" t="inlineStr">
        <is>
          <t xml:space="preserve">FARG’ONA VILOYATI BOG’DOD TUMANI PAXTAOBOD MFY TASHABBUS KO’CHASI 6-UY</t>
        </is>
      </c>
      <c r="H1329" s="109">
        <v>8.0</v>
      </c>
      <c r="I1329" s="109">
        <v>5083055.04</v>
      </c>
      <c r="K1329" s="108" t="inlineStr">
        <is>
          <t xml:space="preserve">Uyiga borildi - va'da berdi | 1667000</t>
        </is>
      </c>
    </row>
    <row r="1330">
      <c r="A1330" s="108" t="inlineStr">
        <is>
          <t xml:space="preserve">ФАРГОНА ВИЛОЯТИ</t>
        </is>
      </c>
      <c r="C1330" s="108" t="inlineStr">
        <is>
          <t xml:space="preserve">Объезд</t>
        </is>
      </c>
      <c r="D1330" s="108" t="inlineStr">
        <is>
          <t xml:space="preserve">Кр-99047401-1</t>
        </is>
      </c>
      <c r="E1330" s="108" t="inlineStr">
        <is>
          <t xml:space="preserve">QAZAQOV ABRORJON RAXIMOVICH</t>
        </is>
      </c>
      <c r="F1330" s="108" t="inlineStr">
        <is>
          <t xml:space="preserve">998975958828 O'ZI, 998976661171 JIYANI, 998949142377 AKASI, 998949071171 SMS JIYANI, 998975958828 SMS  NEW, 998948850303 SHUNGA QILINSI TOLOVCHI ,</t>
        </is>
      </c>
      <c r="G1330" s="108" t="inlineStr">
        <is>
          <t xml:space="preserve">BUVAYDA TUMANI</t>
        </is>
      </c>
      <c r="H1330" s="109">
        <v>8.0</v>
      </c>
      <c r="I1330" s="109">
        <v>4978430.59</v>
      </c>
      <c r="K1330" s="108" t="inlineStr">
        <is>
          <t xml:space="preserve">Uyiga borildi - va'da berdi | 2121000</t>
        </is>
      </c>
    </row>
    <row r="1331">
      <c r="A1331" s="108" t="inlineStr">
        <is>
          <t xml:space="preserve">ФАРГОНА ВИЛОЯТИ</t>
        </is>
      </c>
      <c r="C1331" s="108" t="inlineStr">
        <is>
          <t xml:space="preserve">Недозвон</t>
        </is>
      </c>
      <c r="D1331" s="108" t="inlineStr">
        <is>
          <t xml:space="preserve">Кр-99041382-1</t>
        </is>
      </c>
      <c r="E1331" s="108" t="inlineStr">
        <is>
          <t xml:space="preserve">KARIMOV ABDURASHIT MAXAMATYUNUSOVICH</t>
        </is>
      </c>
      <c r="F1331" s="108" t="inlineStr">
        <is>
          <t xml:space="preserve">998901664100 SMS OZI, 998901803636 SMS AYOLI, 998901632214 SMS ONASI, 998933840630 SMS SHERIGI,</t>
        </is>
      </c>
      <c r="G1331" s="108" t="inlineStr">
        <is>
          <t xml:space="preserve">FARG’ONA VILOYATI TOSHLOQ TUMANI ZARKENT MFY ASILOBOD KO’CHASI 3-UY</t>
        </is>
      </c>
      <c r="H1331" s="109">
        <v>8.0</v>
      </c>
      <c r="I1331" s="109">
        <v>4535386.65</v>
      </c>
      <c r="K1331" s="108" t="inlineStr">
        <is>
          <t xml:space="preserve">Telefon ko'tarmadi | 1562000</t>
        </is>
      </c>
    </row>
    <row r="1332">
      <c r="A1332" s="108" t="inlineStr">
        <is>
          <t xml:space="preserve">ФАРГОНА ВИЛОЯТИ</t>
        </is>
      </c>
      <c r="C1332" s="108" t="inlineStr">
        <is>
          <t xml:space="preserve">Недозвон</t>
        </is>
      </c>
      <c r="D1332" s="108" t="inlineStr">
        <is>
          <t xml:space="preserve">Кр-99048926-1</t>
        </is>
      </c>
      <c r="E1332" s="108" t="inlineStr">
        <is>
          <t xml:space="preserve">VAXOBOV ABDUSATTOR ABDUVALI O’G’LI</t>
        </is>
      </c>
      <c r="F1332" s="108" t="inlineStr">
        <is>
          <t xml:space="preserve">+998882100092 SMS O’ZI, 998911099296 ONASI, 998911275213 DADASI, 998918848640 OPASI,</t>
        </is>
      </c>
      <c r="G1332" s="108" t="inlineStr">
        <is>
          <t xml:space="preserve">FARG’ONA VILOYATI QO’SHTEPA TUMANI SARMAZOR MFY SHARQ KO’CHASI 481-XONADON</t>
        </is>
      </c>
      <c r="H1332" s="109">
        <v>8.0</v>
      </c>
      <c r="I1332" s="109">
        <v>4530122.13</v>
      </c>
      <c r="K1332" s="108" t="inlineStr">
        <is>
          <t xml:space="preserve">Telefon ko'tarmadi | 1458332.84</t>
        </is>
      </c>
    </row>
    <row r="1333">
      <c r="A1333" s="108" t="inlineStr">
        <is>
          <t xml:space="preserve">ФАРГОНА ВИЛОЯТИ</t>
        </is>
      </c>
      <c r="C1333" s="108" t="inlineStr">
        <is>
          <t xml:space="preserve">Объезд</t>
        </is>
      </c>
      <c r="D1333" s="108" t="inlineStr">
        <is>
          <t xml:space="preserve">Кр-99047398-1</t>
        </is>
      </c>
      <c r="E1333" s="108" t="inlineStr">
        <is>
          <t xml:space="preserve">MAMATKARIMOV SARVARBEK AKMAL O’G’LI</t>
        </is>
      </c>
      <c r="F1333" s="108" t="inlineStr">
        <is>
          <t xml:space="preserve">998940290792 SMS O’ZI, 998942412018 SMS AYOLI, 998777518062 SMS DADASI, 998912846371 SMS ONASI,</t>
        </is>
      </c>
      <c r="G1333" s="108" t="inlineStr">
        <is>
          <t xml:space="preserve">FARGONA</t>
        </is>
      </c>
      <c r="H1333" s="109">
        <v>8.0</v>
      </c>
      <c r="I1333" s="109">
        <v>4473500.52</v>
      </c>
      <c r="K1333" s="108" t="inlineStr">
        <is>
          <t xml:space="preserve">Uyiga borildi - va'da berdi | 1458000</t>
        </is>
      </c>
    </row>
    <row r="1334">
      <c r="A1334" s="108" t="inlineStr">
        <is>
          <t xml:space="preserve">ФАРГОНА ВИЛОЯТИ</t>
        </is>
      </c>
      <c r="C1334" s="108" t="inlineStr">
        <is>
          <t xml:space="preserve">Недозвон</t>
        </is>
      </c>
      <c r="D1334" s="108" t="inlineStr">
        <is>
          <t xml:space="preserve">Кр-99063270-1</t>
        </is>
      </c>
      <c r="E1334" s="108" t="inlineStr">
        <is>
          <t xml:space="preserve">DYOMIN DMITRIY SERGEYEVICH</t>
        </is>
      </c>
      <c r="F1334" s="108" t="inlineStr">
        <is>
          <t xml:space="preserve">998976449999 OZI, 998701090999 OZI 2, 998772862010 UKASI DILSHOD,</t>
        </is>
      </c>
      <c r="G1334" s="108" t="inlineStr">
        <is>
          <t xml:space="preserve">FARG’ONA VILOYATI DANGARA TUMANI MUQUMIY KO’CHASI 18-UY</t>
        </is>
      </c>
      <c r="H1334" s="109">
        <v>8.0</v>
      </c>
      <c r="I1334" s="109">
        <v>4419821.78</v>
      </c>
      <c r="K1334" s="108" t="inlineStr">
        <is>
          <t xml:space="preserve">Telefon ko'tarmadi | 1120125.48</t>
        </is>
      </c>
    </row>
    <row r="1335">
      <c r="A1335" s="108" t="inlineStr">
        <is>
          <t xml:space="preserve">ФАРГОНА ВИЛОЯТИ</t>
        </is>
      </c>
      <c r="C1335" s="108" t="inlineStr">
        <is>
          <t xml:space="preserve">Объезд</t>
        </is>
      </c>
      <c r="D1335" s="108" t="inlineStr">
        <is>
          <t xml:space="preserve">Кр-99052960-1</t>
        </is>
      </c>
      <c r="E1335" s="108" t="inlineStr">
        <is>
          <t xml:space="preserve">UMMATQULOV MUXAMADJON YO’LDASHEVICH</t>
        </is>
      </c>
      <c r="F1335" s="108" t="inlineStr">
        <is>
          <t xml:space="preserve">998903047144 OZI , 998905866786 OZI 2, 998947797144 AYOLI,</t>
        </is>
      </c>
      <c r="G1335" s="108" t="inlineStr">
        <is>
          <t xml:space="preserve">BOG’DOD TUMANI</t>
        </is>
      </c>
      <c r="H1335" s="109">
        <v>8.0</v>
      </c>
      <c r="I1335" s="109">
        <v>4207484.57</v>
      </c>
      <c r="K1335" s="108" t="inlineStr">
        <is>
          <t xml:space="preserve">Uyiga borildi - va'da berdi | 1458000</t>
        </is>
      </c>
    </row>
    <row r="1336">
      <c r="A1336" s="108" t="inlineStr">
        <is>
          <t xml:space="preserve">ФАРГОНА ВИЛОЯТИ</t>
        </is>
      </c>
      <c r="C1336" s="108" t="inlineStr">
        <is>
          <t xml:space="preserve">Недозвон</t>
        </is>
      </c>
      <c r="D1336" s="108" t="inlineStr">
        <is>
          <t xml:space="preserve">Кр-99038703-1</t>
        </is>
      </c>
      <c r="E1336" s="108" t="inlineStr">
        <is>
          <t xml:space="preserve">ISROILOV KOMILXON KAMOLXON O’G’LI</t>
        </is>
      </c>
      <c r="F1336" s="108" t="inlineStr">
        <is>
          <t xml:space="preserve">998911118181 SMS OZI, 998916559055 SMS AYOLI BEGONA, 998880466662 SMS ONASI, 998911158118 SMS UKASI, 998911169494 SMS qaynukasi,</t>
        </is>
      </c>
      <c r="G1336" s="108" t="inlineStr">
        <is>
          <t xml:space="preserve">FARG’ONA VILOYATI FARG’ONA SHAHAR IPAK YO’LI MFY SHABBODA KO’CHASI 91-XONADON</t>
        </is>
      </c>
      <c r="H1336" s="109">
        <v>7.0</v>
      </c>
      <c r="I1336" s="109">
        <v>3998484.91</v>
      </c>
      <c r="K1336" s="108" t="inlineStr">
        <is>
          <t xml:space="preserve">Telefon ko'tarmadi | 3939394</t>
        </is>
      </c>
    </row>
    <row r="1337">
      <c r="A1337" s="108" t="inlineStr">
        <is>
          <t xml:space="preserve">ФАРГОНА ВИЛОЯТИ</t>
        </is>
      </c>
      <c r="C1337" s="108" t="inlineStr">
        <is>
          <t xml:space="preserve">Недозвон</t>
        </is>
      </c>
      <c r="D1337" s="108" t="inlineStr">
        <is>
          <t xml:space="preserve">Кр-99033571-1</t>
        </is>
      </c>
      <c r="E1337" s="108" t="inlineStr">
        <is>
          <t xml:space="preserve">UMURZAKOV KARIM XUSANOVICH</t>
        </is>
      </c>
      <c r="F1337" s="108" t="inlineStr">
        <is>
          <t xml:space="preserve">998907795658 SMS O’ZI begona, 998505043931 SMS O’G’LI, 998068043412 SMS O’G’LI 2, 998902301456 SMS AYOLI,</t>
        </is>
      </c>
      <c r="G1337" s="108" t="inlineStr">
        <is>
          <t xml:space="preserve">FARG’ONA VILOYATI FARG’ONA SHAXAR XUJAMAG’IZ MFY UZIN YO’L KO’CHASI 247-XONADON</t>
        </is>
      </c>
      <c r="H1337" s="109">
        <v>1.0</v>
      </c>
      <c r="I1337" s="109">
        <v>3785041.79</v>
      </c>
      <c r="K1337" s="108" t="inlineStr">
        <is>
          <t xml:space="preserve">Telefon ko'tarmadi | 2424000</t>
        </is>
      </c>
    </row>
    <row r="1338">
      <c r="A1338" s="108" t="inlineStr">
        <is>
          <t xml:space="preserve">ФАРГОНА ВИЛОЯТИ</t>
        </is>
      </c>
      <c r="C1338" s="108" t="inlineStr">
        <is>
          <t xml:space="preserve">Недозвон</t>
        </is>
      </c>
      <c r="D1338" s="108" t="inlineStr">
        <is>
          <t xml:space="preserve">Кр-99031452-1</t>
        </is>
      </c>
      <c r="E1338" s="108" t="inlineStr">
        <is>
          <t xml:space="preserve">MUXITDINOVA MAXFUZAXON ABDUVAXOBOVNA</t>
        </is>
      </c>
      <c r="F1338" s="108" t="inlineStr">
        <is>
          <t xml:space="preserve">88-864-34-24  SMS O'ZI  NON PATIR SOTADI , 91-282-12-21  SMS AMAKISI TO’LOVCHI , 91-665-15-66  SMS GAROV EGASI , 99-494-11-72 SMS  XOLASI ,</t>
        </is>
      </c>
      <c r="G1338" s="108" t="inlineStr">
        <is>
          <t xml:space="preserve">FARG’ONA VILOYATI FAR’ONA SHAHAR AL-XORAZIMIY MFY, AL-XORAZIMIY KO’CHASI 11-UY 54 XONADON</t>
        </is>
      </c>
      <c r="H1338" s="109">
        <v>12.0</v>
      </c>
      <c r="I1338" s="109">
        <v>3179989.88</v>
      </c>
      <c r="K1338" s="108" t="inlineStr">
        <is>
          <t xml:space="preserve">Telefon ko'tarmadi | 1879000</t>
        </is>
      </c>
    </row>
    <row r="1339">
      <c r="A1339" s="108" t="inlineStr">
        <is>
          <t xml:space="preserve">ФАРГОНА ВИЛОЯТИ</t>
        </is>
      </c>
      <c r="C1339" s="108" t="inlineStr">
        <is>
          <t xml:space="preserve">Недозвон</t>
        </is>
      </c>
      <c r="D1339" s="108" t="inlineStr">
        <is>
          <t xml:space="preserve">Кр-99041353-1</t>
        </is>
      </c>
      <c r="E1339" s="108" t="inlineStr">
        <is>
          <t xml:space="preserve">MELIQO’ZIYEVNA XURSHIDA MURODOVNA</t>
        </is>
      </c>
      <c r="F1339" s="108" t="inlineStr">
        <is>
          <t xml:space="preserve">998940268681 SMS OZI, 998905880464 SMS ERI, 998903606764 SMS UY, 998994027364 SMS OGLI,</t>
        </is>
      </c>
      <c r="G1339" s="108" t="inlineStr">
        <is>
          <t xml:space="preserve">FARG’ONA VILOYATI DANG’ARA TUMANI QORA MULLA MFY QO’SHCHINOR KO’CHASI 22-XONADON</t>
        </is>
      </c>
      <c r="H1339" s="109">
        <v>8.0</v>
      </c>
      <c r="I1339" s="109">
        <v>2859937.61</v>
      </c>
      <c r="K1339" s="108" t="inlineStr">
        <is>
          <t xml:space="preserve">Telefon ko'tarmadi | 549162.59</t>
        </is>
      </c>
    </row>
    <row r="1340">
      <c r="A1340" s="108" t="inlineStr">
        <is>
          <t xml:space="preserve">ФАРГОНА ВИЛОЯТИ</t>
        </is>
      </c>
      <c r="C1340" s="108" t="inlineStr">
        <is>
          <t xml:space="preserve">Объезд</t>
        </is>
      </c>
      <c r="D1340" s="108" t="inlineStr">
        <is>
          <t xml:space="preserve">Кр-99035863-1</t>
        </is>
      </c>
      <c r="E1340" s="108" t="inlineStr">
        <is>
          <t xml:space="preserve">ERGASHEV ILXOMJON XAKIMOVICH</t>
        </is>
      </c>
      <c r="F1340" s="108" t="inlineStr">
        <is>
          <t xml:space="preserve">998916767655 SMS OZI, 998907831068 SMS AYOLI, 998916584356 SMS OGLI, 998907814645 SMS SHERIGI begona, 998949767655 OZI NEW ,</t>
        </is>
      </c>
      <c r="G1340" s="108" t="inlineStr">
        <is>
          <t xml:space="preserve">FARG’ONA VILOYATI MARG’ILON SHAHAR YANGI XAYOT MFY S-OLLOYOR KO’CHASI 288-UY</t>
        </is>
      </c>
      <c r="H1340" s="109">
        <v>8.0</v>
      </c>
      <c r="I1340" s="109">
        <v>2844140.1</v>
      </c>
      <c r="K1340" s="108" t="inlineStr">
        <is>
          <t xml:space="preserve">Uyiga borildi - va'da berdi | 1515000</t>
        </is>
      </c>
    </row>
    <row r="1341">
      <c r="A1341" s="108" t="inlineStr">
        <is>
          <t xml:space="preserve">ФАРГОНА ВИЛОЯТИ</t>
        </is>
      </c>
      <c r="C1341" s="108" t="inlineStr">
        <is>
          <t xml:space="preserve">Недозвон</t>
        </is>
      </c>
      <c r="D1341" s="108" t="inlineStr">
        <is>
          <t xml:space="preserve">Кр-99013236-1</t>
        </is>
      </c>
      <c r="E1341" s="108" t="inlineStr">
        <is>
          <t xml:space="preserve">SULTONOV MUXSINJON MUXTOROVICH</t>
        </is>
      </c>
      <c r="F1341" s="108" t="inlineStr">
        <is>
          <t xml:space="preserve">998901516164 SMS O’ZI, 998900571609 SMS AYOLI, 998886290123 SMS O’G’LI, 998977535228 SMS UYI, 998970821012 SMS UZI NEW,</t>
        </is>
      </c>
      <c r="G1341" s="108" t="inlineStr">
        <is>
          <t xml:space="preserve">FARG’ONA VILOYATI UCHKO’PRIK TUMANI BEGOBOD MFY MUSTAQILIK KO’CHASI 86-XONADON</t>
        </is>
      </c>
      <c r="H1341" s="109">
        <v>1.0</v>
      </c>
      <c r="I1341" s="109">
        <v>2806495.95</v>
      </c>
      <c r="K1341" s="108" t="inlineStr">
        <is>
          <t xml:space="preserve">Telefon ko'tarmadi | 1515000</t>
        </is>
      </c>
    </row>
    <row r="1342">
      <c r="A1342" s="108" t="inlineStr">
        <is>
          <t xml:space="preserve">ФАРГОНА ВИЛОЯТИ</t>
        </is>
      </c>
      <c r="C1342" s="108" t="inlineStr">
        <is>
          <t xml:space="preserve">Объезд</t>
        </is>
      </c>
      <c r="D1342" s="108" t="inlineStr">
        <is>
          <t xml:space="preserve">Кр-99030819-2</t>
        </is>
      </c>
      <c r="E1342" s="108" t="inlineStr">
        <is>
          <t xml:space="preserve">OLIMJONOV XURSHID AKRAMJON O’G’LI</t>
        </is>
      </c>
      <c r="F1342" s="108" t="inlineStr">
        <is>
          <t xml:space="preserve">91-043-83-83  SMS O’ZI TO'LOVCHI , 90-363-00-13  SMS ONASI , 91-125-57-17  SMS UKASI , 90-632-77-00  SMS O’RTOG’I  , 998907792327 OZI NEW XOTINI,</t>
        </is>
      </c>
      <c r="G1342" s="108" t="inlineStr">
        <is>
          <t xml:space="preserve">FARG’ONA VILOYATI FARG’ONA SHAHAR BERUNIY MFY, KIRGULI KO’CHASI 32-UY 1-XONADON </t>
        </is>
      </c>
      <c r="H1342" s="109">
        <v>8.0</v>
      </c>
      <c r="I1342" s="109">
        <v>2579143.77</v>
      </c>
      <c r="K1342" s="108" t="inlineStr">
        <is>
          <t xml:space="preserve">Uyiga borildi - va'da berdi | HARAKAT QILEPAN TOPOLMAYABAN DEYABDI | 1239083.95</t>
        </is>
      </c>
    </row>
    <row r="1343">
      <c r="A1343" s="108" t="inlineStr">
        <is>
          <t xml:space="preserve">ФАРГОНА ВИЛОЯТИ</t>
        </is>
      </c>
      <c r="C1343" s="108" t="inlineStr">
        <is>
          <t xml:space="preserve">Недозвон</t>
        </is>
      </c>
      <c r="D1343" s="108" t="inlineStr">
        <is>
          <t xml:space="preserve">Кр-99025604-3</t>
        </is>
      </c>
      <c r="E1343" s="108" t="inlineStr">
        <is>
          <t xml:space="preserve">KAMOLOVA XILOLAXON A’ZAMOVNA</t>
        </is>
      </c>
      <c r="F1343" s="108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1343" s="108" t="inlineStr">
        <is>
          <t xml:space="preserve">FARG’ONA VILOYATI MARG’ILON SHAHAR ALISHER NAVOYI MFY, MUSTAQILLIK KO’CHASI 525-UY 24-XONADON</t>
        </is>
      </c>
      <c r="H1343" s="109">
        <v>8.0</v>
      </c>
      <c r="I1343" s="109">
        <v>2081188.56</v>
      </c>
      <c r="K1343" s="108" t="inlineStr">
        <is>
          <t xml:space="preserve">Telefon ko'tarmadi | 999999.66</t>
        </is>
      </c>
    </row>
    <row r="1344">
      <c r="A1344" s="108" t="inlineStr">
        <is>
          <t xml:space="preserve">ФАРГОНА ВИЛОЯТИ</t>
        </is>
      </c>
      <c r="C1344" s="108" t="inlineStr">
        <is>
          <t xml:space="preserve">Недозвон</t>
        </is>
      </c>
      <c r="D1344" s="108" t="inlineStr">
        <is>
          <t xml:space="preserve">Кр-99038391-1</t>
        </is>
      </c>
      <c r="E1344" s="108" t="inlineStr">
        <is>
          <t xml:space="preserve">ERKABOYEV OYBEK XUSANOVICH</t>
        </is>
      </c>
      <c r="F1344" s="108" t="inlineStr">
        <is>
          <t xml:space="preserve">998939799696 uzi, 998937494886 ayoli, 998937316996 ugli,</t>
        </is>
      </c>
      <c r="G1344" s="108" t="inlineStr">
        <is>
          <t xml:space="preserve">Фаргона тумани Корасув МФЙ Шижоат кучаси ОҚБИЛОЛ ҚФЙ, ЯНГИ ОБОД МФЙ, ЎРИКЗОР КЎЧАСИ,  uy:89</t>
        </is>
      </c>
      <c r="H1344" s="109">
        <v>8.0</v>
      </c>
      <c r="I1344" s="109">
        <v>1915595.74</v>
      </c>
      <c r="K1344" s="108" t="inlineStr">
        <is>
          <t xml:space="preserve">Telefon ko'tarmadi | 643468.24</t>
        </is>
      </c>
    </row>
    <row r="1345">
      <c r="A1345" s="108" t="inlineStr">
        <is>
          <t xml:space="preserve">ФАРГОНА ВИЛОЯТИ</t>
        </is>
      </c>
      <c r="C1345" s="108" t="inlineStr">
        <is>
          <t xml:space="preserve">Недозвон</t>
        </is>
      </c>
      <c r="D1345" s="108" t="inlineStr">
        <is>
          <t xml:space="preserve">Кр-99062855-4</t>
        </is>
      </c>
      <c r="E1345" s="108" t="inlineStr">
        <is>
          <t xml:space="preserve">AXMEDOV AKBARJON ABDULLAJONOVICH</t>
        </is>
      </c>
      <c r="F1345" s="108" t="inlineStr">
        <is>
          <t xml:space="preserve">+998931217530 SMS O’ZI, 998947801123 AYOLI, 998994013542 AKASI, 998994481040 O’G’LI,</t>
        </is>
      </c>
      <c r="G1345" s="108" t="inlineStr">
        <is>
          <t xml:space="preserve">FARG’ONA VILOYATI FURQAT TUMANI MUSTAQILLIK MFY YANGI XAYOT KO’CHASI 374-UY</t>
        </is>
      </c>
      <c r="H1345" s="109">
        <v>8.0</v>
      </c>
      <c r="I1345" s="109">
        <v>1914912.94</v>
      </c>
      <c r="K1345" s="108" t="inlineStr">
        <is>
          <t xml:space="preserve">Telefon ko'tarmadi | 715234.16</t>
        </is>
      </c>
    </row>
    <row r="1346">
      <c r="A1346" s="108" t="inlineStr">
        <is>
          <t xml:space="preserve">ФАРГОНА ВИЛОЯТИ</t>
        </is>
      </c>
      <c r="C1346" s="108" t="inlineStr">
        <is>
          <t xml:space="preserve">Недозвон</t>
        </is>
      </c>
      <c r="D1346" s="108" t="inlineStr">
        <is>
          <t xml:space="preserve">Кр-99041932-1</t>
        </is>
      </c>
      <c r="E1346" s="108" t="inlineStr">
        <is>
          <t xml:space="preserve">ABDULAHATOV POLVONJON ERGASHALIZODA</t>
        </is>
      </c>
      <c r="F1346" s="108" t="inlineStr">
        <is>
          <t xml:space="preserve">+998934559700 SMS O’ZI, 998500956697 AYOLI, 998990955986 SHERIGI, 998990993681 ONASI,</t>
        </is>
      </c>
      <c r="G1346" s="108" t="inlineStr">
        <is>
          <t xml:space="preserve">FARG’ONA VILOYATI SO’X TUMANI SO’X MFY CHOR KO’CHASI 144-XONADON</t>
        </is>
      </c>
      <c r="H1346" s="109">
        <v>8.0</v>
      </c>
      <c r="I1346" s="109">
        <v>1882394.89</v>
      </c>
      <c r="K1346" s="108" t="inlineStr">
        <is>
          <t xml:space="preserve">Telefon ko'tarmadi | 564472.56</t>
        </is>
      </c>
    </row>
    <row r="1347">
      <c r="A1347" s="108" t="inlineStr">
        <is>
          <t xml:space="preserve">ФАРГОНА ВИЛОЯТИ</t>
        </is>
      </c>
      <c r="C1347" s="108" t="inlineStr">
        <is>
          <t xml:space="preserve">Недозвон</t>
        </is>
      </c>
      <c r="D1347" s="108" t="inlineStr">
        <is>
          <t xml:space="preserve">Кр-99033470-1</t>
        </is>
      </c>
      <c r="E1347" s="108" t="inlineStr">
        <is>
          <t xml:space="preserve">YO’LDOSHBOYEV MASRURJON MURODJON O’G’LI</t>
        </is>
      </c>
      <c r="F1347" s="108" t="inlineStr">
        <is>
          <t xml:space="preserve">998934714131 SMS O’ZI  ozimizzi xodim Donyor , 998945510066 SMS AKASI Tolovchi , 998903030803 SMS AKASI 2,</t>
        </is>
      </c>
      <c r="G1347" s="108" t="inlineStr">
        <is>
          <t xml:space="preserve">FARG’ONA VILOYATI RISHTON TUMANI TOSHOG’LIQ MFY MUSTAQILIK KO’CHASI 84-XONADON</t>
        </is>
      </c>
      <c r="H1347" s="109">
        <v>5.0</v>
      </c>
      <c r="I1347" s="109">
        <v>1647863.57</v>
      </c>
    </row>
    <row r="1348">
      <c r="A1348" s="108" t="inlineStr">
        <is>
          <t xml:space="preserve">ФАРГОНА ВИЛОЯТИ</t>
        </is>
      </c>
      <c r="C1348" s="108" t="inlineStr">
        <is>
          <t xml:space="preserve">Объезд</t>
        </is>
      </c>
      <c r="D1348" s="108" t="inlineStr">
        <is>
          <t xml:space="preserve">Кр-99032352-1</t>
        </is>
      </c>
      <c r="E1348" s="108" t="inlineStr">
        <is>
          <t xml:space="preserve">SULTANOV DILSHOD ASHURALIYEVICH</t>
        </is>
      </c>
      <c r="F1348" s="108" t="inlineStr">
        <is>
          <t xml:space="preserve">998916545700 SMS O’ZI, 998956465701 SMS AYOLI, 998993207090 SMS O’G’LI, 998904070904 SMS JIYANI, 998946300886 SMS  tolovchi new ,</t>
        </is>
      </c>
      <c r="G1348" s="108" t="inlineStr">
        <is>
          <t xml:space="preserve">FARG’ONA VIL MARG’ILON SH BO’RXONNIDIN MARG’ILONI MFY B.M KO’CHASI 378-UY</t>
        </is>
      </c>
      <c r="H1348" s="109">
        <v>8.0</v>
      </c>
      <c r="I1348" s="109">
        <v>1646091.85</v>
      </c>
      <c r="K1348" s="108" t="inlineStr">
        <is>
          <t xml:space="preserve">Uyiga borildi - va'da berdi | 1212000</t>
        </is>
      </c>
    </row>
    <row r="1349">
      <c r="A1349" s="108" t="inlineStr">
        <is>
          <t xml:space="preserve">ФАРГОНА ВИЛОЯТИ</t>
        </is>
      </c>
      <c r="C1349" s="108" t="inlineStr">
        <is>
          <t xml:space="preserve">Недозвон</t>
        </is>
      </c>
      <c r="D1349" s="108" t="inlineStr">
        <is>
          <t xml:space="preserve">Кр-99041167-1</t>
        </is>
      </c>
      <c r="E1349" s="108" t="inlineStr">
        <is>
          <t xml:space="preserve">O’RMONOV SARDORBEK O’LMASALI O’G’LI</t>
        </is>
      </c>
      <c r="F1349" s="108" t="inlineStr">
        <is>
          <t xml:space="preserve">+998901515516 SMS OZI, 998901505516 SMS AKASI, 998911505516 SMS AKASI,</t>
        </is>
      </c>
      <c r="G1349" s="108" t="inlineStr">
        <is>
          <t xml:space="preserve">Хайит МФЙ, Қўқон кучаси, 68-уй</t>
        </is>
      </c>
      <c r="H1349" s="109">
        <v>8.0</v>
      </c>
      <c r="I1349" s="109">
        <v>1577452.28</v>
      </c>
      <c r="K1349" s="108" t="inlineStr">
        <is>
          <t xml:space="preserve">Telefon ko'tarmadi | 496358.2</t>
        </is>
      </c>
    </row>
    <row r="1350">
      <c r="A1350" s="108" t="inlineStr">
        <is>
          <t xml:space="preserve">ФАРГОНА ВИЛОЯТИ</t>
        </is>
      </c>
      <c r="C1350" s="108" t="inlineStr">
        <is>
          <t xml:space="preserve">Недозвон</t>
        </is>
      </c>
      <c r="D1350" s="108" t="inlineStr">
        <is>
          <t xml:space="preserve">Кр-99029400-1</t>
        </is>
      </c>
      <c r="E1350" s="108" t="inlineStr">
        <is>
          <t xml:space="preserve">MAXKAMOV ATXAMJON RAJABBOYEVICH</t>
        </is>
      </c>
      <c r="F1350" s="108" t="inlineStr">
        <is>
          <t xml:space="preserve">97-067-61-00  SMS O’ZI begana, 99-047-97-77  SMS O’G’LI, 91 150-97-77  SMS O’G’LI , 91-694-97-77  SMS KELINI BEGONA,</t>
        </is>
      </c>
      <c r="G1350" s="108" t="inlineStr">
        <is>
          <t xml:space="preserve">FARG’ONA VILOYATI DANG’ARA TUMANI ISTIQLOL MFY, BAXT KO’CHASI 80-XONADON</t>
        </is>
      </c>
      <c r="H1350" s="109">
        <v>5.0</v>
      </c>
      <c r="I1350" s="109">
        <v>1458573.38</v>
      </c>
      <c r="K1350" s="108" t="inlineStr">
        <is>
          <t xml:space="preserve">Telefon ko'tarmadi | 909000</t>
        </is>
      </c>
    </row>
    <row r="1351">
      <c r="A1351" s="108" t="inlineStr">
        <is>
          <t xml:space="preserve">ФАРГОНА ВИЛОЯТИ</t>
        </is>
      </c>
      <c r="C1351" s="108" t="inlineStr">
        <is>
          <t xml:space="preserve">Объезд</t>
        </is>
      </c>
      <c r="D1351" s="108" t="inlineStr">
        <is>
          <t xml:space="preserve">Кр-99027619-5</t>
        </is>
      </c>
      <c r="E1351" s="108" t="inlineStr">
        <is>
          <t xml:space="preserve">RO’ZIBOYEV JASURBEK ABDUSATTOR O’G’LI</t>
        </is>
      </c>
      <c r="F1351" s="108" t="inlineStr">
        <is>
          <t xml:space="preserve">77-009-11-61 SMS OZI, 94-010-90-40 SMS Ortogi BEKZOD begona, 99-763-91-92 SMS AKASI MUXRIDDIN, 998994998162 Oyisi(941210467),</t>
        </is>
      </c>
      <c r="G1351" s="108" t="inlineStr">
        <is>
          <t xml:space="preserve">FARGONA VILOYATI BOG’DOD TUMANI MATQULOBOT QISHLOGI ISTIQLOL KOCHASI 234-UY</t>
        </is>
      </c>
      <c r="H1351" s="109">
        <v>8.0</v>
      </c>
      <c r="I1351" s="109">
        <v>1415091.25</v>
      </c>
      <c r="J1351" s="109">
        <v>743217.0</v>
      </c>
      <c r="K1351" s="108" t="inlineStr">
        <is>
          <t xml:space="preserve">Uyiga borildi - to'ladi | 743217.55</t>
        </is>
      </c>
    </row>
    <row r="1352">
      <c r="A1352" s="108" t="inlineStr">
        <is>
          <t xml:space="preserve">ФАРГОНА ВИЛОЯТИ</t>
        </is>
      </c>
      <c r="C1352" s="108" t="inlineStr">
        <is>
          <t xml:space="preserve">Недозвон</t>
        </is>
      </c>
      <c r="D1352" s="108" t="inlineStr">
        <is>
          <t xml:space="preserve">Кр-99060305-1</t>
        </is>
      </c>
      <c r="E1352" s="108" t="inlineStr">
        <is>
          <t xml:space="preserve">IBRAGIMOV XAYOTILLO AMRULLOXONOVICH</t>
        </is>
      </c>
      <c r="F1352" s="108" t="inlineStr">
        <is>
          <t xml:space="preserve">998995826214 SMS OIZI, 998905826214 SMS AKASI, 998993956214 SMS AYOLI, 998905096010 SMS JIYANI,</t>
        </is>
      </c>
      <c r="G1352" s="108" t="inlineStr">
        <is>
          <t xml:space="preserve">FARG’ONA VILOYATI TOSHLOQ TUMANI XO’JJARIQ MFY A-NAVOIY KO’CHASI 153-XONADON</t>
        </is>
      </c>
      <c r="H1352" s="109">
        <v>8.0</v>
      </c>
      <c r="I1352" s="109">
        <v>1268684.54</v>
      </c>
      <c r="K1352" s="108" t="inlineStr">
        <is>
          <t xml:space="preserve">Telefon ko'tarmadi | 352084.36</t>
        </is>
      </c>
    </row>
    <row r="1353">
      <c r="A1353" s="108" t="inlineStr">
        <is>
          <t xml:space="preserve">ФАРГОНА ВИЛОЯТИ</t>
        </is>
      </c>
      <c r="C1353" s="108" t="inlineStr">
        <is>
          <t xml:space="preserve">Объезд</t>
        </is>
      </c>
      <c r="D1353" s="108" t="inlineStr">
        <is>
          <t xml:space="preserve">Кр-99025845-2</t>
        </is>
      </c>
      <c r="E1353" s="108" t="inlineStr">
        <is>
          <t xml:space="preserve">TO’YCHIYEV IKROMJON UMAROVICH</t>
        </is>
      </c>
      <c r="F1353" s="108" t="inlineStr">
        <is>
          <t xml:space="preserve">99-796-56-34 SMS , 93-607-41-00 SMS AYOLI, 99-051-29-35 SMS OGLI DILYORBEK, 98-107-07-19 SMS OGLI,</t>
        </is>
      </c>
      <c r="G1353" s="108" t="inlineStr">
        <is>
          <t xml:space="preserve">FARG’ONA VILOYATI  BUVAYDA TUMANI SHO'R QISHLOQ</t>
        </is>
      </c>
      <c r="H1353" s="109">
        <v>13.0</v>
      </c>
      <c r="I1353" s="109">
        <v>1159484.77</v>
      </c>
      <c r="J1353" s="109">
        <v>567996.0</v>
      </c>
      <c r="K1353" s="108" t="inlineStr">
        <is>
          <t xml:space="preserve">Uyiga borildi - to'ladi | OGLI TOLASHI KERAK EKAN BUGUN TOLAYDI DEYABDI | 567996.06</t>
        </is>
      </c>
    </row>
    <row r="1354">
      <c r="A1354" s="108" t="inlineStr">
        <is>
          <t xml:space="preserve">ФАРГОНА ВИЛОЯТИ</t>
        </is>
      </c>
      <c r="C1354" s="108" t="inlineStr">
        <is>
          <t xml:space="preserve">Объезд</t>
        </is>
      </c>
      <c r="D1354" s="108" t="inlineStr">
        <is>
          <t xml:space="preserve">Кр-99041835-1</t>
        </is>
      </c>
      <c r="E1354" s="108" t="inlineStr">
        <is>
          <t xml:space="preserve">BOLTABOYEV SHOHRUXBEK BEGALI O’G’LI</t>
        </is>
      </c>
      <c r="F1354" s="108" t="inlineStr">
        <is>
          <t xml:space="preserve">+998500170756 SMS O’ZI, 998335636300 DADASI, 998955416171 UY, 998999723515 AMAKISI,</t>
        </is>
      </c>
      <c r="G1354" s="108" t="inlineStr">
        <is>
          <t xml:space="preserve">FARG’ONA VILOYATI TOSHLOQ TUMANI ZARKENT MFY QASHQARI KO’CHASI 33-XONADON</t>
        </is>
      </c>
      <c r="H1354" s="109">
        <v>8.0</v>
      </c>
      <c r="I1354" s="109">
        <v>943447.81</v>
      </c>
      <c r="K1354" s="108" t="inlineStr">
        <is>
          <t xml:space="preserve">Uyiga borildi - va'da berdi | 470393.8</t>
        </is>
      </c>
    </row>
    <row r="1355">
      <c r="A1355" s="108" t="inlineStr">
        <is>
          <t xml:space="preserve">ФАРГОНА ВИЛОЯТИ</t>
        </is>
      </c>
      <c r="C1355" s="108" t="inlineStr">
        <is>
          <t xml:space="preserve">Недозвон</t>
        </is>
      </c>
      <c r="D1355" s="108" t="inlineStr">
        <is>
          <t xml:space="preserve">Кр-99025604-2</t>
        </is>
      </c>
      <c r="E1355" s="108" t="inlineStr">
        <is>
          <t xml:space="preserve">KAMOLOVA XILOLAXON A’ZAMOVNA</t>
        </is>
      </c>
      <c r="F1355" s="108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1355" s="108" t="inlineStr">
        <is>
          <t xml:space="preserve">FARG’ONA VILOYATI MARG’ILON SHAHAR ALISHER NAVOYI MFY, MUSTAQILLIK KO’CHASI 525-UY 24-XONADON</t>
        </is>
      </c>
      <c r="H1355" s="109">
        <v>12.0</v>
      </c>
      <c r="I1355" s="109">
        <v>924691.41</v>
      </c>
      <c r="K1355" s="108" t="inlineStr">
        <is>
          <t xml:space="preserve">Telefon ko'tarmadi | 515596.31</t>
        </is>
      </c>
    </row>
    <row r="1356">
      <c r="A1356" s="108" t="inlineStr">
        <is>
          <t xml:space="preserve">ФАРГОНА ВИЛОЯТИ</t>
        </is>
      </c>
      <c r="C1356" s="108" t="inlineStr">
        <is>
          <t xml:space="preserve">Недозвон</t>
        </is>
      </c>
      <c r="D1356" s="108" t="inlineStr">
        <is>
          <t xml:space="preserve">Кр-99018324-2</t>
        </is>
      </c>
      <c r="E1356" s="108" t="inlineStr">
        <is>
          <t xml:space="preserve">O’KTAMOV ABDUSALOMBEK ABDIRASHIT O’G’LI</t>
        </is>
      </c>
      <c r="F1356" s="108" t="inlineStr">
        <is>
          <t xml:space="preserve">998990095139 SMS OZI buvayda xokimyatida ishlid  mutaxassis, 998994729902 SMS OMAKISI, 998770171998 SMS UKASI, 998993641727 SMS TOGASI,</t>
        </is>
      </c>
      <c r="G1356" s="108" t="inlineStr">
        <is>
          <t xml:space="preserve">FARG’ONA VILOYATI BUVAYDA TUMANI QORAQUM MFY, QORAQUM QISHLOG’I 56-UY</t>
        </is>
      </c>
      <c r="H1356" s="109">
        <v>8.0</v>
      </c>
      <c r="I1356" s="109">
        <v>897509.41</v>
      </c>
      <c r="K1356" s="108" t="inlineStr">
        <is>
          <t xml:space="preserve">Telefon ko'tarmadi | 509685.52</t>
        </is>
      </c>
    </row>
    <row r="1357">
      <c r="A1357" s="108" t="inlineStr">
        <is>
          <t xml:space="preserve">ФАРГОНА ВИЛОЯТИ</t>
        </is>
      </c>
      <c r="C1357" s="108" t="inlineStr">
        <is>
          <t xml:space="preserve">Недозвон</t>
        </is>
      </c>
      <c r="D1357" s="108" t="inlineStr">
        <is>
          <t xml:space="preserve">Кр-99025604-4</t>
        </is>
      </c>
      <c r="E1357" s="108" t="inlineStr">
        <is>
          <t xml:space="preserve">KAMOLOVA XILOLAXON A’ZAMOVNA</t>
        </is>
      </c>
      <c r="F1357" s="108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1357" s="108" t="inlineStr">
        <is>
          <t xml:space="preserve">FARG’ONA VILOYATI MARG’ILON SHAHAR ALISHER NAVOYI MFY, MUSTAQILLIK KO’CHASI 525-UY 24-XONADON</t>
        </is>
      </c>
      <c r="H1357" s="109">
        <v>8.0</v>
      </c>
      <c r="I1357" s="109">
        <v>552508.41</v>
      </c>
      <c r="K1357" s="108" t="inlineStr">
        <is>
          <t xml:space="preserve">Telefon ko'tarmadi | 251834.91</t>
        </is>
      </c>
    </row>
    <row r="1358">
      <c r="A1358" s="108" t="inlineStr">
        <is>
          <t xml:space="preserve">ФАРГОНА ВИЛОЯТИ</t>
        </is>
      </c>
      <c r="C1358" s="108" t="inlineStr">
        <is>
          <t xml:space="preserve">Объезд</t>
        </is>
      </c>
      <c r="D1358" s="108" t="inlineStr">
        <is>
          <t xml:space="preserve">Кр-99041883-1</t>
        </is>
      </c>
      <c r="E1358" s="108" t="inlineStr">
        <is>
          <t xml:space="preserve">UZAKOV ANVARJON MAKSIMOVICH</t>
        </is>
      </c>
      <c r="F1358" s="108" t="inlineStr">
        <is>
          <t xml:space="preserve">+998993036357 SMS O’ZI, 998906326357 AYOLI, 998990097733 O’G’LI 2, 998991406357 O’G’LI,</t>
        </is>
      </c>
      <c r="G1358" s="108" t="inlineStr">
        <is>
          <t xml:space="preserve">FARG’ONA VILOYATI OLTIARIQ TUMANI TINCHILIK MFY TADBIRKOR KO’CHASI 19-XONADON</t>
        </is>
      </c>
      <c r="H1358" s="109">
        <v>8.0</v>
      </c>
      <c r="I1358" s="109">
        <v>511789.26</v>
      </c>
      <c r="J1358" s="109">
        <v>158652.0</v>
      </c>
      <c r="K1358" s="108" t="inlineStr">
        <is>
          <t xml:space="preserve">Uyiga borildi - to'ladi | ERTAGA OGLI OZBEKISTONGA KIRADI EKAN ERTAGA KECHGACHA YOPIB QOYAMAN DEDI | 158652.49</t>
        </is>
      </c>
    </row>
    <row r="1359">
      <c r="A1359" s="110" t="inlineStr">
        <is>
          <t xml:space="preserve">ХОРАЗМ ВИЛОЯТИ</t>
        </is>
      </c>
      <c r="C1359" s="110" t="inlineStr">
        <is>
          <t xml:space="preserve">Недозвон</t>
        </is>
      </c>
      <c r="D1359" s="110" t="inlineStr">
        <is>
          <t xml:space="preserve">Кр-99062546-1</t>
        </is>
      </c>
      <c r="E1359" s="110" t="inlineStr">
        <is>
          <t xml:space="preserve">ATAYEVA SHAROFAT BAXRAMOVNA</t>
        </is>
      </c>
      <c r="F1359" s="110" t="inlineStr">
        <is>
          <t xml:space="preserve">998701345800 узи, 998904699024 синглиси, 998918692585 опаси, 998990366655 дугонаси,</t>
        </is>
      </c>
      <c r="G1359" s="110" t="inlineStr">
        <is>
          <t xml:space="preserve">XORAZM VILOYATI URGANCH SHAHAR NAVRUZ MFY PAXTAKOR KUCHASI 24/1 UY</t>
        </is>
      </c>
      <c r="H1359" s="111">
        <v>11.0</v>
      </c>
      <c r="I1359" s="111">
        <v>10842366.55</v>
      </c>
    </row>
    <row r="1360">
      <c r="A1360" s="110" t="inlineStr">
        <is>
          <t xml:space="preserve">ХОРАЗМ ВИЛОЯТИ</t>
        </is>
      </c>
      <c r="C1360" s="110" t="inlineStr">
        <is>
          <t xml:space="preserve">Недозвон</t>
        </is>
      </c>
      <c r="D1360" s="110" t="inlineStr">
        <is>
          <t xml:space="preserve">Кр-99058318-1</t>
        </is>
      </c>
      <c r="E1360" s="110" t="inlineStr">
        <is>
          <t xml:space="preserve">XAJIYEV JO’RABEK REYIMBERDIYEVICH</t>
        </is>
      </c>
      <c r="F1360" s="110" t="inlineStr">
        <is>
          <t xml:space="preserve">998951032380 SMS OZI, 998700618011 SMS AYOLI, 998958827720 SMS AKASI, 998513316742 SMS AKASI 2,</t>
        </is>
      </c>
      <c r="G1360" s="110" t="inlineStr">
        <is>
          <t xml:space="preserve">XORAZM VILOYATI XONQA TUMANI DURGADIK MFY MA’NAVIYAT KUCHASI 42-UY</t>
        </is>
      </c>
      <c r="H1360" s="111">
        <v>11.0</v>
      </c>
      <c r="I1360" s="111">
        <v>8338055.34</v>
      </c>
    </row>
    <row r="1361">
      <c r="A1361" s="110" t="inlineStr">
        <is>
          <t xml:space="preserve">ХОРАЗМ ВИЛОЯТИ</t>
        </is>
      </c>
      <c r="C1361" s="110" t="inlineStr">
        <is>
          <t xml:space="preserve">Недозвон</t>
        </is>
      </c>
      <c r="D1361" s="110" t="inlineStr">
        <is>
          <t xml:space="preserve">Кр-99054973-1</t>
        </is>
      </c>
      <c r="E1361" s="110" t="inlineStr">
        <is>
          <t xml:space="preserve">DJUMANIYAZOVA ALTIN GAIPOVNA</t>
        </is>
      </c>
      <c r="F1361" s="110" t="inlineStr">
        <is>
          <t xml:space="preserve">998914222703 SMS O'ZI, 998937514987 SMS O'G'LI, 998043215222 SMS O'G'LI 2, 998934652883 SMS O’G’LI 3,</t>
        </is>
      </c>
      <c r="G1361" s="110" t="inlineStr">
        <is>
          <t xml:space="preserve">XORAZM VILOYATI URGANCH SHAHRI GULSHAN MFY EZGU UMID KO’CHASI 15-UY</t>
        </is>
      </c>
      <c r="H1361" s="111">
        <v>11.0</v>
      </c>
      <c r="I1361" s="111">
        <v>6930849.06</v>
      </c>
    </row>
    <row r="1362">
      <c r="A1362" s="110" t="inlineStr">
        <is>
          <t xml:space="preserve">ХОРАЗМ ВИЛОЯТИ</t>
        </is>
      </c>
      <c r="C1362" s="110" t="inlineStr">
        <is>
          <t xml:space="preserve">Недозвон</t>
        </is>
      </c>
      <c r="D1362" s="110" t="inlineStr">
        <is>
          <t xml:space="preserve">Кр-99053027-2</t>
        </is>
      </c>
      <c r="E1362" s="110" t="inlineStr">
        <is>
          <t xml:space="preserve">BALTAYEV SA’NATBEK MASHARIPOVICH</t>
        </is>
      </c>
      <c r="F1362" s="110" t="inlineStr">
        <is>
          <t xml:space="preserve">998955360100 SMS OZI, 998885161966  SMS AYOLI, 998955360601 SMS UKASI, 998977615888 SMS AKASI,</t>
        </is>
      </c>
      <c r="G1362" s="110" t="inlineStr">
        <is>
          <t xml:space="preserve">САЁТ ҚФЙ, ШЎР КЎЛ МФЙ, ГУЛАФШОН,  uy:5</t>
        </is>
      </c>
      <c r="H1362" s="111">
        <v>8.0</v>
      </c>
      <c r="I1362" s="111">
        <v>6898677.07</v>
      </c>
    </row>
    <row r="1363">
      <c r="A1363" s="110" t="inlineStr">
        <is>
          <t xml:space="preserve">ХОРАЗМ ВИЛОЯТИ</t>
        </is>
      </c>
      <c r="C1363" s="110" t="inlineStr">
        <is>
          <t xml:space="preserve">Недозвон</t>
        </is>
      </c>
      <c r="D1363" s="110" t="inlineStr">
        <is>
          <t xml:space="preserve">Кр-99062510-1</t>
        </is>
      </c>
      <c r="E1363" s="110" t="inlineStr">
        <is>
          <t xml:space="preserve">MATNAZAROV OLLABERGAN MATSAPAYEVICH</t>
        </is>
      </c>
      <c r="F1363" s="110" t="inlineStr">
        <is>
          <t xml:space="preserve">998997375562 SMS  OZI, 998910917879 SMS AYOLI, 998995568519 SMS JIYANI, 998997146929 SMS QIZI,</t>
        </is>
      </c>
      <c r="G1363" s="110" t="inlineStr">
        <is>
          <t xml:space="preserve">XORAZM VILOYATI SHOVOT TUMANI ISTIQBOL MFY OYBEK KO’CHASI 60-UY</t>
        </is>
      </c>
      <c r="H1363" s="111">
        <v>8.0</v>
      </c>
      <c r="I1363" s="111">
        <v>6622832.48</v>
      </c>
    </row>
    <row r="1364">
      <c r="A1364" s="110" t="inlineStr">
        <is>
          <t xml:space="preserve">ХОРАЗМ ВИЛОЯТИ</t>
        </is>
      </c>
      <c r="C1364" s="110" t="inlineStr">
        <is>
          <t xml:space="preserve">Недозвон</t>
        </is>
      </c>
      <c r="D1364" s="110" t="inlineStr">
        <is>
          <t xml:space="preserve">Кр-99057354-1</t>
        </is>
      </c>
      <c r="E1364" s="110" t="inlineStr">
        <is>
          <t xml:space="preserve">VAPAYEV ODAMBAY KARRIYEVICH</t>
        </is>
      </c>
      <c r="F1364" s="110" t="inlineStr">
        <is>
          <t xml:space="preserve">998996865806 SMS SINGLISI (TO’LOVCHI), 998915716664 SMS SINGLISINI ERI, 998991818329 SMS UZI, 998900779790 SMS JIYANI, 998776237989 SMS SINGLISI TOLOVCHI,</t>
        </is>
      </c>
      <c r="G1364" s="110" t="inlineStr">
        <is>
          <t xml:space="preserve">XORAZM VILOYATI URGANCH TUMANI KO’HNA OVUL MFY BOBODEXQON  4 TOR KUCHASI 4/1-UY</t>
        </is>
      </c>
      <c r="H1364" s="111">
        <v>8.0</v>
      </c>
      <c r="I1364" s="111">
        <v>6544151.1</v>
      </c>
    </row>
    <row r="1365">
      <c r="A1365" s="110" t="inlineStr">
        <is>
          <t xml:space="preserve">ХОРАЗМ ВИЛОЯТИ</t>
        </is>
      </c>
      <c r="C1365" s="110" t="inlineStr">
        <is>
          <t xml:space="preserve">Недозвон</t>
        </is>
      </c>
      <c r="D1365" s="110" t="inlineStr">
        <is>
          <t xml:space="preserve">Кр-99062350-1</t>
        </is>
      </c>
      <c r="E1365" s="110" t="inlineStr">
        <is>
          <t xml:space="preserve">XUDAYBERGANOV SHERZOD OLLABERGANOVICH</t>
        </is>
      </c>
      <c r="F1365" s="110" t="inlineStr">
        <is>
          <t xml:space="preserve">998972023236 узи, 998990716862 аели, 998888483236 кизи, 998889256555 узи2,</t>
        </is>
      </c>
      <c r="G1365" s="110" t="inlineStr">
        <is>
          <t xml:space="preserve">XORAZM VILOYATI SHOVOT TUMANI ARBOB MFY NAVRO’Z KUCHASI 67 A -UY</t>
        </is>
      </c>
      <c r="H1365" s="111">
        <v>8.0</v>
      </c>
      <c r="I1365" s="111">
        <v>6538554.55</v>
      </c>
    </row>
    <row r="1366">
      <c r="A1366" s="110" t="inlineStr">
        <is>
          <t xml:space="preserve">ХОРАЗМ ВИЛОЯТИ</t>
        </is>
      </c>
      <c r="C1366" s="110" t="inlineStr">
        <is>
          <t xml:space="preserve">Недозвон</t>
        </is>
      </c>
      <c r="D1366" s="110" t="inlineStr">
        <is>
          <t xml:space="preserve">Кр-99063545-1</t>
        </is>
      </c>
      <c r="E1366" s="110" t="inlineStr">
        <is>
          <t xml:space="preserve">MADAMINOVA ZAMIRA SABIROVNA</t>
        </is>
      </c>
      <c r="F1366" s="110" t="inlineStr">
        <is>
          <t xml:space="preserve">+998914290960 SMS UZI, 998944210960 SMS O’G’LI, 998944370960 SMS UYI,</t>
        </is>
      </c>
      <c r="G1366" s="110" t="inlineStr">
        <is>
          <t xml:space="preserve">Хорезмская область, Ханкинский район, Хонка ГСГ, Пахлавонлар МСГ, ул. Олтин Хазина, дом 17</t>
        </is>
      </c>
      <c r="H1366" s="111">
        <v>8.0</v>
      </c>
      <c r="I1366" s="111">
        <v>5718071.28</v>
      </c>
    </row>
    <row r="1367">
      <c r="A1367" s="110" t="inlineStr">
        <is>
          <t xml:space="preserve">ХОРАЗМ ВИЛОЯТИ</t>
        </is>
      </c>
      <c r="C1367" s="110" t="inlineStr">
        <is>
          <t xml:space="preserve">Недозвон</t>
        </is>
      </c>
      <c r="D1367" s="110" t="inlineStr">
        <is>
          <t xml:space="preserve">Кр-99057083-1</t>
        </is>
      </c>
      <c r="E1367" s="110" t="inlineStr">
        <is>
          <t xml:space="preserve">XO’JANIYOZOVA RO’ZIKA MASHARIPOVNA</t>
        </is>
      </c>
      <c r="F1367" s="110" t="inlineStr">
        <is>
          <t xml:space="preserve">998992440203 SMS OGLI TOLOVCHI , 998999670357 SMS  OZI, 998990158282 SMS KATTA OGLI, 998907586802 SMS KATTA OGLI 2,</t>
        </is>
      </c>
      <c r="G1367" s="110" t="inlineStr">
        <is>
          <t xml:space="preserve">XORAZM VILOYATI QO’SHKO’PIR TUMANI CHAMANZOR MFY RAVSHANLIK KUCHASI 49-UY</t>
        </is>
      </c>
      <c r="H1367" s="111">
        <v>8.0</v>
      </c>
      <c r="I1367" s="111">
        <v>5703921.12</v>
      </c>
    </row>
    <row r="1368">
      <c r="A1368" s="110" t="inlineStr">
        <is>
          <t xml:space="preserve">ХОРАЗМ ВИЛОЯТИ</t>
        </is>
      </c>
      <c r="C1368" s="110" t="inlineStr">
        <is>
          <t xml:space="preserve">Недозвон</t>
        </is>
      </c>
      <c r="D1368" s="110" t="inlineStr">
        <is>
          <t xml:space="preserve">Кр-99052981-1</t>
        </is>
      </c>
      <c r="E1368" s="110" t="inlineStr">
        <is>
          <t xml:space="preserve">MADRAXIMOVA  ZEBINISO MADRIMOVNA</t>
        </is>
      </c>
      <c r="F1368" s="110" t="inlineStr">
        <is>
          <t xml:space="preserve">998791161524 SMS OZI, 998995969099 SMS UKASI, 998975271155 SMS OPASI, 998721152582 SMS OPASI,</t>
        </is>
      </c>
      <c r="G1368" s="110" t="inlineStr">
        <is>
          <t xml:space="preserve">XORAZM VILOYATI YANGIARIQ TUMANI YANGI OBOD MFY YANGI OBOD KO’CHASI 40-UY</t>
        </is>
      </c>
      <c r="H1368" s="111">
        <v>8.0</v>
      </c>
      <c r="I1368" s="111">
        <v>5103244.38</v>
      </c>
    </row>
    <row r="1369">
      <c r="A1369" s="110" t="inlineStr">
        <is>
          <t xml:space="preserve">ХОРАЗМ ВИЛОЯТИ</t>
        </is>
      </c>
      <c r="C1369" s="110" t="inlineStr">
        <is>
          <t xml:space="preserve">Недозвон</t>
        </is>
      </c>
      <c r="D1369" s="110" t="inlineStr">
        <is>
          <t xml:space="preserve">Кр-99052931-1</t>
        </is>
      </c>
      <c r="E1369" s="110" t="inlineStr">
        <is>
          <t xml:space="preserve">RAXIMOV DILMUROD KOMILOVICH</t>
        </is>
      </c>
      <c r="F1369" s="110" t="inlineStr">
        <is>
          <t xml:space="preserve">998978567484 OZI, 998973638487 AYOLI, 998970963001 O’G’LI,</t>
        </is>
      </c>
      <c r="G1369" s="110" t="inlineStr">
        <is>
          <t xml:space="preserve">XORAZM VILOYATI QO’SHKO’PIR TUMANI YANGILIK QFY AYRONKO’L MFY YOSHLIK KO’CHASI 28-UY</t>
        </is>
      </c>
      <c r="H1369" s="111">
        <v>8.0</v>
      </c>
      <c r="I1369" s="111">
        <v>5052463.98</v>
      </c>
    </row>
    <row r="1370">
      <c r="A1370" s="110" t="inlineStr">
        <is>
          <t xml:space="preserve">ХОРАЗМ ВИЛОЯТИ</t>
        </is>
      </c>
      <c r="C1370" s="110" t="inlineStr">
        <is>
          <t xml:space="preserve">Недозвон</t>
        </is>
      </c>
      <c r="D1370" s="110" t="inlineStr">
        <is>
          <t xml:space="preserve">Кр-99062964-1</t>
        </is>
      </c>
      <c r="E1370" s="110" t="inlineStr">
        <is>
          <t xml:space="preserve">SAFANIYAZOV SEVINCHBEK SAFANIYOZ O’G’LI</t>
        </is>
      </c>
      <c r="F1370" s="110" t="inlineStr">
        <is>
          <t xml:space="preserve">+998880013000 SMS UZI, 998884576566 SMS UZI, 998974583344 SMS DO’STI,</t>
        </is>
      </c>
      <c r="G1370" s="110" t="inlineStr">
        <is>
          <t xml:space="preserve">ХОРАЗМ ВИЛОЯТИ ЯНГИБОЗОР ТУМАНИ БЎЗҚАЛЪА ҚФЙ, ИФТИХОР МФЙ, ДАРЁЛИК КЎЧАСИ,  uy:11</t>
        </is>
      </c>
      <c r="H1370" s="111">
        <v>8.0</v>
      </c>
      <c r="I1370" s="111">
        <v>4621756.79</v>
      </c>
    </row>
    <row r="1371">
      <c r="A1371" s="110" t="inlineStr">
        <is>
          <t xml:space="preserve">ХОРАЗМ ВИЛОЯТИ</t>
        </is>
      </c>
      <c r="C1371" s="110" t="inlineStr">
        <is>
          <t xml:space="preserve">Недозвон</t>
        </is>
      </c>
      <c r="D1371" s="110" t="inlineStr">
        <is>
          <t xml:space="preserve">Кр-99057302-1</t>
        </is>
      </c>
      <c r="E1371" s="110" t="inlineStr">
        <is>
          <t xml:space="preserve">RAJAPOV BEKBERGAN SHERIPBOYEVICH</t>
        </is>
      </c>
      <c r="F1371" s="110" t="inlineStr">
        <is>
          <t xml:space="preserve">998907257827 SMS OZI, 998907193038 SMS AYOLI, 998914368707 SMS JIYANI, 998992122346 SMS QAYNOGASI,</t>
        </is>
      </c>
      <c r="G1371" s="110" t="inlineStr">
        <is>
          <t xml:space="preserve">XORAZM VILOYATI URGANCH TUMANI UYSHIN MFY ZIYOLILAR 17-UY</t>
        </is>
      </c>
      <c r="H1371" s="111">
        <v>8.0</v>
      </c>
      <c r="I1371" s="111">
        <v>4447302.7</v>
      </c>
    </row>
    <row r="1372">
      <c r="A1372" s="110" t="inlineStr">
        <is>
          <t xml:space="preserve">ХОРАЗМ ВИЛОЯТИ</t>
        </is>
      </c>
      <c r="C1372" s="110" t="inlineStr">
        <is>
          <t xml:space="preserve">Недозвон</t>
        </is>
      </c>
      <c r="D1372" s="110" t="inlineStr">
        <is>
          <t xml:space="preserve">Кр-99061565-2</t>
        </is>
      </c>
      <c r="E1372" s="110" t="inlineStr">
        <is>
          <t xml:space="preserve">ODAMBAYEV DIYORBEK BAXTIYOR O’G’LI</t>
        </is>
      </c>
      <c r="F1372" s="110" t="inlineStr">
        <is>
          <t xml:space="preserve">998973643330 узи, 998881589333 укаси, 998881535959 дусти, 998991929629 онаси,</t>
        </is>
      </c>
      <c r="G1372" s="110" t="inlineStr">
        <is>
          <t xml:space="preserve">XORAZM VILOYATI XONQA TUMANI ILG’OR MFY TURKISTON KO¹CHASI 154-UY</t>
        </is>
      </c>
      <c r="H1372" s="111">
        <v>8.0</v>
      </c>
      <c r="I1372" s="111">
        <v>4403108.99</v>
      </c>
    </row>
    <row r="1373">
      <c r="A1373" s="110" t="inlineStr">
        <is>
          <t xml:space="preserve">ХОРАЗМ ВИЛОЯТИ</t>
        </is>
      </c>
      <c r="C1373" s="110" t="inlineStr">
        <is>
          <t xml:space="preserve">Недозвон</t>
        </is>
      </c>
      <c r="D1373" s="110" t="inlineStr">
        <is>
          <t xml:space="preserve">Кр-99057362-1</t>
        </is>
      </c>
      <c r="E1373" s="110" t="inlineStr">
        <is>
          <t xml:space="preserve">ATADJANOV XAITBAY XXX</t>
        </is>
      </c>
      <c r="F1373" s="110" t="inlineStr">
        <is>
          <t xml:space="preserve">998994405155 SMS O’G’LI (TULOVCHI), 998904335450 SMS UZI, 998416596063 SMS UZI 3, 998774818388 SMS UGLI,</t>
        </is>
      </c>
      <c r="G1373" s="110" t="inlineStr">
        <is>
          <t xml:space="preserve">XORAZM VILOYATI URGANCH SHAHRI GULZOR MFY ABDULLA QODIRIY KUCHASI 51-A UY</t>
        </is>
      </c>
      <c r="H1373" s="111">
        <v>8.0</v>
      </c>
      <c r="I1373" s="111">
        <v>4118486.8</v>
      </c>
    </row>
    <row r="1374">
      <c r="A1374" s="110" t="inlineStr">
        <is>
          <t xml:space="preserve">ХОРАЗМ ВИЛОЯТИ</t>
        </is>
      </c>
      <c r="C1374" s="110" t="inlineStr">
        <is>
          <t xml:space="preserve">Недозвон</t>
        </is>
      </c>
      <c r="D1374" s="110" t="inlineStr">
        <is>
          <t xml:space="preserve">Кр-99062735-2</t>
        </is>
      </c>
      <c r="E1374" s="110" t="inlineStr">
        <is>
          <t xml:space="preserve">SARIYEV DAVRONBEK SADULLAYEVICH</t>
        </is>
      </c>
      <c r="F1374" s="110" t="inlineStr">
        <is>
          <t xml:space="preserve">+998888141565 SMS UZI, 998704849100 SMS O’G’LI, 998974240009 SMS KELINI,</t>
        </is>
      </c>
      <c r="G1374" s="110" t="inlineStr">
        <is>
          <t xml:space="preserve">ХОРАЗМ ВИЛОЯТИ БОГОТ ТУМАНИ НАЙМАН ҚФЙ, ТОЗАБОЗОР МФЙ, ВАТАН КЎЧАСИ,  uy:61</t>
        </is>
      </c>
      <c r="H1374" s="111">
        <v>13.0</v>
      </c>
      <c r="I1374" s="111">
        <v>4059480.11</v>
      </c>
    </row>
    <row r="1375">
      <c r="A1375" s="110" t="inlineStr">
        <is>
          <t xml:space="preserve">ХОРАЗМ ВИЛОЯТИ</t>
        </is>
      </c>
      <c r="C1375" s="110" t="inlineStr">
        <is>
          <t xml:space="preserve">Недозвон</t>
        </is>
      </c>
      <c r="D1375" s="110" t="inlineStr">
        <is>
          <t xml:space="preserve">Кр-99064013-1</t>
        </is>
      </c>
      <c r="E1375" s="110" t="inlineStr">
        <is>
          <t xml:space="preserve">XAMRAYEV FARRUX ERGASH O’G’LI</t>
        </is>
      </c>
      <c r="F1375" s="110" t="inlineStr">
        <is>
          <t xml:space="preserve">+998931855551 SMS O’ZI, 998942301506 SMS AYOLI, 998942301507 SMS DO’STI,</t>
        </is>
      </c>
      <c r="G1375" s="110" t="inlineStr">
        <is>
          <t xml:space="preserve">ХОРАЗМ ВИЛОЯТИ ХОНКА ТУМАНИ ҚОРАҚОШ ҚФЙ, МУСТАКИЛЛИК МФЙ,  Узбегим кучаси 65-uy:Р/С</t>
        </is>
      </c>
      <c r="H1375" s="111">
        <v>8.0</v>
      </c>
      <c r="I1375" s="111">
        <v>4019978.41</v>
      </c>
    </row>
    <row r="1376">
      <c r="A1376" s="110" t="inlineStr">
        <is>
          <t xml:space="preserve">ХОРАЗМ ВИЛОЯТИ</t>
        </is>
      </c>
      <c r="C1376" s="110" t="inlineStr">
        <is>
          <t xml:space="preserve">Недозвон</t>
        </is>
      </c>
      <c r="D1376" s="110" t="inlineStr">
        <is>
          <t xml:space="preserve">Кр-99050892-2</t>
        </is>
      </c>
      <c r="E1376" s="110" t="inlineStr">
        <is>
          <t xml:space="preserve">XALNIYAZOVA GUZAL SATIMBAYEVNA</t>
        </is>
      </c>
      <c r="F1376" s="110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1376" s="110" t="inlineStr">
        <is>
          <t xml:space="preserve">ХОРАЗМ ВИЛОЯТИ УРГАНЧ ШАХРИ Al-Xorazmiy MFY, Shabnam ko’chasi, 112-uy</t>
        </is>
      </c>
      <c r="H1376" s="111">
        <v>8.0</v>
      </c>
      <c r="I1376" s="111">
        <v>3952954.03</v>
      </c>
    </row>
    <row r="1377">
      <c r="A1377" s="110" t="inlineStr">
        <is>
          <t xml:space="preserve">ХОРАЗМ ВИЛОЯТИ</t>
        </is>
      </c>
      <c r="C1377" s="110" t="inlineStr">
        <is>
          <t xml:space="preserve">Недозвон</t>
        </is>
      </c>
      <c r="D1377" s="110" t="inlineStr">
        <is>
          <t xml:space="preserve">Кр-99062488-1</t>
        </is>
      </c>
      <c r="E1377" s="110" t="inlineStr">
        <is>
          <t xml:space="preserve">ABDULLAYEVA MUXADDAS URAZBAYEVNA</t>
        </is>
      </c>
      <c r="F1377" s="110" t="inlineStr">
        <is>
          <t xml:space="preserve">998919977070 SMS ERI, 998992147010 SMS OZI, 998957458000 SMS OGLI, 998886012424 SMS QIZI,</t>
        </is>
      </c>
      <c r="G1377" s="110" t="inlineStr">
        <is>
          <t xml:space="preserve">XORAZM VILOYATI URGANCH SHAHRI SAXOVAT MFY FERUZ KUCHASI 82-UY</t>
        </is>
      </c>
      <c r="H1377" s="111">
        <v>8.0</v>
      </c>
      <c r="I1377" s="111">
        <v>3899296.08</v>
      </c>
    </row>
    <row r="1378">
      <c r="A1378" s="110" t="inlineStr">
        <is>
          <t xml:space="preserve">ХОРАЗМ ВИЛОЯТИ</t>
        </is>
      </c>
      <c r="C1378" s="110" t="inlineStr">
        <is>
          <t xml:space="preserve">Недозвон</t>
        </is>
      </c>
      <c r="D1378" s="110" t="inlineStr">
        <is>
          <t xml:space="preserve">Кр-99050357-1</t>
        </is>
      </c>
      <c r="E1378" s="110" t="inlineStr">
        <is>
          <t xml:space="preserve">POLVANOV MARDONBEK KOMILOVICH</t>
        </is>
      </c>
      <c r="F1378" s="110" t="inlineStr">
        <is>
          <t xml:space="preserve">+998942342171 SMS UZI, 998945751609 SMS QIZI 2, 998952390916 SMS QIZI,</t>
        </is>
      </c>
      <c r="G1378" s="110" t="inlineStr">
        <is>
          <t xml:space="preserve">ХОРАЗМ ВИЛОЯТИ ЯНГИАРИК ТУМАНИ ОСТОНА ҚФЙ, ЧАКИР МФЙ, ЖАЗИБАДОР КЎЧАСИ,  uy:5</t>
        </is>
      </c>
      <c r="H1378" s="111">
        <v>8.0</v>
      </c>
      <c r="I1378" s="111">
        <v>3881485.51</v>
      </c>
    </row>
    <row r="1379">
      <c r="A1379" s="110" t="inlineStr">
        <is>
          <t xml:space="preserve">ХОРАЗМ ВИЛОЯТИ</t>
        </is>
      </c>
      <c r="C1379" s="110" t="inlineStr">
        <is>
          <t xml:space="preserve">Недозвон</t>
        </is>
      </c>
      <c r="D1379" s="110" t="inlineStr">
        <is>
          <t xml:space="preserve">Кр-99063613-1</t>
        </is>
      </c>
      <c r="E1379" s="110" t="inlineStr">
        <is>
          <t xml:space="preserve">OTABOYEV XAMIDJON FARHOD O’G’LI</t>
        </is>
      </c>
      <c r="F1379" s="110" t="inlineStr">
        <is>
          <t xml:space="preserve">+998941921899 SMS UZI, 998939420716 SMS UZI 2, 998948350365 SMS DO’STI,</t>
        </is>
      </c>
      <c r="G1379" s="110" t="inlineStr">
        <is>
          <t xml:space="preserve">ХОРАЗМ ВИЛОЯТИ ТУПРОККАЛЪА ТУМАНИ Пастом МФЙ, Бунёдкор кучаси, 2-уй</t>
        </is>
      </c>
      <c r="H1379" s="111">
        <v>8.0</v>
      </c>
      <c r="I1379" s="111">
        <v>3829106.53</v>
      </c>
    </row>
    <row r="1380">
      <c r="A1380" s="110" t="inlineStr">
        <is>
          <t xml:space="preserve">ХОРАЗМ ВИЛОЯТИ</t>
        </is>
      </c>
      <c r="C1380" s="110" t="inlineStr">
        <is>
          <t xml:space="preserve">Недозвон</t>
        </is>
      </c>
      <c r="D1380" s="110" t="inlineStr">
        <is>
          <t xml:space="preserve">Кр-99063108-1</t>
        </is>
      </c>
      <c r="E1380" s="110" t="inlineStr">
        <is>
          <t xml:space="preserve">KURAMBAYEVA MUKADDAS RUZIMBAYEVNA</t>
        </is>
      </c>
      <c r="F1380" s="110" t="inlineStr">
        <is>
          <t xml:space="preserve">998973607370 OZI, 998938610022 OGLI, 998937492223 KELINI, 998955360151 DUGONASI,</t>
        </is>
      </c>
      <c r="G1380" s="110" t="inlineStr">
        <is>
          <t xml:space="preserve">XORAZM VILOYATI URGANCH TUMANI OQ ARIQLAR MFY USMON NOSIR 3 TOR KUCHASI 10A UY</t>
        </is>
      </c>
      <c r="H1380" s="111">
        <v>8.0</v>
      </c>
      <c r="I1380" s="111">
        <v>3774319.05</v>
      </c>
    </row>
    <row r="1381">
      <c r="A1381" s="110" t="inlineStr">
        <is>
          <t xml:space="preserve">ХОРАЗМ ВИЛОЯТИ</t>
        </is>
      </c>
      <c r="C1381" s="110" t="inlineStr">
        <is>
          <t xml:space="preserve">Недозвон</t>
        </is>
      </c>
      <c r="D1381" s="110" t="inlineStr">
        <is>
          <t xml:space="preserve">Кр-99060858-1</t>
        </is>
      </c>
      <c r="E1381" s="110" t="inlineStr">
        <is>
          <t xml:space="preserve">G’AYIPOV ZOXIDJON NORMATOVICH</t>
        </is>
      </c>
      <c r="F1381" s="110" t="inlineStr">
        <is>
          <t xml:space="preserve">998908238036 ozi, 998774878500 ayoli, 998948248036 ogli,</t>
        </is>
      </c>
      <c r="G1381" s="110" t="inlineStr">
        <is>
          <t xml:space="preserve">Манзил: XORAZM VILOYATI SHOVOT TUMANI ASAVEY MFY BAXOR KO’CHASI 17-UY  </t>
        </is>
      </c>
      <c r="H1381" s="111">
        <v>8.0</v>
      </c>
      <c r="I1381" s="111">
        <v>3251093.77</v>
      </c>
    </row>
    <row r="1382">
      <c r="A1382" s="110" t="inlineStr">
        <is>
          <t xml:space="preserve">ХОРАЗМ ВИЛОЯТИ</t>
        </is>
      </c>
      <c r="C1382" s="110" t="inlineStr">
        <is>
          <t xml:space="preserve">Недозвон</t>
        </is>
      </c>
      <c r="D1382" s="110" t="inlineStr">
        <is>
          <t xml:space="preserve">Кр-99063200-1</t>
        </is>
      </c>
      <c r="E1382" s="110" t="inlineStr">
        <is>
          <t xml:space="preserve">SAPAYEV DILMUROD DURDIBEKOVICH</t>
        </is>
      </c>
      <c r="F1382" s="110" t="inlineStr">
        <is>
          <t xml:space="preserve">+998505722430 SMS UZI, 998334499565 SMS AYOLI, 998995957765 SMS ONASI,</t>
        </is>
      </c>
      <c r="G1382" s="110" t="inlineStr">
        <is>
          <t xml:space="preserve">ХОРАЗМ ВИЛОЯТИ ХИВА ШАХРИ Қумясқа МФЙ, Қудратли кучаси, 10-уй</t>
        </is>
      </c>
      <c r="H1382" s="111">
        <v>8.0</v>
      </c>
      <c r="I1382" s="111">
        <v>3169043.78</v>
      </c>
    </row>
    <row r="1383">
      <c r="A1383" s="110" t="inlineStr">
        <is>
          <t xml:space="preserve">ХОРАЗМ ВИЛОЯТИ</t>
        </is>
      </c>
      <c r="C1383" s="110" t="inlineStr">
        <is>
          <t xml:space="preserve">Недозвон</t>
        </is>
      </c>
      <c r="D1383" s="110" t="inlineStr">
        <is>
          <t xml:space="preserve">Кр-99063594-1</t>
        </is>
      </c>
      <c r="E1383" s="110" t="inlineStr">
        <is>
          <t xml:space="preserve">OLLAYOROV JAHONGIR SAIDNAZAROVICH</t>
        </is>
      </c>
      <c r="F1383" s="110" t="inlineStr">
        <is>
          <t xml:space="preserve">+998339011562 SMS UZI, 998885122290 SMS AYOLI, 998931172786 SMS UZI 2,</t>
        </is>
      </c>
      <c r="G1383" s="110" t="inlineStr">
        <is>
          <t xml:space="preserve">САЁТ ҚФЙ, ЧИНОБОД МФЙ, ЖАЙХУН ОБОД,  uy:99</t>
        </is>
      </c>
      <c r="H1383" s="111">
        <v>8.0</v>
      </c>
      <c r="I1383" s="111">
        <v>3106474.88</v>
      </c>
    </row>
    <row r="1384">
      <c r="A1384" s="110" t="inlineStr">
        <is>
          <t xml:space="preserve">ХОРАЗМ ВИЛОЯТИ</t>
        </is>
      </c>
      <c r="C1384" s="110" t="inlineStr">
        <is>
          <t xml:space="preserve">Недозвон</t>
        </is>
      </c>
      <c r="D1384" s="110" t="inlineStr">
        <is>
          <t xml:space="preserve">Кр-99063183-1</t>
        </is>
      </c>
      <c r="E1384" s="110" t="inlineStr">
        <is>
          <t xml:space="preserve">RO’ZIMOVA MUNAVVAR XXX</t>
        </is>
      </c>
      <c r="F1384" s="110" t="inlineStr">
        <is>
          <t xml:space="preserve">+998935345727 SMS UZI, 998940471414 SMS O’G’LI,</t>
        </is>
      </c>
      <c r="G1384" s="110" t="inlineStr">
        <is>
          <t xml:space="preserve">ХОРАЗМ ВИЛОЯТИ ЯНГИАРИК ТУМАНИ КАРМИШ ҚФЙ, ШИХБОГИ МФЙ, УЧ ХОВЛИ, 3 ТОР КЎЧАСИ,  uy:5</t>
        </is>
      </c>
      <c r="H1384" s="111">
        <v>8.0</v>
      </c>
      <c r="I1384" s="111">
        <v>2859447.62</v>
      </c>
    </row>
    <row r="1385">
      <c r="A1385" s="110" t="inlineStr">
        <is>
          <t xml:space="preserve">ХОРАЗМ ВИЛОЯТИ</t>
        </is>
      </c>
      <c r="C1385" s="110" t="inlineStr">
        <is>
          <t xml:space="preserve">Недозвон</t>
        </is>
      </c>
      <c r="D1385" s="110" t="inlineStr">
        <is>
          <t xml:space="preserve">Кр-99058711-1</t>
        </is>
      </c>
      <c r="E1385" s="110" t="inlineStr">
        <is>
          <t xml:space="preserve">KARIMOV KAMIL XXX</t>
        </is>
      </c>
      <c r="F1385" s="110" t="inlineStr">
        <is>
          <t xml:space="preserve">998787380477 SMS OZI, 998870356737 SMS AYOLI, 998887925535 SMS OGLI , 998883533372 SMS OGLI2,</t>
        </is>
      </c>
      <c r="G1385" s="110" t="inlineStr">
        <is>
          <t xml:space="preserve">XORAZM VILOYATI YANGIARIQ TUMANI SHAYXBOG’I MFY   SHAYXBOG’I  28-UY</t>
        </is>
      </c>
      <c r="H1385" s="111">
        <v>8.0</v>
      </c>
      <c r="I1385" s="111">
        <v>2609784.25</v>
      </c>
    </row>
    <row r="1386">
      <c r="A1386" s="110" t="inlineStr">
        <is>
          <t xml:space="preserve">ХОРАЗМ ВИЛОЯТИ</t>
        </is>
      </c>
      <c r="C1386" s="110" t="inlineStr">
        <is>
          <t xml:space="preserve">Недозвон</t>
        </is>
      </c>
      <c r="D1386" s="110" t="inlineStr">
        <is>
          <t xml:space="preserve">Кр-99052098-1</t>
        </is>
      </c>
      <c r="E1386" s="110" t="inlineStr">
        <is>
          <t xml:space="preserve">SULTONNAZIROV SHOXRUX MATKARIMOVICH</t>
        </is>
      </c>
      <c r="F1386" s="110" t="inlineStr">
        <is>
          <t xml:space="preserve">+998701324121 SMS UZI, 998930662024 SMS AYOLI, 998974599900 SMS AKASI,</t>
        </is>
      </c>
      <c r="G1386" s="110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1386" s="111">
        <v>12.0</v>
      </c>
      <c r="I1386" s="111">
        <v>2238931.46</v>
      </c>
    </row>
    <row r="1387">
      <c r="A1387" s="110" t="inlineStr">
        <is>
          <t xml:space="preserve">ХОРАЗМ ВИЛОЯТИ</t>
        </is>
      </c>
      <c r="C1387" s="110" t="inlineStr">
        <is>
          <t xml:space="preserve">Недозвон</t>
        </is>
      </c>
      <c r="D1387" s="110" t="inlineStr">
        <is>
          <t xml:space="preserve">Кр-99052723-1</t>
        </is>
      </c>
      <c r="E1387" s="110" t="inlineStr">
        <is>
          <t xml:space="preserve">YANGIBOYEVA GULCHEHRA OLIMBOY QIZI</t>
        </is>
      </c>
      <c r="F1387" s="110" t="inlineStr">
        <is>
          <t xml:space="preserve">998996824132 SMS O'ZI, 998771032212 SMS ERI, 998770905503 SMS AKASI,</t>
        </is>
      </c>
      <c r="G1387" s="110" t="inlineStr">
        <is>
          <t xml:space="preserve">XORAZIM VILOYATI BOG’OT TUMANI MADANIYAT QFY OK-OLTIN MFY,ISTIKLOL 1-TOR KO’CHASI 48-UY</t>
        </is>
      </c>
      <c r="H1387" s="111">
        <v>8.0</v>
      </c>
      <c r="I1387" s="111">
        <v>2120796.39</v>
      </c>
    </row>
    <row r="1388">
      <c r="A1388" s="110" t="inlineStr">
        <is>
          <t xml:space="preserve">ХОРАЗМ ВИЛОЯТИ</t>
        </is>
      </c>
      <c r="C1388" s="110" t="inlineStr">
        <is>
          <t xml:space="preserve">Недозвон</t>
        </is>
      </c>
      <c r="D1388" s="110" t="inlineStr">
        <is>
          <t xml:space="preserve">Кр-99063248-1</t>
        </is>
      </c>
      <c r="E1388" s="110" t="inlineStr">
        <is>
          <t xml:space="preserve">EGAMOV EGAMBOY HAKIMBOY O’G’LI</t>
        </is>
      </c>
      <c r="F1388" s="110" t="inlineStr">
        <is>
          <t xml:space="preserve">998870102300 SMS OZI, 998907432778 SMS UKASI, 998943120877 SMS AKASI,</t>
        </is>
      </c>
      <c r="G1388" s="110" t="inlineStr">
        <is>
          <t xml:space="preserve">IIV 33212 XORAZM VILOYATI QUSHKUPIR TUMANI SHIXMASHXAD MFY YANGI QORAMON KUCHASI 8/1 UY</t>
        </is>
      </c>
      <c r="H1388" s="111">
        <v>13.0</v>
      </c>
      <c r="I1388" s="111">
        <v>1776082.58</v>
      </c>
    </row>
    <row r="1389">
      <c r="A1389" s="110" t="inlineStr">
        <is>
          <t xml:space="preserve">ХОРАЗМ ВИЛОЯТИ</t>
        </is>
      </c>
      <c r="C1389" s="110" t="inlineStr">
        <is>
          <t xml:space="preserve">Недозвон</t>
        </is>
      </c>
      <c r="D1389" s="110" t="inlineStr">
        <is>
          <t xml:space="preserve">Кр-99054790-1</t>
        </is>
      </c>
      <c r="E1389" s="110" t="inlineStr">
        <is>
          <t xml:space="preserve">PIROV BAXTISHOD NURJONOVICH</t>
        </is>
      </c>
      <c r="F1389" s="110" t="inlineStr">
        <is>
          <t xml:space="preserve">998942936700 SMS O’ZI, 998944699496 SMS O’G’LI, 998949979496 SMS QIZI, 998505996067 SMS AYOLI,</t>
        </is>
      </c>
      <c r="G1389" s="110" t="inlineStr">
        <is>
          <t xml:space="preserve">XORAZM VILOYATI SHOVOT TUMANI IDALIQAL’A MFY GULZOR KUCHASI 70-UY</t>
        </is>
      </c>
      <c r="I1389" s="111">
        <v>1667072.14</v>
      </c>
    </row>
    <row r="1390">
      <c r="A1390" s="110" t="inlineStr">
        <is>
          <t xml:space="preserve">ХОРАЗМ ВИЛОЯТИ</t>
        </is>
      </c>
      <c r="C1390" s="110" t="inlineStr">
        <is>
          <t xml:space="preserve">Недозвон</t>
        </is>
      </c>
      <c r="D1390" s="110" t="inlineStr">
        <is>
          <t xml:space="preserve">Кр-99057362-2</t>
        </is>
      </c>
      <c r="E1390" s="110" t="inlineStr">
        <is>
          <t xml:space="preserve">ATADJANOV XAITBAY XXX</t>
        </is>
      </c>
      <c r="F1390" s="110" t="inlineStr">
        <is>
          <t xml:space="preserve">998994405155 SMS O’G’LI (TULOVCHI), 998904335450 SMS UZI, 998416596063 SMS UZI 3, 998774818388 SMS UGLI,</t>
        </is>
      </c>
      <c r="G1390" s="110" t="inlineStr">
        <is>
          <t xml:space="preserve">XORAZM VILOYATI URGANCH SHAHRI GULZOR MFY ABDULLA QODIRIY KUCHASI 51-A UY</t>
        </is>
      </c>
      <c r="H1390" s="111">
        <v>8.0</v>
      </c>
      <c r="I1390" s="111">
        <v>1406567.1</v>
      </c>
    </row>
    <row r="1391">
      <c r="A1391" s="110" t="inlineStr">
        <is>
          <t xml:space="preserve">ХОРАЗМ ВИЛОЯТИ</t>
        </is>
      </c>
      <c r="C1391" s="110" t="inlineStr">
        <is>
          <t xml:space="preserve">Недозвон</t>
        </is>
      </c>
      <c r="D1391" s="110" t="inlineStr">
        <is>
          <t xml:space="preserve">Кр-99063791-1</t>
        </is>
      </c>
      <c r="E1391" s="110" t="inlineStr">
        <is>
          <t xml:space="preserve">YAQUBOV ELDORBEK BEKTURDI O’G’LI</t>
        </is>
      </c>
      <c r="F1391" s="110" t="inlineStr">
        <is>
          <t xml:space="preserve">+998884022102 SMS UZI, 998932845577 SMS UYI, 998940114036 SMS DO’STI, 998994514036 SMS DO’STI,</t>
        </is>
      </c>
      <c r="G1391" s="110" t="inlineStr">
        <is>
          <t xml:space="preserve">ХОРАЗМ ВИЛОЯТИ ХОНКА Ш., ВАТАНПАРВАР МФЙ, СЕВИНЧ, 2 БЕРК КЎЧАСИ,  uy:32</t>
        </is>
      </c>
      <c r="H1391" s="111">
        <v>8.0</v>
      </c>
      <c r="I1391" s="111">
        <v>1379094.59</v>
      </c>
    </row>
    <row r="1392">
      <c r="A1392" s="110" t="inlineStr">
        <is>
          <t xml:space="preserve">ХОРАЗМ ВИЛОЯТИ</t>
        </is>
      </c>
      <c r="C1392" s="110" t="inlineStr">
        <is>
          <t xml:space="preserve">Недозвон</t>
        </is>
      </c>
      <c r="D1392" s="110" t="inlineStr">
        <is>
          <t xml:space="preserve">Кр-99052651-2</t>
        </is>
      </c>
      <c r="E1392" s="110" t="inlineStr">
        <is>
          <t xml:space="preserve">TURABOYEV XUSNIDDIN JONIBEK O’G’LI</t>
        </is>
      </c>
      <c r="F1392" s="110" t="inlineStr">
        <is>
          <t xml:space="preserve">998953376818 SMS OZI,</t>
        </is>
      </c>
      <c r="G1392" s="110" t="inlineStr">
        <is>
          <t xml:space="preserve">YANGIBOZOR TUMANI TOZADO’RMON MFY. OLMAZOR 1 KO’CHASI 24-UY</t>
        </is>
      </c>
      <c r="H1392" s="111">
        <v>8.0</v>
      </c>
      <c r="I1392" s="111">
        <v>1339388.3</v>
      </c>
    </row>
    <row r="1393">
      <c r="A1393" s="110" t="inlineStr">
        <is>
          <t xml:space="preserve">ХОРАЗМ ВИЛОЯТИ</t>
        </is>
      </c>
      <c r="C1393" s="110" t="inlineStr">
        <is>
          <t xml:space="preserve">Недозвон</t>
        </is>
      </c>
      <c r="D1393" s="110" t="inlineStr">
        <is>
          <t xml:space="preserve">Кр-99056258-1</t>
        </is>
      </c>
      <c r="E1393" s="110" t="inlineStr">
        <is>
          <t xml:space="preserve">ABDUSHARIPOV QUDRATBEK QUVONDIQOVICH</t>
        </is>
      </c>
      <c r="F1393" s="110" t="inlineStr">
        <is>
          <t xml:space="preserve">998772770008 SMS OZI, 998950690015 SMS AYOLI, 998339993307 SMS UKASI, 998507561756 SMS AKASI,</t>
        </is>
      </c>
      <c r="G1393" s="110" t="inlineStr">
        <is>
          <t xml:space="preserve">XORAZM VILOYATI URGANCH SHAHAR BINOKOR KO’CHASI 21/1</t>
        </is>
      </c>
      <c r="I1393" s="111">
        <v>1122205.36</v>
      </c>
    </row>
    <row r="1394">
      <c r="A1394" s="110" t="inlineStr">
        <is>
          <t xml:space="preserve">ХОРАЗМ ВИЛОЯТИ</t>
        </is>
      </c>
      <c r="C1394" s="110" t="inlineStr">
        <is>
          <t xml:space="preserve">Недозвон</t>
        </is>
      </c>
      <c r="D1394" s="110" t="inlineStr">
        <is>
          <t xml:space="preserve">Кр-99062622-1</t>
        </is>
      </c>
      <c r="E1394" s="110" t="inlineStr">
        <is>
          <t xml:space="preserve">MATQURBANOVA GULNORA QO’ZIBOYEVNA</t>
        </is>
      </c>
      <c r="F1394" s="110" t="inlineStr">
        <is>
          <t xml:space="preserve">+998997412708 SMS UZI, 998970904717 SMS ERI, 998973310706 SMS O’G’LI,</t>
        </is>
      </c>
      <c r="G1394" s="110" t="inlineStr">
        <is>
          <t xml:space="preserve">ХОРАЗМ ВИЛОЯТИ КУШКУПИР ТУМАНИ КОТОГОН ҚФЙ, БАРАТЛАР МФЙ,  НУРХАЁТ КУЧАСИ 1-УЙ</t>
        </is>
      </c>
      <c r="H1394" s="111">
        <v>8.0</v>
      </c>
      <c r="I1394" s="111">
        <v>1027638.22</v>
      </c>
    </row>
    <row r="1395">
      <c r="A1395" s="110" t="inlineStr">
        <is>
          <t xml:space="preserve">ХОРАЗМ ВИЛОЯТИ</t>
        </is>
      </c>
      <c r="C1395" s="110" t="inlineStr">
        <is>
          <t xml:space="preserve">Недозвон</t>
        </is>
      </c>
      <c r="D1395" s="110" t="inlineStr">
        <is>
          <t xml:space="preserve">Кр-99063527-1</t>
        </is>
      </c>
      <c r="E1395" s="110" t="inlineStr">
        <is>
          <t xml:space="preserve">OTABAYEV DIYORBEK ULUG’BEKOVICH</t>
        </is>
      </c>
      <c r="F1395" s="110" t="inlineStr">
        <is>
          <t xml:space="preserve">+998918621807 SMS UZI, 998905599259 SMS DO’STI, 998914282802 SMS DO’STI,</t>
        </is>
      </c>
      <c r="G1395" s="110" t="inlineStr">
        <is>
          <t xml:space="preserve">ХОРАЗМ ВИЛОЯТИ УРГАНЧ ШАХРИ Ziyokorlar MFY, Yangiobod ko’chasi, 79-uy</t>
        </is>
      </c>
      <c r="H1395" s="111">
        <v>8.0</v>
      </c>
      <c r="I1395" s="111">
        <v>852867.15</v>
      </c>
    </row>
    <row r="1396">
      <c r="A1396" s="110" t="inlineStr">
        <is>
          <t xml:space="preserve">ХОРАЗМ ВИЛОЯТИ</t>
        </is>
      </c>
      <c r="C1396" s="110" t="inlineStr">
        <is>
          <t xml:space="preserve">Недозвон</t>
        </is>
      </c>
      <c r="D1396" s="110" t="inlineStr">
        <is>
          <t xml:space="preserve">Кр-99063013-4</t>
        </is>
      </c>
      <c r="E1396" s="110" t="inlineStr">
        <is>
          <t xml:space="preserve">JUMANIYOZOVA SHOXISTA BAXTIYOROVNA</t>
        </is>
      </c>
      <c r="F1396" s="110" t="inlineStr">
        <is>
          <t xml:space="preserve">+998993924494 SMS UZI, 998957377005 SMS ERI, 998990835394 SMS QIZI,</t>
        </is>
      </c>
      <c r="G1396" s="110" t="inlineStr">
        <is>
          <t xml:space="preserve">Хорезмская область, Багатский район, Маданият ССГ, Ок-олтин МСГ, ул. Истиклол, пр. 1, дом 349</t>
        </is>
      </c>
      <c r="H1396" s="111">
        <v>8.0</v>
      </c>
      <c r="I1396" s="111">
        <v>484884.53</v>
      </c>
    </row>
    <row r="1397">
      <c r="A1397" s="110" t="inlineStr">
        <is>
          <t xml:space="preserve">ХОРАЗМ ВИЛОЯТИ</t>
        </is>
      </c>
      <c r="C1397" s="110" t="inlineStr">
        <is>
          <t xml:space="preserve">Недозвон</t>
        </is>
      </c>
      <c r="D1397" s="110" t="inlineStr">
        <is>
          <t xml:space="preserve">Кр-99063223-1</t>
        </is>
      </c>
      <c r="E1397" s="110" t="inlineStr">
        <is>
          <t xml:space="preserve">RAXIMOV RASUL ISMAILOVICH</t>
        </is>
      </c>
      <c r="F1397" s="110" t="inlineStr">
        <is>
          <t xml:space="preserve">+998882242141 SMS UZI, 998873941424 SMS AYOLI, 998976092101 SMS O’G’LI,</t>
        </is>
      </c>
      <c r="G1397" s="110" t="inlineStr">
        <is>
          <t xml:space="preserve">ШИХМАХШАД ШФЙ, ЗАРБДОР МФЙ,  uy:Р/С</t>
        </is>
      </c>
      <c r="H1397" s="111">
        <v>8.0</v>
      </c>
      <c r="I1397" s="111">
        <v>404373.75</v>
      </c>
    </row>
    <row r="1398">
      <c r="A1398" s="112" t="inlineStr">
        <is>
          <t xml:space="preserve">ХОРАЗМ ВИЛОЯТИ</t>
        </is>
      </c>
      <c r="B1398" s="112" t="inlineStr">
        <is>
          <t xml:space="preserve">BOSH OFIS</t>
        </is>
      </c>
      <c r="C1398" s="112" t="inlineStr">
        <is>
          <t xml:space="preserve">Недозвон</t>
        </is>
      </c>
      <c r="D1398" s="112" t="inlineStr">
        <is>
          <t xml:space="preserve">Кр-99022070-5</t>
        </is>
      </c>
      <c r="E1398" s="112" t="inlineStr">
        <is>
          <t xml:space="preserve">BABAJONOVA DILNOZA KADAMBOYEVNA</t>
        </is>
      </c>
      <c r="F1398" s="112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398" s="112" t="inlineStr">
        <is>
          <t xml:space="preserve">XORAZM VILOYATI URGANCH SHAXAR NAVRUZ MAXALLASI NAVBAHOR 3-TOR KUCHASI 36-UY</t>
        </is>
      </c>
      <c r="H1398" s="113">
        <v>11.0</v>
      </c>
      <c r="I1398" s="113">
        <v>26341600.27</v>
      </c>
      <c r="K1398" s="112" t="inlineStr">
        <is>
          <t xml:space="preserve">Telefon ko'tarmadi | oy oxiriga yopad | 125</t>
        </is>
      </c>
    </row>
    <row r="1399">
      <c r="A1399" s="114" t="inlineStr">
        <is>
          <t xml:space="preserve">ХОРАЗМ ВИЛОЯТИ</t>
        </is>
      </c>
      <c r="B1399" s="114" t="inlineStr">
        <is>
          <t xml:space="preserve">SUPER BRANCH</t>
        </is>
      </c>
      <c r="C1399" s="114" t="inlineStr">
        <is>
          <t xml:space="preserve">Недозвон</t>
        </is>
      </c>
      <c r="D1399" s="114" t="inlineStr">
        <is>
          <t xml:space="preserve">Кр-99040506-1</t>
        </is>
      </c>
      <c r="E1399" s="114" t="inlineStr">
        <is>
          <t xml:space="preserve">POLVONOVA GULI PALVANOVNA</t>
        </is>
      </c>
      <c r="F1399" s="114" t="inlineStr">
        <is>
          <t xml:space="preserve">998771410273 SMS OZI, 998959841939 SMS SINGLSI, 998700579694 SMS JIYANI,</t>
        </is>
      </c>
      <c r="G1399" s="114" t="inlineStr">
        <is>
          <t xml:space="preserve">XORAZM VILOYATI URGANCH SHAHRI GULCHILAR MSG AL-BERUNIY 25A UY 6 XONADON</t>
        </is>
      </c>
      <c r="H1399" s="115">
        <v>102.0</v>
      </c>
      <c r="I1399" s="115">
        <v>26198941.05</v>
      </c>
      <c r="K1399" s="114" t="inlineStr">
        <is>
          <t xml:space="preserve">m | 992</t>
        </is>
      </c>
    </row>
    <row r="1400">
      <c r="A1400" s="114" t="inlineStr">
        <is>
          <t xml:space="preserve">ХОРАЗМ ВИЛОЯТИ</t>
        </is>
      </c>
      <c r="B1400" s="114" t="inlineStr">
        <is>
          <t xml:space="preserve">SUPER BRANCH</t>
        </is>
      </c>
      <c r="C1400" s="114" t="inlineStr">
        <is>
          <t xml:space="preserve">Недозвон</t>
        </is>
      </c>
      <c r="D1400" s="114" t="inlineStr">
        <is>
          <t xml:space="preserve">Кр-99039581-1</t>
        </is>
      </c>
      <c r="E1400" s="114" t="inlineStr">
        <is>
          <t xml:space="preserve">BABOJONOVA YORQINOY EGAMBERGANOVNA</t>
        </is>
      </c>
      <c r="F1400" s="114" t="inlineStr">
        <is>
          <t xml:space="preserve">998904308082 SMS OZI, 998912778683 SMS TOLOVCHI, 998935491659 SMS KELINI, 998919878683 SMS JIYANI, 998505891659 SMS TOLOVCHI,</t>
        </is>
      </c>
      <c r="G1400" s="114" t="inlineStr">
        <is>
          <t xml:space="preserve">XORAZM VILOYATI SHOVOT TUMANI TUPROQQALA MFY LUTFIY KUCHASI 6-UY </t>
        </is>
      </c>
      <c r="H1400" s="115">
        <v>32.0</v>
      </c>
      <c r="I1400" s="115">
        <v>14670386.95</v>
      </c>
      <c r="K1400" s="114" t="inlineStr">
        <is>
          <t xml:space="preserve">m | 886</t>
        </is>
      </c>
    </row>
    <row r="1401">
      <c r="A1401" s="114" t="inlineStr">
        <is>
          <t xml:space="preserve">ХОРАЗМ ВИЛОЯТИ</t>
        </is>
      </c>
      <c r="B1401" s="114" t="inlineStr">
        <is>
          <t xml:space="preserve">SUPER BRANCH</t>
        </is>
      </c>
      <c r="C1401" s="114" t="inlineStr">
        <is>
          <t xml:space="preserve">Объезд</t>
        </is>
      </c>
      <c r="D1401" s="114" t="inlineStr">
        <is>
          <t xml:space="preserve">Кр-99063184-1</t>
        </is>
      </c>
      <c r="E1401" s="114" t="inlineStr">
        <is>
          <t xml:space="preserve">ABDULLAYEV ZOHIDJON IBODULLAYEVICH</t>
        </is>
      </c>
      <c r="F1401" s="114" t="inlineStr">
        <is>
          <t xml:space="preserve">998937795356 SMS OZI, 998957885356 SMS QIZI, 998937315356 SMS AYOLI, 998904360883 SMS ONASI,</t>
        </is>
      </c>
      <c r="G1401" s="114" t="inlineStr">
        <is>
          <t xml:space="preserve">XORAZM VILOYATI BOG’OT TUMANI OBOD MFY YANGI TURMUSH KO’CHASI 81-UY</t>
        </is>
      </c>
      <c r="H1401" s="115">
        <v>11.0</v>
      </c>
      <c r="I1401" s="115">
        <v>7923088.71</v>
      </c>
      <c r="K1401" s="114" t="inlineStr">
        <is>
          <t xml:space="preserve">Uyiga borildi - va'da berdi | ertaga yopad | 1729</t>
        </is>
      </c>
    </row>
    <row r="1402">
      <c r="A1402" s="114" t="inlineStr">
        <is>
          <t xml:space="preserve">ХОРАЗМ ВИЛОЯТИ</t>
        </is>
      </c>
      <c r="B1402" s="114" t="inlineStr">
        <is>
          <t xml:space="preserve">SUPER BRANCH</t>
        </is>
      </c>
      <c r="C1402" s="114" t="inlineStr">
        <is>
          <t xml:space="preserve">Недозвон</t>
        </is>
      </c>
      <c r="D1402" s="114" t="inlineStr">
        <is>
          <t xml:space="preserve">Кр-99018792-4</t>
        </is>
      </c>
      <c r="E1402" s="114" t="inlineStr">
        <is>
          <t xml:space="preserve">QALANDAROV RUSLAN KADAMBAYEVICH</t>
        </is>
      </c>
      <c r="F1402" s="114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1402" s="114" t="inlineStr">
        <is>
          <t xml:space="preserve">XORAZM VILOYATI YANGIBOZOR TUMANI OYOQDO`RMAN QISHLOG`I YANGIOBOD MAXALLASI 92 UY</t>
        </is>
      </c>
      <c r="H1402" s="115">
        <v>8.0</v>
      </c>
      <c r="I1402" s="115">
        <v>7584689.24</v>
      </c>
      <c r="K1402" s="114" t="inlineStr">
        <is>
          <t xml:space="preserve">Telefon ko'tarmadi | fermer 20-sanadan kegin tolid | 79</t>
        </is>
      </c>
    </row>
    <row r="1403">
      <c r="A1403" s="114" t="inlineStr">
        <is>
          <t xml:space="preserve">ХОРАЗМ ВИЛОЯТИ</t>
        </is>
      </c>
      <c r="B1403" s="114" t="inlineStr">
        <is>
          <t xml:space="preserve">SUPER BRANCH</t>
        </is>
      </c>
      <c r="C1403" s="114" t="inlineStr">
        <is>
          <t xml:space="preserve">Недозвон</t>
        </is>
      </c>
      <c r="D1403" s="114" t="inlineStr">
        <is>
          <t xml:space="preserve">Кр-99040149-1</t>
        </is>
      </c>
      <c r="E1403" s="114" t="inlineStr">
        <is>
          <t xml:space="preserve">XUDOYBERGANOV DONIYOR QUVONDIQ O’G’LI</t>
        </is>
      </c>
      <c r="F1403" s="114" t="inlineStr">
        <is>
          <t xml:space="preserve">998507170080 SMS OZI, 998994358118 SMS AYOLI, 998991121100 SMS DOSTI,</t>
        </is>
      </c>
      <c r="G1403" s="114" t="inlineStr">
        <is>
          <t xml:space="preserve">XORAZM VILOYATI XAZORASP TUMANI ISHCHILAR MFY A.NAVOYI KUCHASI 8-UY</t>
        </is>
      </c>
      <c r="H1403" s="115">
        <v>8.0</v>
      </c>
      <c r="I1403" s="115">
        <v>5714270.54</v>
      </c>
      <c r="K1403" s="114" t="inlineStr">
        <is>
          <t xml:space="preserve">Telefon ko'tarmadi | kotarmad | 946</t>
        </is>
      </c>
    </row>
    <row r="1404">
      <c r="A1404" s="114" t="inlineStr">
        <is>
          <t xml:space="preserve">ХОРАЗМ ВИЛОЯТИ</t>
        </is>
      </c>
      <c r="B1404" s="114" t="inlineStr">
        <is>
          <t xml:space="preserve">SUPER BRANCH</t>
        </is>
      </c>
      <c r="C1404" s="114" t="inlineStr">
        <is>
          <t xml:space="preserve">Недозвон</t>
        </is>
      </c>
      <c r="D1404" s="114" t="inlineStr">
        <is>
          <t xml:space="preserve">Кр-99047267-1</t>
        </is>
      </c>
      <c r="E1404" s="114" t="inlineStr">
        <is>
          <t xml:space="preserve">BABAJONOV OYBEK BEYJANOVICH</t>
        </is>
      </c>
      <c r="F1404" s="114" t="inlineStr">
        <is>
          <t xml:space="preserve">998949900320 OZI, 998990264161 O’G’LI, 998774950911 KICHIK O’G’LI, 998901769343 KATTA O’G’LI,</t>
        </is>
      </c>
      <c r="G1404" s="114" t="inlineStr">
        <is>
          <t xml:space="preserve">XORAZM VILOYATI XONQA TUMANI NURAFSHON MSG JALOLADDIN MANGUBERDI KUCHASI 55-UY</t>
        </is>
      </c>
      <c r="H1404" s="115">
        <v>8.0</v>
      </c>
      <c r="I1404" s="115">
        <v>5075800.64</v>
      </c>
      <c r="K1404" s="114" t="inlineStr">
        <is>
          <t xml:space="preserve">Telefon ko'tarmadi | kotaramdm | 1255</t>
        </is>
      </c>
    </row>
    <row r="1405">
      <c r="A1405" s="114" t="inlineStr">
        <is>
          <t xml:space="preserve">ХОРАЗМ ВИЛОЯТИ</t>
        </is>
      </c>
      <c r="B1405" s="114" t="inlineStr">
        <is>
          <t xml:space="preserve">SUPER BRANCH</t>
        </is>
      </c>
      <c r="C1405" s="114" t="inlineStr">
        <is>
          <t xml:space="preserve">Недозвон</t>
        </is>
      </c>
      <c r="D1405" s="114" t="inlineStr">
        <is>
          <t xml:space="preserve">Кр-99040505-1</t>
        </is>
      </c>
      <c r="E1405" s="114" t="inlineStr">
        <is>
          <t xml:space="preserve">EGAMOVA XOLISXON ALLABERGANOVNA</t>
        </is>
      </c>
      <c r="F1405" s="114" t="inlineStr">
        <is>
          <t xml:space="preserve">998934531982 SMS ERI, 998934268290 SMS OZI, 998997464344 SMS AKASI, 998991167127 SMS UKASI,</t>
        </is>
      </c>
      <c r="G1405" s="114" t="inlineStr">
        <is>
          <t xml:space="preserve">XORAZM VILOYATI URGANCH SHAHAR MASHAL MFY XIVA 2-YULAK 3-UY</t>
        </is>
      </c>
      <c r="H1405" s="115">
        <v>8.0</v>
      </c>
      <c r="I1405" s="115">
        <v>5018393.55</v>
      </c>
      <c r="K1405" s="114" t="inlineStr">
        <is>
          <t xml:space="preserve">Telefon ko'tarmadi | kotarmad | 991</t>
        </is>
      </c>
    </row>
    <row r="1406">
      <c r="A1406" s="114" t="inlineStr">
        <is>
          <t xml:space="preserve">ХОРАЗМ ВИЛОЯТИ</t>
        </is>
      </c>
      <c r="B1406" s="114" t="inlineStr">
        <is>
          <t xml:space="preserve">SUPER BRANCH</t>
        </is>
      </c>
      <c r="C1406" s="114" t="inlineStr">
        <is>
          <t xml:space="preserve">Объезд</t>
        </is>
      </c>
      <c r="D1406" s="114" t="inlineStr">
        <is>
          <t xml:space="preserve">Кр-99059323-1</t>
        </is>
      </c>
      <c r="E1406" s="114" t="inlineStr">
        <is>
          <t xml:space="preserve">QO’ZIYEV YO’LDASHBOY BAXODIROVICH</t>
        </is>
      </c>
      <c r="F1406" s="114" t="inlineStr">
        <is>
          <t xml:space="preserve">999898733492 SMS OZI, 998995096105 SMS AKASI, 998127733772 SMS AKASI2, 998977900992 SMS KELINI,</t>
        </is>
      </c>
      <c r="G1406" s="114" t="inlineStr">
        <is>
          <t xml:space="preserve">XORAZM VILOYATI XIVA TUMANI SHOMOXULUM MFY OG’AINILAR KO’CHASI 6-UY</t>
        </is>
      </c>
      <c r="H1406" s="115">
        <v>8.0</v>
      </c>
      <c r="I1406" s="115">
        <v>4843985.85</v>
      </c>
      <c r="K1406" s="114" t="inlineStr">
        <is>
          <t xml:space="preserve">Uyiga borildi - va'da berdi | 20 sanagacha yopishga kelishibdi | 1498</t>
        </is>
      </c>
    </row>
    <row r="1407">
      <c r="A1407" s="114" t="inlineStr">
        <is>
          <t xml:space="preserve">ХОРАЗМ ВИЛОЯТИ</t>
        </is>
      </c>
      <c r="B1407" s="114" t="inlineStr">
        <is>
          <t xml:space="preserve">SUPER BRANCH</t>
        </is>
      </c>
      <c r="C1407" s="114" t="inlineStr">
        <is>
          <t xml:space="preserve">Недозвон</t>
        </is>
      </c>
      <c r="D1407" s="114" t="inlineStr">
        <is>
          <t xml:space="preserve">Кр-99039841-1</t>
        </is>
      </c>
      <c r="E1407" s="114" t="inlineStr">
        <is>
          <t xml:space="preserve">QURBONOV MAQSUD XXX</t>
        </is>
      </c>
      <c r="F1407" s="114" t="inlineStr">
        <is>
          <t xml:space="preserve">998988680132 SMS OZI, 998955248582 SMS OGLI, 998951318387 SMS QIZI begona, 998889529090 SMS  BEGONA,</t>
        </is>
      </c>
      <c r="G1407" s="114" t="inlineStr">
        <is>
          <t xml:space="preserve">XORAZM VILOYATI URGANCH TUMANI KO’NAOVUL MFY BOBODEXKON KO’CHASI 29-UY</t>
        </is>
      </c>
      <c r="H1407" s="115">
        <v>8.0</v>
      </c>
      <c r="I1407" s="115">
        <v>4704786.8</v>
      </c>
      <c r="K1407" s="114" t="inlineStr">
        <is>
          <t xml:space="preserve">Telefon ko'tarmadi | hamma nomerlari ochu | 912</t>
        </is>
      </c>
    </row>
    <row r="1408">
      <c r="A1408" s="114" t="inlineStr">
        <is>
          <t xml:space="preserve">ХОРАЗМ ВИЛОЯТИ</t>
        </is>
      </c>
      <c r="B1408" s="114" t="inlineStr">
        <is>
          <t xml:space="preserve">SUPER BRANCH</t>
        </is>
      </c>
      <c r="C1408" s="114" t="inlineStr">
        <is>
          <t xml:space="preserve">Недозвон</t>
        </is>
      </c>
      <c r="D1408" s="114" t="inlineStr">
        <is>
          <t xml:space="preserve">Кр-99040263-2</t>
        </is>
      </c>
      <c r="E1408" s="114" t="inlineStr">
        <is>
          <t xml:space="preserve">ABDULLAYEV BAXODIR ALIMBAYEVICH</t>
        </is>
      </c>
      <c r="F1408" s="114" t="inlineStr">
        <is>
          <t xml:space="preserve">998991660816 SMS OZI, 998990624394 SMS OZI 2, 998949923336 SMS OGLI,</t>
        </is>
      </c>
      <c r="G1408" s="114" t="inlineStr">
        <is>
          <t xml:space="preserve">XORAZM VILOYATI XONQA TUMANI PAXTAKOR MFY PAXTAKOR 4-TOR KO’CHASI 3-UY</t>
        </is>
      </c>
      <c r="H1408" s="115">
        <v>8.0</v>
      </c>
      <c r="I1408" s="115">
        <v>3634273.03</v>
      </c>
      <c r="K1408" s="114" t="inlineStr">
        <is>
          <t xml:space="preserve">Telefon ko'tarmadi | hamma nomeri ochu | 959</t>
        </is>
      </c>
    </row>
    <row r="1409">
      <c r="A1409" s="114" t="inlineStr">
        <is>
          <t xml:space="preserve">ХОРАЗМ ВИЛОЯТИ</t>
        </is>
      </c>
      <c r="B1409" s="114" t="inlineStr">
        <is>
          <t xml:space="preserve">SUPER BRANCH</t>
        </is>
      </c>
      <c r="C1409" s="114" t="inlineStr">
        <is>
          <t xml:space="preserve">Недозвон</t>
        </is>
      </c>
      <c r="D1409" s="114" t="inlineStr">
        <is>
          <t xml:space="preserve">Кр-99020745-4</t>
        </is>
      </c>
      <c r="E1409" s="114" t="inlineStr">
        <is>
          <t xml:space="preserve">JUMANOV OLIMBOY YULDOSHBAYEVICH</t>
        </is>
      </c>
      <c r="F1409" s="114" t="inlineStr">
        <is>
          <t xml:space="preserve">998905592535 SMS O’ZI, 998937550083 SMS DO’STI, 998907263177 SMS O’G’LI, 998995890838 SMS O’G’LI (begona),</t>
        </is>
      </c>
      <c r="G1409" s="114" t="inlineStr">
        <is>
          <t xml:space="preserve">XORAZM VILOYATI YANGIBOZOR TUMANI BO’STON MAXALLASI ZANGALOBOD KUCHASI 47-UY</t>
        </is>
      </c>
      <c r="H1409" s="115">
        <v>8.0</v>
      </c>
      <c r="I1409" s="115">
        <v>3314081.52</v>
      </c>
      <c r="K1409" s="114" t="inlineStr">
        <is>
          <t xml:space="preserve">Telefon ko'tarmadi | fermer 20-sanadan kegin tolid | 105</t>
        </is>
      </c>
    </row>
    <row r="1410">
      <c r="A1410" s="114" t="inlineStr">
        <is>
          <t xml:space="preserve">ХОРАЗМ ВИЛОЯТИ</t>
        </is>
      </c>
      <c r="B1410" s="114" t="inlineStr">
        <is>
          <t xml:space="preserve">SUPER BRANCH</t>
        </is>
      </c>
      <c r="C1410" s="114" t="inlineStr">
        <is>
          <t xml:space="preserve">Недозвон</t>
        </is>
      </c>
      <c r="D1410" s="114" t="inlineStr">
        <is>
          <t xml:space="preserve">Кр-99040078-1</t>
        </is>
      </c>
      <c r="E1410" s="114" t="inlineStr">
        <is>
          <t xml:space="preserve">ISMAILOVA  LAYLO  PAVLVANNAZAROVNA</t>
        </is>
      </c>
      <c r="F1410" s="114" t="inlineStr">
        <is>
          <t xml:space="preserve">998507970380 SMS ERI, 998904330302 SMS AYOLI, 998919192020 SMS OGLI,</t>
        </is>
      </c>
      <c r="G1410" s="114" t="inlineStr">
        <is>
          <t xml:space="preserve">URGANCH SHAHRI</t>
        </is>
      </c>
      <c r="H1410" s="115">
        <v>12.0</v>
      </c>
      <c r="I1410" s="115">
        <v>2901234.09</v>
      </c>
      <c r="K1410" s="114" t="inlineStr">
        <is>
          <t xml:space="preserve">Telefon ko'tarmadi | kotarmad | 936</t>
        </is>
      </c>
    </row>
    <row r="1411">
      <c r="A1411" s="114" t="inlineStr">
        <is>
          <t xml:space="preserve">ХОРАЗМ ВИЛОЯТИ</t>
        </is>
      </c>
      <c r="B1411" s="114" t="inlineStr">
        <is>
          <t xml:space="preserve">SUPER BRANCH</t>
        </is>
      </c>
      <c r="C1411" s="114" t="inlineStr">
        <is>
          <t xml:space="preserve">Недозвон</t>
        </is>
      </c>
      <c r="D1411" s="114" t="inlineStr">
        <is>
          <t xml:space="preserve">Кр-99039670-1</t>
        </is>
      </c>
      <c r="E1411" s="114" t="inlineStr">
        <is>
          <t xml:space="preserve">VAISOV JAVLONBEK BAXRAMOVICH</t>
        </is>
      </c>
      <c r="F1411" s="114" t="inlineStr">
        <is>
          <t xml:space="preserve">998995020106 SMS OZI, 998994191920 SMS AYOLI, 998914361920 SMS AYOLI 2, 998334141920 SMS OGLI,</t>
        </is>
      </c>
      <c r="G1411" s="114" t="inlineStr">
        <is>
          <t xml:space="preserve">XORAZM VILOYATI SHOVOT TUMANI QIYOT QFY QIYOT MFY BUNYODKOR 92-UY</t>
        </is>
      </c>
      <c r="H1411" s="115">
        <v>8.0</v>
      </c>
      <c r="I1411" s="115">
        <v>2218632.86</v>
      </c>
      <c r="K1411" s="114" t="inlineStr">
        <is>
          <t xml:space="preserve">Telefon ko'tarmadi | kotarmad | 898</t>
        </is>
      </c>
    </row>
    <row r="1412">
      <c r="A1412" s="114" t="inlineStr">
        <is>
          <t xml:space="preserve">ХОРАЗМ ВИЛОЯТИ</t>
        </is>
      </c>
      <c r="B1412" s="114" t="inlineStr">
        <is>
          <t xml:space="preserve">SUPER BRANCH</t>
        </is>
      </c>
      <c r="C1412" s="114" t="inlineStr">
        <is>
          <t xml:space="preserve">Недозвон</t>
        </is>
      </c>
      <c r="D1412" s="114" t="inlineStr">
        <is>
          <t xml:space="preserve">Кр-99046648-2</t>
        </is>
      </c>
      <c r="E1412" s="114" t="inlineStr">
        <is>
          <t xml:space="preserve">KURBANOV MANSUR RUSTAMOVICH</t>
        </is>
      </c>
      <c r="F1412" s="114" t="inlineStr">
        <is>
          <t xml:space="preserve">+998959856565 SMS UZI, 998772525545 SMS AYOLI begona, 998937445100 SMS OTASI,</t>
        </is>
      </c>
      <c r="G1412" s="114" t="inlineStr">
        <is>
          <t xml:space="preserve">ХОРАЗМ ВИЛОЯТИ УРГАНЧ Ш., БИНОКОР МФЙ, БИНОКОР КЎЧАСИ,  uy:35</t>
        </is>
      </c>
      <c r="H1412" s="115">
        <v>8.0</v>
      </c>
      <c r="I1412" s="115">
        <v>2158643.83</v>
      </c>
      <c r="K1412" s="114" t="inlineStr">
        <is>
          <t xml:space="preserve">Telefon ko'tarmadi | moshina mibda | 1248</t>
        </is>
      </c>
    </row>
    <row r="1413">
      <c r="A1413" s="114" t="inlineStr">
        <is>
          <t xml:space="preserve">ХОРАЗМ ВИЛОЯТИ</t>
        </is>
      </c>
      <c r="B1413" s="114" t="inlineStr">
        <is>
          <t xml:space="preserve">SUPER BRANCH</t>
        </is>
      </c>
      <c r="C1413" s="114" t="inlineStr">
        <is>
          <t xml:space="preserve">Недозвон</t>
        </is>
      </c>
      <c r="D1413" s="114" t="inlineStr">
        <is>
          <t xml:space="preserve">Кр-99036598-1</t>
        </is>
      </c>
      <c r="E1413" s="114" t="inlineStr">
        <is>
          <t xml:space="preserve">MATMURATOV UMRBEK KOMILOVICH</t>
        </is>
      </c>
      <c r="F1413" s="114" t="inlineStr">
        <is>
          <t xml:space="preserve">998915724490 SMS OZI, 998703900042 SMS OZI, 998997389192 SMS UKASI, 998991636075 SMS ONASI,</t>
        </is>
      </c>
      <c r="G1413" s="114" t="inlineStr">
        <is>
          <t xml:space="preserve">XORAZM VILOYATI BOG’OT TUMANI YANGI KADAM SHFY XIVA KO’CHASI 277</t>
        </is>
      </c>
      <c r="H1413" s="115">
        <v>5.0</v>
      </c>
      <c r="I1413" s="115">
        <v>1979622.33</v>
      </c>
      <c r="K1413" s="114" t="inlineStr">
        <is>
          <t xml:space="preserve">Telefon ko'tarmadi | kotarmad | 653</t>
        </is>
      </c>
    </row>
    <row r="1414">
      <c r="A1414" s="114" t="inlineStr">
        <is>
          <t xml:space="preserve">ХОРАЗМ ВИЛОЯТИ</t>
        </is>
      </c>
      <c r="B1414" s="114" t="inlineStr">
        <is>
          <t xml:space="preserve">SUPER BRANCH</t>
        </is>
      </c>
      <c r="C1414" s="114" t="inlineStr">
        <is>
          <t xml:space="preserve">Недозвон</t>
        </is>
      </c>
      <c r="D1414" s="114" t="inlineStr">
        <is>
          <t xml:space="preserve">Кр-99012130-5</t>
        </is>
      </c>
      <c r="E1414" s="114" t="inlineStr">
        <is>
          <t xml:space="preserve">SHAXNAZAROV TEMIRBEK UMIDBEK O’G’LI</t>
        </is>
      </c>
      <c r="F1414" s="114" t="inlineStr">
        <is>
          <t xml:space="preserve">99-542-98-19 SMS O’ZI, 99-541-98-19 SMS OTASI, 93-752-68-98 SMS UKASI BOBUR, 99-157-47-40 SMS SINGLISI(BEGONA), 998993812882 SMS UZI NEW,</t>
        </is>
      </c>
      <c r="G1414" s="114" t="inlineStr">
        <is>
          <t xml:space="preserve">XORAZM VILOYATI URGANCH TUMANI YUQORIBOG’ MFY OQ OLTIN KOCHASI 34-UY</t>
        </is>
      </c>
      <c r="H1414" s="115">
        <v>13.0</v>
      </c>
      <c r="I1414" s="115">
        <v>1613059.89</v>
      </c>
      <c r="K1414" s="114" t="inlineStr">
        <is>
          <t xml:space="preserve">Telefon ko'tarmadi | Rassiyadan pul kutvotti | 48</t>
        </is>
      </c>
    </row>
    <row r="1415">
      <c r="A1415" s="114" t="inlineStr">
        <is>
          <t xml:space="preserve">ХОРАЗМ ВИЛОЯТИ</t>
        </is>
      </c>
      <c r="B1415" s="114" t="inlineStr">
        <is>
          <t xml:space="preserve">SUPER BRANCH</t>
        </is>
      </c>
      <c r="C1415" s="114" t="inlineStr">
        <is>
          <t xml:space="preserve">Объезд</t>
        </is>
      </c>
      <c r="D1415" s="114" t="inlineStr">
        <is>
          <t xml:space="preserve">Кр-99059323-2</t>
        </is>
      </c>
      <c r="E1415" s="114" t="inlineStr">
        <is>
          <t xml:space="preserve">QO’ZIYEV YO’LDASHBOY BAXODIROVICH</t>
        </is>
      </c>
      <c r="F1415" s="114" t="inlineStr">
        <is>
          <t xml:space="preserve">999898733492 SMS OZI, 998995096105 SMS AKASI, 998127733772 SMS AKASI2, 998977900992 SMS KELINI,</t>
        </is>
      </c>
      <c r="G1415" s="114" t="inlineStr">
        <is>
          <t xml:space="preserve">XORAZM VILOYATI XIVA TUMANI SHOMOXULUM MFY OG’AINILAR KO’CHASI 6-UY</t>
        </is>
      </c>
      <c r="H1415" s="115">
        <v>8.0</v>
      </c>
      <c r="I1415" s="115">
        <v>930342.68</v>
      </c>
      <c r="K1415" s="114" t="inlineStr">
        <is>
          <t xml:space="preserve">Uyiga borildi - va'da berdi | 20 sanagacha yopishga kelishibdi | 1499</t>
        </is>
      </c>
    </row>
    <row r="1416">
      <c r="A1416" s="116" t="inlineStr">
        <is>
          <t xml:space="preserve">ХОРАЗМ ВИЛОЯТИ</t>
        </is>
      </c>
      <c r="B1416" s="116" t="inlineStr">
        <is>
          <t xml:space="preserve">Урганч филиали</t>
        </is>
      </c>
      <c r="C1416" s="116" t="inlineStr">
        <is>
          <t xml:space="preserve">Недозвон</t>
        </is>
      </c>
      <c r="D1416" s="116" t="inlineStr">
        <is>
          <t xml:space="preserve">Кр-99029612-1</t>
        </is>
      </c>
      <c r="E1416" s="116" t="inlineStr">
        <is>
          <t xml:space="preserve">OTAJONOV G’AYRATBEK MARKS O’G’LI</t>
        </is>
      </c>
      <c r="F1416" s="116" t="inlineStr">
        <is>
          <t xml:space="preserve">88-219-07-19  SMS UZI(begona), 88-649-22-11  SMS UKASI, 88-746-19-32  SMS ONASI, 88-485-15-35  SMS OTASI, 998881569799 SMS UZI new,</t>
        </is>
      </c>
      <c r="G1416" s="116" t="inlineStr">
        <is>
          <t xml:space="preserve">XORAZM VIL QO’SHKO’PIR TUM SHIXMAXSHAD SH MAXMUD QASHQARIY KUCH 21-UY</t>
        </is>
      </c>
      <c r="H1416" s="117">
        <v>211.0</v>
      </c>
      <c r="I1416" s="117">
        <v>27048067.16</v>
      </c>
      <c r="K1416" s="116" t="inlineStr">
        <is>
          <t xml:space="preserve">m | 285</t>
        </is>
      </c>
    </row>
    <row r="1417">
      <c r="A1417" s="116" t="inlineStr">
        <is>
          <t xml:space="preserve">ХОРАЗМ ВИЛОЯТИ</t>
        </is>
      </c>
      <c r="B1417" s="116" t="inlineStr">
        <is>
          <t xml:space="preserve">Урганч филиали</t>
        </is>
      </c>
      <c r="C1417" s="116" t="inlineStr">
        <is>
          <t xml:space="preserve">Недозвон</t>
        </is>
      </c>
      <c r="D1417" s="116" t="inlineStr">
        <is>
          <t xml:space="preserve">Кр-99041317-1</t>
        </is>
      </c>
      <c r="E1417" s="116" t="inlineStr">
        <is>
          <t xml:space="preserve">KARIMOV SARDORBEK AXMEDJANOVICH</t>
        </is>
      </c>
      <c r="F1417" s="116" t="inlineStr">
        <is>
          <t xml:space="preserve">+998886160585 SMS UZI, 998947101585 SMS AYOLI, 998990793313 SMS O’G’LI,</t>
        </is>
      </c>
      <c r="G1417" s="116" t="inlineStr">
        <is>
          <t xml:space="preserve">ЭСКИ ҚИЁТ ҚФЙ, КУШЧИ КАТТАБОГ МФЙ, ЖАСУР,  uy:476</t>
        </is>
      </c>
      <c r="H1417" s="117">
        <v>133.0</v>
      </c>
      <c r="I1417" s="117">
        <v>22199792.57</v>
      </c>
      <c r="K1417" s="116" t="inlineStr">
        <is>
          <t xml:space="preserve">m | 1086</t>
        </is>
      </c>
    </row>
    <row r="1418">
      <c r="A1418" s="116" t="inlineStr">
        <is>
          <t xml:space="preserve">ХОРАЗМ ВИЛОЯТИ</t>
        </is>
      </c>
      <c r="B1418" s="116" t="inlineStr">
        <is>
          <t xml:space="preserve">Урганч филиали</t>
        </is>
      </c>
      <c r="C1418" s="116" t="inlineStr">
        <is>
          <t xml:space="preserve">Недозвон</t>
        </is>
      </c>
      <c r="D1418" s="116" t="inlineStr">
        <is>
          <t xml:space="preserve">Кр-99042671-1</t>
        </is>
      </c>
      <c r="E1418" s="116" t="inlineStr">
        <is>
          <t xml:space="preserve">ALLABERGANOVA SO’NA QAZAQOVNA</t>
        </is>
      </c>
      <c r="F1418" s="116" t="inlineStr">
        <is>
          <t xml:space="preserve">+998876079107 SMS O’G’LI, 998972119107 SMS KELINI, 998976706820 SMS O’ZI,</t>
        </is>
      </c>
      <c r="G1418" s="116" t="inlineStr">
        <is>
          <t xml:space="preserve">ХОРАЗМ ВИЛОЯТИ ХОНКА ТУМАНИ КИРК-ЁП ҚФЙ, ДЎРМОН МФЙ,  uy:Р/С</t>
        </is>
      </c>
      <c r="H1418" s="117">
        <v>71.0</v>
      </c>
      <c r="I1418" s="117">
        <v>13266522.7</v>
      </c>
      <c r="K1418" s="116" t="inlineStr">
        <is>
          <t xml:space="preserve">m | 1168</t>
        </is>
      </c>
    </row>
    <row r="1419">
      <c r="A1419" s="116" t="inlineStr">
        <is>
          <t xml:space="preserve">ХОРАЗМ ВИЛОЯТИ</t>
        </is>
      </c>
      <c r="B1419" s="116" t="inlineStr">
        <is>
          <t xml:space="preserve">Урганч филиали</t>
        </is>
      </c>
      <c r="C1419" s="116" t="inlineStr">
        <is>
          <t xml:space="preserve">Недозвон</t>
        </is>
      </c>
      <c r="D1419" s="116" t="inlineStr">
        <is>
          <t xml:space="preserve">Кр-99031735-1</t>
        </is>
      </c>
      <c r="E1419" s="116" t="inlineStr">
        <is>
          <t xml:space="preserve">KOMILJONOV OLLASHUKUR QUVONDIQ O’G’LI</t>
        </is>
      </c>
      <c r="F1419" s="116" t="inlineStr">
        <is>
          <t xml:space="preserve">998887172402 SMS O’ZI, 998938629499 SMS TOG’ASI, 998889231077 SMS ONASI, 998943143640 SMS OTASI,</t>
        </is>
      </c>
      <c r="G1419" s="116" t="inlineStr">
        <is>
          <t xml:space="preserve">XORAZM VILOYATI YANGIARIQ TUMANI CHAKIR MAXALLASI CHAKIR TOSH KUCHASI 50 UY</t>
        </is>
      </c>
      <c r="H1419" s="117">
        <v>155.0</v>
      </c>
      <c r="I1419" s="117">
        <v>10799978.9</v>
      </c>
      <c r="K1419" s="116" t="inlineStr">
        <is>
          <t xml:space="preserve">m | 370</t>
        </is>
      </c>
    </row>
    <row r="1420">
      <c r="A1420" s="116" t="inlineStr">
        <is>
          <t xml:space="preserve">ХОРАЗМ ВИЛОЯТИ</t>
        </is>
      </c>
      <c r="B1420" s="116" t="inlineStr">
        <is>
          <t xml:space="preserve">Урганч филиали</t>
        </is>
      </c>
      <c r="C1420" s="116" t="inlineStr">
        <is>
          <t xml:space="preserve">Недозвон</t>
        </is>
      </c>
      <c r="D1420" s="116" t="inlineStr">
        <is>
          <t xml:space="preserve">Кр-99033624-1</t>
        </is>
      </c>
      <c r="E1420" s="116" t="inlineStr">
        <is>
          <t xml:space="preserve">SAPAYEV KUVANDIK KAMILOVICH</t>
        </is>
      </c>
      <c r="F1420" s="116" t="inlineStr">
        <is>
          <t xml:space="preserve">998330667174 SMS O’ZI, 998914223737 SMS O’G’LI, 998883717174 SMS O’G’LI, 998932946708 SMS O’G’LI 2, 998914277174 Ozi New, 998971403313 Ogli New,</t>
        </is>
      </c>
      <c r="G1420" s="116" t="inlineStr">
        <is>
          <t xml:space="preserve">XORAZM VILOYATI XIVA TUMANI GANDIMIYON QFY PARISHA MFY TUYG’U KUCHASI 132-UY</t>
        </is>
      </c>
      <c r="H1420" s="117">
        <v>92.0</v>
      </c>
      <c r="I1420" s="117">
        <v>9162983.14</v>
      </c>
      <c r="K1420" s="116" t="inlineStr">
        <is>
          <t xml:space="preserve">m | 472</t>
        </is>
      </c>
    </row>
    <row r="1421">
      <c r="A1421" s="116" t="inlineStr">
        <is>
          <t xml:space="preserve">ХОРАЗМ ВИЛОЯТИ</t>
        </is>
      </c>
      <c r="B1421" s="116" t="inlineStr">
        <is>
          <t xml:space="preserve">Урганч филиали</t>
        </is>
      </c>
      <c r="C1421" s="116" t="inlineStr">
        <is>
          <t xml:space="preserve">Недозвон</t>
        </is>
      </c>
      <c r="D1421" s="116" t="inlineStr">
        <is>
          <t xml:space="preserve">Кр-99022070-7</t>
        </is>
      </c>
      <c r="E1421" s="116" t="inlineStr">
        <is>
          <t xml:space="preserve">BABAJONOVA DILNOZA KADAMBOYEVNA</t>
        </is>
      </c>
      <c r="F1421" s="116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421" s="116" t="inlineStr">
        <is>
          <t xml:space="preserve">XORAZM VILOYATI URGANCH SHAXAR NAVRUZ MAXALLASI NAVBAHOR 3-TOR KUCHASI 36-UY</t>
        </is>
      </c>
      <c r="H1421" s="117">
        <v>11.0</v>
      </c>
      <c r="I1421" s="117">
        <v>6498874.53</v>
      </c>
      <c r="K1421" s="116" t="inlineStr">
        <is>
          <t xml:space="preserve">Telefon ko'tarmadi | oy oxiriga yopad | 127</t>
        </is>
      </c>
    </row>
    <row r="1422">
      <c r="A1422" s="116" t="inlineStr">
        <is>
          <t xml:space="preserve">ХОРАЗМ ВИЛОЯТИ</t>
        </is>
      </c>
      <c r="B1422" s="116" t="inlineStr">
        <is>
          <t xml:space="preserve">Урганч филиали</t>
        </is>
      </c>
      <c r="C1422" s="116" t="inlineStr">
        <is>
          <t xml:space="preserve">Недозвон</t>
        </is>
      </c>
      <c r="D1422" s="116" t="inlineStr">
        <is>
          <t xml:space="preserve">Кр-99033024-1</t>
        </is>
      </c>
      <c r="E1422" s="116" t="inlineStr">
        <is>
          <t xml:space="preserve">QADIROV BOZORBAY XUDAYBERGANOVICH</t>
        </is>
      </c>
      <c r="F1422" s="116" t="inlineStr">
        <is>
          <t xml:space="preserve">998934121071 SMS O’ZI, 998933464686 SMS O’G’LI begona, 998933150574 SMS AYOLI, 998974515974 SMS O’ZI 2,</t>
        </is>
      </c>
      <c r="G1422" s="116" t="inlineStr">
        <is>
          <t xml:space="preserve">XORAZM VILOYATI XONQA TUMANI TURKISTON MFY XORAZM KUCHASI 24-UY</t>
        </is>
      </c>
      <c r="H1422" s="117">
        <v>53.0</v>
      </c>
      <c r="I1422" s="117">
        <v>5435925.19</v>
      </c>
      <c r="K1422" s="116" t="inlineStr">
        <is>
          <t xml:space="preserve">m | 421</t>
        </is>
      </c>
    </row>
    <row r="1423">
      <c r="A1423" s="116" t="inlineStr">
        <is>
          <t xml:space="preserve">ХОРАЗМ ВИЛОЯТИ</t>
        </is>
      </c>
      <c r="B1423" s="116" t="inlineStr">
        <is>
          <t xml:space="preserve">Урганч филиали</t>
        </is>
      </c>
      <c r="C1423" s="116" t="inlineStr">
        <is>
          <t xml:space="preserve">Недозвон</t>
        </is>
      </c>
      <c r="D1423" s="116" t="inlineStr">
        <is>
          <t xml:space="preserve">Кр-99043212-1</t>
        </is>
      </c>
      <c r="E1423" s="116" t="inlineStr">
        <is>
          <t xml:space="preserve">MATYAKUBOVA GULCHEXRA KODIROVNA</t>
        </is>
      </c>
      <c r="F1423" s="116" t="inlineStr">
        <is>
          <t xml:space="preserve">+998919197377 SMS O’G’LI (TO’LOVCHI), 998200291262 SMS UZI, 998919959323 SMS KELINI,</t>
        </is>
      </c>
      <c r="G1423" s="116" t="inlineStr">
        <is>
          <t xml:space="preserve">ХОРАЗМ ВИЛОЯТИ ШОВОТ ТУМАНИ БЕШМАРГАН ҚФЙ, БЕШМАРГАН МФЙ, БЕШМАРГАН КЎЧАСИ,  uy:27</t>
        </is>
      </c>
      <c r="H1423" s="117">
        <v>8.0</v>
      </c>
      <c r="I1423" s="117">
        <v>5150754.9</v>
      </c>
      <c r="K1423" s="116" t="inlineStr">
        <is>
          <t xml:space="preserve">kotarmad | 1188</t>
        </is>
      </c>
    </row>
    <row r="1424">
      <c r="A1424" s="116" t="inlineStr">
        <is>
          <t xml:space="preserve">ХОРАЗМ ВИЛОЯТИ</t>
        </is>
      </c>
      <c r="B1424" s="116" t="inlineStr">
        <is>
          <t xml:space="preserve">Урганч филиали</t>
        </is>
      </c>
      <c r="C1424" s="116" t="inlineStr">
        <is>
          <t xml:space="preserve">Недозвон</t>
        </is>
      </c>
      <c r="D1424" s="116" t="inlineStr">
        <is>
          <t xml:space="preserve">Кр-99041201-1</t>
        </is>
      </c>
      <c r="E1424" s="116" t="inlineStr">
        <is>
          <t xml:space="preserve">SAPAYEVA MAXFIRA PALVANNAZAROVNA</t>
        </is>
      </c>
      <c r="F1424" s="116" t="inlineStr">
        <is>
          <t xml:space="preserve">+998948869119 SMS UZI begona, 998939182320 SMS UKASI, 998999666648 SMS SINGLISI,</t>
        </is>
      </c>
      <c r="G1424" s="116" t="inlineStr">
        <is>
          <t xml:space="preserve">Хорезмская область, Ургенч ш., Н.Кубро кўчаси 7-йўлак, дом 27, кв. 14</t>
        </is>
      </c>
      <c r="H1424" s="117">
        <v>8.0</v>
      </c>
      <c r="I1424" s="117">
        <v>5106008.84</v>
      </c>
      <c r="K1424" s="116" t="inlineStr">
        <is>
          <t xml:space="preserve">Telefon ko'tarmadi | nomeri ochu, tg yoq, mfyga qsam bunaqa ayol yoq bzada dvotti | 1070</t>
        </is>
      </c>
    </row>
    <row r="1425">
      <c r="A1425" s="116" t="inlineStr">
        <is>
          <t xml:space="preserve">ХОРАЗМ ВИЛОЯТИ</t>
        </is>
      </c>
      <c r="B1425" s="116" t="inlineStr">
        <is>
          <t xml:space="preserve">Урганч филиали</t>
        </is>
      </c>
      <c r="C1425" s="116" t="inlineStr">
        <is>
          <t xml:space="preserve">Объезд</t>
        </is>
      </c>
      <c r="D1425" s="116" t="inlineStr">
        <is>
          <t xml:space="preserve">Кр-99048761-1</t>
        </is>
      </c>
      <c r="E1425" s="116" t="inlineStr">
        <is>
          <t xml:space="preserve">RAXIMOV QADAMBOY RUSTAMOVICH</t>
        </is>
      </c>
      <c r="F1425" s="116" t="inlineStr">
        <is>
          <t xml:space="preserve">+998972214945 SMS O’G’LI, 998870014945 SMS AYOLI, 998876454945 SMS UZI,</t>
        </is>
      </c>
      <c r="G1425" s="116" t="inlineStr">
        <is>
          <t xml:space="preserve">ХОРАЗМ ВИЛОЯТИ ХОНКА Ш., ЖАННАТМАКОН МФЙ, НАФОСАТ, 1 ТОР КЎЧАСИ,  uy:20</t>
        </is>
      </c>
      <c r="H1425" s="117">
        <v>8.0</v>
      </c>
      <c r="I1425" s="117">
        <v>4957962.57</v>
      </c>
      <c r="K1425" s="116" t="inlineStr">
        <is>
          <t xml:space="preserve">Uyiga borildi - va'da berdi | muammo | 1281</t>
        </is>
      </c>
    </row>
    <row r="1426">
      <c r="A1426" s="116" t="inlineStr">
        <is>
          <t xml:space="preserve">ХОРАЗМ ВИЛОЯТИ</t>
        </is>
      </c>
      <c r="B1426" s="116" t="inlineStr">
        <is>
          <t xml:space="preserve">Урганч филиали</t>
        </is>
      </c>
      <c r="C1426" s="116" t="inlineStr">
        <is>
          <t xml:space="preserve">Объезд</t>
        </is>
      </c>
      <c r="D1426" s="116" t="inlineStr">
        <is>
          <t xml:space="preserve">Кр-99041388-1</t>
        </is>
      </c>
      <c r="E1426" s="116" t="inlineStr">
        <is>
          <t xml:space="preserve">ANNAKOV OYBEK RAJABOVICH</t>
        </is>
      </c>
      <c r="F1426" s="116" t="inlineStr">
        <is>
          <t xml:space="preserve">+998933103143 SMS UZI, 998500761161 SMS O’G’LI, 998947708191 SMS AYOLI,</t>
        </is>
      </c>
      <c r="G1426" s="116" t="inlineStr">
        <is>
          <t xml:space="preserve">КИРК-ЁП ҚФЙ, ОБОД МФЙ,  uy:Р/С</t>
        </is>
      </c>
      <c r="H1426" s="117">
        <v>8.0</v>
      </c>
      <c r="I1426" s="117">
        <v>4802915.23</v>
      </c>
      <c r="K1426" s="116" t="inlineStr">
        <is>
          <t xml:space="preserve">Uyiga borildi - va'da berdi | muammo | 1098</t>
        </is>
      </c>
    </row>
    <row r="1427">
      <c r="A1427" s="116" t="inlineStr">
        <is>
          <t xml:space="preserve">ХОРАЗМ ВИЛОЯТИ</t>
        </is>
      </c>
      <c r="B1427" s="116" t="inlineStr">
        <is>
          <t xml:space="preserve">Урганч филиали</t>
        </is>
      </c>
      <c r="C1427" s="116" t="inlineStr">
        <is>
          <t xml:space="preserve">Недозвон</t>
        </is>
      </c>
      <c r="D1427" s="116" t="inlineStr">
        <is>
          <t xml:space="preserve">Кр-99040804-1</t>
        </is>
      </c>
      <c r="E1427" s="116" t="inlineStr">
        <is>
          <t xml:space="preserve">TAJIYEV LAZIZBEK SAPARBAYEVICH</t>
        </is>
      </c>
      <c r="F1427" s="116" t="inlineStr">
        <is>
          <t xml:space="preserve">+998907138320 SMS UZI, 998914205742 SMS AYOLI, 998992582701 SMS O’G’LI,</t>
        </is>
      </c>
      <c r="G1427" s="116" t="inlineStr">
        <is>
          <t xml:space="preserve">Дўстлик МФЙ, Фаробий кучаси, 9-уй</t>
        </is>
      </c>
      <c r="H1427" s="117">
        <v>8.0</v>
      </c>
      <c r="I1427" s="117">
        <v>4708561.85</v>
      </c>
      <c r="K1427" s="116" t="inlineStr">
        <is>
          <t xml:space="preserve">Telefon ko'tarmadi | kotarmad | 1021</t>
        </is>
      </c>
    </row>
    <row r="1428">
      <c r="A1428" s="116" t="inlineStr">
        <is>
          <t xml:space="preserve">ХОРАЗМ ВИЛОЯТИ</t>
        </is>
      </c>
      <c r="B1428" s="116" t="inlineStr">
        <is>
          <t xml:space="preserve">Урганч филиали</t>
        </is>
      </c>
      <c r="C1428" s="116" t="inlineStr">
        <is>
          <t xml:space="preserve">Недозвон</t>
        </is>
      </c>
      <c r="D1428" s="116" t="inlineStr">
        <is>
          <t xml:space="preserve">Кр-99032651-1</t>
        </is>
      </c>
      <c r="E1428" s="116" t="inlineStr">
        <is>
          <t xml:space="preserve">OTAJONOV QUVANDIQ OTAJONOVICH</t>
        </is>
      </c>
      <c r="F1428" s="116" t="inlineStr">
        <is>
          <t xml:space="preserve">998939280990 SMS O’G’LI, 998888692895 SMS AYOLI, 998970241820 SMS UY, 998720260692 SMS UY 2,</t>
        </is>
      </c>
      <c r="G1428" s="116" t="inlineStr">
        <is>
          <t xml:space="preserve">XONQA TUMANI MADANIY YER MFY ALPOMISH KUCHASI 22A UY</t>
        </is>
      </c>
      <c r="H1428" s="117">
        <v>1.0</v>
      </c>
      <c r="I1428" s="117">
        <v>4668102.94</v>
      </c>
      <c r="K1428" s="116" t="inlineStr">
        <is>
          <t xml:space="preserve">Telefon ko'tarmadi | kotarmad | 407</t>
        </is>
      </c>
    </row>
    <row r="1429">
      <c r="A1429" s="116" t="inlineStr">
        <is>
          <t xml:space="preserve">ХОРАЗМ ВИЛОЯТИ</t>
        </is>
      </c>
      <c r="B1429" s="116" t="inlineStr">
        <is>
          <t xml:space="preserve">Урганч филиали</t>
        </is>
      </c>
      <c r="C1429" s="116" t="inlineStr">
        <is>
          <t xml:space="preserve">Недозвон</t>
        </is>
      </c>
      <c r="D1429" s="116" t="inlineStr">
        <is>
          <t xml:space="preserve">Кр-99047926-1</t>
        </is>
      </c>
      <c r="E1429" s="116" t="inlineStr">
        <is>
          <t xml:space="preserve">QADIROV NIZOMBOY ALLABERGANOVICH</t>
        </is>
      </c>
      <c r="F1429" s="116" t="inlineStr">
        <is>
          <t xml:space="preserve">+998937536776 SMS UZI, 998942359728 SMS QIZI,</t>
        </is>
      </c>
      <c r="G1429" s="116" t="inlineStr">
        <is>
          <t xml:space="preserve">ХОРАЗМ ВИЛОЯТИ БОГОТ ТУМАНИ МИРИШКОР ҚФЙ, СОХИБКОР МФЙ, ХАЛК ОБОД КЎЧАСИ,  uy:60</t>
        </is>
      </c>
      <c r="H1429" s="117">
        <v>8.0</v>
      </c>
      <c r="I1429" s="117">
        <v>3935648.07</v>
      </c>
      <c r="K1429" s="116" t="inlineStr">
        <is>
          <t xml:space="preserve">Telefon ko'tarmadi | tel raqamlari ochiq | 1272</t>
        </is>
      </c>
    </row>
    <row r="1430">
      <c r="A1430" s="116" t="inlineStr">
        <is>
          <t xml:space="preserve">ХОРАЗМ ВИЛОЯТИ</t>
        </is>
      </c>
      <c r="B1430" s="116" t="inlineStr">
        <is>
          <t xml:space="preserve">Урганч филиали</t>
        </is>
      </c>
      <c r="C1430" s="116" t="inlineStr">
        <is>
          <t xml:space="preserve">Недозвон</t>
        </is>
      </c>
      <c r="D1430" s="116" t="inlineStr">
        <is>
          <t xml:space="preserve">Кр-99041907-1</t>
        </is>
      </c>
      <c r="E1430" s="116" t="inlineStr">
        <is>
          <t xml:space="preserve">NARMETOV BAXTIYOR SULTANOVICH</t>
        </is>
      </c>
      <c r="F1430" s="116" t="inlineStr">
        <is>
          <t xml:space="preserve">+998918652284 SMS UZI, 998910901875 SMS AYOLI, 998918650291 SMS O’G’LI,</t>
        </is>
      </c>
      <c r="G1430" s="116" t="inlineStr">
        <is>
          <t xml:space="preserve">ХОРАЗМ ВИЛОЯТИ КУШКУПИР ТУМАНИ ГОЗОВОТ ҚФЙ, ШЕРОБОД МФЙ, НУРОНИЙ КУЧАСИ uy:18</t>
        </is>
      </c>
      <c r="H1430" s="117">
        <v>8.0</v>
      </c>
      <c r="I1430" s="117">
        <v>3884076.37</v>
      </c>
      <c r="K1430" s="116" t="inlineStr">
        <is>
          <t xml:space="preserve">Telefon ko'tarmadi | kotarmad | 1141</t>
        </is>
      </c>
    </row>
    <row r="1431">
      <c r="A1431" s="116" t="inlineStr">
        <is>
          <t xml:space="preserve">ХОРАЗМ ВИЛОЯТИ</t>
        </is>
      </c>
      <c r="B1431" s="116" t="inlineStr">
        <is>
          <t xml:space="preserve">Урганч филиали</t>
        </is>
      </c>
      <c r="C1431" s="116" t="inlineStr">
        <is>
          <t xml:space="preserve">Объезд</t>
        </is>
      </c>
      <c r="D1431" s="116" t="inlineStr">
        <is>
          <t xml:space="preserve">Кр-99042876-2</t>
        </is>
      </c>
      <c r="E1431" s="116" t="inlineStr">
        <is>
          <t xml:space="preserve">MATKARIMOV UMAR QURBANBAYEVICH</t>
        </is>
      </c>
      <c r="F1431" s="116" t="inlineStr">
        <is>
          <t xml:space="preserve">+998882010454 SMS UZI, 998880544455 SMS O’G’LI, 998959441475 SMS UZI 2,</t>
        </is>
      </c>
      <c r="G1431" s="116" t="inlineStr">
        <is>
          <t xml:space="preserve">ХОРАЗМ ВИЛОЯТИ БОГОТ ТУМАНИ КОРАЁНТОК ҚФЙ, БОГЗОР МФЙ, ЁШЛАР КЎЧАСИ,  uy:23</t>
        </is>
      </c>
      <c r="H1431" s="117">
        <v>8.0</v>
      </c>
      <c r="I1431" s="117">
        <v>3818461.02</v>
      </c>
      <c r="K1431" s="116" t="inlineStr">
        <is>
          <t xml:space="preserve">Uyiga borildi - va'da berdi | Rassiyadan 22-sanagacha tashid | 1180</t>
        </is>
      </c>
    </row>
    <row r="1432">
      <c r="A1432" s="116" t="inlineStr">
        <is>
          <t xml:space="preserve">ХОРАЗМ ВИЛОЯТИ</t>
        </is>
      </c>
      <c r="B1432" s="116" t="inlineStr">
        <is>
          <t xml:space="preserve">Урганч филиали</t>
        </is>
      </c>
      <c r="C1432" s="116" t="inlineStr">
        <is>
          <t xml:space="preserve">Недозвон</t>
        </is>
      </c>
      <c r="D1432" s="116" t="inlineStr">
        <is>
          <t xml:space="preserve">Кр-99030259-1</t>
        </is>
      </c>
      <c r="E1432" s="116" t="inlineStr">
        <is>
          <t xml:space="preserve">XO’JANIYAZOVA MA’FTUNA UKTAMOVNA</t>
        </is>
      </c>
      <c r="F1432" s="116" t="inlineStr">
        <is>
          <t xml:space="preserve">90-649-60-65 SMS O’ZI, 90-579-60-65 SMS  ERI xezm , 99-053-12-43  SMS O’G’LI(BEGONA),</t>
        </is>
      </c>
      <c r="G1432" s="116" t="inlineStr">
        <is>
          <t xml:space="preserve">XORAZM VILOYATI SHOVOT TUMANI KATKALA MAXALLASI SEMURG KUCHASI 28-UY</t>
        </is>
      </c>
      <c r="H1432" s="117">
        <v>13.0</v>
      </c>
      <c r="I1432" s="117">
        <v>3533278.74</v>
      </c>
      <c r="K1432" s="116" t="inlineStr">
        <is>
          <t xml:space="preserve">Telefon ko'tarmadi | hamma raqami tanimiman db ochirib qoyad. Tg yoq, mfy biza bilgan nomerlani berad | 298</t>
        </is>
      </c>
    </row>
    <row r="1433">
      <c r="A1433" s="116" t="inlineStr">
        <is>
          <t xml:space="preserve">ХОРАЗМ ВИЛОЯТИ</t>
        </is>
      </c>
      <c r="B1433" s="116" t="inlineStr">
        <is>
          <t xml:space="preserve">Урганч филиали</t>
        </is>
      </c>
      <c r="C1433" s="116" t="inlineStr">
        <is>
          <t xml:space="preserve">Недозвон</t>
        </is>
      </c>
      <c r="D1433" s="116" t="inlineStr">
        <is>
          <t xml:space="preserve">Кр-99028495-1</t>
        </is>
      </c>
      <c r="E1433" s="116" t="inlineStr">
        <is>
          <t xml:space="preserve">ESHCHANOV BAXADIR SALOYOVICH</t>
        </is>
      </c>
      <c r="F1433" s="116" t="inlineStr">
        <is>
          <t xml:space="preserve">998995503738 SMS OZI, 998974569292 SMS OGLI, 998974579292 SMS KElini,</t>
        </is>
      </c>
      <c r="G1433" s="116" t="inlineStr">
        <is>
          <t xml:space="preserve">XORAZM VILOYATI GURLAN TUMANI BOG’ISHAMOL MAXALLASI SOHIBKOR KUCHASI 34 UY</t>
        </is>
      </c>
      <c r="H1433" s="117">
        <v>1.0</v>
      </c>
      <c r="I1433" s="117">
        <v>3472385.97</v>
      </c>
      <c r="K1433" s="116" t="inlineStr">
        <is>
          <t xml:space="preserve">Telefon ko'tarmadi | Kotarmad Tg yozdim | 233</t>
        </is>
      </c>
    </row>
    <row r="1434">
      <c r="A1434" s="116" t="inlineStr">
        <is>
          <t xml:space="preserve">ХОРАЗМ ВИЛОЯТИ</t>
        </is>
      </c>
      <c r="B1434" s="116" t="inlineStr">
        <is>
          <t xml:space="preserve">Урганч филиали</t>
        </is>
      </c>
      <c r="C1434" s="116" t="inlineStr">
        <is>
          <t xml:space="preserve">Недозвон</t>
        </is>
      </c>
      <c r="D1434" s="116" t="inlineStr">
        <is>
          <t xml:space="preserve">Кр-99030305-1</t>
        </is>
      </c>
      <c r="E1434" s="116" t="inlineStr">
        <is>
          <t xml:space="preserve">OZODBEKOV MUSABEK SAFARMAT O’G’LI</t>
        </is>
      </c>
      <c r="F1434" s="116" t="inlineStr">
        <is>
          <t xml:space="preserve">88-299-15-11  SMS O’ZI, 99-566-51-71 SMS  OTASI, 99-223-31-25  SMS ONASI, 88-923-33-99  SMS YANGASI,</t>
        </is>
      </c>
      <c r="G1434" s="116" t="inlineStr">
        <is>
          <t xml:space="preserve">XORAZM VILOYATI XONQA TUMANI NAVXOZ QFY ZINAXOS MFY KUKLAM KUYCHASI 169</t>
        </is>
      </c>
      <c r="H1434" s="117">
        <v>11.0</v>
      </c>
      <c r="I1434" s="117">
        <v>3406934.58</v>
      </c>
      <c r="K1434" s="116" t="inlineStr">
        <is>
          <t xml:space="preserve">Telefon ko'tarmadi | kotarmad, tg atvet kemayapti | 300</t>
        </is>
      </c>
    </row>
    <row r="1435">
      <c r="A1435" s="116" t="inlineStr">
        <is>
          <t xml:space="preserve">ХОРАЗМ ВИЛОЯТИ</t>
        </is>
      </c>
      <c r="B1435" s="116" t="inlineStr">
        <is>
          <t xml:space="preserve">Урганч филиали</t>
        </is>
      </c>
      <c r="C1435" s="116" t="inlineStr">
        <is>
          <t xml:space="preserve">Недозвон</t>
        </is>
      </c>
      <c r="D1435" s="116" t="inlineStr">
        <is>
          <t xml:space="preserve">Кр-99031116-1</t>
        </is>
      </c>
      <c r="E1435" s="116" t="inlineStr">
        <is>
          <t xml:space="preserve">BOBOJANOVA GULSHAN ZARIFOVNA</t>
        </is>
      </c>
      <c r="F1435" s="116" t="inlineStr">
        <is>
          <t xml:space="preserve">99-967-19-88  SMS O’ZI, 97-511-19-08  SMS ERI, 93-281-19-08  SMS ERI 2,</t>
        </is>
      </c>
      <c r="G1435" s="116" t="inlineStr">
        <is>
          <t xml:space="preserve">XORAZM VILOYATI YANGIARIQ TUMANI OGOXIY MFY MUSTAQILLIK KUCHASI 19-UY</t>
        </is>
      </c>
      <c r="H1435" s="117">
        <v>25.0</v>
      </c>
      <c r="I1435" s="117">
        <v>3387940.42</v>
      </c>
      <c r="K1435" s="116" t="inlineStr">
        <is>
          <t xml:space="preserve">m | 341</t>
        </is>
      </c>
    </row>
    <row r="1436">
      <c r="A1436" s="116" t="inlineStr">
        <is>
          <t xml:space="preserve">ХОРАЗМ ВИЛОЯТИ</t>
        </is>
      </c>
      <c r="B1436" s="116" t="inlineStr">
        <is>
          <t xml:space="preserve">Урганч филиали</t>
        </is>
      </c>
      <c r="C1436" s="116" t="inlineStr">
        <is>
          <t xml:space="preserve">Недозвон</t>
        </is>
      </c>
      <c r="D1436" s="116" t="inlineStr">
        <is>
          <t xml:space="preserve">Кр-99030602-1</t>
        </is>
      </c>
      <c r="E1436" s="116" t="inlineStr">
        <is>
          <t xml:space="preserve">ILHOMBOYEV OTAJON BAXROM O’G’LI</t>
        </is>
      </c>
      <c r="F1436" s="116" t="inlineStr">
        <is>
          <t xml:space="preserve">94-812-08-39  SMS O’ZI, 95-270-52-12  SMS ONASI, 88-603-33-53  SMS OPASI, 50-107-01-07  SMS OTASI(begona), 998940906707 SMS O'ZI 2,</t>
        </is>
      </c>
      <c r="G1436" s="116" t="inlineStr">
        <is>
          <t xml:space="preserve">XORAZM VILOYATI XAZARASP TUMANI J.MANGUBERDI MAXALLASI SH.RASHIDOV KUCHASI 17 UY</t>
        </is>
      </c>
      <c r="H1436" s="117">
        <v>4.0</v>
      </c>
      <c r="I1436" s="117">
        <v>3280134.77</v>
      </c>
      <c r="K1436" s="116" t="inlineStr">
        <is>
          <t xml:space="preserve">Telefon ko'tarmadi | hamma nomeri ochu, tg yoq, mfy biza aralashmimiz db ochirib qoydi | 316</t>
        </is>
      </c>
    </row>
    <row r="1437">
      <c r="A1437" s="116" t="inlineStr">
        <is>
          <t xml:space="preserve">ХОРАЗМ ВИЛОЯТИ</t>
        </is>
      </c>
      <c r="B1437" s="116" t="inlineStr">
        <is>
          <t xml:space="preserve">Урганч филиали</t>
        </is>
      </c>
      <c r="C1437" s="116" t="inlineStr">
        <is>
          <t xml:space="preserve">Недозвон</t>
        </is>
      </c>
      <c r="D1437" s="116" t="inlineStr">
        <is>
          <t xml:space="preserve">Кр-99031733-1</t>
        </is>
      </c>
      <c r="E1437" s="116" t="inlineStr">
        <is>
          <t xml:space="preserve">OTAJANOV XURSANDBEK BEKDURDI O’G’LI</t>
        </is>
      </c>
      <c r="F1437" s="116" t="inlineStr">
        <is>
          <t xml:space="preserve">998933328252 SMS O’ZI, 998507228171 SMS UKASI, 998883621581 SMS ONASI, 998949771571 SMS OTASI ogay otasi , 998932490367 SMS DAVLATMUROD ukasi,</t>
        </is>
      </c>
      <c r="G1437" s="116" t="inlineStr">
        <is>
          <t xml:space="preserve">XORAZM VILOYATI XAZORASP TUMANI AL-XORAZMIY MAXALLASI MUSTAQILLIK KUCHASI 10 DOM 7 UY</t>
        </is>
      </c>
      <c r="H1437" s="117">
        <v>4.0</v>
      </c>
      <c r="I1437" s="117">
        <v>3279321.25</v>
      </c>
      <c r="K1437" s="116" t="inlineStr">
        <is>
          <t xml:space="preserve">Telefon ko'tarmadi | tel ochiq, tg atvet kemid, mfy bizada bunaqa odam yashamid dd | 369</t>
        </is>
      </c>
    </row>
    <row r="1438">
      <c r="A1438" s="116" t="inlineStr">
        <is>
          <t xml:space="preserve">ХОРАЗМ ВИЛОЯТИ</t>
        </is>
      </c>
      <c r="B1438" s="116" t="inlineStr">
        <is>
          <t xml:space="preserve">Урганч филиали</t>
        </is>
      </c>
      <c r="C1438" s="116" t="inlineStr">
        <is>
          <t xml:space="preserve">Недозвон</t>
        </is>
      </c>
      <c r="D1438" s="116" t="inlineStr">
        <is>
          <t xml:space="preserve">Кр-99031721-1</t>
        </is>
      </c>
      <c r="E1438" s="116" t="inlineStr">
        <is>
          <t xml:space="preserve">SAMANDAROV SHAHZOD MANSURBEK O’G’LI</t>
        </is>
      </c>
      <c r="F1438" s="116" t="inlineStr">
        <is>
          <t xml:space="preserve">998932202826 SMS O’ZI, 998975109394 SMS OTASI, 998938509080 SMS ONASI, 998770518959 SMS UKASI, 998946494414 UZI NEWW,</t>
        </is>
      </c>
      <c r="G1438" s="116" t="inlineStr">
        <is>
          <t xml:space="preserve">XORAZM VILOYATI URGANCH TUMANI YUQORIBOG’ QFY XAMID OLIMJON MFY SHUKRONA KO’CHASI 4-UY</t>
        </is>
      </c>
      <c r="H1438" s="117">
        <v>4.0</v>
      </c>
      <c r="I1438" s="117">
        <v>3232528.82</v>
      </c>
      <c r="K1438" s="116" t="inlineStr">
        <is>
          <t xml:space="preserve">moshina filialda auksionga tayyorlanyapti | 368</t>
        </is>
      </c>
    </row>
    <row r="1439">
      <c r="A1439" s="116" t="inlineStr">
        <is>
          <t xml:space="preserve">ХОРАЗМ ВИЛОЯТИ</t>
        </is>
      </c>
      <c r="B1439" s="116" t="inlineStr">
        <is>
          <t xml:space="preserve">Урганч филиали</t>
        </is>
      </c>
      <c r="C1439" s="116" t="inlineStr">
        <is>
          <t xml:space="preserve">Недозвон</t>
        </is>
      </c>
      <c r="D1439" s="116" t="inlineStr">
        <is>
          <t xml:space="preserve">Кр-99032355-1</t>
        </is>
      </c>
      <c r="E1439" s="116" t="inlineStr">
        <is>
          <t xml:space="preserve">DAVLATOV ODILBEK NAZAROVICH</t>
        </is>
      </c>
      <c r="F1439" s="116" t="inlineStr">
        <is>
          <t xml:space="preserve">998933447912 SMS O’ZI, 998999462828 SMS O’G’LI, 998990157912 SMS UY, 998501511582 SMS AYOLI begona,</t>
        </is>
      </c>
      <c r="G1439" s="116" t="inlineStr">
        <is>
          <t xml:space="preserve">XORAZM VILOYATI QO’SHKO’PIR TUMANI SHIX QFY BOG’ZOR MFY OQYOP KUCHASI 222-UY</t>
        </is>
      </c>
      <c r="H1439" s="117">
        <v>8.0</v>
      </c>
      <c r="I1439" s="117">
        <v>3044227.53</v>
      </c>
      <c r="K1439" s="116" t="inlineStr">
        <is>
          <t xml:space="preserve">Telefon ko'tarmadi | kotarmad | 393</t>
        </is>
      </c>
    </row>
    <row r="1440">
      <c r="A1440" s="116" t="inlineStr">
        <is>
          <t xml:space="preserve">ХОРАЗМ ВИЛОЯТИ</t>
        </is>
      </c>
      <c r="B1440" s="116" t="inlineStr">
        <is>
          <t xml:space="preserve">Урганч филиали</t>
        </is>
      </c>
      <c r="C1440" s="116" t="inlineStr">
        <is>
          <t xml:space="preserve">Недозвон</t>
        </is>
      </c>
      <c r="D1440" s="116" t="inlineStr">
        <is>
          <t xml:space="preserve">Кр-99047148-1</t>
        </is>
      </c>
      <c r="E1440" s="116" t="inlineStr">
        <is>
          <t xml:space="preserve">TILLAYEV ULUG’BEK FARXODOVICH</t>
        </is>
      </c>
      <c r="F1440" s="116" t="inlineStr">
        <is>
          <t xml:space="preserve">+998937550083 SMS UZI ФЕРМЕР , 998883080715 SMS O’G’LI, 998936680715 SMS UYI,</t>
        </is>
      </c>
      <c r="G1440" s="116" t="inlineStr">
        <is>
          <t xml:space="preserve">ХОРАЗМ ВИЛОЯТИ ЯНГИБОЗОР ТУМАНИ ОЁКДУРМАН ҚФЙ, ХАЛКОБОД МФЙ, ДАЯКЎЛ КЎЧАСИ,  uy:8</t>
        </is>
      </c>
      <c r="H1440" s="117">
        <v>8.0</v>
      </c>
      <c r="I1440" s="117">
        <v>2862390.79</v>
      </c>
      <c r="K1440" s="116" t="inlineStr">
        <is>
          <t xml:space="preserve">Telefon ko'tarmadi | fermer oy oxirida yopad | 1250</t>
        </is>
      </c>
    </row>
    <row r="1441">
      <c r="A1441" s="116" t="inlineStr">
        <is>
          <t xml:space="preserve">ХОРАЗМ ВИЛОЯТИ</t>
        </is>
      </c>
      <c r="B1441" s="116" t="inlineStr">
        <is>
          <t xml:space="preserve">Урганч филиали</t>
        </is>
      </c>
      <c r="C1441" s="116" t="inlineStr">
        <is>
          <t xml:space="preserve">Недозвон</t>
        </is>
      </c>
      <c r="D1441" s="116" t="inlineStr">
        <is>
          <t xml:space="preserve">Кр-99030635-1</t>
        </is>
      </c>
      <c r="E1441" s="116" t="inlineStr">
        <is>
          <t xml:space="preserve">MADRIMOVA MAHLIYOXON MANSURBEKOVNA</t>
        </is>
      </c>
      <c r="F1441" s="116" t="inlineStr">
        <is>
          <t xml:space="preserve">93-744-00-80  SMS O’ZI, 91-860-34-44  SMS UKASI begona , 94-118-00-80  SMS ERI,</t>
        </is>
      </c>
      <c r="G1441" s="116" t="inlineStr">
        <is>
          <t xml:space="preserve">XORAZM VILOYATI URGANCH SHAHRI NAVBAXOR MAXALLASI ULUG’BEK KUCHASI 41 UY</t>
        </is>
      </c>
      <c r="H1441" s="117">
        <v>4.0</v>
      </c>
      <c r="I1441" s="117">
        <v>2787323.77</v>
      </c>
      <c r="K1441" s="116" t="inlineStr">
        <is>
          <t xml:space="preserve">Telefon ko'tarmadi | kotarmad, tgdan javob kemid, mfy biza aralashmimiz db ochirib qoydi | 322</t>
        </is>
      </c>
    </row>
    <row r="1442">
      <c r="A1442" s="116" t="inlineStr">
        <is>
          <t xml:space="preserve">ХОРАЗМ ВИЛОЯТИ</t>
        </is>
      </c>
      <c r="B1442" s="116" t="inlineStr">
        <is>
          <t xml:space="preserve">Урганч филиали</t>
        </is>
      </c>
      <c r="C1442" s="116" t="inlineStr">
        <is>
          <t xml:space="preserve">Недозвон</t>
        </is>
      </c>
      <c r="D1442" s="116" t="inlineStr">
        <is>
          <t xml:space="preserve">Кр-99030749-1</t>
        </is>
      </c>
      <c r="E1442" s="116" t="inlineStr">
        <is>
          <t xml:space="preserve">SULTANOVA ZIYADA RUZIMOVNA</t>
        </is>
      </c>
      <c r="F1442" s="116" t="inlineStr">
        <is>
          <t xml:space="preserve">97-452-12-63  SMS O’ZI, 97-518-08-21  SMS O’G’LI, 94-531-03-35  SMS JIYANI,</t>
        </is>
      </c>
      <c r="G1442" s="116" t="inlineStr">
        <is>
          <t xml:space="preserve">XORAZM VILOYATI URGANCH TUMANI OQ ARIK MAXALLASI USMON NOSIR KUCHASI 148 UY</t>
        </is>
      </c>
      <c r="H1442" s="117">
        <v>1.0</v>
      </c>
      <c r="I1442" s="117">
        <v>2746885.8</v>
      </c>
      <c r="K1442" s="116" t="inlineStr">
        <is>
          <t xml:space="preserve">Telefon ko'tarmadi | kotarmad tg yozdim | 332</t>
        </is>
      </c>
    </row>
    <row r="1443">
      <c r="A1443" s="116" t="inlineStr">
        <is>
          <t xml:space="preserve">ХОРАЗМ ВИЛОЯТИ</t>
        </is>
      </c>
      <c r="B1443" s="116" t="inlineStr">
        <is>
          <t xml:space="preserve">Урганч филиали</t>
        </is>
      </c>
      <c r="C1443" s="116" t="inlineStr">
        <is>
          <t xml:space="preserve">Недозвон</t>
        </is>
      </c>
      <c r="D1443" s="116" t="inlineStr">
        <is>
          <t xml:space="preserve">Кр-99033501-1</t>
        </is>
      </c>
      <c r="E1443" s="116" t="inlineStr">
        <is>
          <t xml:space="preserve">SETIMOV OTANAZAR SOTIMOVICH</t>
        </is>
      </c>
      <c r="F1443" s="116" t="inlineStr">
        <is>
          <t xml:space="preserve">998993325332 SMS O’ZI begona, 998883625332 SMS AYOLI, 998976087787 SMS KELINI begona, 998880040420 SMS O’G’LI,</t>
        </is>
      </c>
      <c r="G1443" s="116" t="inlineStr">
        <is>
          <t xml:space="preserve">XORAZM VILOYATI XONQA TUMANI PAXLAVONLAR MFY AVAZ O’TAR KUCHASI 5-UY</t>
        </is>
      </c>
      <c r="H1443" s="117">
        <v>4.0</v>
      </c>
      <c r="I1443" s="117">
        <v>2469554.49</v>
      </c>
      <c r="K1443" s="116" t="inlineStr">
        <is>
          <t xml:space="preserve">Telefon ko'tarmadi | kotarmad | 455</t>
        </is>
      </c>
    </row>
    <row r="1444">
      <c r="A1444" s="116" t="inlineStr">
        <is>
          <t xml:space="preserve">ХОРАЗМ ВИЛОЯТИ</t>
        </is>
      </c>
      <c r="B1444" s="116" t="inlineStr">
        <is>
          <t xml:space="preserve">Урганч филиали</t>
        </is>
      </c>
      <c r="C1444" s="116" t="inlineStr">
        <is>
          <t xml:space="preserve">Недозвон</t>
        </is>
      </c>
      <c r="D1444" s="116" t="inlineStr">
        <is>
          <t xml:space="preserve">Кр-99022070-6</t>
        </is>
      </c>
      <c r="E1444" s="116" t="inlineStr">
        <is>
          <t xml:space="preserve">BABAJONOVA DILNOZA KADAMBOYEVNA</t>
        </is>
      </c>
      <c r="F1444" s="116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444" s="116" t="inlineStr">
        <is>
          <t xml:space="preserve">XORAZM VILOYATI URGANCH SHAXAR NAVRUZ MAXALLASI NAVBAHOR 3-TOR KUCHASI 36-UY</t>
        </is>
      </c>
      <c r="H1444" s="117">
        <v>8.0</v>
      </c>
      <c r="I1444" s="117">
        <v>2163450.34</v>
      </c>
      <c r="K1444" s="116" t="inlineStr">
        <is>
          <t xml:space="preserve">Telefon ko'tarmadi | oy oxiriga yopad | 126</t>
        </is>
      </c>
    </row>
    <row r="1445">
      <c r="A1445" s="116" t="inlineStr">
        <is>
          <t xml:space="preserve">ХОРАЗМ ВИЛОЯТИ</t>
        </is>
      </c>
      <c r="B1445" s="116" t="inlineStr">
        <is>
          <t xml:space="preserve">Урганч филиали</t>
        </is>
      </c>
      <c r="C1445" s="116" t="inlineStr">
        <is>
          <t xml:space="preserve">Недозвон</t>
        </is>
      </c>
      <c r="D1445" s="116" t="inlineStr">
        <is>
          <t xml:space="preserve">Кр-99046648-1</t>
        </is>
      </c>
      <c r="E1445" s="116" t="inlineStr">
        <is>
          <t xml:space="preserve">KURBANOV MANSUR RUSTAMOVICH</t>
        </is>
      </c>
      <c r="F1445" s="116" t="inlineStr">
        <is>
          <t xml:space="preserve">+998959856565 SMS UZI, 998772525545 SMS AYOLI begona, 998937445100 SMS OTASI,</t>
        </is>
      </c>
      <c r="G1445" s="116" t="inlineStr">
        <is>
          <t xml:space="preserve">ХОРАЗМ ВИЛОЯТИ УРГАНЧ Ш., БИНОКОР МФЙ, БИНОКОР КЎЧАСИ,  uy:35</t>
        </is>
      </c>
      <c r="H1445" s="117">
        <v>8.0</v>
      </c>
      <c r="I1445" s="117">
        <v>2163137.33</v>
      </c>
      <c r="K1445" s="116" t="inlineStr">
        <is>
          <t xml:space="preserve">Telefon ko'tarmadi | moshina mibda | 1247</t>
        </is>
      </c>
    </row>
    <row r="1446">
      <c r="A1446" s="116" t="inlineStr">
        <is>
          <t xml:space="preserve">ХОРАЗМ ВИЛОЯТИ</t>
        </is>
      </c>
      <c r="B1446" s="116" t="inlineStr">
        <is>
          <t xml:space="preserve">Урганч филиали</t>
        </is>
      </c>
      <c r="C1446" s="116" t="inlineStr">
        <is>
          <t xml:space="preserve">Недозвон</t>
        </is>
      </c>
      <c r="D1446" s="116" t="inlineStr">
        <is>
          <t xml:space="preserve">Кр-99046073-1</t>
        </is>
      </c>
      <c r="E1446" s="116" t="inlineStr">
        <is>
          <t xml:space="preserve">KARIMOV ABROR RUZIMBAYEVICH</t>
        </is>
      </c>
      <c r="F1446" s="116" t="inlineStr">
        <is>
          <t xml:space="preserve">+998888325658 SMS UZI, 998938855658 SMS O’G’LI, 998995485658 SMS UYI,</t>
        </is>
      </c>
      <c r="G1446" s="116" t="inlineStr">
        <is>
          <t xml:space="preserve">ХОРАЗМ ВИЛОЯТИ ГУРЛАН ТУМАНИ ВАЗИР ҚФЙ, ОҚҚУМ МФЙ, НАМУНА КЎЧАСИ,  uy:Р/С</t>
        </is>
      </c>
      <c r="H1446" s="117">
        <v>11.0</v>
      </c>
      <c r="I1446" s="117">
        <v>1926692.18</v>
      </c>
      <c r="K1446" s="116" t="inlineStr">
        <is>
          <t xml:space="preserve">Telefon ko'tarmadi | boglanib bolmad | 1234</t>
        </is>
      </c>
    </row>
    <row r="1447">
      <c r="A1447" s="116" t="inlineStr">
        <is>
          <t xml:space="preserve">ХОРАЗМ ВИЛОЯТИ</t>
        </is>
      </c>
      <c r="B1447" s="116" t="inlineStr">
        <is>
          <t xml:space="preserve">Урганч филиали</t>
        </is>
      </c>
      <c r="C1447" s="116" t="inlineStr">
        <is>
          <t xml:space="preserve">Недозвон</t>
        </is>
      </c>
      <c r="D1447" s="116" t="inlineStr">
        <is>
          <t xml:space="preserve">Кр-99041025-1</t>
        </is>
      </c>
      <c r="E1447" s="116" t="inlineStr">
        <is>
          <t xml:space="preserve">MENGLIYEV SHERZODBEK SAFOBOY O’G’LI</t>
        </is>
      </c>
      <c r="F1447" s="116" t="inlineStr">
        <is>
          <t xml:space="preserve">+998999668598 SMS UZI, 998931165424 SMS XOTINI,</t>
        </is>
      </c>
      <c r="G1447" s="116" t="inlineStr">
        <is>
          <t xml:space="preserve">БОГОТ Ш., БЕРУНИЙ МФЙ, ФАРОҒАТЛИ КЎЧАСИ,  uy:15</t>
        </is>
      </c>
      <c r="H1447" s="117">
        <v>8.0</v>
      </c>
      <c r="I1447" s="117">
        <v>1780600.64</v>
      </c>
      <c r="K1447" s="116" t="inlineStr">
        <is>
          <t xml:space="preserve">Telefon ko'tarmadi | nomeri ochu | 1045</t>
        </is>
      </c>
    </row>
    <row r="1448">
      <c r="A1448" s="116" t="inlineStr">
        <is>
          <t xml:space="preserve">ХОРАЗМ ВИЛОЯТИ</t>
        </is>
      </c>
      <c r="B1448" s="116" t="inlineStr">
        <is>
          <t xml:space="preserve">Урганч филиали</t>
        </is>
      </c>
      <c r="C1448" s="116" t="inlineStr">
        <is>
          <t xml:space="preserve">Недозвон</t>
        </is>
      </c>
      <c r="D1448" s="116" t="inlineStr">
        <is>
          <t xml:space="preserve">Кр-99034288-1</t>
        </is>
      </c>
      <c r="E1448" s="116" t="inlineStr">
        <is>
          <t xml:space="preserve">MATNIYAZOVA DILAFRUZ ALIMBAYEVNA</t>
        </is>
      </c>
      <c r="F1448" s="116" t="inlineStr">
        <is>
          <t xml:space="preserve">998974592323 SMS ERI  uy quradi usta , 998991510474 SMS O’ZI, 998958984812 SMS O’ZI, 998906630044 SMS ERI(begona), 998992564600 SMS ERI NEW,</t>
        </is>
      </c>
      <c r="G1448" s="116" t="inlineStr">
        <is>
          <t xml:space="preserve">XORAZM VILOYATI URGANCH SHAHRI BO’STON MFY GUJUMZOR KO’CHASI 12-UY 3-XONADON</t>
        </is>
      </c>
      <c r="I1448" s="117">
        <v>1751748.54</v>
      </c>
      <c r="K1448" s="116" t="inlineStr">
        <is>
          <t xml:space="preserve">Telefon ko'tarmadi | kotarmad | 504</t>
        </is>
      </c>
    </row>
    <row r="1449">
      <c r="A1449" s="116" t="inlineStr">
        <is>
          <t xml:space="preserve">ХОРАЗМ ВИЛОЯТИ</t>
        </is>
      </c>
      <c r="B1449" s="116" t="inlineStr">
        <is>
          <t xml:space="preserve">Урганч филиали</t>
        </is>
      </c>
      <c r="C1449" s="116" t="inlineStr">
        <is>
          <t xml:space="preserve">Недозвон</t>
        </is>
      </c>
      <c r="D1449" s="116" t="inlineStr">
        <is>
          <t xml:space="preserve">Кр-99032408-1</t>
        </is>
      </c>
      <c r="E1449" s="116" t="inlineStr">
        <is>
          <t xml:space="preserve">DAVRONBEKOV FARRUHBEK JASUR OG’LI</t>
        </is>
      </c>
      <c r="F1449" s="116" t="inlineStr">
        <is>
          <t xml:space="preserve">998507775971 SMS UZI(BEGANA), 998507775972 SMS XOLASI, 998944576446 SMS AKASI (Begona), 998949498476 SMS ONASI,</t>
        </is>
      </c>
      <c r="G1449" s="116" t="inlineStr">
        <is>
          <t xml:space="preserve">XORAZM VILOYATI XONQA TUMANI JANNATMAKON MAXALLASI SOGLOM AVLOD KUCHASI 11 UY</t>
        </is>
      </c>
      <c r="H1449" s="117">
        <v>8.0</v>
      </c>
      <c r="I1449" s="117">
        <v>1562008.87</v>
      </c>
      <c r="K1449" s="116" t="inlineStr">
        <is>
          <t xml:space="preserve">m | 396</t>
        </is>
      </c>
    </row>
    <row r="1450">
      <c r="A1450" s="116" t="inlineStr">
        <is>
          <t xml:space="preserve">ХОРАЗМ ВИЛОЯТИ</t>
        </is>
      </c>
      <c r="B1450" s="116" t="inlineStr">
        <is>
          <t xml:space="preserve">Урганч филиали</t>
        </is>
      </c>
      <c r="C1450" s="116" t="inlineStr">
        <is>
          <t xml:space="preserve">Недозвон</t>
        </is>
      </c>
      <c r="D1450" s="116" t="inlineStr">
        <is>
          <t xml:space="preserve">Кр-99012130-4</t>
        </is>
      </c>
      <c r="E1450" s="116" t="inlineStr">
        <is>
          <t xml:space="preserve">SHAXNAZAROV TEMIRBEK UMIDBEK O’G’LI</t>
        </is>
      </c>
      <c r="F1450" s="116" t="inlineStr">
        <is>
          <t xml:space="preserve">99-542-98-19 SMS O’ZI, 99-541-98-19 SMS OTASI, 93-752-68-98 SMS UKASI BOBUR, 99-157-47-40 SMS SINGLISI(BEGONA), 998993812882 SMS UZI NEW,</t>
        </is>
      </c>
      <c r="G1450" s="116" t="inlineStr">
        <is>
          <t xml:space="preserve">XORAZM VILOYATI URGANCH TUMANI YUQORIBOG’ MFY OQ OLTIN KOCHASI 34-UY</t>
        </is>
      </c>
      <c r="H1450" s="117">
        <v>8.0</v>
      </c>
      <c r="I1450" s="117">
        <v>1308458.28</v>
      </c>
      <c r="K1450" s="116" t="inlineStr">
        <is>
          <t xml:space="preserve">Telefon ko'tarmadi | Rassiyadan pul kutvotti | 47</t>
        </is>
      </c>
    </row>
    <row r="1451">
      <c r="A1451" s="116" t="inlineStr">
        <is>
          <t xml:space="preserve">ХОРАЗМ ВИЛОЯТИ</t>
        </is>
      </c>
      <c r="B1451" s="116" t="inlineStr">
        <is>
          <t xml:space="preserve">Урганч филиали</t>
        </is>
      </c>
      <c r="C1451" s="116" t="inlineStr">
        <is>
          <t xml:space="preserve">Недозвон</t>
        </is>
      </c>
      <c r="D1451" s="116" t="inlineStr">
        <is>
          <t xml:space="preserve">Кр-99029211-1</t>
        </is>
      </c>
      <c r="E1451" s="116" t="inlineStr">
        <is>
          <t xml:space="preserve">MASHARIPOV BEHZOD SHAVKAT O’G’LI</t>
        </is>
      </c>
      <c r="F1451" s="116" t="inlineStr">
        <is>
          <t xml:space="preserve">93-288-35-38 sms UZI, 93-758-31-40 sms ONASI, 93-862-66-64 sms OTASI, 95-344-54-51 sms AYOLI begona,</t>
        </is>
      </c>
      <c r="G1451" s="116" t="inlineStr">
        <is>
          <t xml:space="preserve">XORAZM VILOYATI XAZORASP TUMANI PICHOQCHI QFY 12 NARVON MFY GULZOR KOCHASI</t>
        </is>
      </c>
      <c r="H1451" s="117">
        <v>8.0</v>
      </c>
      <c r="I1451" s="117">
        <v>1264307.12</v>
      </c>
      <c r="K1451" s="116" t="inlineStr">
        <is>
          <t xml:space="preserve">Telefon ko'tarmadi | kotarmad | 268</t>
        </is>
      </c>
    </row>
    <row r="1452">
      <c r="A1452" s="116" t="inlineStr">
        <is>
          <t xml:space="preserve">ХОРАЗМ ВИЛОЯТИ</t>
        </is>
      </c>
      <c r="B1452" s="116" t="inlineStr">
        <is>
          <t xml:space="preserve">Урганч филиали</t>
        </is>
      </c>
      <c r="C1452" s="116" t="inlineStr">
        <is>
          <t xml:space="preserve">Недозвон</t>
        </is>
      </c>
      <c r="D1452" s="116" t="inlineStr">
        <is>
          <t xml:space="preserve">Кр-99030443-1</t>
        </is>
      </c>
      <c r="E1452" s="116" t="inlineStr">
        <is>
          <t xml:space="preserve">RUZMETOVA OYSANAM RAJABBAY QIZI</t>
        </is>
      </c>
      <c r="F1452" s="116" t="inlineStr">
        <is>
          <t xml:space="preserve">94-230-43-43 SMS  ERI, 97-211-89-42  SMS AKASI, 90-737-63-68  SMS TO’LOVCHI, 998772028942 SMS Uzi,</t>
        </is>
      </c>
      <c r="G1452" s="116" t="inlineStr">
        <is>
          <t xml:space="preserve">XORAZM VILOYATI URGANCH SHAHAR SAXOVAT MFY ZAMAXSHARIY KUCHASI 117-UY</t>
        </is>
      </c>
      <c r="H1452" s="117">
        <v>8.0</v>
      </c>
      <c r="I1452" s="117">
        <v>824481.0</v>
      </c>
      <c r="K1452" s="116" t="inlineStr">
        <is>
          <t xml:space="preserve">Telefon ko'tarmadi | kotarmad | 309</t>
        </is>
      </c>
    </row>
    <row r="1453">
      <c r="A1453" s="116" t="inlineStr">
        <is>
          <t xml:space="preserve">ХОРАЗМ ВИЛОЯТИ</t>
        </is>
      </c>
      <c r="B1453" s="116" t="inlineStr">
        <is>
          <t xml:space="preserve">Урганч филиали</t>
        </is>
      </c>
      <c r="C1453" s="116" t="inlineStr">
        <is>
          <t xml:space="preserve">Объезд</t>
        </is>
      </c>
      <c r="D1453" s="116" t="inlineStr">
        <is>
          <t xml:space="preserve">Кр-99042876-3</t>
        </is>
      </c>
      <c r="E1453" s="116" t="inlineStr">
        <is>
          <t xml:space="preserve">MATKARIMOV UMAR QURBANBAYEVICH</t>
        </is>
      </c>
      <c r="F1453" s="116" t="inlineStr">
        <is>
          <t xml:space="preserve">+998882010454 SMS UZI, 998880544455 SMS O’G’LI, 998959441475 SMS UZI 2,</t>
        </is>
      </c>
      <c r="G1453" s="116" t="inlineStr">
        <is>
          <t xml:space="preserve">ХОРАЗМ ВИЛОЯТИ БОГОТ ТУМАНИ КОРАЁНТОК ҚФЙ, БОГЗОР МФЙ, ЁШЛАР КЎЧАСИ,  uy:23</t>
        </is>
      </c>
      <c r="H1453" s="117">
        <v>8.0</v>
      </c>
      <c r="I1453" s="117">
        <v>447414.0</v>
      </c>
      <c r="K1453" s="116" t="inlineStr">
        <is>
          <t xml:space="preserve">Uyiga borildi - va'da berdi | Rassiyadan 22-sanagacha tashid | 1181</t>
        </is>
      </c>
    </row>
  </sheetData>
  <autoFilter ref="A2:K1453"/>
  <hyperlinks>
    <hyperlink ref="A1" location="'Ввод'!A1" tooltip="Вернуться в отчёт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K13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БУХОРО ВИЛОЯТИ</t>
        </is>
      </c>
      <c r="C3" s="98" t="inlineStr">
        <is>
          <t xml:space="preserve">Объезд</t>
        </is>
      </c>
      <c r="D3" s="98" t="inlineStr">
        <is>
          <t xml:space="preserve">Кр-99035221-3</t>
        </is>
      </c>
      <c r="E3" s="98" t="inlineStr">
        <is>
          <t xml:space="preserve">SHUKUROV YUNUS UMAROVICH</t>
        </is>
      </c>
      <c r="F3" s="98" t="inlineStr">
        <is>
          <t xml:space="preserve">998990297718 SMS O’ZI, 998996751234 SMS AYOLI, 998992231806 SMS QAYNONASI, 998992947718 SMS ONASI,</t>
        </is>
      </c>
      <c r="G3" s="98" t="inlineStr">
        <is>
          <t xml:space="preserve">Хужа Мушкин МФЙ, Алпомиш кучаси, 13/2-уй, 7-хонадон</t>
        </is>
      </c>
      <c r="H3" s="99">
        <v>8.0</v>
      </c>
      <c r="I3" s="99">
        <v>3784788.24</v>
      </c>
      <c r="K3" s="98" t="inlineStr">
        <is>
          <t xml:space="preserve">Uyiga borildi - va'da berdi | eri qamoqda xotini waroitm yoq tolov qlwga mowinani qayniopam ob qoygan qdiruvga berila dedi</t>
        </is>
      </c>
    </row>
    <row r="4">
      <c r="A4" s="98" t="inlineStr">
        <is>
          <t xml:space="preserve">БУХОРО ВИЛОЯТИ</t>
        </is>
      </c>
      <c r="C4" s="98" t="inlineStr">
        <is>
          <t xml:space="preserve">Объезд</t>
        </is>
      </c>
      <c r="D4" s="98" t="inlineStr">
        <is>
          <t xml:space="preserve">Кр-99027688-2</t>
        </is>
      </c>
      <c r="E4" s="98" t="inlineStr">
        <is>
          <t xml:space="preserve">HUSENOV BARNO HASANOVICH</t>
        </is>
      </c>
      <c r="F4" s="98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4" s="98" t="inlineStr">
        <is>
          <t xml:space="preserve">АРАБХОНА МФЙ, АРАБХОНА,</t>
        </is>
      </c>
      <c r="H4" s="99">
        <v>8.0</v>
      </c>
      <c r="I4" s="99">
        <v>2968080.06</v>
      </c>
      <c r="J4" s="99">
        <v>2968080.06</v>
      </c>
      <c r="K4" s="98" t="inlineStr">
        <is>
          <t xml:space="preserve">Uyiga borildi - to'ladi</t>
        </is>
      </c>
    </row>
    <row r="5">
      <c r="A5" s="98" t="inlineStr">
        <is>
          <t xml:space="preserve">БУХОРО ВИЛОЯТИ</t>
        </is>
      </c>
      <c r="C5" s="98" t="inlineStr">
        <is>
          <t xml:space="preserve">Объезд</t>
        </is>
      </c>
      <c r="D5" s="98" t="inlineStr">
        <is>
          <t xml:space="preserve">Кр-99039770-1</t>
        </is>
      </c>
      <c r="E5" s="98" t="inlineStr">
        <is>
          <t xml:space="preserve">SAFAROV SANJAR ADIZ O’G’LI</t>
        </is>
      </c>
      <c r="F5" s="98" t="inlineStr">
        <is>
          <t xml:space="preserve">998912403939 SMS OZI TO'LOVCHI SHUNGA TEL QILINSIN, 998935133314 SMS AMAKISI, 998918225456 SMS OTASI, 998942432520 SMS ONASI,</t>
        </is>
      </c>
      <c r="G5" s="98" t="inlineStr">
        <is>
          <t xml:space="preserve">BUXORO VILOYATI BUXORO TUMANI GULSHANOBOD MFY LEYLAK QISHLOG'I  51-UY </t>
        </is>
      </c>
      <c r="H5" s="99">
        <v>8.0</v>
      </c>
      <c r="I5" s="99">
        <v>1736494.45</v>
      </c>
      <c r="K5" s="98" t="inlineStr">
        <is>
          <t xml:space="preserve">Uyiga borildi - va'da berdi</t>
        </is>
      </c>
    </row>
    <row r="6">
      <c r="A6" s="98" t="inlineStr">
        <is>
          <t xml:space="preserve">БУХОРО ВИЛОЯТИ</t>
        </is>
      </c>
      <c r="C6" s="98" t="inlineStr">
        <is>
          <t xml:space="preserve">Объезд</t>
        </is>
      </c>
      <c r="D6" s="98" t="inlineStr">
        <is>
          <t xml:space="preserve">Кр-99039770-2</t>
        </is>
      </c>
      <c r="E6" s="98" t="inlineStr">
        <is>
          <t xml:space="preserve">SAFAROV SANJAR ADIZ O’G’LI</t>
        </is>
      </c>
      <c r="F6" s="98" t="inlineStr">
        <is>
          <t xml:space="preserve">998912403939 SMS OZI TO'LOVCHI SHUNGA TEL QILINSIN, 998935133314 SMS AMAKISI, 998918225456 SMS OTASI, 998942432520 SMS ONASI,</t>
        </is>
      </c>
      <c r="G6" s="98" t="inlineStr">
        <is>
          <t xml:space="preserve">BUXORO VILOYATI BUXORO TUMANI GULSHANOBOD MFY LEYLAK QISHLOG'I  51-UY </t>
        </is>
      </c>
      <c r="H6" s="99">
        <v>8.0</v>
      </c>
      <c r="I6" s="99">
        <v>58132.61</v>
      </c>
      <c r="K6" s="98" t="inlineStr">
        <is>
          <t xml:space="preserve">Uyiga borildi - va'da berdi</t>
        </is>
      </c>
    </row>
    <row r="7">
      <c r="A7" s="100" t="inlineStr">
        <is>
          <t xml:space="preserve">ЖИЗЗАХ ВИЛОЯТИ</t>
        </is>
      </c>
      <c r="C7" s="100" t="inlineStr">
        <is>
          <t xml:space="preserve">Объезд</t>
        </is>
      </c>
      <c r="D7" s="100" t="inlineStr">
        <is>
          <t xml:space="preserve">Кр-99040635-1</t>
        </is>
      </c>
      <c r="E7" s="100" t="inlineStr">
        <is>
          <t xml:space="preserve">JURAYEVA ZULAYXA LUTFULLAYEVNA</t>
        </is>
      </c>
      <c r="F7" s="100" t="inlineStr">
        <is>
          <t xml:space="preserve">998915641958 SMS begona, 998938592525 SMS O`G`LI tolovchisi, 998943543086 SMS O`G`LI 2, 998931940082 SMS O`G`LI 3, 998943174556 SMS ONASI, 998932926008 Tolovchisini xotini,</t>
        </is>
      </c>
      <c r="G7" s="100" t="inlineStr">
        <is>
          <t xml:space="preserve">JIZZAX VILOYATI, DO’STLIK TUMANI, NAVRUZ MFY, IFTIXOR KUCHASI, 11-2 UY</t>
        </is>
      </c>
      <c r="H7" s="101">
        <v>41.0</v>
      </c>
      <c r="I7" s="101">
        <v>8093874.35</v>
      </c>
      <c r="K7" s="100" t="inlineStr">
        <is>
          <t xml:space="preserve">Uyiga borildi - va'da berdi</t>
        </is>
      </c>
    </row>
    <row r="8">
      <c r="A8" s="100" t="inlineStr">
        <is>
          <t xml:space="preserve">ЖИЗЗАХ ВИЛОЯТИ</t>
        </is>
      </c>
      <c r="C8" s="100" t="inlineStr">
        <is>
          <t xml:space="preserve">Объезд</t>
        </is>
      </c>
      <c r="D8" s="100" t="inlineStr">
        <is>
          <t xml:space="preserve">Кр-99036112-1</t>
        </is>
      </c>
      <c r="E8" s="100" t="inlineStr">
        <is>
          <t xml:space="preserve">O’TASHEV RAVSHAN BOXTIYOR O’G’LI</t>
        </is>
      </c>
      <c r="F8" s="100" t="inlineStr">
        <is>
          <t xml:space="preserve">998991037766 SMS OZI, 998946525295 SMS AKA TOLOVCHI, 998946738436 SMS AYOLI TOLOVCHI, 998944973835 SMS AYOLI, 998958735995 SMS TOLOVCHI,</t>
        </is>
      </c>
      <c r="G8" s="100" t="inlineStr">
        <is>
          <t xml:space="preserve">JIZZAX VILOYATI MIRZACHUL TUMANI PAXTAZOR SHFY BUNYODKOR KUCHASI 38-UY 2-XONADON </t>
        </is>
      </c>
      <c r="H8" s="101">
        <v>42.0</v>
      </c>
      <c r="I8" s="101">
        <v>6829564.88</v>
      </c>
      <c r="J8" s="101">
        <v>6829564.88</v>
      </c>
      <c r="K8" s="100" t="inlineStr">
        <is>
          <t xml:space="preserve">Uyiga borildi - to'ladi | mowin olingan</t>
        </is>
      </c>
    </row>
    <row r="9">
      <c r="A9" s="100" t="inlineStr">
        <is>
          <t xml:space="preserve">ЖИЗЗАХ ВИЛОЯТИ</t>
        </is>
      </c>
      <c r="C9" s="100" t="inlineStr">
        <is>
          <t xml:space="preserve">Объезд</t>
        </is>
      </c>
      <c r="D9" s="100" t="inlineStr">
        <is>
          <t xml:space="preserve">Кр-99035257-1</t>
        </is>
      </c>
      <c r="E9" s="100" t="inlineStr">
        <is>
          <t xml:space="preserve">ERGASHEV FARHOD RUSTAM O’G’LI</t>
        </is>
      </c>
      <c r="F9" s="100" t="inlineStr">
        <is>
          <t xml:space="preserve">998902867999 SMS O’ZI, 998983002221 SMS BEGONA, 998988800454 SMS AKASI2, 998973261762 SMS Ayasi, 998995772760 sms dadasi begona ,</t>
        </is>
      </c>
      <c r="G9" s="100" t="inlineStr">
        <is>
          <t xml:space="preserve">JIZZAX VILOYATI BAXMAL TUMANI USMAT SHAXARCHASI DO’STLIK MFY DO’STLIK KUCHASI 20-UY </t>
        </is>
      </c>
      <c r="H9" s="101">
        <v>1.0</v>
      </c>
      <c r="I9" s="101">
        <v>6261356.1</v>
      </c>
      <c r="K9" s="100" t="inlineStr">
        <is>
          <t xml:space="preserve">Uyiga borildi - va'da berdi</t>
        </is>
      </c>
    </row>
    <row r="10">
      <c r="A10" s="100" t="inlineStr">
        <is>
          <t xml:space="preserve">ЖИЗЗАХ ВИЛОЯТИ</t>
        </is>
      </c>
      <c r="C10" s="100" t="inlineStr">
        <is>
          <t xml:space="preserve">Объезд</t>
        </is>
      </c>
      <c r="D10" s="100" t="inlineStr">
        <is>
          <t xml:space="preserve">Кр-99025603-3</t>
        </is>
      </c>
      <c r="E10" s="100" t="inlineStr">
        <is>
          <t xml:space="preserve">AXMEDOVA MAXFUZA NIZOMIDDIN QIZI</t>
        </is>
      </c>
      <c r="F10" s="100" t="inlineStr">
        <is>
          <t xml:space="preserve">94-340-56-52 SMS ERI TULOVCHI, 94-194-74-14 SMS ONASI, 94-572-25-30 SMS URTOGI,</t>
        </is>
      </c>
      <c r="G10" s="100" t="inlineStr">
        <is>
          <t xml:space="preserve">JIZZAX VILOYATI DO’STLIK TUMANI CHARAG’ON MANAS QFY 13-1</t>
        </is>
      </c>
      <c r="H10" s="101">
        <v>120.0</v>
      </c>
      <c r="I10" s="101">
        <v>6223600.6</v>
      </c>
      <c r="K10" s="100" t="inlineStr">
        <is>
          <t xml:space="preserve">Uyiga borildi - va'da berdi | yorqin tema</t>
        </is>
      </c>
    </row>
    <row r="11">
      <c r="A11" s="100" t="inlineStr">
        <is>
          <t xml:space="preserve">ЖИЗЗАХ ВИЛОЯТИ</t>
        </is>
      </c>
      <c r="C11" s="100" t="inlineStr">
        <is>
          <t xml:space="preserve">Объезд</t>
        </is>
      </c>
      <c r="D11" s="100" t="inlineStr">
        <is>
          <t xml:space="preserve">Кр-99040190-1</t>
        </is>
      </c>
      <c r="E11" s="100" t="inlineStr">
        <is>
          <t xml:space="preserve">XODJIMURATOV MAMARAXIM USKANOVICH</t>
        </is>
      </c>
      <c r="F11" s="100" t="inlineStr">
        <is>
          <t xml:space="preserve">998994798433 SMS OZI, 998992780316 SMS OZI NEW, 998773162199  SMS SINGLISI, 998990301519 SMS  QIZI , 998773479799 SMS TO’LOVCHI,</t>
        </is>
      </c>
      <c r="G11" s="100" t="inlineStr">
        <is>
          <t xml:space="preserve">JIZZAX VILOYATI ZOMIN TUMANI NIHOL MFY YANGI OVUL QISHLOG’I 70-UY </t>
        </is>
      </c>
      <c r="H11" s="101">
        <v>8.0</v>
      </c>
      <c r="I11" s="101">
        <v>6042851.25</v>
      </c>
      <c r="K11" s="100" t="inlineStr">
        <is>
          <t xml:space="preserve">Uyiga borildi - va'da berdi | 20sigaca tulaydi</t>
        </is>
      </c>
    </row>
    <row r="12">
      <c r="A12" s="100" t="inlineStr">
        <is>
          <t xml:space="preserve">ЖИЗЗАХ ВИЛОЯТИ</t>
        </is>
      </c>
      <c r="C12" s="100" t="inlineStr">
        <is>
          <t xml:space="preserve">Объезд</t>
        </is>
      </c>
      <c r="D12" s="100" t="inlineStr">
        <is>
          <t xml:space="preserve">Кр-99030311-1</t>
        </is>
      </c>
      <c r="E12" s="100" t="inlineStr">
        <is>
          <t xml:space="preserve">SHERANOV SHERZOD ZULFAROVICH</t>
        </is>
      </c>
      <c r="F12" s="100" t="inlineStr">
        <is>
          <t xml:space="preserve">94-922-86-60  SMS O'ZI, 91-943-85-05 SMS O’ZI 2, 94-922-86-60 SMS  UY, 93-304-52-56 SMS  OTASI,</t>
        </is>
      </c>
      <c r="G12" s="100" t="inlineStr">
        <is>
          <t xml:space="preserve">JIZZAX VILOYATI ZARBDOR TUMANI DO’STLIK SHAXARCHASI SHODLIK MFY ISTIQBOL KUCHASI 43-UY </t>
        </is>
      </c>
      <c r="H12" s="101">
        <v>162.0</v>
      </c>
      <c r="I12" s="101">
        <v>5439016.61</v>
      </c>
      <c r="K12" s="100" t="inlineStr">
        <is>
          <t xml:space="preserve">Uyiga borildi - va'da berdi | yorqin tema</t>
        </is>
      </c>
    </row>
    <row r="13">
      <c r="A13" s="100" t="inlineStr">
        <is>
          <t xml:space="preserve">ЖИЗЗАХ ВИЛОЯТИ</t>
        </is>
      </c>
      <c r="C13" s="100" t="inlineStr">
        <is>
          <t xml:space="preserve">Объезд</t>
        </is>
      </c>
      <c r="D13" s="100" t="inlineStr">
        <is>
          <t xml:space="preserve">Кр-99063375-1</t>
        </is>
      </c>
      <c r="E13" s="100" t="inlineStr">
        <is>
          <t xml:space="preserve">AG’LAMOV AZIMXON AKRAM O’G’LI</t>
        </is>
      </c>
      <c r="F13" s="100" t="inlineStr">
        <is>
          <t xml:space="preserve">998881511212 AKASI, 998915981212 AKASI, 998970105070 UZI,</t>
        </is>
      </c>
      <c r="G13" s="100" t="inlineStr">
        <is>
          <t xml:space="preserve">УЧАРИК МФЙ, ХАМЗАОБОД, ФИРДАВСИЙ,  uy:9</t>
        </is>
      </c>
      <c r="H13" s="101">
        <v>8.0</v>
      </c>
      <c r="I13" s="101">
        <v>5076077.06</v>
      </c>
      <c r="K13" s="100" t="inlineStr">
        <is>
          <t xml:space="preserve">Uyiga borildi</t>
        </is>
      </c>
    </row>
    <row r="14">
      <c r="A14" s="100" t="inlineStr">
        <is>
          <t xml:space="preserve">ЖИЗЗАХ ВИЛОЯТИ</t>
        </is>
      </c>
      <c r="C14" s="100" t="inlineStr">
        <is>
          <t xml:space="preserve">Объезд</t>
        </is>
      </c>
      <c r="D14" s="100" t="inlineStr">
        <is>
          <t xml:space="preserve">Кр-99030311-2</t>
        </is>
      </c>
      <c r="E14" s="100" t="inlineStr">
        <is>
          <t xml:space="preserve">SHERANOV SHERZOD ZULFAROVICH</t>
        </is>
      </c>
      <c r="F14" s="100" t="inlineStr">
        <is>
          <t xml:space="preserve">94-922-86-60  SMS O'ZI, 91-943-85-05 SMS O’ZI 2, 94-922-86-60 SMS  UY, 93-304-52-56 SMS  OTASI,</t>
        </is>
      </c>
      <c r="G14" s="100" t="inlineStr">
        <is>
          <t xml:space="preserve">JIZZAX VILOYATI ZARBDOR TUMANI DO’STLIK SHAXARCHASI SHODLIK MFY ISTIQBOL KUCHASI 43-UY </t>
        </is>
      </c>
      <c r="H14" s="101">
        <v>13.0</v>
      </c>
      <c r="I14" s="101">
        <v>1356589.76</v>
      </c>
      <c r="K14" s="100" t="inlineStr">
        <is>
          <t xml:space="preserve">Uyiga borildi - va'da berdi | yorqin tema</t>
        </is>
      </c>
    </row>
    <row r="15">
      <c r="A15" s="102" t="inlineStr">
        <is>
          <t xml:space="preserve">КАШКАДАРЁ ВИЛОЯТИ</t>
        </is>
      </c>
      <c r="B15" s="102" t="inlineStr">
        <is>
          <t xml:space="preserve">SUPER BRANCH</t>
        </is>
      </c>
      <c r="C15" s="102" t="inlineStr">
        <is>
          <t xml:space="preserve">Объезд</t>
        </is>
      </c>
      <c r="D15" s="102" t="inlineStr">
        <is>
          <t xml:space="preserve">Кр-99035525-2</t>
        </is>
      </c>
      <c r="E15" s="102" t="inlineStr">
        <is>
          <t xml:space="preserve">RO’ZIYEV AZIZJON FARXODOVICH</t>
        </is>
      </c>
      <c r="F15" s="102" t="inlineStr">
        <is>
          <t xml:space="preserve">998903545851 SMS OZI , 998909434667 SMS AYOLI, 998973422225 SMS UKASI, 998717546462 SMS UKASI,</t>
        </is>
      </c>
      <c r="G15" s="102" t="inlineStr">
        <is>
          <t xml:space="preserve">QASHQADARYO VILOYATI SHAHRISABZ SHAHRI KATTACHUTON KO’CHASI 27-UY</t>
        </is>
      </c>
      <c r="H15" s="103">
        <v>8.0</v>
      </c>
      <c r="I15" s="103">
        <v>9773181.79</v>
      </c>
      <c r="K15" s="102" t="inlineStr">
        <is>
          <t xml:space="preserve">Uyiga borildi - va'da berdi</t>
        </is>
      </c>
    </row>
    <row r="16">
      <c r="A16" s="102" t="inlineStr">
        <is>
          <t xml:space="preserve">КАШКАДАРЁ ВИЛОЯТИ</t>
        </is>
      </c>
      <c r="B16" s="102" t="inlineStr">
        <is>
          <t xml:space="preserve">SUPER BRANCH</t>
        </is>
      </c>
      <c r="C16" s="102" t="inlineStr">
        <is>
          <t xml:space="preserve">Объезд</t>
        </is>
      </c>
      <c r="D16" s="102" t="inlineStr">
        <is>
          <t xml:space="preserve">Кр-99041785-1</t>
        </is>
      </c>
      <c r="E16" s="102" t="inlineStr">
        <is>
          <t xml:space="preserve">ABDIRAXMONOV USMON FARMON O’G’LI</t>
        </is>
      </c>
      <c r="F16" s="102" t="inlineStr">
        <is>
          <t xml:space="preserve">998997194818 SMS OZI, 998919101910 SMS DOSTI, 998930724818 SMS UYI,</t>
        </is>
      </c>
      <c r="G16" s="102" t="inlineStr">
        <is>
          <t xml:space="preserve">QASHQADARYO VILOYATI QARSHI TUMANI ROVOT MFY S.NASAFIY KO’CHASI 85-UY</t>
        </is>
      </c>
      <c r="H16" s="103">
        <v>8.0</v>
      </c>
      <c r="I16" s="103">
        <v>4260208.17</v>
      </c>
      <c r="J16" s="103">
        <v>4260208.17</v>
      </c>
      <c r="K16" s="102" t="inlineStr">
        <is>
          <t xml:space="preserve">Uyiga borildi - to'ladi</t>
        </is>
      </c>
    </row>
    <row r="17">
      <c r="A17" s="102" t="inlineStr">
        <is>
          <t xml:space="preserve">КАШКАДАРЁ ВИЛОЯТИ</t>
        </is>
      </c>
      <c r="B17" s="102" t="inlineStr">
        <is>
          <t xml:space="preserve">SUPER BRANCH</t>
        </is>
      </c>
      <c r="C17" s="102" t="inlineStr">
        <is>
          <t xml:space="preserve">Объезд</t>
        </is>
      </c>
      <c r="D17" s="102" t="inlineStr">
        <is>
          <t xml:space="preserve">Кр-99039445-1</t>
        </is>
      </c>
      <c r="E17" s="102" t="inlineStr">
        <is>
          <t xml:space="preserve">MIRZAMURODOV SHOXRUZBEK DAVRON O’G’LI</t>
        </is>
      </c>
      <c r="F17" s="102" t="inlineStr">
        <is>
          <t xml:space="preserve">+998873999404 SMS O’ZI, 998888818005 SMS DOSTI, 998959006035 SMS DOSTI, 998990855744 UZI NEWW,</t>
        </is>
      </c>
      <c r="G17" s="102" t="inlineStr">
        <is>
          <t xml:space="preserve">Чувуллоқ МФЙ, Миллий хунармандлар кучаси, 86-уй</t>
        </is>
      </c>
      <c r="H17" s="103">
        <v>7.0</v>
      </c>
      <c r="I17" s="103">
        <v>4238092.92</v>
      </c>
      <c r="K17" s="102" t="inlineStr">
        <is>
          <t xml:space="preserve">Uyiga borildi - va'da berdi</t>
        </is>
      </c>
    </row>
    <row r="18">
      <c r="A18" s="102" t="inlineStr">
        <is>
          <t xml:space="preserve">КАШКАДАРЁ ВИЛОЯТИ</t>
        </is>
      </c>
      <c r="B18" s="102" t="inlineStr">
        <is>
          <t xml:space="preserve">SUPER BRANCH</t>
        </is>
      </c>
      <c r="C18" s="102" t="inlineStr">
        <is>
          <t xml:space="preserve">Объезд</t>
        </is>
      </c>
      <c r="D18" s="102" t="inlineStr">
        <is>
          <t xml:space="preserve">Кр-99038081-1</t>
        </is>
      </c>
      <c r="E18" s="102" t="inlineStr">
        <is>
          <t xml:space="preserve">ASHUROV MIRZA URALOVICH</t>
        </is>
      </c>
      <c r="F18" s="102" t="inlineStr">
        <is>
          <t xml:space="preserve">998987750515 SMS OZI, 998880042215 SMS O’G’LI, 998906699171 SMS O’G’LI, 998972747000 SMS UKASI,</t>
        </is>
      </c>
      <c r="G18" s="102" t="inlineStr">
        <is>
          <t xml:space="preserve">QASHQADARYO VILOYATI QARSHI SHAHAR GUNGON MFY MUSA JALIL KUCHASI 48-UY</t>
        </is>
      </c>
      <c r="H18" s="103">
        <v>1.0</v>
      </c>
      <c r="I18" s="103">
        <v>3728488.93</v>
      </c>
      <c r="K18" s="102" t="inlineStr">
        <is>
          <t xml:space="preserve">Uyiga borildi - va'da berdi</t>
        </is>
      </c>
    </row>
    <row r="19">
      <c r="A19" s="102" t="inlineStr">
        <is>
          <t xml:space="preserve">КАШКАДАРЁ ВИЛОЯТИ</t>
        </is>
      </c>
      <c r="B19" s="102" t="inlineStr">
        <is>
          <t xml:space="preserve">SUPER BRANCH</t>
        </is>
      </c>
      <c r="C19" s="102" t="inlineStr">
        <is>
          <t xml:space="preserve">Объезд</t>
        </is>
      </c>
      <c r="D19" s="102" t="inlineStr">
        <is>
          <t xml:space="preserve">Кр-99038818-4</t>
        </is>
      </c>
      <c r="E19" s="102" t="inlineStr">
        <is>
          <t xml:space="preserve">AZIZOV ZAKIR TASHAROVICH</t>
        </is>
      </c>
      <c r="F19" s="102" t="inlineStr">
        <is>
          <t xml:space="preserve">998992562088 SMS O’ZI, 998770306222 SMS O’G’LI, 998972226222 SMS UY   BEGONAA, 998771003949 SMS O'ZI,</t>
        </is>
      </c>
      <c r="G19" s="102" t="inlineStr">
        <is>
          <t xml:space="preserve">КУРГОНЧА МФЙ, ТОР КЎЧАСИ,  uy:28</t>
        </is>
      </c>
      <c r="H19" s="103">
        <v>8.0</v>
      </c>
      <c r="I19" s="103">
        <v>3413704.53</v>
      </c>
      <c r="K19" s="102" t="inlineStr">
        <is>
          <t xml:space="preserve">Uyiga borildi - va'da berdi</t>
        </is>
      </c>
    </row>
    <row r="20">
      <c r="A20" s="102" t="inlineStr">
        <is>
          <t xml:space="preserve">КАШКАДАРЁ ВИЛОЯТИ</t>
        </is>
      </c>
      <c r="B20" s="102" t="inlineStr">
        <is>
          <t xml:space="preserve">SUPER BRANCH</t>
        </is>
      </c>
      <c r="C20" s="102" t="inlineStr">
        <is>
          <t xml:space="preserve">Объезд</t>
        </is>
      </c>
      <c r="D20" s="102" t="inlineStr">
        <is>
          <t xml:space="preserve">Кр-99040370-1</t>
        </is>
      </c>
      <c r="E20" s="102" t="inlineStr">
        <is>
          <t xml:space="preserve">AZIMOV HASAN G’AYRAT O’G’LI</t>
        </is>
      </c>
      <c r="F20" s="102" t="inlineStr">
        <is>
          <t xml:space="preserve">998979514900 SMS OZI (BEGONA))), 998880073012 SMS AKASI (HAMKASBI), 998973863606 SMS DADASI (BEGONA), 998973183000 SMS DADASI  UZIIII,</t>
        </is>
      </c>
      <c r="G20" s="102" t="inlineStr">
        <is>
          <t xml:space="preserve">QASHQADARYO VILOYATI SHAXRISABZ TUMANI LOLISTON MFY PAXTAKOR QISHLOG’I XISOR KUCHASI 45-UY</t>
        </is>
      </c>
      <c r="H20" s="103">
        <v>8.0</v>
      </c>
      <c r="I20" s="103">
        <v>3252149.32</v>
      </c>
      <c r="K20" s="102" t="inlineStr">
        <is>
          <t xml:space="preserve">Uyiga borildi - va'da berdi</t>
        </is>
      </c>
    </row>
    <row r="21">
      <c r="A21" s="102" t="inlineStr">
        <is>
          <t xml:space="preserve">КАШКАДАРЁ ВИЛОЯТИ</t>
        </is>
      </c>
      <c r="B21" s="102" t="inlineStr">
        <is>
          <t xml:space="preserve">SUPER BRANCH</t>
        </is>
      </c>
      <c r="C21" s="102" t="inlineStr">
        <is>
          <t xml:space="preserve">Объезд</t>
        </is>
      </c>
      <c r="D21" s="102" t="inlineStr">
        <is>
          <t xml:space="preserve">Кр-99040694-2</t>
        </is>
      </c>
      <c r="E21" s="102" t="inlineStr">
        <is>
          <t xml:space="preserve">TOSHPULATOV SHAHRIYOR XOLMUROD O’G’LI</t>
        </is>
      </c>
      <c r="F21" s="102" t="inlineStr">
        <is>
          <t xml:space="preserve">998932061021 AKASI, 998952622787 UKASI,</t>
        </is>
      </c>
      <c r="G21" s="102" t="inlineStr">
        <is>
          <t xml:space="preserve">ОЛМАЗОР МФЙ, УЧТУТ,  uy:Р/С</t>
        </is>
      </c>
      <c r="H21" s="103">
        <v>8.0</v>
      </c>
      <c r="I21" s="103">
        <v>3076095.65</v>
      </c>
      <c r="K21" s="102" t="inlineStr">
        <is>
          <t xml:space="preserve">Uyiga borildi - va'da berdi</t>
        </is>
      </c>
    </row>
    <row r="22">
      <c r="A22" s="102" t="inlineStr">
        <is>
          <t xml:space="preserve">КАШКАДАРЁ ВИЛОЯТИ</t>
        </is>
      </c>
      <c r="B22" s="102" t="inlineStr">
        <is>
          <t xml:space="preserve">SUPER BRANCH</t>
        </is>
      </c>
      <c r="C22" s="102" t="inlineStr">
        <is>
          <t xml:space="preserve">Объезд</t>
        </is>
      </c>
      <c r="D22" s="102" t="inlineStr">
        <is>
          <t xml:space="preserve">Кр-99062619-1</t>
        </is>
      </c>
      <c r="E22" s="102" t="inlineStr">
        <is>
          <t xml:space="preserve">QURBANOV BAXODIR JURAYEVICH</t>
        </is>
      </c>
      <c r="F22" s="102" t="inlineStr">
        <is>
          <t xml:space="preserve">998940074848 узи, 998908819989 аели, 998913206851 дадаси, 998919624032 онаси,</t>
        </is>
      </c>
      <c r="G22" s="102" t="inlineStr">
        <is>
          <t xml:space="preserve">QASHQADARYO VILOYATI MUBORAK TUMANI BOBUR MFY BOBUR KUCHASI 1-UY 27-XONADON</t>
        </is>
      </c>
      <c r="H22" s="103">
        <v>8.0</v>
      </c>
      <c r="I22" s="103">
        <v>2852315.93</v>
      </c>
      <c r="J22" s="103">
        <v>2852315.93</v>
      </c>
      <c r="K22" s="102" t="inlineStr">
        <is>
          <t xml:space="preserve">Uyiga borildi - to'ladi</t>
        </is>
      </c>
    </row>
    <row r="23">
      <c r="A23" s="102" t="inlineStr">
        <is>
          <t xml:space="preserve">КАШКАДАРЁ ВИЛОЯТИ</t>
        </is>
      </c>
      <c r="B23" s="102" t="inlineStr">
        <is>
          <t xml:space="preserve">SUPER BRANCH</t>
        </is>
      </c>
      <c r="C23" s="102" t="inlineStr">
        <is>
          <t xml:space="preserve">Объезд</t>
        </is>
      </c>
      <c r="D23" s="102" t="inlineStr">
        <is>
          <t xml:space="preserve">Кр-99040698-2</t>
        </is>
      </c>
      <c r="E23" s="102" t="inlineStr">
        <is>
          <t xml:space="preserve">TOG’AYEV SHUHRAT NOSIROVICH</t>
        </is>
      </c>
      <c r="F23" s="102" t="inlineStr">
        <is>
          <t xml:space="preserve">998900129666 o’g’li, 998940129666 ukasi, 998946700174 uzi new,</t>
        </is>
      </c>
      <c r="G23" s="102" t="inlineStr">
        <is>
          <t xml:space="preserve">АЛАЧАБОБ МФЙ, АЛАТУН,  uy:Р/С</t>
        </is>
      </c>
      <c r="H23" s="103">
        <v>8.0</v>
      </c>
      <c r="I23" s="103">
        <v>2780111.81</v>
      </c>
      <c r="K23" s="102" t="inlineStr">
        <is>
          <t xml:space="preserve">Uyiga borildi - va'da berdi</t>
        </is>
      </c>
    </row>
    <row r="24">
      <c r="A24" s="102" t="inlineStr">
        <is>
          <t xml:space="preserve">КАШКАДАРЁ ВИЛОЯТИ</t>
        </is>
      </c>
      <c r="B24" s="102" t="inlineStr">
        <is>
          <t xml:space="preserve">SUPER BRANCH</t>
        </is>
      </c>
      <c r="C24" s="102" t="inlineStr">
        <is>
          <t xml:space="preserve">Объезд</t>
        </is>
      </c>
      <c r="D24" s="102" t="inlineStr">
        <is>
          <t xml:space="preserve">Кр-99037164-1</t>
        </is>
      </c>
      <c r="E24" s="102" t="inlineStr">
        <is>
          <t xml:space="preserve">IMOMOV FAYZULLA PARDAYEVICH</t>
        </is>
      </c>
      <c r="F24" s="102" t="inlineStr">
        <is>
          <t xml:space="preserve">998919553110 SMS OZI, 998807931102 SMS OZI 2, 998906672203 SMS OILASI, 998889883110 SMS O’G’LI,</t>
        </is>
      </c>
      <c r="G24" s="102" t="inlineStr">
        <is>
          <t xml:space="preserve">QASHQADARYO VILOYATI YAKKABOG’ TUMANI SEROB MFY MINJIR QISHLOQI</t>
        </is>
      </c>
      <c r="H24" s="103">
        <v>11.0</v>
      </c>
      <c r="I24" s="103">
        <v>2174707.65</v>
      </c>
      <c r="K24" s="102" t="inlineStr">
        <is>
          <t xml:space="preserve">Uyiga borildi - va'da berdi</t>
        </is>
      </c>
    </row>
    <row r="25">
      <c r="A25" s="102" t="inlineStr">
        <is>
          <t xml:space="preserve">КАШКАДАРЁ ВИЛОЯТИ</t>
        </is>
      </c>
      <c r="B25" s="102" t="inlineStr">
        <is>
          <t xml:space="preserve">SUPER BRANCH</t>
        </is>
      </c>
      <c r="C25" s="102" t="inlineStr">
        <is>
          <t xml:space="preserve">Объезд</t>
        </is>
      </c>
      <c r="D25" s="102" t="inlineStr">
        <is>
          <t xml:space="preserve">Кр-99037085-2</t>
        </is>
      </c>
      <c r="E25" s="102" t="inlineStr">
        <is>
          <t xml:space="preserve">XAMRAYEVA GULNORA XURRAMOVNA</t>
        </is>
      </c>
      <c r="F25" s="102" t="inlineStr">
        <is>
          <t xml:space="preserve">998979549700 SMS OZI (OG'LI) XUSAN, 998881941597 SMS O’G’LI, 998884287278 SMS UKASI (UZI), 998886757572 SMS AKASI,</t>
        </is>
      </c>
      <c r="G25" s="102" t="inlineStr">
        <is>
          <t xml:space="preserve">QASHQADARYO VILOYATI QARSHI TUMANI MEVAZOR MFY NAVRUZ QURG’ONI SHAHARCHASI 67/1 UY </t>
        </is>
      </c>
      <c r="H25" s="103">
        <v>8.0</v>
      </c>
      <c r="I25" s="103">
        <v>1943012.58</v>
      </c>
      <c r="K25" s="102" t="inlineStr">
        <is>
          <t xml:space="preserve">Uyiga borildi - va'da berdi | birorta nomeri ishlamayapti sms yozvordim</t>
        </is>
      </c>
    </row>
    <row r="26">
      <c r="A26" s="102" t="inlineStr">
        <is>
          <t xml:space="preserve">КАШКАДАРЁ ВИЛОЯТИ</t>
        </is>
      </c>
      <c r="B26" s="102" t="inlineStr">
        <is>
          <t xml:space="preserve">SUPER BRANCH</t>
        </is>
      </c>
      <c r="C26" s="102" t="inlineStr">
        <is>
          <t xml:space="preserve">Объезд</t>
        </is>
      </c>
      <c r="D26" s="102" t="inlineStr">
        <is>
          <t xml:space="preserve">Кр-99037055-2</t>
        </is>
      </c>
      <c r="E26" s="102" t="inlineStr">
        <is>
          <t xml:space="preserve">ISKANDAROV NURIDDIN NIZOMIDDIN O’G’LI</t>
        </is>
      </c>
      <c r="F26" s="102" t="inlineStr">
        <is>
          <t xml:space="preserve">998881202280 SMS O’ZI, 998507104532 SMS OZI 2, 998880485080 SMS OSHNASI, 998200030241 SMS OSHNASI (begona),</t>
        </is>
      </c>
      <c r="G26" s="102" t="inlineStr">
        <is>
          <t xml:space="preserve">QASHQADARYO VILOYATI SHAHRISABZ TUMANI QUTCHI MFY,GULZOR KO’CHASI 80-UY</t>
        </is>
      </c>
      <c r="H26" s="103">
        <v>12.0</v>
      </c>
      <c r="I26" s="103">
        <v>1422441.42</v>
      </c>
      <c r="K26" s="102" t="inlineStr">
        <is>
          <t xml:space="preserve">Uyiga borildi - va'da berdi</t>
        </is>
      </c>
    </row>
    <row r="27">
      <c r="A27" s="102" t="inlineStr">
        <is>
          <t xml:space="preserve">КАШКАДАРЁ ВИЛОЯТИ</t>
        </is>
      </c>
      <c r="B27" s="102" t="inlineStr">
        <is>
          <t xml:space="preserve">SUPER BRANCH</t>
        </is>
      </c>
      <c r="C27" s="102" t="inlineStr">
        <is>
          <t xml:space="preserve">Объезд</t>
        </is>
      </c>
      <c r="D27" s="102" t="inlineStr">
        <is>
          <t xml:space="preserve">Кр-99037316-2</t>
        </is>
      </c>
      <c r="E27" s="102" t="inlineStr">
        <is>
          <t xml:space="preserve">XAMROYEVA DILRABO KUYLIYEVNA</t>
        </is>
      </c>
      <c r="F27" s="102" t="inlineStr">
        <is>
          <t xml:space="preserve">998908819972 SMS OZI, 998906606361 SMS ONASI BEGONA QIZCHA, 998906851166 SMS OTASI, 998906831166 SMS AKASI (UZIII),</t>
        </is>
      </c>
      <c r="G27" s="102" t="inlineStr">
        <is>
          <t xml:space="preserve">QASHQADARYO VILOYATI QARSHI TUMANI NAVRUZ MFY BOBUR KUCHASI 16-UY</t>
        </is>
      </c>
      <c r="H27" s="103">
        <v>8.0</v>
      </c>
      <c r="I27" s="103">
        <v>1274783.29</v>
      </c>
      <c r="K27" s="102" t="inlineStr">
        <is>
          <t xml:space="preserve">Uyiga borildi - va'da berdi</t>
        </is>
      </c>
    </row>
    <row r="28">
      <c r="A28" s="102" t="inlineStr">
        <is>
          <t xml:space="preserve">КАШКАДАРЁ ВИЛОЯТИ</t>
        </is>
      </c>
      <c r="B28" s="102" t="inlineStr">
        <is>
          <t xml:space="preserve">SUPER BRANCH</t>
        </is>
      </c>
      <c r="C28" s="102" t="inlineStr">
        <is>
          <t xml:space="preserve">Объезд</t>
        </is>
      </c>
      <c r="D28" s="102" t="inlineStr">
        <is>
          <t xml:space="preserve">Кр-99034450-3</t>
        </is>
      </c>
      <c r="E28" s="102" t="inlineStr">
        <is>
          <t xml:space="preserve">MAHMATQOBILOV ELBEK PULAT O’G’LI</t>
        </is>
      </c>
      <c r="F28" s="102" t="inlineStr">
        <is>
          <t xml:space="preserve">998957714245 SMS O’ZI, 998505882555 SMS DO’STI, 998934943260 SMS AYOLI, 998958830199 SMS OTASI,</t>
        </is>
      </c>
      <c r="G28" s="102" t="inlineStr">
        <is>
          <t xml:space="preserve">ЧАМБИЛ МФЙ, ОКЧОВА,  uy:83.</t>
        </is>
      </c>
      <c r="H28" s="103">
        <v>8.0</v>
      </c>
      <c r="I28" s="103">
        <v>21815.95</v>
      </c>
      <c r="J28" s="103">
        <v>21815.95</v>
      </c>
      <c r="K28" s="102" t="inlineStr">
        <is>
          <t xml:space="preserve">Uyiga borildi - to'ladi</t>
        </is>
      </c>
    </row>
    <row r="29">
      <c r="A29" s="104" t="inlineStr">
        <is>
          <t xml:space="preserve">КАШКАДАРЁ ВИЛОЯТИ</t>
        </is>
      </c>
      <c r="B29" s="104" t="inlineStr">
        <is>
          <t xml:space="preserve">Қарши филиали</t>
        </is>
      </c>
      <c r="C29" s="104" t="inlineStr">
        <is>
          <t xml:space="preserve">Объезд</t>
        </is>
      </c>
      <c r="D29" s="104" t="inlineStr">
        <is>
          <t xml:space="preserve">Кр-99041022-1</t>
        </is>
      </c>
      <c r="E29" s="104" t="inlineStr">
        <is>
          <t xml:space="preserve">G’AFFOROV IXTIYOR UMAROVICH</t>
        </is>
      </c>
      <c r="F29" s="104" t="inlineStr">
        <is>
          <t xml:space="preserve">+998939071026 O’ZI, 998912275852 O’G’LI, 998947846809 OILASI,</t>
        </is>
      </c>
      <c r="G29" s="104" t="inlineStr">
        <is>
          <t xml:space="preserve">СЕВАЗ МФЙ, САРИОСИЁ ҚИШЛОҒИ,  uy:Р/С</t>
        </is>
      </c>
      <c r="H29" s="105">
        <v>12.0</v>
      </c>
      <c r="I29" s="105">
        <v>3582105.3</v>
      </c>
      <c r="K29" s="104" t="inlineStr">
        <is>
          <t xml:space="preserve">Uyiga borildi - va'da berdi</t>
        </is>
      </c>
    </row>
    <row r="30">
      <c r="A30" s="104" t="inlineStr">
        <is>
          <t xml:space="preserve">КАШКАДАРЁ ВИЛОЯТИ</t>
        </is>
      </c>
      <c r="B30" s="104" t="inlineStr">
        <is>
          <t xml:space="preserve">Қарши филиали</t>
        </is>
      </c>
      <c r="C30" s="104" t="inlineStr">
        <is>
          <t xml:space="preserve">Объезд</t>
        </is>
      </c>
      <c r="D30" s="104" t="inlineStr">
        <is>
          <t xml:space="preserve">Кр-99041223-1</t>
        </is>
      </c>
      <c r="E30" s="104" t="inlineStr">
        <is>
          <t xml:space="preserve">ERMUMINOVA GULISTON YAKUBOVNA</t>
        </is>
      </c>
      <c r="F30" s="104" t="inlineStr">
        <is>
          <t xml:space="preserve">+998958859893 UZI, 998915604344 UKASI, 998973930817 ERI, 998973830817 SMS ,</t>
        </is>
      </c>
      <c r="G30" s="104" t="inlineStr">
        <is>
          <t xml:space="preserve">КАШКАДАРЁ ВИЛОЯТИ ГУЗОР ТУМАНИ Пахтазор МФЙ, Лолазор қишлоғи, 980-уй</t>
        </is>
      </c>
      <c r="H30" s="105">
        <v>8.0</v>
      </c>
      <c r="I30" s="105">
        <v>2634596.96</v>
      </c>
      <c r="K30" s="104" t="inlineStr">
        <is>
          <t xml:space="preserve">Uyiga borildi - va'da berdi</t>
        </is>
      </c>
    </row>
    <row r="31">
      <c r="A31" s="104" t="inlineStr">
        <is>
          <t xml:space="preserve">КАШКАДАРЁ ВИЛОЯТИ</t>
        </is>
      </c>
      <c r="B31" s="104" t="inlineStr">
        <is>
          <t xml:space="preserve">Қарши филиали</t>
        </is>
      </c>
      <c r="C31" s="104" t="inlineStr">
        <is>
          <t xml:space="preserve">Объезд</t>
        </is>
      </c>
      <c r="D31" s="104" t="inlineStr">
        <is>
          <t xml:space="preserve">Кр-99029105-1</t>
        </is>
      </c>
      <c r="E31" s="104" t="inlineStr">
        <is>
          <t xml:space="preserve">MAHMUDOV OLIM OTAQULOVICH</t>
        </is>
      </c>
      <c r="F31" s="104" t="inlineStr">
        <is>
          <t xml:space="preserve">95-178-02-25 SMS OZI TULOVCHISI, 99-152-62-55 SMS ONASI, 97-803-97-77  SMS AYOLI, 97-743-33-66 SMS ZALOGADATEL, 98-366-82-72 SMS ZALOGADATEL, 998777420100 UZI NEWW,</t>
        </is>
      </c>
      <c r="G31" s="104" t="inlineStr">
        <is>
          <t xml:space="preserve">QASHQADARYO VILOYATI QARSHI TUMANI CHAROG'ON QFY 33-UY</t>
        </is>
      </c>
      <c r="H31" s="105">
        <v>12.0</v>
      </c>
      <c r="I31" s="105">
        <v>1223525.66</v>
      </c>
      <c r="J31" s="105">
        <v>1223525.66</v>
      </c>
      <c r="K31" s="104" t="inlineStr">
        <is>
          <t xml:space="preserve">Uyiga borildi - to'ladi</t>
        </is>
      </c>
    </row>
    <row r="32">
      <c r="A32" s="106" t="inlineStr">
        <is>
          <t xml:space="preserve">КОРАКАЛПОГИСТОН РЕСПУБЛИКАСИ</t>
        </is>
      </c>
      <c r="C32" s="106" t="inlineStr">
        <is>
          <t xml:space="preserve">Объезд</t>
        </is>
      </c>
      <c r="D32" s="106" t="inlineStr">
        <is>
          <t xml:space="preserve">Кр-99060325-1</t>
        </is>
      </c>
      <c r="E32" s="106" t="inlineStr">
        <is>
          <t xml:space="preserve">SABIROVA NAZOKAT ORAZBAEVNA</t>
        </is>
      </c>
      <c r="F32" s="106" t="inlineStr">
        <is>
          <t xml:space="preserve">998972205225 узи, 998913829870 аели, 998887555225 кизи, 998882552552 кизи,</t>
        </is>
      </c>
      <c r="G32" s="106" t="inlineStr">
        <is>
          <t xml:space="preserve">QORAQALPOGISTON RES NUKUS SHAHAR NAUBAXAR MFY NAUKANSHILAR KUSHASI 18 UY </t>
        </is>
      </c>
      <c r="H32" s="107">
        <v>102.0</v>
      </c>
      <c r="I32" s="107">
        <v>61887849.62</v>
      </c>
      <c r="K32" s="106" t="inlineStr">
        <is>
          <t xml:space="preserve">uyiga borildi MIBGA CHIQARILDI UYINI OLIB QO'YISHADI | 1518 | Telefon ko'tarmadi</t>
        </is>
      </c>
    </row>
    <row r="33">
      <c r="A33" s="106" t="inlineStr">
        <is>
          <t xml:space="preserve">КОРАКАЛПОГИСТОН РЕСПУБЛИКАСИ</t>
        </is>
      </c>
      <c r="C33" s="106" t="inlineStr">
        <is>
          <t xml:space="preserve">Объезд</t>
        </is>
      </c>
      <c r="D33" s="106" t="inlineStr">
        <is>
          <t xml:space="preserve">Кр-99056113-1</t>
        </is>
      </c>
      <c r="E33" s="106" t="inlineStr">
        <is>
          <t xml:space="preserve">TAJIMURATOVA NASIBA JUMAMBETOVNA</t>
        </is>
      </c>
      <c r="F33" s="106" t="inlineStr">
        <is>
          <t xml:space="preserve">998959469019 SMS OZI , 998880042678 SMS OZI 2, 998902625683 SMS OZI 3,</t>
        </is>
      </c>
      <c r="G33" s="106" t="inlineStr">
        <is>
          <t xml:space="preserve">QARAQALPOGISTON RES NUKUS SHAHAR DOSLIQ GUZARI MFY A.DOSNAZAROV KUSHASI 131 UY  28 KVARTIRA </t>
        </is>
      </c>
      <c r="H33" s="107">
        <v>8.0</v>
      </c>
      <c r="I33" s="107">
        <v>5902766.05</v>
      </c>
      <c r="K33" s="106" t="inlineStr">
        <is>
          <t xml:space="preserve">AKASI BN GAPLASJDIM 20KUNI TO'LAYMAN UNDAN OLDIN ILOJIM YUQ DEDI TUSHUNTIRDIM PENYA QO'SHILADI QIYNALASIZ DEB | 1398 | Uyiga borildi - va'da berdi</t>
        </is>
      </c>
    </row>
    <row r="34">
      <c r="A34" s="106" t="inlineStr">
        <is>
          <t xml:space="preserve">КОРАКАЛПОГИСТОН РЕСПУБЛИКАСИ</t>
        </is>
      </c>
      <c r="C34" s="106" t="inlineStr">
        <is>
          <t xml:space="preserve">Объезд</t>
        </is>
      </c>
      <c r="D34" s="106" t="inlineStr">
        <is>
          <t xml:space="preserve">Кр-99063474-1</t>
        </is>
      </c>
      <c r="E34" s="106" t="inlineStr">
        <is>
          <t xml:space="preserve">AMETOV MIRZABEK SEYDAMETOVICH</t>
        </is>
      </c>
      <c r="F34" s="106" t="inlineStr">
        <is>
          <t xml:space="preserve">998905945510 KELINI, 998913070180 OZI, 998913931343 OGLI,</t>
        </is>
      </c>
      <c r="G34" s="106" t="inlineStr">
        <is>
          <t xml:space="preserve">Кораколрогистон Рес Нукус щахар Ана сай МФЙ, Назархан кучаси, 10-уй</t>
        </is>
      </c>
      <c r="H34" s="107">
        <v>8.0</v>
      </c>
      <c r="I34" s="107">
        <v>5689954.06</v>
      </c>
      <c r="K34" s="106" t="inlineStr">
        <is>
          <t xml:space="preserve">1782 | Uyiga borildi - va'da berdi</t>
        </is>
      </c>
    </row>
    <row r="35">
      <c r="A35" s="106" t="inlineStr">
        <is>
          <t xml:space="preserve">КОРАКАЛПОГИСТОН РЕСПУБЛИКАСИ</t>
        </is>
      </c>
      <c r="C35" s="106" t="inlineStr">
        <is>
          <t xml:space="preserve">Объезд</t>
        </is>
      </c>
      <c r="D35" s="106" t="inlineStr">
        <is>
          <t xml:space="preserve">Кр-99062628-1</t>
        </is>
      </c>
      <c r="E35" s="106" t="inlineStr">
        <is>
          <t xml:space="preserve">QALEKEEV QURBANBAY GENJEMURATOVICH</t>
        </is>
      </c>
      <c r="F35" s="106" t="inlineStr">
        <is>
          <t xml:space="preserve">998337368081 OZI, 998912685205 AYOLI, 998996892535 OGLI, 998997573480 OGLI,</t>
        </is>
      </c>
      <c r="G35" s="106" t="inlineStr">
        <is>
          <t xml:space="preserve">QORAQALPOGISTON RES SHUMANAY TUMANI NAWRIZ MFY OZBEKISTAN KUSHASI 14 UY </t>
        </is>
      </c>
      <c r="H35" s="107">
        <v>12.0</v>
      </c>
      <c r="I35" s="107">
        <v>4175733.35</v>
      </c>
      <c r="K35" s="106" t="inlineStr">
        <is>
          <t xml:space="preserve">FILIAL BORDI  20KUNI AVANSDAN TASHAB BERAMAN DEDILA | 1591 | Va'da berdi</t>
        </is>
      </c>
    </row>
    <row r="36">
      <c r="A36" s="106" t="inlineStr">
        <is>
          <t xml:space="preserve">КОРАКАЛПОГИСТОН РЕСПУБЛИКАСИ</t>
        </is>
      </c>
      <c r="C36" s="106" t="inlineStr">
        <is>
          <t xml:space="preserve">Объезд</t>
        </is>
      </c>
      <c r="D36" s="106" t="inlineStr">
        <is>
          <t xml:space="preserve">Кр-99046306-1</t>
        </is>
      </c>
      <c r="E36" s="106" t="inlineStr">
        <is>
          <t xml:space="preserve">ALLAMURATOV SIPATDIN SHARAFATDINOVICH</t>
        </is>
      </c>
      <c r="F36" s="106" t="inlineStr">
        <is>
          <t xml:space="preserve">+998940899406 SMS OZI, 998886095115 SMS OPASI, 998997899406 SMS AYOLI, 998887068994 ayoli neww,</t>
        </is>
      </c>
      <c r="G36" s="106" t="inlineStr">
        <is>
          <t xml:space="preserve">Жаслык кучаси 24 уй</t>
        </is>
      </c>
      <c r="H36" s="107">
        <v>8.0</v>
      </c>
      <c r="I36" s="107">
        <v>3629261.09</v>
      </c>
      <c r="K36" s="106" t="inlineStr">
        <is>
          <t xml:space="preserve">QOZOQDA BUGUN TO'LOV QILISHADI EKAN | 1239 | Uyiga borildi - to'ladi</t>
        </is>
      </c>
    </row>
    <row r="37">
      <c r="A37" s="106" t="inlineStr">
        <is>
          <t xml:space="preserve">КОРАКАЛПОГИСТОН РЕСПУБЛИКАСИ</t>
        </is>
      </c>
      <c r="C37" s="106" t="inlineStr">
        <is>
          <t xml:space="preserve">Объезд</t>
        </is>
      </c>
      <c r="D37" s="106" t="inlineStr">
        <is>
          <t xml:space="preserve">Кр-99057361-1</t>
        </is>
      </c>
      <c r="E37" s="106" t="inlineStr">
        <is>
          <t xml:space="preserve">KULUMBETOVA ZIYADA JUMABAYEVNA</t>
        </is>
      </c>
      <c r="F37" s="106" t="inlineStr">
        <is>
          <t xml:space="preserve">998906500325 oZI, 990977988897 o'G'LI, 998551084615 UY, 998972291204 QIZI,</t>
        </is>
      </c>
      <c r="G37" s="106" t="inlineStr">
        <is>
          <t xml:space="preserve">QORAQALPOGISTON RESPUBLIKASI XOJAYLI TUMANI</t>
        </is>
      </c>
      <c r="H37" s="107">
        <v>8.0</v>
      </c>
      <c r="I37" s="107">
        <v>3176244.66</v>
      </c>
      <c r="K37" s="106" t="inlineStr">
        <is>
          <t xml:space="preserve">KUYOVI BALNESAGA TUSHIB QOLIBDI 20-25GA TO'LOV QILIB BERAMAN DEDILA | 1429 | Uyiga borildi - va'da berdi</t>
        </is>
      </c>
    </row>
    <row r="38">
      <c r="A38" s="106" t="inlineStr">
        <is>
          <t xml:space="preserve">КОРАКАЛПОГИСТОН РЕСПУБЛИКАСИ</t>
        </is>
      </c>
      <c r="C38" s="106" t="inlineStr">
        <is>
          <t xml:space="preserve">Объезд</t>
        </is>
      </c>
      <c r="D38" s="106" t="inlineStr">
        <is>
          <t xml:space="preserve">Кр-99062824-1</t>
        </is>
      </c>
      <c r="E38" s="106" t="inlineStr">
        <is>
          <t xml:space="preserve">ALIYEV KUDIYAR ALLIYAROVICH</t>
        </is>
      </c>
      <c r="F38" s="106" t="inlineStr">
        <is>
          <t xml:space="preserve">998933611148 SMS OANSI, 998972904286 SMS OZI, 998991623511 SMS AYOLI, 998991633511 SMS QIZI,</t>
        </is>
      </c>
      <c r="G38" s="106" t="inlineStr">
        <is>
          <t xml:space="preserve">QORAQOLPAGISTON RESPUBLIKASI NUKUS AMUDARYA MFY ELIM BAR KOCHASI 35-UY</t>
        </is>
      </c>
      <c r="H38" s="107">
        <v>8.0</v>
      </c>
      <c r="I38" s="107">
        <v>2755016.55</v>
      </c>
      <c r="K38" s="106" t="inlineStr">
        <is>
          <t xml:space="preserve">1632 | Uyiga borildi</t>
        </is>
      </c>
    </row>
    <row r="39">
      <c r="A39" s="106" t="inlineStr">
        <is>
          <t xml:space="preserve">КОРАКАЛПОГИСТОН РЕСПУБЛИКАСИ</t>
        </is>
      </c>
      <c r="C39" s="106" t="inlineStr">
        <is>
          <t xml:space="preserve">Объезд</t>
        </is>
      </c>
      <c r="D39" s="106" t="inlineStr">
        <is>
          <t xml:space="preserve">Кр-99048109-1</t>
        </is>
      </c>
      <c r="E39" s="106" t="inlineStr">
        <is>
          <t xml:space="preserve">TOKIMBETOV KULMURAT ZARIPOVICH</t>
        </is>
      </c>
      <c r="F39" s="106" t="inlineStr">
        <is>
          <t xml:space="preserve">+998913895370 sms Ozi, 998906627173 sms akasi, 998913746773 sms Akasi,</t>
        </is>
      </c>
      <c r="G39" s="106" t="inlineStr">
        <is>
          <t xml:space="preserve">КОРАКАЛПОГИСТОН РЕСПУБЛИКАСИ Хужайи тумани Сабык МФЙ Саятхан Хамра 3 уй</t>
        </is>
      </c>
      <c r="H39" s="107">
        <v>8.0</v>
      </c>
      <c r="I39" s="107">
        <v>2301348.41</v>
      </c>
      <c r="K39" s="106" t="inlineStr">
        <is>
          <t xml:space="preserve">7173 QARNDOWI AYTIB QO'YAMAN DEDILA  BUGUN TO'LEMAN DEB AYTIBDILA | 1273 | Uyiga borildi - to'ladi</t>
        </is>
      </c>
    </row>
    <row r="40">
      <c r="A40" s="106" t="inlineStr">
        <is>
          <t xml:space="preserve">КОРАКАЛПОГИСТОН РЕСПУБЛИКАСИ</t>
        </is>
      </c>
      <c r="C40" s="106" t="inlineStr">
        <is>
          <t xml:space="preserve">Объезд</t>
        </is>
      </c>
      <c r="D40" s="106" t="inlineStr">
        <is>
          <t xml:space="preserve">Кр-99048734-1</t>
        </is>
      </c>
      <c r="E40" s="106" t="inlineStr">
        <is>
          <t xml:space="preserve">BERDIALIEV MURAT KUBEISINOVICH</t>
        </is>
      </c>
      <c r="F40" s="106" t="inlineStr">
        <is>
          <t xml:space="preserve">998904247787 OYALI, 998906633888 OGLI, 998907037787 OZI,</t>
        </is>
      </c>
      <c r="G40" s="106" t="inlineStr">
        <is>
          <t xml:space="preserve">Qaraqalpogiston Respublikasi Nukus shahar Samanbay MFY Toktaw kushasi 25 uy</t>
        </is>
      </c>
      <c r="H40" s="107">
        <v>8.0</v>
      </c>
      <c r="I40" s="107">
        <v>2142177.76</v>
      </c>
      <c r="K40" s="106" t="inlineStr">
        <is>
          <t xml:space="preserve">TAKSICHI BU BO'LIB BO'LIB TO'LAYABDILA BUGUN KECHGA YANA TO'LAYDI | 1280 | Uyiga borildi - va'da berdi</t>
        </is>
      </c>
    </row>
    <row r="41">
      <c r="A41" s="106" t="inlineStr">
        <is>
          <t xml:space="preserve">КОРАКАЛПОГИСТОН РЕСПУБЛИКАСИ</t>
        </is>
      </c>
      <c r="C41" s="106" t="inlineStr">
        <is>
          <t xml:space="preserve">Объезд</t>
        </is>
      </c>
      <c r="D41" s="106" t="inlineStr">
        <is>
          <t xml:space="preserve">Кр-99038025-1</t>
        </is>
      </c>
      <c r="E41" s="106" t="inlineStr">
        <is>
          <t xml:space="preserve">AMINOV ARSLON RUSTAMOVICH</t>
        </is>
      </c>
      <c r="F41" s="106" t="inlineStr">
        <is>
          <t xml:space="preserve">998952415212 SMS UZI, 998912551805 SMS UKASI, 990887732099 SMS UKASi 2,</t>
        </is>
      </c>
      <c r="G41" s="106" t="inlineStr">
        <is>
          <t xml:space="preserve">QORAQALPOG’ISTON RESPUBLIKASI TO’RTKO’L TUMANI TALABA MFY SEMASHKO KOCHASI 18A-UY</t>
        </is>
      </c>
      <c r="H41" s="107">
        <v>7.0</v>
      </c>
      <c r="I41" s="107">
        <v>1950012.72</v>
      </c>
      <c r="K41" s="106" t="inlineStr">
        <is>
          <t xml:space="preserve">FILIAL TO'LATTIRDI | 740 | Uyiga borildi - to'ladi</t>
        </is>
      </c>
    </row>
    <row r="42">
      <c r="A42" s="106" t="inlineStr">
        <is>
          <t xml:space="preserve">КОРАКАЛПОГИСТОН РЕСПУБЛИКАСИ</t>
        </is>
      </c>
      <c r="C42" s="106" t="inlineStr">
        <is>
          <t xml:space="preserve">Объезд</t>
        </is>
      </c>
      <c r="D42" s="106" t="inlineStr">
        <is>
          <t xml:space="preserve">Кр-99063402-1</t>
        </is>
      </c>
      <c r="E42" s="106" t="inlineStr">
        <is>
          <t xml:space="preserve">JAMGIRBAYEV SHOXZOD XALMURAT ULI</t>
        </is>
      </c>
      <c r="F42" s="106" t="inlineStr">
        <is>
          <t xml:space="preserve">998906527006 OZI, 998913931005 AKASI, 998951773003 AKASI 2,</t>
        </is>
      </c>
      <c r="G42" s="106" t="inlineStr">
        <is>
          <t xml:space="preserve">QARAQALPOGISTON RES NUKUS SHAHAR NAUBAXAR MFY ELI AZAT KUSHASI 15 UY</t>
        </is>
      </c>
      <c r="H42" s="107">
        <v>8.0</v>
      </c>
      <c r="I42" s="107">
        <v>1762344.36</v>
      </c>
      <c r="K42" s="106" t="inlineStr">
        <is>
          <t xml:space="preserve">1765 | Uyiga borildi - va'da berdi</t>
        </is>
      </c>
    </row>
    <row r="43">
      <c r="A43" s="106" t="inlineStr">
        <is>
          <t xml:space="preserve">КОРАКАЛПОГИСТОН РЕСПУБЛИКАСИ</t>
        </is>
      </c>
      <c r="C43" s="106" t="inlineStr">
        <is>
          <t xml:space="preserve">Объезд</t>
        </is>
      </c>
      <c r="D43" s="106" t="inlineStr">
        <is>
          <t xml:space="preserve">Кр-99040984-1</t>
        </is>
      </c>
      <c r="E43" s="106" t="inlineStr">
        <is>
          <t xml:space="preserve">UTAROV JAKSILIK DJITESOVICH</t>
        </is>
      </c>
      <c r="F43" s="106" t="inlineStr">
        <is>
          <t xml:space="preserve">998913033891 SMS OZI, 998913917972 SMS AYOLI, 998991941402 SMS OGLI,</t>
        </is>
      </c>
      <c r="G43" s="106" t="inlineStr">
        <is>
          <t xml:space="preserve">NUKUS SHAHRI</t>
        </is>
      </c>
      <c r="H43" s="107">
        <v>11.0</v>
      </c>
      <c r="I43" s="107">
        <v>1675516.42</v>
      </c>
      <c r="K43" s="106" t="inlineStr">
        <is>
          <t xml:space="preserve">o'zi ishsiz  20kuni ayoli oylik oladi wundan to'layman deyabdila | 1039 | Uyiga borildi - va'da berdi</t>
        </is>
      </c>
    </row>
    <row r="44">
      <c r="A44" s="106" t="inlineStr">
        <is>
          <t xml:space="preserve">КОРАКАЛПОГИСТОН РЕСПУБЛИКАСИ</t>
        </is>
      </c>
      <c r="C44" s="106" t="inlineStr">
        <is>
          <t xml:space="preserve">Объезд</t>
        </is>
      </c>
      <c r="D44" s="106" t="inlineStr">
        <is>
          <t xml:space="preserve">Кр-99064050-1</t>
        </is>
      </c>
      <c r="E44" s="106" t="inlineStr">
        <is>
          <t xml:space="preserve">ESHIMBETOV QUDAYBERGEN AYAPBERGENOVICH</t>
        </is>
      </c>
      <c r="F44" s="106" t="inlineStr">
        <is>
          <t xml:space="preserve">998877084162 OGLI, 998994004162 OZI, 998997484162 OYALI,</t>
        </is>
      </c>
      <c r="G44" s="106" t="inlineStr">
        <is>
          <t xml:space="preserve">QORAQLPOGISTON RES NUKUS SHAHAR  Kutli-konis MFY, Uvaysiy ko’chasi, 18-uy</t>
        </is>
      </c>
      <c r="H44" s="107">
        <v>8.0</v>
      </c>
      <c r="I44" s="107">
        <v>1650780.2</v>
      </c>
      <c r="K44" s="106" t="inlineStr">
        <is>
          <t xml:space="preserve">1868 | Uyiga borildi - va'da berdi</t>
        </is>
      </c>
    </row>
    <row r="45">
      <c r="A45" s="106" t="inlineStr">
        <is>
          <t xml:space="preserve">КОРАКАЛПОГИСТОН РЕСПУБЛИКАСИ</t>
        </is>
      </c>
      <c r="C45" s="106" t="inlineStr">
        <is>
          <t xml:space="preserve">Объезд</t>
        </is>
      </c>
      <c r="D45" s="106" t="inlineStr">
        <is>
          <t xml:space="preserve">Кр-99033574-1</t>
        </is>
      </c>
      <c r="E45" s="106" t="inlineStr">
        <is>
          <t xml:space="preserve">AMANBAEVA RAUSHAN XOJABAEVNA</t>
        </is>
      </c>
      <c r="F45" s="106" t="inlineStr">
        <is>
          <t xml:space="preserve">998933668784 SMS O’ZI tuman tibbiyot birlashmasda hamshira, 998913038448 SMS ERI, 998900953787 SMS ONASI, 998913829597 SMS QIZI, 998937040224 SMS ERI NEW,</t>
        </is>
      </c>
      <c r="G45" s="106" t="inlineStr">
        <is>
          <t xml:space="preserve">NUKUS SHAHAR SHIMBOY GUZARI  SAWKELI KUSHASI 107 UY </t>
        </is>
      </c>
      <c r="I45" s="107">
        <v>170388.71</v>
      </c>
      <c r="K45" s="106" t="inlineStr">
        <is>
          <t xml:space="preserve">RAQAMLARIGA TUSHA OLMADIM | 464 | Uyiga borildi - va'da berdi</t>
        </is>
      </c>
    </row>
    <row r="46">
      <c r="A46" s="108" t="inlineStr">
        <is>
          <t xml:space="preserve">НАМАНГАН ВИЛОЯТИ</t>
        </is>
      </c>
      <c r="C46" s="108" t="inlineStr">
        <is>
          <t xml:space="preserve">Объезд</t>
        </is>
      </c>
      <c r="D46" s="108" t="inlineStr">
        <is>
          <t xml:space="preserve">Кр-99021020-4</t>
        </is>
      </c>
      <c r="E46" s="108" t="inlineStr">
        <is>
          <t xml:space="preserve">ABDULLAYEV RAXMATULLOX MUXSIN O‘G‘LI</t>
        </is>
      </c>
      <c r="F46" s="108" t="inlineStr">
        <is>
          <t xml:space="preserve">93-816-22-22 SMS UZI  BEGONA, 90-792-00-77 SMS UZI 2, 88-250-00-05 SMS AKASI, 88-254-00-05 SMS ISHXONA begona,</t>
        </is>
      </c>
      <c r="G46" s="108" t="inlineStr">
        <is>
          <t xml:space="preserve">NAMANGAN SHAHRI G‘UNCHA MFY G‘UNCHA TOR KO‘CHASI 2 UY</t>
        </is>
      </c>
      <c r="H46" s="109">
        <v>13.0</v>
      </c>
      <c r="I46" s="109">
        <v>5181768.61</v>
      </c>
      <c r="K46" s="108" t="inlineStr">
        <is>
          <t xml:space="preserve">Uyiga borildi | undruvchi blan gaplashganakan bugun tolab qoyarkan</t>
        </is>
      </c>
    </row>
    <row r="47">
      <c r="A47" s="108" t="inlineStr">
        <is>
          <t xml:space="preserve">НАМАНГАН ВИЛОЯТИ</t>
        </is>
      </c>
      <c r="C47" s="108" t="inlineStr">
        <is>
          <t xml:space="preserve">Объезд</t>
        </is>
      </c>
      <c r="D47" s="108" t="inlineStr">
        <is>
          <t xml:space="preserve">Кр-99040064-1</t>
        </is>
      </c>
      <c r="E47" s="108" t="inlineStr">
        <is>
          <t xml:space="preserve">AXMADJONOVA MAVLUDA ABDURASUL QIZI</t>
        </is>
      </c>
      <c r="F47" s="108" t="inlineStr">
        <is>
          <t xml:space="preserve">998932706992 SSMS OZI, 998932706992 SMS ERI, 998505257166 SMS DADASI begona , 998931649098 SMS ONASI begona, 998942762992 SMS ERI,</t>
        </is>
      </c>
      <c r="G47" s="108" t="inlineStr">
        <is>
          <t xml:space="preserve">NAMANGAN VILOYAT CHORTOQ TUMANI BOZORBOSHI MFY ZEBINISO KO'CHASI 39 UY</t>
        </is>
      </c>
      <c r="H47" s="109">
        <v>12.0</v>
      </c>
      <c r="I47" s="109">
        <v>3350519.85</v>
      </c>
      <c r="K47" s="108" t="inlineStr">
        <is>
          <t xml:space="preserve">Uyiga borildi | gaplashayabdi undruvchilar borib</t>
        </is>
      </c>
    </row>
    <row r="48">
      <c r="A48" s="108" t="inlineStr">
        <is>
          <t xml:space="preserve">НАМАНГАН ВИЛОЯТИ</t>
        </is>
      </c>
      <c r="C48" s="108" t="inlineStr">
        <is>
          <t xml:space="preserve">Объезд</t>
        </is>
      </c>
      <c r="D48" s="108" t="inlineStr">
        <is>
          <t xml:space="preserve">Кр-99033809-1</t>
        </is>
      </c>
      <c r="E48" s="108" t="inlineStr">
        <is>
          <t xml:space="preserve">BAYXANOV OLIM GULAMOVICH</t>
        </is>
      </c>
      <c r="F48" s="108" t="inlineStr">
        <is>
          <t xml:space="preserve">998886267771 SMS O’ZI, 998935700636 SMS UKASI, 998339852021 SMS DADASI, 998882548111 SMS ONASI, 998999752666 SMS O'ZI, 998953000016 SMS uzi new,</t>
        </is>
      </c>
      <c r="G48" s="108" t="inlineStr">
        <is>
          <t xml:space="preserve">NAMANGAN VILOYATI NAMANGAN SHAHAR OBOD MFY  ILG’OR 1 TOR KO’CHA  8 A UY</t>
        </is>
      </c>
      <c r="H48" s="109">
        <v>26.0</v>
      </c>
      <c r="I48" s="109">
        <v>3344464.21</v>
      </c>
      <c r="K48" s="108" t="inlineStr">
        <is>
          <t xml:space="preserve">Uyiga borildi | yopib beraman deyotganakan tez kunlarda</t>
        </is>
      </c>
    </row>
    <row r="49">
      <c r="A49" s="108" t="inlineStr">
        <is>
          <t xml:space="preserve">НАМАНГАН ВИЛОЯТИ</t>
        </is>
      </c>
      <c r="C49" s="108" t="inlineStr">
        <is>
          <t xml:space="preserve">Объезд</t>
        </is>
      </c>
      <c r="D49" s="108" t="inlineStr">
        <is>
          <t xml:space="preserve">Кр-99040065-1</t>
        </is>
      </c>
      <c r="E49" s="108" t="inlineStr">
        <is>
          <t xml:space="preserve">KAXXOROVA SEVARAXON XOSHIMJANOVNA</t>
        </is>
      </c>
      <c r="F49" s="108" t="inlineStr">
        <is>
          <t xml:space="preserve">998948620378 SMS OZI, 998936435220 SMS UKASI  TO'LOVCHI, 998507068998 SMS OGLI, 998948997875 SMS ERI begona,</t>
        </is>
      </c>
      <c r="G49" s="108" t="inlineStr">
        <is>
          <t xml:space="preserve">NAMANGAN VILOYAT YANGIQO'RG'ON TUMANI SUTLIBULOQ MFY, SADOQAT KO'CHASI 52 UY</t>
        </is>
      </c>
      <c r="H49" s="109">
        <v>12.0</v>
      </c>
      <c r="I49" s="109">
        <v>3020502.25</v>
      </c>
      <c r="K49" s="108" t="inlineStr">
        <is>
          <t xml:space="preserve">Uyiga borildi | klentni ukasi tolovchi hozir tololmaydi ekan puli yogan deb qaytib ketibdiundruvchilar</t>
        </is>
      </c>
    </row>
    <row r="50">
      <c r="A50" s="108" t="inlineStr">
        <is>
          <t xml:space="preserve">НАМАНГАН ВИЛОЯТИ</t>
        </is>
      </c>
      <c r="C50" s="108" t="inlineStr">
        <is>
          <t xml:space="preserve">Объезд</t>
        </is>
      </c>
      <c r="D50" s="108" t="inlineStr">
        <is>
          <t xml:space="preserve">Кр-99036049-1</t>
        </is>
      </c>
      <c r="E50" s="108" t="inlineStr">
        <is>
          <t xml:space="preserve">XAMIDJONOV BOBUR MUMINJON O’G’LI</t>
        </is>
      </c>
      <c r="F50" s="108" t="inlineStr">
        <is>
          <t xml:space="preserve">998935299602 SMS OZI, 998942771083 SMS AKASI tolovchi, 998943048390 SMS OPASI, 998940015061 SMS AMAKISI,</t>
        </is>
      </c>
      <c r="G50" s="108" t="inlineStr">
        <is>
          <t xml:space="preserve">NAMANGAN VILOYATI UCHQO’RG’ON TUMANI ATLAS MFY USMON BAXSHI KO’CHA 2 UY</t>
        </is>
      </c>
      <c r="H50" s="109">
        <v>32.0</v>
      </c>
      <c r="I50" s="109">
        <v>2924740.26</v>
      </c>
      <c r="K50" s="108" t="inlineStr">
        <is>
          <t xml:space="preserve">Uyiga borildi | oy oxirida yopib berarkan</t>
        </is>
      </c>
    </row>
    <row r="51">
      <c r="A51" s="108" t="inlineStr">
        <is>
          <t xml:space="preserve">НАМАНГАН ВИЛОЯТИ</t>
        </is>
      </c>
      <c r="C51" s="108" t="inlineStr">
        <is>
          <t xml:space="preserve">Объезд</t>
        </is>
      </c>
      <c r="D51" s="108" t="inlineStr">
        <is>
          <t xml:space="preserve">Кр-99040792-1</t>
        </is>
      </c>
      <c r="E51" s="108" t="inlineStr">
        <is>
          <t xml:space="preserve">AXMADJANOVA MADINA MALIKJON QIZI</t>
        </is>
      </c>
      <c r="F51" s="108" t="inlineStr">
        <is>
          <t xml:space="preserve">998950451616 SMS TO'LOVCHI, 998955750016 SMS AYOLI,</t>
        </is>
      </c>
      <c r="G51" s="108" t="inlineStr">
        <is>
          <t xml:space="preserve">ЧИНОР МФЙ, ЛАНГАР, 22 БЕРК КЎЧАСИ,  uy:6</t>
        </is>
      </c>
      <c r="H51" s="109">
        <v>8.0</v>
      </c>
      <c r="I51" s="109">
        <v>2488476.76</v>
      </c>
      <c r="K51" s="108" t="inlineStr">
        <is>
          <t xml:space="preserve">Uyiga borildi | bugun yopib berarkan</t>
        </is>
      </c>
    </row>
    <row r="52">
      <c r="A52" s="108" t="inlineStr">
        <is>
          <t xml:space="preserve">НАМАНГАН ВИЛОЯТИ</t>
        </is>
      </c>
      <c r="C52" s="108" t="inlineStr">
        <is>
          <t xml:space="preserve">Объезд</t>
        </is>
      </c>
      <c r="D52" s="108" t="inlineStr">
        <is>
          <t xml:space="preserve">Кр-99040750-1</t>
        </is>
      </c>
      <c r="E52" s="108" t="inlineStr">
        <is>
          <t xml:space="preserve">XAYDAROV IQBOLJON IMINJON O’G’LI</t>
        </is>
      </c>
      <c r="F52" s="108" t="inlineStr">
        <is>
          <t xml:space="preserve">998996581133 SMS OZI, 998774457826 SMS UYI, 998939453448 SMS OPASI, 998367416462 SMS OPASI 2,</t>
        </is>
      </c>
      <c r="G52" s="108" t="inlineStr">
        <is>
          <t xml:space="preserve">NAMANGAN VILOYATI NORIN TUMANI QO’SHCHEK MFY,QO’SHCHEK KO’CHASI 88-UY</t>
        </is>
      </c>
      <c r="H52" s="109">
        <v>8.0</v>
      </c>
      <c r="I52" s="109">
        <v>1980907.22</v>
      </c>
      <c r="K52" s="108" t="inlineStr">
        <is>
          <t xml:space="preserve">Uyiga borildi | qsman tolov qilb berdi onasi qolganini ham yopib berarkan bir ikki kunda</t>
        </is>
      </c>
    </row>
    <row r="53">
      <c r="A53" s="110" t="inlineStr">
        <is>
          <t xml:space="preserve">САМАРКАНД ВИЛОЯТИ</t>
        </is>
      </c>
      <c r="C53" s="110" t="inlineStr">
        <is>
          <t xml:space="preserve">Объезд</t>
        </is>
      </c>
      <c r="D53" s="110" t="inlineStr">
        <is>
          <t xml:space="preserve">Кр-99026954-6</t>
        </is>
      </c>
      <c r="E53" s="110" t="inlineStr">
        <is>
          <t xml:space="preserve">AXROROV MEXROJ MASHRAFOVICH</t>
        </is>
      </c>
      <c r="F53" s="110" t="inlineStr">
        <is>
          <t xml:space="preserve">99-783-00-20 SMS OZI tolovchi, 33-799-20-20 SMS UKASI, 91-702-64-03 SMS AYASI, 97-958-70-11 SMS AKASI, +998992719999 Primary phone from road24( БЕГОНА), 998992719999 Primary phone from road24( БЕГОНА),</t>
        </is>
      </c>
      <c r="G53" s="110" t="inlineStr">
        <is>
          <t xml:space="preserve">SAMARQAND VILOYATI SAMARQAND TUMANI QO’SHTAMG’ALI QFY JO’YISOY MFY</t>
        </is>
      </c>
      <c r="H53" s="111">
        <v>8.0</v>
      </c>
      <c r="I53" s="111">
        <v>5150210.36</v>
      </c>
      <c r="J53" s="111">
        <v>5150210.36</v>
      </c>
      <c r="K53" s="110" t="inlineStr">
        <is>
          <t xml:space="preserve">Uyiga borildi - to'ladi | yopildi</t>
        </is>
      </c>
    </row>
    <row r="54">
      <c r="A54" s="110" t="inlineStr">
        <is>
          <t xml:space="preserve">САМАРКАНД ВИЛОЯТИ</t>
        </is>
      </c>
      <c r="C54" s="110" t="inlineStr">
        <is>
          <t xml:space="preserve">Объезд</t>
        </is>
      </c>
      <c r="D54" s="110" t="inlineStr">
        <is>
          <t xml:space="preserve">Кр-99038198-2</t>
        </is>
      </c>
      <c r="E54" s="110" t="inlineStr">
        <is>
          <t xml:space="preserve">ABDUVOXIDOVA MAVLYUDA TOLIBOVNA</t>
        </is>
      </c>
      <c r="F54" s="110" t="inlineStr">
        <is>
          <t xml:space="preserve">998902878483 SMS OZI, 998976156009 SMS ONASI, 998995514083 SMS SINGLISI, 998905059100 SMS YANGASI, +998902878483 SMS OZI,</t>
        </is>
      </c>
      <c r="G54" s="110" t="inlineStr">
        <is>
          <t xml:space="preserve">SAMARQAND VILOYATI PAYARIQ TUMANI JAVSHAR OTA MFY XIROSON KUCHASI 26-UY</t>
        </is>
      </c>
      <c r="H54" s="111">
        <v>8.0</v>
      </c>
      <c r="I54" s="111">
        <v>4146568.54</v>
      </c>
      <c r="J54" s="111">
        <v>4146568.54</v>
      </c>
      <c r="K54" s="110" t="inlineStr">
        <is>
          <t xml:space="preserve">Uyiga borildi - to'ladi | yopildi</t>
        </is>
      </c>
    </row>
    <row r="55">
      <c r="A55" s="110" t="inlineStr">
        <is>
          <t xml:space="preserve">САМАРКАНД ВИЛОЯТИ</t>
        </is>
      </c>
      <c r="C55" s="110" t="inlineStr">
        <is>
          <t xml:space="preserve">Объезд</t>
        </is>
      </c>
      <c r="D55" s="110" t="inlineStr">
        <is>
          <t xml:space="preserve">Кр-99020836-8</t>
        </is>
      </c>
      <c r="E55" s="110" t="inlineStr">
        <is>
          <t xml:space="preserve">ISMOILOV MUZAFFAR ALISHEROVICH</t>
        </is>
      </c>
      <c r="F55" s="110" t="inlineStr">
        <is>
          <t xml:space="preserve">91-628-00-02 SMS, 90-286-00-02  SMS AKASI, 99-596-97-97 SMS ZALOGADATEL, 93-728-96-96 SMS ZALOGADATEL UKASI, 998902860002 SMS ZALOGADATEL,</t>
        </is>
      </c>
      <c r="G55" s="110" t="inlineStr">
        <is>
          <t xml:space="preserve">SAMARQAND CILOYATI PAYARIQ TUMANI GUZAL  MFY OTABEK QUVVATOV KUCHASI 22-UY</t>
        </is>
      </c>
      <c r="H55" s="111">
        <v>8.0</v>
      </c>
      <c r="I55" s="111">
        <v>3766674.36</v>
      </c>
      <c r="K55" s="110" t="inlineStr">
        <is>
          <t xml:space="preserve">Uyiga borildi - va'da berdi</t>
        </is>
      </c>
    </row>
    <row r="56">
      <c r="A56" s="110" t="inlineStr">
        <is>
          <t xml:space="preserve">САМАРКАНД ВИЛОЯТИ</t>
        </is>
      </c>
      <c r="C56" s="110" t="inlineStr">
        <is>
          <t xml:space="preserve">Объезд</t>
        </is>
      </c>
      <c r="D56" s="110" t="inlineStr">
        <is>
          <t xml:space="preserve">Кр-99059521-1</t>
        </is>
      </c>
      <c r="E56" s="110" t="inlineStr">
        <is>
          <t xml:space="preserve">NEMATOVA LOLAXON FARXODJON QIZI</t>
        </is>
      </c>
      <c r="F56" s="110" t="inlineStr">
        <is>
          <t xml:space="preserve">+998944600370 SMS OZI, 998500105600 SMS UKASI, 998949230370 SMS ERI, 998979290370 SMS UYI,</t>
        </is>
      </c>
      <c r="G56" s="110" t="inlineStr">
        <is>
          <t xml:space="preserve">SAMARQAND VILOYATI PAYARIQ TUMANI ERNAZARQURG’ON MFY YANGI ZAMON KUCHASI 54-UY</t>
        </is>
      </c>
      <c r="H56" s="111">
        <v>8.0</v>
      </c>
      <c r="I56" s="111">
        <v>3575132.95</v>
      </c>
      <c r="K56" s="110" t="inlineStr">
        <is>
          <t xml:space="preserve">Uyiga borildi - va'da berdi</t>
        </is>
      </c>
    </row>
    <row r="57">
      <c r="A57" s="110" t="inlineStr">
        <is>
          <t xml:space="preserve">САМАРКАНД ВИЛОЯТИ</t>
        </is>
      </c>
      <c r="C57" s="110" t="inlineStr">
        <is>
          <t xml:space="preserve">Объезд</t>
        </is>
      </c>
      <c r="D57" s="110" t="inlineStr">
        <is>
          <t xml:space="preserve">Кр-99030337-1</t>
        </is>
      </c>
      <c r="E57" s="110" t="inlineStr">
        <is>
          <t xml:space="preserve">NABIYEV ABDUVORIS ABDUVOXIDOVCH</t>
        </is>
      </c>
      <c r="F57" s="110" t="inlineStr">
        <is>
          <t xml:space="preserve">88-577-20-02  SMS UZI , 88-917-93-39  SMS AYOLI, 97-918-00-62  SMS uchaskavoy, 99-625-08-41  SMS UYI,</t>
        </is>
      </c>
      <c r="G57" s="110" t="inlineStr">
        <is>
          <t xml:space="preserve">SAMARQAND VILOYATI SAMARQAND TUMANI KO'LBA MFY KO'LBA QISHLOG'I </t>
        </is>
      </c>
      <c r="H57" s="111">
        <v>11.0</v>
      </c>
      <c r="I57" s="111">
        <v>3452322.43</v>
      </c>
      <c r="K57" s="110" t="inlineStr">
        <is>
          <t xml:space="preserve">Uyiga borildi - va'da berdi</t>
        </is>
      </c>
    </row>
    <row r="58">
      <c r="A58" s="110" t="inlineStr">
        <is>
          <t xml:space="preserve">САМАРКАНД ВИЛОЯТИ</t>
        </is>
      </c>
      <c r="C58" s="110" t="inlineStr">
        <is>
          <t xml:space="preserve">Объезд</t>
        </is>
      </c>
      <c r="D58" s="110" t="inlineStr">
        <is>
          <t xml:space="preserve">Кр-99020836-6</t>
        </is>
      </c>
      <c r="E58" s="110" t="inlineStr">
        <is>
          <t xml:space="preserve">ISMOILOV MUZAFFAR ALISHEROVICH</t>
        </is>
      </c>
      <c r="F58" s="110" t="inlineStr">
        <is>
          <t xml:space="preserve">91-628-00-02 SMS, 90-286-00-02  SMS AKASI, 99-596-97-97 SMS ZALOGADATEL, 93-728-96-96 SMS ZALOGADATEL UKASI, 998902860002 SMS ZALOGADATEL,</t>
        </is>
      </c>
      <c r="G58" s="110" t="inlineStr">
        <is>
          <t xml:space="preserve">SAMARQAND CILOYATI PAYARIQ TUMANI GUZAL  MFY OTABEK QUVVATOV KUCHASI 22-UY</t>
        </is>
      </c>
      <c r="H58" s="111">
        <v>8.0</v>
      </c>
      <c r="I58" s="111">
        <v>3319104.91</v>
      </c>
      <c r="K58" s="110" t="inlineStr">
        <is>
          <t xml:space="preserve">Uyiga borildi - va'da berdi</t>
        </is>
      </c>
    </row>
    <row r="59">
      <c r="A59" s="110" t="inlineStr">
        <is>
          <t xml:space="preserve">САМАРКАНД ВИЛОЯТИ</t>
        </is>
      </c>
      <c r="C59" s="110" t="inlineStr">
        <is>
          <t xml:space="preserve">Объезд</t>
        </is>
      </c>
      <c r="D59" s="110" t="inlineStr">
        <is>
          <t xml:space="preserve">Кр-99040279-1</t>
        </is>
      </c>
      <c r="E59" s="110" t="inlineStr">
        <is>
          <t xml:space="preserve">PARDAYEV MUHAMMAD ISLOMJON O’G’LI</t>
        </is>
      </c>
      <c r="F59" s="110" t="inlineStr">
        <is>
          <t xml:space="preserve">998901030414 SMS OZI, 998915316369 SMS ZALOGATEL , 998906000208 SMS AKASI tulovchi,</t>
        </is>
      </c>
      <c r="G59" s="110" t="inlineStr">
        <is>
          <t xml:space="preserve">SAMARQAND VILOYATI PASTDARG'OM TUMANI QUYI DARG'OM MFY YOSHLAR KUCHASI 9-UY</t>
        </is>
      </c>
      <c r="H59" s="111">
        <v>8.0</v>
      </c>
      <c r="I59" s="111">
        <v>3306336.04</v>
      </c>
      <c r="J59" s="111">
        <v>3306336.04</v>
      </c>
      <c r="K59" s="110" t="inlineStr">
        <is>
          <t xml:space="preserve">Uyiga borildi - to'ladi | yopildi</t>
        </is>
      </c>
    </row>
    <row r="60">
      <c r="A60" s="110" t="inlineStr">
        <is>
          <t xml:space="preserve">САМАРКАНД ВИЛОЯТИ</t>
        </is>
      </c>
      <c r="C60" s="110" t="inlineStr">
        <is>
          <t xml:space="preserve">Объезд</t>
        </is>
      </c>
      <c r="D60" s="110" t="inlineStr">
        <is>
          <t xml:space="preserve">Кр-99040174-1</t>
        </is>
      </c>
      <c r="E60" s="110" t="inlineStr">
        <is>
          <t xml:space="preserve">ABSALOMOVA SADOKAT UCHKUNOVNA</t>
        </is>
      </c>
      <c r="F60" s="110" t="inlineStr">
        <is>
          <t xml:space="preserve">998973421686 SMS OZI, 998977022672 SMS ERI, 998904491943 SMS QIZI, 998889151718 SMS UYI,</t>
        </is>
      </c>
      <c r="G60" s="110" t="inlineStr">
        <is>
          <t xml:space="preserve">SAMARQAND VILOYATI PAYARIQ TUMANI FIDAKOR MFY YOSHLIK KUCHASI 4-UY</t>
        </is>
      </c>
      <c r="H60" s="111">
        <v>8.0</v>
      </c>
      <c r="I60" s="111">
        <v>3107666.47</v>
      </c>
      <c r="K60" s="110" t="inlineStr">
        <is>
          <t xml:space="preserve">Uyiga borildi - va'da berdi</t>
        </is>
      </c>
    </row>
    <row r="61">
      <c r="A61" s="110" t="inlineStr">
        <is>
          <t xml:space="preserve">САМАРКАНД ВИЛОЯТИ</t>
        </is>
      </c>
      <c r="C61" s="110" t="inlineStr">
        <is>
          <t xml:space="preserve">Объезд</t>
        </is>
      </c>
      <c r="D61" s="110" t="inlineStr">
        <is>
          <t xml:space="preserve">Кр-99040360-1</t>
        </is>
      </c>
      <c r="E61" s="110" t="inlineStr">
        <is>
          <t xml:space="preserve">KUSHMURODOV RASHID XUROZOVICH</t>
        </is>
      </c>
      <c r="F61" s="110" t="inlineStr">
        <is>
          <t xml:space="preserve">+998936002584 SMS O’ZI, 998505003878 SMS AKASI 2, 998935692069 SMS AKASI, 998501202552 SMS TULOVCHI, 998889007404 SMS AYOLI, 998919650304 SMS AKASI,</t>
        </is>
      </c>
      <c r="G61" s="110" t="inlineStr">
        <is>
          <t xml:space="preserve">SAMARQAND VILOYATI PAYARIQ TUMANI BAXRIN MFY SARXOUS KUCHASI 71-UY</t>
        </is>
      </c>
      <c r="H61" s="111">
        <v>8.0</v>
      </c>
      <c r="I61" s="111">
        <v>2693401.87</v>
      </c>
      <c r="K61" s="110" t="inlineStr">
        <is>
          <t xml:space="preserve">Uyiga borildi - va'da berdi | borildi</t>
        </is>
      </c>
    </row>
    <row r="62">
      <c r="A62" s="110" t="inlineStr">
        <is>
          <t xml:space="preserve">САМАРКАНД ВИЛОЯТИ</t>
        </is>
      </c>
      <c r="C62" s="110" t="inlineStr">
        <is>
          <t xml:space="preserve">Объезд</t>
        </is>
      </c>
      <c r="D62" s="110" t="inlineStr">
        <is>
          <t xml:space="preserve">Кр-99038198-1</t>
        </is>
      </c>
      <c r="E62" s="110" t="inlineStr">
        <is>
          <t xml:space="preserve">ABDUVOXIDOVA MAVLYUDA TOLIBOVNA</t>
        </is>
      </c>
      <c r="F62" s="110" t="inlineStr">
        <is>
          <t xml:space="preserve">998902878483 SMS OZI, 998976156009 SMS ONASI, 998995514083 SMS SINGLISI, 998905059100 SMS YANGASI, +998902878483 SMS OZI,</t>
        </is>
      </c>
      <c r="G62" s="110" t="inlineStr">
        <is>
          <t xml:space="preserve">SAMARQAND VILOYATI PAYARIQ TUMANI JAVSHAR OTA MFY XIROSON KUCHASI 26-UY</t>
        </is>
      </c>
      <c r="I62" s="111">
        <v>2339584.52</v>
      </c>
      <c r="K62" s="110" t="inlineStr">
        <is>
          <t xml:space="preserve">Uyiga borildi - va'da berdi</t>
        </is>
      </c>
    </row>
    <row r="63">
      <c r="A63" s="110" t="inlineStr">
        <is>
          <t xml:space="preserve">САМАРКАНД ВИЛОЯТИ</t>
        </is>
      </c>
      <c r="C63" s="110" t="inlineStr">
        <is>
          <t xml:space="preserve">Объезд</t>
        </is>
      </c>
      <c r="D63" s="110" t="inlineStr">
        <is>
          <t xml:space="preserve">Кр-99012698-7</t>
        </is>
      </c>
      <c r="E63" s="110" t="inlineStr">
        <is>
          <t xml:space="preserve">XAYDAROVA MOXIRA ESANOVNA</t>
        </is>
      </c>
      <c r="F63" s="110" t="inlineStr">
        <is>
          <t xml:space="preserve">998954305444 SMS QIZI TOLOVCHI, 998885790746 SMS UZI, 998973948333 SMS QIZI, 97-223-07-46  SMS ERI, 998502206526 УЗИ МОХИРА, 998875010746 SMS OZI, 998889425455 SMS OZI 2,</t>
        </is>
      </c>
      <c r="G63" s="110" t="inlineStr">
        <is>
          <t xml:space="preserve">SAMARQAND VILOYATI SAMARQAND TUMANI OXALIK MFY OQ BUYRO QQ  19-UY</t>
        </is>
      </c>
      <c r="H63" s="111">
        <v>8.0</v>
      </c>
      <c r="I63" s="111">
        <v>2321085.44</v>
      </c>
      <c r="J63" s="111">
        <v>2321085.44</v>
      </c>
      <c r="K63" s="110" t="inlineStr">
        <is>
          <t xml:space="preserve">Uyiga borildi - to'ladi | yopildi</t>
        </is>
      </c>
    </row>
    <row r="64">
      <c r="A64" s="110" t="inlineStr">
        <is>
          <t xml:space="preserve">САМАРКАНД ВИЛОЯТИ</t>
        </is>
      </c>
      <c r="C64" s="110" t="inlineStr">
        <is>
          <t xml:space="preserve">Объезд</t>
        </is>
      </c>
      <c r="D64" s="110" t="inlineStr">
        <is>
          <t xml:space="preserve">Кр-99027921-1</t>
        </is>
      </c>
      <c r="E64" s="110" t="inlineStr">
        <is>
          <t xml:space="preserve">MIRASHIMOVA BASHORAT ORTIQOVNA</t>
        </is>
      </c>
      <c r="F64" s="110" t="inlineStr">
        <is>
          <t xml:space="preserve">97-915-12-67  SMS OZI, 97-926-65-85  SMS OGLI, 97-931-00-85  SMS KATTA OGLI, 97-405-24-91  SMS KELINI, 998994270066 ogli bic ,</t>
        </is>
      </c>
      <c r="G64" s="110" t="inlineStr">
        <is>
          <t xml:space="preserve">SAMARQAND VVILOYATI QO'SHROBOT TUMANI JO'SH OTA MFY JO'SH QFY</t>
        </is>
      </c>
      <c r="H64" s="111">
        <v>1.0</v>
      </c>
      <c r="I64" s="111">
        <v>2023323.43</v>
      </c>
      <c r="J64" s="111">
        <v>2023323.43</v>
      </c>
      <c r="K64" s="110" t="inlineStr">
        <is>
          <t xml:space="preserve">Uyiga borildi - to'ladi | yopildi</t>
        </is>
      </c>
    </row>
    <row r="65">
      <c r="A65" s="110" t="inlineStr">
        <is>
          <t xml:space="preserve">САМАРКАНД ВИЛОЯТИ</t>
        </is>
      </c>
      <c r="C65" s="110" t="inlineStr">
        <is>
          <t xml:space="preserve">Объезд</t>
        </is>
      </c>
      <c r="D65" s="110" t="inlineStr">
        <is>
          <t xml:space="preserve">Кр-99040775-1</t>
        </is>
      </c>
      <c r="E65" s="110" t="inlineStr">
        <is>
          <t xml:space="preserve">UMIRZOQOV JASURBEK NEYATULLO O’G’LI</t>
        </is>
      </c>
      <c r="F65" s="110" t="inlineStr">
        <is>
          <t xml:space="preserve">998773446252 SMS OZI, 998771353464 SMS UKASI, 998930833517 SMS  DADASI, 998940140909 SMS UY, 998773446252 SMS OZI,</t>
        </is>
      </c>
      <c r="G65" s="110" t="inlineStr">
        <is>
          <t xml:space="preserve">ISHTIXON TUMANI</t>
        </is>
      </c>
      <c r="H65" s="111">
        <v>8.0</v>
      </c>
      <c r="I65" s="111">
        <v>1967467.83</v>
      </c>
      <c r="K65" s="110" t="inlineStr">
        <is>
          <t xml:space="preserve">Uyiga borildi - va'da berdi | uyiga borildi</t>
        </is>
      </c>
    </row>
    <row r="66">
      <c r="A66" s="110" t="inlineStr">
        <is>
          <t xml:space="preserve">САМАРКАНД ВИЛОЯТИ</t>
        </is>
      </c>
      <c r="C66" s="110" t="inlineStr">
        <is>
          <t xml:space="preserve">Объезд</t>
        </is>
      </c>
      <c r="D66" s="110" t="inlineStr">
        <is>
          <t xml:space="preserve">Кр-99007936-14</t>
        </is>
      </c>
      <c r="E66" s="110" t="inlineStr">
        <is>
          <t xml:space="preserve">MAMASHARIPOV UTKIR MAMARZAYEVICH</t>
        </is>
      </c>
      <c r="F66" s="110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66" s="110" t="inlineStr">
        <is>
          <t xml:space="preserve">SAMARQAND VILOYATI OQDARYO TUMANI A.TEMUR MFY KALLAR QISHLOG’I</t>
        </is>
      </c>
      <c r="H66" s="111">
        <v>8.0</v>
      </c>
      <c r="I66" s="111">
        <v>1772928.68</v>
      </c>
      <c r="K66" s="110" t="inlineStr">
        <is>
          <t xml:space="preserve">Uyiga borildi - va'da berdi</t>
        </is>
      </c>
    </row>
    <row r="67">
      <c r="A67" s="110" t="inlineStr">
        <is>
          <t xml:space="preserve">САМАРКАНД ВИЛОЯТИ</t>
        </is>
      </c>
      <c r="C67" s="110" t="inlineStr">
        <is>
          <t xml:space="preserve">Объезд</t>
        </is>
      </c>
      <c r="D67" s="110" t="inlineStr">
        <is>
          <t xml:space="preserve">Кр-99044880-1</t>
        </is>
      </c>
      <c r="E67" s="110" t="inlineStr">
        <is>
          <t xml:space="preserve">SHAMSUTDINOV ALIBEK AMRITDIN O’G’LI</t>
        </is>
      </c>
      <c r="F67" s="110" t="inlineStr">
        <is>
          <t xml:space="preserve">+998775030831 SMS OZI, 998889181101 SMS AKASI, 998915294327 SMS UYI, 998990840360 SMS APASI,</t>
        </is>
      </c>
      <c r="G67" s="110" t="inlineStr">
        <is>
          <t xml:space="preserve">SAMARQAND VILOYATI PASTDARG’OM TUMANI JAG’OLBOYLI MFY JAG’OLBOYLI KUCHASI 16-UY</t>
        </is>
      </c>
      <c r="H67" s="111">
        <v>8.0</v>
      </c>
      <c r="I67" s="111">
        <v>1401165.06</v>
      </c>
      <c r="J67" s="111">
        <v>1401165.06</v>
      </c>
      <c r="K67" s="110" t="inlineStr">
        <is>
          <t xml:space="preserve">Uyiga borildi - to'ladi | yopildui</t>
        </is>
      </c>
    </row>
    <row r="68">
      <c r="A68" s="110" t="inlineStr">
        <is>
          <t xml:space="preserve">САМАРКАНД ВИЛОЯТИ</t>
        </is>
      </c>
      <c r="C68" s="110" t="inlineStr">
        <is>
          <t xml:space="preserve">Объезд</t>
        </is>
      </c>
      <c r="D68" s="110" t="inlineStr">
        <is>
          <t xml:space="preserve">Кр-99007936-12</t>
        </is>
      </c>
      <c r="E68" s="110" t="inlineStr">
        <is>
          <t xml:space="preserve">MAMASHARIPOV UTKIR MAMARZAYEVICH</t>
        </is>
      </c>
      <c r="F68" s="110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68" s="110" t="inlineStr">
        <is>
          <t xml:space="preserve">SAMARQAND VILOYATI OQDARYO TUMANI A.TEMUR MFY KALLAR QISHLOG’I</t>
        </is>
      </c>
      <c r="H68" s="111">
        <v>8.0</v>
      </c>
      <c r="I68" s="111">
        <v>1193053.14</v>
      </c>
      <c r="K68" s="110" t="inlineStr">
        <is>
          <t xml:space="preserve">Uyiga borildi - va'da berdi</t>
        </is>
      </c>
    </row>
    <row r="69">
      <c r="A69" s="110" t="inlineStr">
        <is>
          <t xml:space="preserve">САМАРКАНД ВИЛОЯТИ</t>
        </is>
      </c>
      <c r="C69" s="110" t="inlineStr">
        <is>
          <t xml:space="preserve">Объезд</t>
        </is>
      </c>
      <c r="D69" s="110" t="inlineStr">
        <is>
          <t xml:space="preserve">Кр-99007936-11</t>
        </is>
      </c>
      <c r="E69" s="110" t="inlineStr">
        <is>
          <t xml:space="preserve">MAMASHARIPOV UTKIR MAMARZAYEVICH</t>
        </is>
      </c>
      <c r="F69" s="110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69" s="110" t="inlineStr">
        <is>
          <t xml:space="preserve">SAMARQAND VILOYATI OQDARYO TUMANI A.TEMUR MFY KALLAR QISHLOG’I</t>
        </is>
      </c>
      <c r="H69" s="111">
        <v>1.0</v>
      </c>
      <c r="I69" s="111">
        <v>1176359.03</v>
      </c>
      <c r="K69" s="110" t="inlineStr">
        <is>
          <t xml:space="preserve">Uyiga borildi - va'da berdi</t>
        </is>
      </c>
    </row>
    <row r="70">
      <c r="A70" s="110" t="inlineStr">
        <is>
          <t xml:space="preserve">САМАРКАНД ВИЛОЯТИ</t>
        </is>
      </c>
      <c r="C70" s="110" t="inlineStr">
        <is>
          <t xml:space="preserve">Объезд</t>
        </is>
      </c>
      <c r="D70" s="110" t="inlineStr">
        <is>
          <t xml:space="preserve">Кр-99040360-2</t>
        </is>
      </c>
      <c r="E70" s="110" t="inlineStr">
        <is>
          <t xml:space="preserve">KUSHMURODOV RASHID XUROZOVICH</t>
        </is>
      </c>
      <c r="F70" s="110" t="inlineStr">
        <is>
          <t xml:space="preserve">+998936002584 SMS O’ZI, 998505003878 SMS AKASI 2, 998935692069 SMS AKASI, 998501202552 SMS TULOVCHI, 998889007404 SMS AYOLI, 998919650304 SMS AKASI,</t>
        </is>
      </c>
      <c r="G70" s="110" t="inlineStr">
        <is>
          <t xml:space="preserve">SAMARQAND VILOYATI PAYARIQ TUMANI BAXRIN MFY SARXOUS KUCHASI 71-UY</t>
        </is>
      </c>
      <c r="H70" s="111">
        <v>8.0</v>
      </c>
      <c r="I70" s="111">
        <v>572435.68</v>
      </c>
      <c r="K70" s="110" t="inlineStr">
        <is>
          <t xml:space="preserve">Uyiga borildi - va'da berdi | borildi</t>
        </is>
      </c>
    </row>
    <row r="71">
      <c r="A71" s="110" t="inlineStr">
        <is>
          <t xml:space="preserve">САМАРКАНД ВИЛОЯТИ</t>
        </is>
      </c>
      <c r="C71" s="110" t="inlineStr">
        <is>
          <t xml:space="preserve">Объезд</t>
        </is>
      </c>
      <c r="D71" s="110" t="inlineStr">
        <is>
          <t xml:space="preserve">Кр-99038439-2</t>
        </is>
      </c>
      <c r="E71" s="110" t="inlineStr">
        <is>
          <t xml:space="preserve">RAXMATOV ASILBEK OTABEK O’G’LI</t>
        </is>
      </c>
      <c r="F71" s="110" t="inlineStr">
        <is>
          <t xml:space="preserve">998931744999 SMS OZI, 998934977010 SMS UKASI, 998939111879 SMS DADASI, 998775171404 SMS UYI,</t>
        </is>
      </c>
      <c r="G71" s="110" t="inlineStr">
        <is>
          <t xml:space="preserve">SAMARQAND VILOYATI PAYARIQ TUMANI MADANIYAT MFY BAXMALSOY KUCHASI 171-UY</t>
        </is>
      </c>
      <c r="H71" s="111">
        <v>13.0</v>
      </c>
      <c r="I71" s="111">
        <v>342959.3</v>
      </c>
      <c r="J71" s="111">
        <v>342959.3</v>
      </c>
      <c r="K71" s="110" t="inlineStr">
        <is>
          <t xml:space="preserve">Uyiga borildi - to'ladi | yopildi</t>
        </is>
      </c>
    </row>
    <row r="72">
      <c r="A72" s="112" t="inlineStr">
        <is>
          <t xml:space="preserve">СУРХОНДАРЁ ВИЛОЯТИ</t>
        </is>
      </c>
      <c r="C72" s="112" t="inlineStr">
        <is>
          <t xml:space="preserve">Объезд</t>
        </is>
      </c>
      <c r="D72" s="112" t="inlineStr">
        <is>
          <t xml:space="preserve">Кр-99020891-4</t>
        </is>
      </c>
      <c r="E72" s="112" t="inlineStr">
        <is>
          <t xml:space="preserve">KUNAROV UKTAM AMANDAVLATOVICH</t>
        </is>
      </c>
      <c r="F72" s="112" t="inlineStr">
        <is>
          <t xml:space="preserve">91-515-78-00 SMS O'ZI TOLOVCHISI , 91-579-51-91 SMS UKASI, 91-911-56-67 SMS UY, 91-579-51-91 SMS BEGONA ,</t>
        </is>
      </c>
      <c r="G72" s="112" t="inlineStr">
        <is>
          <t xml:space="preserve">ШЎРЧИ ШАҲРИ, БОБОТОГ МФЙ, ШЎРЧИ ШАҲРИ, БОБОТОГ МФЙ, ЎЗБЕКИСТОНСИ,  uy:14</t>
        </is>
      </c>
      <c r="H72" s="113">
        <v>8.0</v>
      </c>
      <c r="I72" s="113">
        <v>4832565.88</v>
      </c>
      <c r="K72" s="112" t="inlineStr">
        <is>
          <t xml:space="preserve">Uyiga borildi - va'da berdi | bugun hal qladi | 111</t>
        </is>
      </c>
    </row>
    <row r="73">
      <c r="A73" s="112" t="inlineStr">
        <is>
          <t xml:space="preserve">СУРХОНДАРЁ ВИЛОЯТИ</t>
        </is>
      </c>
      <c r="C73" s="112" t="inlineStr">
        <is>
          <t xml:space="preserve">Объезд</t>
        </is>
      </c>
      <c r="D73" s="112" t="inlineStr">
        <is>
          <t xml:space="preserve">Кр-99027939-1</t>
        </is>
      </c>
      <c r="E73" s="112" t="inlineStr">
        <is>
          <t xml:space="preserve">TURAYEVA ADOLAT TOSHBOYEVNA</t>
        </is>
      </c>
      <c r="F73" s="112" t="inlineStr">
        <is>
          <t xml:space="preserve">91-078-04-96 SMS, 91-233-33-57 SMS UY, 91-575-71-70 SMS OILASI, 91-588-17-69 SMS O’ZI, 97-261-88-46 javlon aka javob degan, 998992184093 SMS O'ZI 2,</t>
        </is>
      </c>
      <c r="G73" s="112" t="inlineStr">
        <is>
          <t xml:space="preserve">SURXONDARYO VILOYATI UZUNSHO’RCHI TUMANI DO’STLIK  MFY HAMKOR KUCHASI 104-UY</t>
        </is>
      </c>
      <c r="H73" s="113">
        <v>1.0</v>
      </c>
      <c r="I73" s="113">
        <v>4226143.08</v>
      </c>
      <c r="J73" s="113">
        <v>4226143.08</v>
      </c>
      <c r="K73" s="112" t="inlineStr">
        <is>
          <t xml:space="preserve">Uyiga borildi - to'ladi | filialga tolad | 223</t>
        </is>
      </c>
    </row>
    <row r="74">
      <c r="A74" s="112" t="inlineStr">
        <is>
          <t xml:space="preserve">СУРХОНДАРЁ ВИЛОЯТИ</t>
        </is>
      </c>
      <c r="C74" s="112" t="inlineStr">
        <is>
          <t xml:space="preserve">Объезд</t>
        </is>
      </c>
      <c r="D74" s="112" t="inlineStr">
        <is>
          <t xml:space="preserve">Кр-99028408-1</t>
        </is>
      </c>
      <c r="E74" s="112" t="inlineStr">
        <is>
          <t xml:space="preserve">MALLAYEVA DILAFRUZ ABDULLAYEVNA</t>
        </is>
      </c>
      <c r="F74" s="112" t="inlineStr">
        <is>
          <t xml:space="preserve">91-585-67-12 SMS OZI BEGONA, 91-585-28-03 SMS UY, 998996777207 SMS TO'LOVCHI, 91-900-17-24 SMS OILASI,</t>
        </is>
      </c>
      <c r="G74" s="112" t="inlineStr">
        <is>
          <t xml:space="preserve">SURXONDARYO VILOYAT SHO’RCHI TUMANI JALOIR QFY DUSTLIK MFY DUSTLIK KO’CHASI 59-UY</t>
        </is>
      </c>
      <c r="H74" s="113">
        <v>6.0</v>
      </c>
      <c r="I74" s="113">
        <v>2817448.78</v>
      </c>
      <c r="K74" s="112" t="inlineStr">
        <is>
          <t xml:space="preserve">Uyiga borildi - va'da berdi | 232</t>
        </is>
      </c>
    </row>
    <row r="75">
      <c r="A75" s="112" t="inlineStr">
        <is>
          <t xml:space="preserve">СУРХОНДАРЁ ВИЛОЯТИ</t>
        </is>
      </c>
      <c r="C75" s="112" t="inlineStr">
        <is>
          <t xml:space="preserve">Объезд</t>
        </is>
      </c>
      <c r="D75" s="112" t="inlineStr">
        <is>
          <t xml:space="preserve">Кр-99062762-2</t>
        </is>
      </c>
      <c r="E75" s="112" t="inlineStr">
        <is>
          <t xml:space="preserve">BO’RIYEVA DILFUZA RO’ZIBOYEVNA</t>
        </is>
      </c>
      <c r="F75" s="112" t="inlineStr">
        <is>
          <t xml:space="preserve">+998919107277 SMS O’ZI, 998947994446 SMS ERI,</t>
        </is>
      </c>
      <c r="G75" s="112" t="inlineStr">
        <is>
          <t xml:space="preserve">ТЕРМИЗ ТУМАНИ НУРАФШОН МФЙ, БУНЁДКОР КУЧА  uy:53</t>
        </is>
      </c>
      <c r="H75" s="113">
        <v>8.0</v>
      </c>
      <c r="I75" s="113">
        <v>2532663.26</v>
      </c>
      <c r="K75" s="112" t="inlineStr">
        <is>
          <t xml:space="preserve">Uyiga borildi - va'da berdi | filialga vada berdi ertaga 6 gaca | 1618</t>
        </is>
      </c>
    </row>
    <row r="76">
      <c r="A76" s="112" t="inlineStr">
        <is>
          <t xml:space="preserve">СУРХОНДАРЁ ВИЛОЯТИ</t>
        </is>
      </c>
      <c r="C76" s="112" t="inlineStr">
        <is>
          <t xml:space="preserve">Объезд</t>
        </is>
      </c>
      <c r="D76" s="112" t="inlineStr">
        <is>
          <t xml:space="preserve">Кр-99035996-1</t>
        </is>
      </c>
      <c r="E76" s="112" t="inlineStr">
        <is>
          <t xml:space="preserve">ALMARDONOV BOBOMUROD BOBORAXMATOVICH</t>
        </is>
      </c>
      <c r="F76" s="112" t="inlineStr">
        <is>
          <t xml:space="preserve">998995444686 SMS OZI, 998883176868 SMS SHERIGI, 998978967555 SMS UY, 998975502586 SMS,</t>
        </is>
      </c>
      <c r="G76" s="112" t="inlineStr">
        <is>
          <t xml:space="preserve">SURXONDARYO VILOYATI DENOV TUMANI FAYZLI MFY BUYUK IPAKYULI KO'CHASI 1-UY</t>
        </is>
      </c>
      <c r="H76" s="113">
        <v>1.0</v>
      </c>
      <c r="I76" s="113">
        <v>2248695.19</v>
      </c>
      <c r="K76" s="112" t="inlineStr">
        <is>
          <t xml:space="preserve">Uyiga borildi - va'da berdi | filialga ertaga tolo qlad | 613</t>
        </is>
      </c>
    </row>
    <row r="77">
      <c r="A77" s="112" t="inlineStr">
        <is>
          <t xml:space="preserve">СУРХОНДАРЁ ВИЛОЯТИ</t>
        </is>
      </c>
      <c r="C77" s="112" t="inlineStr">
        <is>
          <t xml:space="preserve">Объезд</t>
        </is>
      </c>
      <c r="D77" s="112" t="inlineStr">
        <is>
          <t xml:space="preserve">Кр-99032593-1</t>
        </is>
      </c>
      <c r="E77" s="112" t="inlineStr">
        <is>
          <t xml:space="preserve">DAVLATOV FARXOD RAJABALIYEVICH</t>
        </is>
      </c>
      <c r="F77" s="112" t="inlineStr">
        <is>
          <t xml:space="preserve">998995882144 SMS O’ZI, 998954747270 SMS O’G’LI, 998995737252 SMS ONASI, 998990169073 SMS UY,</t>
        </is>
      </c>
      <c r="G77" s="112" t="inlineStr">
        <is>
          <t xml:space="preserve">SURXONDARYO VILOYATI DENOV TUMANI SEBZOR MFY MAKTAB KO’CHASI 15-UY</t>
        </is>
      </c>
      <c r="H77" s="113">
        <v>1.0</v>
      </c>
      <c r="I77" s="113">
        <v>1299053.19</v>
      </c>
      <c r="J77" s="113">
        <v>1299053.19</v>
      </c>
      <c r="K77" s="112" t="inlineStr">
        <is>
          <t xml:space="preserve">Uyiga borildi - to'ladi | toladi filialga | 404</t>
        </is>
      </c>
    </row>
    <row r="78">
      <c r="A78" s="112" t="inlineStr">
        <is>
          <t xml:space="preserve">СУРХОНДАРЁ ВИЛОЯТИ</t>
        </is>
      </c>
      <c r="C78" s="112" t="inlineStr">
        <is>
          <t xml:space="preserve">Объезд</t>
        </is>
      </c>
      <c r="D78" s="112" t="inlineStr">
        <is>
          <t xml:space="preserve">Кр-99057140-1</t>
        </is>
      </c>
      <c r="E78" s="112" t="inlineStr">
        <is>
          <t xml:space="preserve">XUSHBAQOVA ZEBINISO ABDUMALIK QIZI</t>
        </is>
      </c>
      <c r="F78" s="112" t="inlineStr">
        <is>
          <t xml:space="preserve">998932372417 OZI, 998937930462 ONASI, 998917259222 OGLI,</t>
        </is>
      </c>
      <c r="G78" s="112" t="inlineStr">
        <is>
          <t xml:space="preserve">SURXONDARYO VILOYAT TERMIZ SHAXAR BOG’ZOR MFY ZAVQIY KO’CHASI 24A-UY</t>
        </is>
      </c>
      <c r="H78" s="113">
        <v>8.0</v>
      </c>
      <c r="I78" s="113">
        <v>970609.56</v>
      </c>
      <c r="J78" s="113">
        <v>970609.56</v>
      </c>
      <c r="K78" s="112" t="inlineStr">
        <is>
          <t xml:space="preserve">Uyiga borildi - to'ladi | filialga toladi | 1416</t>
        </is>
      </c>
    </row>
    <row r="79">
      <c r="A79" s="112" t="inlineStr">
        <is>
          <t xml:space="preserve">СУРХОНДАРЁ ВИЛОЯТИ</t>
        </is>
      </c>
      <c r="C79" s="112" t="inlineStr">
        <is>
          <t xml:space="preserve">Объезд</t>
        </is>
      </c>
      <c r="D79" s="112" t="inlineStr">
        <is>
          <t xml:space="preserve">Кр-99022504-3</t>
        </is>
      </c>
      <c r="E79" s="112" t="inlineStr">
        <is>
          <t xml:space="preserve">MUQUMOVA MAXFURAT QUVOTOVNA</t>
        </is>
      </c>
      <c r="F79" s="112" t="inlineStr">
        <is>
          <t xml:space="preserve">91-229-38-19 SMS, 91-715-95-96  SMS UY, 91-075-20-16  SMS O’G’LI BEKZOD, 998917191006 SMS ozi, 998882439996 SMS OZI TOLOVCHI , 998887239996 SMS new uzi,</t>
        </is>
      </c>
      <c r="G79" s="112" t="inlineStr">
        <is>
          <t xml:space="preserve">SURXONDARYO VILOYATI SHO’RCHI TUMANI YANGIBOZOR QFY OQQURG’ON MFY MUSTAQILLIK KO’CHASI 132-UY</t>
        </is>
      </c>
      <c r="H79" s="113">
        <v>1.0</v>
      </c>
      <c r="I79" s="113">
        <v>920442.18</v>
      </c>
      <c r="K79" s="112" t="inlineStr">
        <is>
          <t xml:space="preserve">Uyiga borildi - va'da berdi | wu xafta yopb berad | 130</t>
        </is>
      </c>
    </row>
    <row r="80">
      <c r="A80" s="112" t="inlineStr">
        <is>
          <t xml:space="preserve">СУРХОНДАРЁ ВИЛОЯТИ</t>
        </is>
      </c>
      <c r="C80" s="112" t="inlineStr">
        <is>
          <t xml:space="preserve">Объезд</t>
        </is>
      </c>
      <c r="D80" s="112" t="inlineStr">
        <is>
          <t xml:space="preserve">Кр-99039613-1</t>
        </is>
      </c>
      <c r="E80" s="112" t="inlineStr">
        <is>
          <t xml:space="preserve">XAMIDOV SHERALI TOXIR O’G’LI</t>
        </is>
      </c>
      <c r="F80" s="112" t="inlineStr">
        <is>
          <t xml:space="preserve">998930779988 SMS OZI  TERMIZ XODIM ,</t>
        </is>
      </c>
      <c r="G80" s="112" t="inlineStr">
        <is>
          <t xml:space="preserve">SURXONDARYO VILOYAT TERMIZ SHAXAR ESKI SHAXAR MYF BIRDAMLIK KO’CHASI 2-BURILISH 52 UY</t>
        </is>
      </c>
      <c r="I80" s="113">
        <v>565490.38</v>
      </c>
      <c r="K80" s="112" t="inlineStr">
        <is>
          <t xml:space="preserve">Uyiga borildi - va'da berdi | oy oxrgaca tolo qlad | 895</t>
        </is>
      </c>
    </row>
    <row r="81">
      <c r="A81" s="112" t="inlineStr">
        <is>
          <t xml:space="preserve">СУРХОНДАРЁ ВИЛОЯТИ</t>
        </is>
      </c>
      <c r="C81" s="112" t="inlineStr">
        <is>
          <t xml:space="preserve">Объезд</t>
        </is>
      </c>
      <c r="D81" s="112" t="inlineStr">
        <is>
          <t xml:space="preserve">Кр-99022606-3</t>
        </is>
      </c>
      <c r="E81" s="112" t="inlineStr">
        <is>
          <t xml:space="preserve">DJANGIBOYEVA MAXFIRAT JUMAYEVNA</t>
        </is>
      </c>
      <c r="F81" s="112" t="inlineStr">
        <is>
          <t xml:space="preserve">91-969-15-33 SMS, 90-073-43-83  SMS UY, 90-295-92-88  SMS ZALOGADATEL, 90-249-94-60 SMS begona, 95-216-37-08 SMS eri, 998919099460 SMS ozi , 998936209288 SMS ozi new ,</t>
        </is>
      </c>
      <c r="G81" s="112" t="inlineStr">
        <is>
          <t xml:space="preserve">ШЎРЧИ ҚФЙ, ОЙНАКЎЛ МФЙ,  БУНЁДКОР 49-УЙ</t>
        </is>
      </c>
      <c r="H81" s="113">
        <v>8.0</v>
      </c>
      <c r="I81" s="113">
        <v>167906.71</v>
      </c>
      <c r="K81" s="112" t="inlineStr">
        <is>
          <t xml:space="preserve">Uyiga borildi - va'da berdi | 133</t>
        </is>
      </c>
    </row>
    <row r="82">
      <c r="A82" s="112" t="inlineStr">
        <is>
          <t xml:space="preserve">СУРХОНДАРЁ ВИЛОЯТИ</t>
        </is>
      </c>
      <c r="C82" s="112" t="inlineStr">
        <is>
          <t xml:space="preserve">Объезд</t>
        </is>
      </c>
      <c r="D82" s="112" t="inlineStr">
        <is>
          <t xml:space="preserve">Кр-99022504-4</t>
        </is>
      </c>
      <c r="E82" s="112" t="inlineStr">
        <is>
          <t xml:space="preserve">MUQUMOVA MAXFURAT QUVOTOVNA</t>
        </is>
      </c>
      <c r="F82" s="112" t="inlineStr">
        <is>
          <t xml:space="preserve">91-229-38-19 SMS, 91-715-95-96  SMS UY, 91-075-20-16  SMS O’G’LI BEKZOD, 998917191006 SMS ozi, 998882439996 SMS OZI TOLOVCHI , 998887239996 SMS new uzi,</t>
        </is>
      </c>
      <c r="G82" s="112" t="inlineStr">
        <is>
          <t xml:space="preserve">SURXONDARYO VILOYATI SHO’RCHI TUMANI YANGIBOZOR QFY OQQURG’ON MFY MUSTAQILLIK KO’CHASI 132-UY</t>
        </is>
      </c>
      <c r="H82" s="113">
        <v>11.0</v>
      </c>
      <c r="I82" s="113">
        <v>17475.77</v>
      </c>
      <c r="K82" s="112" t="inlineStr">
        <is>
          <t xml:space="preserve">Uyiga borildi - va'da berdi | yopildi | 131</t>
        </is>
      </c>
    </row>
    <row r="83">
      <c r="A83" s="114" t="inlineStr">
        <is>
          <t xml:space="preserve">ТОШКЕНТ ШАХРИ</t>
        </is>
      </c>
      <c r="C83" s="114" t="inlineStr">
        <is>
          <t xml:space="preserve">Объезд</t>
        </is>
      </c>
      <c r="D83" s="114" t="inlineStr">
        <is>
          <t xml:space="preserve">Кр-99039089-1</t>
        </is>
      </c>
      <c r="E83" s="114" t="inlineStr">
        <is>
          <t xml:space="preserve">SHARIPOVA NARGIZA XUSNITDINOVNA</t>
        </is>
      </c>
      <c r="F83" s="114" t="inlineStr">
        <is>
          <t xml:space="preserve">998909167565 SMS OZI, 998900136157 SMS SINGLISI, 998951320107 SMS JIYANI,</t>
        </is>
      </c>
      <c r="G83" s="114" t="inlineStr">
        <is>
          <t xml:space="preserve">TOSHKENT SHAHAR SIRG’ALI TUMANI SERGILI 5-MAVZESI, 67-UY, 11-XONADON</t>
        </is>
      </c>
      <c r="H83" s="115">
        <v>175.0</v>
      </c>
      <c r="I83" s="115">
        <v>42668101.77</v>
      </c>
      <c r="K83" s="114" t="inlineStr">
        <is>
          <t xml:space="preserve">Uyiga borildi - va'da berdi | o'zi o'lgan akasi to'lidi</t>
        </is>
      </c>
    </row>
    <row r="84">
      <c r="A84" s="114" t="inlineStr">
        <is>
          <t xml:space="preserve">ТОШКЕНТ ШАХРИ</t>
        </is>
      </c>
      <c r="C84" s="114" t="inlineStr">
        <is>
          <t xml:space="preserve">Объезд</t>
        </is>
      </c>
      <c r="D84" s="114" t="inlineStr">
        <is>
          <t xml:space="preserve">Кр-99040408-4</t>
        </is>
      </c>
      <c r="E84" s="114" t="inlineStr">
        <is>
          <t xml:space="preserve">XODIYEV FARRUX FURQAT O’G’LI</t>
        </is>
      </c>
      <c r="F84" s="114" t="inlineStr">
        <is>
          <t xml:space="preserve">998995705902 SMS OZI, 998977357760 SMS SHERIGI, 998817877602 SMS SHERIGI 2,</t>
        </is>
      </c>
      <c r="G84" s="114" t="inlineStr">
        <is>
          <t xml:space="preserve">TOSHKENT SHAHAR YUNUSOBOD TUMANI 11 KVARTAL,57-UY,46-XONADON</t>
        </is>
      </c>
      <c r="H84" s="115">
        <v>11.0</v>
      </c>
      <c r="I84" s="115">
        <v>13974380.38</v>
      </c>
      <c r="K84" s="114" t="inlineStr">
        <is>
          <t xml:space="preserve">Uyiga borildi - va'da berdi</t>
        </is>
      </c>
    </row>
    <row r="85">
      <c r="A85" s="114" t="inlineStr">
        <is>
          <t xml:space="preserve">ТОШКЕНТ ШАХРИ</t>
        </is>
      </c>
      <c r="C85" s="114" t="inlineStr">
        <is>
          <t xml:space="preserve">Объезд</t>
        </is>
      </c>
      <c r="D85" s="114" t="inlineStr">
        <is>
          <t xml:space="preserve">Кр-99058714-1</t>
        </is>
      </c>
      <c r="E85" s="114" t="inlineStr">
        <is>
          <t xml:space="preserve">MAXMATQULOV AKROM ABDIRAXMONOVICH</t>
        </is>
      </c>
      <c r="F85" s="114" t="inlineStr">
        <is>
          <t xml:space="preserve">998909404168 SMS OZI, 998931464168 SMS AYOLI, 998933034168 SMS OGLI, 998983644168 SMS OZI,</t>
        </is>
      </c>
      <c r="G85" s="114" t="inlineStr">
        <is>
          <t xml:space="preserve">TOSHKENT SHAHAR YANGIHAYOT TUMANI YANGIHAYOT MFY TURSUNZODA KOCHASI 10-UY 164-XONODON</t>
        </is>
      </c>
      <c r="H85" s="115">
        <v>11.0</v>
      </c>
      <c r="I85" s="115">
        <v>12139785.34</v>
      </c>
      <c r="K85" s="114" t="inlineStr">
        <is>
          <t xml:space="preserve">Uyiga borildi - va'da berdi</t>
        </is>
      </c>
    </row>
    <row r="86">
      <c r="A86" s="114" t="inlineStr">
        <is>
          <t xml:space="preserve">ТОШКЕНТ ШАХРИ</t>
        </is>
      </c>
      <c r="C86" s="114" t="inlineStr">
        <is>
          <t xml:space="preserve">Объезд</t>
        </is>
      </c>
      <c r="D86" s="114" t="inlineStr">
        <is>
          <t xml:space="preserve">Кр-99062871-2</t>
        </is>
      </c>
      <c r="E86" s="114" t="inlineStr">
        <is>
          <t xml:space="preserve">YUGAY ANDREY VITALEVICH</t>
        </is>
      </c>
      <c r="F86" s="114" t="inlineStr">
        <is>
          <t xml:space="preserve">998771690087 SMS AKASI, 998971327478 SMS SINGLISI, 998991350078 SMS UKASI, 998996382633 SMS AYOLI,</t>
        </is>
      </c>
      <c r="G86" s="114" t="inlineStr">
        <is>
          <t xml:space="preserve">TOSHKENT SHAHAR YASHNOBOD TUMANI 1-TUZEL MAVZESI 33-UY 40-XONADON</t>
        </is>
      </c>
      <c r="H86" s="115">
        <v>8.0</v>
      </c>
      <c r="I86" s="115">
        <v>7380474.55</v>
      </c>
      <c r="K86" s="114" t="inlineStr">
        <is>
          <t xml:space="preserve">Uyiga borildi - va'da berdi</t>
        </is>
      </c>
    </row>
    <row r="87">
      <c r="A87" s="114" t="inlineStr">
        <is>
          <t xml:space="preserve">ТОШКЕНТ ШАХРИ</t>
        </is>
      </c>
      <c r="C87" s="114" t="inlineStr">
        <is>
          <t xml:space="preserve">Объезд</t>
        </is>
      </c>
      <c r="D87" s="114" t="inlineStr">
        <is>
          <t xml:space="preserve">Кр-99039812-4</t>
        </is>
      </c>
      <c r="E87" s="114" t="inlineStr">
        <is>
          <t xml:space="preserve">ISRAILOVA DILDORA ABDUJALILOVNA</t>
        </is>
      </c>
      <c r="F87" s="114" t="inlineStr">
        <is>
          <t xml:space="preserve"> </t>
        </is>
      </c>
      <c r="G87" s="114" t="inlineStr">
        <is>
          <t xml:space="preserve">Олмос МФЙ, Яккатол,3 тор кўчаси, 38/2-уй, 35-хонадон</t>
        </is>
      </c>
      <c r="H87" s="115">
        <v>8.0</v>
      </c>
      <c r="I87" s="115">
        <v>5858734.0</v>
      </c>
      <c r="K87" s="114" t="inlineStr">
        <is>
          <t xml:space="preserve">Uyiga borildi - va'da berdi</t>
        </is>
      </c>
    </row>
    <row r="88">
      <c r="A88" s="114" t="inlineStr">
        <is>
          <t xml:space="preserve">ТОШКЕНТ ШАХРИ</t>
        </is>
      </c>
      <c r="C88" s="114" t="inlineStr">
        <is>
          <t xml:space="preserve">Объезд</t>
        </is>
      </c>
      <c r="D88" s="114" t="inlineStr">
        <is>
          <t xml:space="preserve">Кр-99017842-6</t>
        </is>
      </c>
      <c r="E88" s="114" t="inlineStr">
        <is>
          <t xml:space="preserve">YAKUBJANOV ASADJON AXMADJANOVICH</t>
        </is>
      </c>
      <c r="F88" s="114" t="inlineStr">
        <is>
          <t xml:space="preserve">99-482-80-45  sms OZI, 97-715-15-83  sms AYOLI, 91-008-35-35  sms O'G'LI, 99-482-80-45  sms OZI,</t>
        </is>
      </c>
      <c r="G88" s="114" t="inlineStr">
        <is>
          <t xml:space="preserve">TOSHKENT SHAHRI SERGELI TUMANI</t>
        </is>
      </c>
      <c r="H88" s="115">
        <v>5.0</v>
      </c>
      <c r="I88" s="115">
        <v>4757650.27</v>
      </c>
      <c r="J88" s="115">
        <v>4757650.27</v>
      </c>
      <c r="K88" s="114" t="inlineStr">
        <is>
          <t xml:space="preserve">Uyiga borildi - to'ladi</t>
        </is>
      </c>
    </row>
    <row r="89">
      <c r="A89" s="114" t="inlineStr">
        <is>
          <t xml:space="preserve">ТОШКЕНТ ШАХРИ</t>
        </is>
      </c>
      <c r="C89" s="114" t="inlineStr">
        <is>
          <t xml:space="preserve">Объезд</t>
        </is>
      </c>
      <c r="D89" s="114" t="inlineStr">
        <is>
          <t xml:space="preserve">Кр-99044706-1</t>
        </is>
      </c>
      <c r="E89" s="114" t="inlineStr">
        <is>
          <t xml:space="preserve">CHUTBAYEV DOSTON CHARI O’G’LI</t>
        </is>
      </c>
      <c r="F89" s="114" t="inlineStr">
        <is>
          <t xml:space="preserve">998947771061 SMS AKASI, 998949341916 SMS OZI, 998977277200 SMS AKASI2,</t>
        </is>
      </c>
      <c r="G89" s="114" t="inlineStr">
        <is>
          <t xml:space="preserve">Daryobo’yi MFY, Daryo bo’yi 1-tor ko’chasi, 26-б-uy</t>
        </is>
      </c>
      <c r="H89" s="115">
        <v>8.0</v>
      </c>
      <c r="I89" s="115">
        <v>4629304.83</v>
      </c>
      <c r="K89" s="114" t="inlineStr">
        <is>
          <t xml:space="preserve">Uyiga borildi - va'da berdi</t>
        </is>
      </c>
    </row>
    <row r="90">
      <c r="A90" s="114" t="inlineStr">
        <is>
          <t xml:space="preserve">ТОШКЕНТ ШАХРИ</t>
        </is>
      </c>
      <c r="C90" s="114" t="inlineStr">
        <is>
          <t xml:space="preserve">Объезд</t>
        </is>
      </c>
      <c r="D90" s="114" t="inlineStr">
        <is>
          <t xml:space="preserve">Кр-99044187-1</t>
        </is>
      </c>
      <c r="E90" s="114" t="inlineStr">
        <is>
          <t xml:space="preserve">AKMALDINOV NURIDDIN FAXRIDINOVICH</t>
        </is>
      </c>
      <c r="F90" s="114" t="inlineStr">
        <is>
          <t xml:space="preserve">998770509929 SMS O’ZI, 998950126264 SMS OYISI, 998976333666 SMS SINGLISI, 998992193943 SMS UKASI,</t>
        </is>
      </c>
      <c r="G90" s="114" t="inlineStr">
        <is>
          <t xml:space="preserve">ОХАНГАРОБО КУЧАСИ 1 ТОР 67 УЙ</t>
        </is>
      </c>
      <c r="H90" s="115">
        <v>8.0</v>
      </c>
      <c r="I90" s="115">
        <v>4295232.77</v>
      </c>
      <c r="K90" s="114" t="inlineStr">
        <is>
          <t xml:space="preserve">Uyiga borildi - va'da berdi</t>
        </is>
      </c>
    </row>
    <row r="91">
      <c r="A91" s="114" t="inlineStr">
        <is>
          <t xml:space="preserve">ТОШКЕНТ ШАХРИ</t>
        </is>
      </c>
      <c r="C91" s="114" t="inlineStr">
        <is>
          <t xml:space="preserve">Объезд</t>
        </is>
      </c>
      <c r="D91" s="114" t="inlineStr">
        <is>
          <t xml:space="preserve">Кр-99063089-1</t>
        </is>
      </c>
      <c r="E91" s="114" t="inlineStr">
        <is>
          <t xml:space="preserve">YUZBAYEV DILMUROD ALLAMURAD O’G’LI</t>
        </is>
      </c>
      <c r="F91" s="114" t="inlineStr">
        <is>
          <t xml:space="preserve">998946736370 OZI, 998940206370 AYOLI, 998500573637 DOSTI,</t>
        </is>
      </c>
      <c r="G91" s="114" t="inlineStr">
        <is>
          <t xml:space="preserve">TOSHKENT SHAHAR YASHNOBOD TUMANI BOYQO’RG’ON KO’CHASI 11/3 UY,63-A XONADON</t>
        </is>
      </c>
      <c r="H91" s="115">
        <v>8.0</v>
      </c>
      <c r="I91" s="115">
        <v>3507336.81</v>
      </c>
      <c r="K91" s="114" t="inlineStr">
        <is>
          <t xml:space="preserve">Uyiga borildi - va'da berdi</t>
        </is>
      </c>
    </row>
    <row r="92">
      <c r="A92" s="114" t="inlineStr">
        <is>
          <t xml:space="preserve">ТОШКЕНТ ШАХРИ</t>
        </is>
      </c>
      <c r="C92" s="114" t="inlineStr">
        <is>
          <t xml:space="preserve">Объезд</t>
        </is>
      </c>
      <c r="D92" s="114" t="inlineStr">
        <is>
          <t xml:space="preserve">Кр-99063244-1</t>
        </is>
      </c>
      <c r="E92" s="114" t="inlineStr">
        <is>
          <t xml:space="preserve">QUDRATXODJAYEV BEHZOD SHUXRATOVICH</t>
        </is>
      </c>
      <c r="F92" s="114" t="inlineStr">
        <is>
          <t xml:space="preserve">998200001426 SMS OZI, 998997012006 SMS JIYANI, 998998604005 SMS OANSI,</t>
        </is>
      </c>
      <c r="G92" s="114" t="inlineStr">
        <is>
          <t xml:space="preserve">TOSHKENT SHAHAR YUNUSOBOD TUMANI O’LKAOBOD KOCHASI 4-UY</t>
        </is>
      </c>
      <c r="H92" s="115">
        <v>13.0</v>
      </c>
      <c r="I92" s="115">
        <v>3189339.16</v>
      </c>
      <c r="J92" s="115">
        <v>3189339.16</v>
      </c>
      <c r="K92" s="114" t="inlineStr">
        <is>
          <t xml:space="preserve">Uyiga borildi - to'ladi</t>
        </is>
      </c>
    </row>
    <row r="93">
      <c r="A93" s="114" t="inlineStr">
        <is>
          <t xml:space="preserve">ТОШКЕНТ ШАХРИ</t>
        </is>
      </c>
      <c r="C93" s="114" t="inlineStr">
        <is>
          <t xml:space="preserve">Объезд</t>
        </is>
      </c>
      <c r="D93" s="114" t="inlineStr">
        <is>
          <t xml:space="preserve">Кр-99044138-2</t>
        </is>
      </c>
      <c r="E93" s="114" t="inlineStr">
        <is>
          <t xml:space="preserve">ABDURASHIDOV ABDULAZIZ ABDULATIF O’G’LI</t>
        </is>
      </c>
      <c r="F93" s="114" t="inlineStr">
        <is>
          <t xml:space="preserve">998946236666 SMS OZI 2, 998946638777 SMS OZI, 998983664777 SMS UKASI,</t>
        </is>
      </c>
      <c r="G93" s="114" t="inlineStr">
        <is>
          <t xml:space="preserve">Oltin vodiy MFY, Samo 1-berk ko’chasi, 18-uy</t>
        </is>
      </c>
      <c r="H93" s="115">
        <v>8.0</v>
      </c>
      <c r="I93" s="115">
        <v>2828306.36</v>
      </c>
      <c r="J93" s="115">
        <v>2828306.36</v>
      </c>
      <c r="K93" s="114" t="inlineStr">
        <is>
          <t xml:space="preserve">Uyiga borildi - to'ladi</t>
        </is>
      </c>
    </row>
    <row r="94">
      <c r="A94" s="114" t="inlineStr">
        <is>
          <t xml:space="preserve">ТОШКЕНТ ШАХРИ</t>
        </is>
      </c>
      <c r="C94" s="114" t="inlineStr">
        <is>
          <t xml:space="preserve">Объезд</t>
        </is>
      </c>
      <c r="D94" s="114" t="inlineStr">
        <is>
          <t xml:space="preserve">Кр-99037634-2</t>
        </is>
      </c>
      <c r="E94" s="114" t="inlineStr">
        <is>
          <t xml:space="preserve">XUDOYBERGANOV DONIYOR TUYG’UN O’G’LI</t>
        </is>
      </c>
      <c r="F94" s="114" t="inlineStr">
        <is>
          <t xml:space="preserve">998946895455 SMS O’ZI, 998950051505 SMS DO’STI, 998900543915 SMS O’ZI, 998331775455 SMS UKASI,</t>
        </is>
      </c>
      <c r="G94" s="114" t="inlineStr">
        <is>
          <t xml:space="preserve">Бободехкон МФЙ, Хусайни, туп. 2 кучаси, 9-уй</t>
        </is>
      </c>
      <c r="H94" s="115">
        <v>8.0</v>
      </c>
      <c r="I94" s="115">
        <v>2516559.46</v>
      </c>
      <c r="J94" s="115">
        <v>2516559.46</v>
      </c>
      <c r="K94" s="114" t="inlineStr">
        <is>
          <t xml:space="preserve">Uyiga borildi - to'ladi</t>
        </is>
      </c>
    </row>
    <row r="95">
      <c r="A95" s="114" t="inlineStr">
        <is>
          <t xml:space="preserve">ТОШКЕНТ ШАХРИ</t>
        </is>
      </c>
      <c r="C95" s="114" t="inlineStr">
        <is>
          <t xml:space="preserve">Объезд</t>
        </is>
      </c>
      <c r="D95" s="114" t="inlineStr">
        <is>
          <t xml:space="preserve">Кр-99057349-1</t>
        </is>
      </c>
      <c r="E95" s="114" t="inlineStr">
        <is>
          <t xml:space="preserve">XOLXO’JAYEV SHERZOD NIG’MONXO’JA O’G’LI</t>
        </is>
      </c>
      <c r="F95" s="114" t="inlineStr">
        <is>
          <t xml:space="preserve">998900230492 SMS OZI, 998977499495 SMS UKASI begona tel qilinmasin, 998909010493 SMS ONASI, 998903530373 SMS OSHNASI,</t>
        </is>
      </c>
      <c r="G95" s="114" t="inlineStr">
        <is>
          <t xml:space="preserve">TOSHKENT SHAHAR YANGIHAYOT TUMANI CHORTOK MFY, BIRLIK KO’CHASI 73-UY</t>
        </is>
      </c>
      <c r="H95" s="115">
        <v>8.0</v>
      </c>
      <c r="I95" s="115">
        <v>1586742.39</v>
      </c>
      <c r="K95" s="114" t="inlineStr">
        <is>
          <t xml:space="preserve">Uyiga borildi - va'da berdi</t>
        </is>
      </c>
    </row>
    <row r="96">
      <c r="A96" s="114" t="inlineStr">
        <is>
          <t xml:space="preserve">ТОШКЕНТ ШАХРИ</t>
        </is>
      </c>
      <c r="C96" s="114" t="inlineStr">
        <is>
          <t xml:space="preserve">Объезд</t>
        </is>
      </c>
      <c r="D96" s="114" t="inlineStr">
        <is>
          <t xml:space="preserve">Кр-99041437-1</t>
        </is>
      </c>
      <c r="E96" s="114" t="inlineStr">
        <is>
          <t xml:space="preserve">MUSAYEV NODIR TOXTASINOVICH</t>
        </is>
      </c>
      <c r="F96" s="114" t="inlineStr">
        <is>
          <t xml:space="preserve">+998974400425 SMS O’ZI, 998909391070 SMS DO’STI, 998909485772 SMS KENOYISI, 998950760939 SMS OKASI,</t>
        </is>
      </c>
      <c r="G96" s="114" t="inlineStr">
        <is>
          <t xml:space="preserve">ТОШКЕНТ ШАХРИ ЯШНОБОД ТУМАНИ БЕҲИЗОР МФЙ, ШОХСАНАМ КЎЧАСИ,  uy:104 (4-ХОНАДОН)</t>
        </is>
      </c>
      <c r="H96" s="115">
        <v>8.0</v>
      </c>
      <c r="I96" s="115">
        <v>1360281.32</v>
      </c>
      <c r="J96" s="115">
        <v>1360281.32</v>
      </c>
      <c r="K96" s="114" t="inlineStr">
        <is>
          <t xml:space="preserve">Uyiga borildi - to'ladi</t>
        </is>
      </c>
    </row>
    <row r="97">
      <c r="A97" s="114" t="inlineStr">
        <is>
          <t xml:space="preserve">ТОШКЕНТ ШАХРИ</t>
        </is>
      </c>
      <c r="C97" s="114" t="inlineStr">
        <is>
          <t xml:space="preserve">Объезд</t>
        </is>
      </c>
      <c r="D97" s="114" t="inlineStr">
        <is>
          <t xml:space="preserve">Кр-99041945-3</t>
        </is>
      </c>
      <c r="E97" s="114" t="inlineStr">
        <is>
          <t xml:space="preserve">BEKMATOVA MAXMUDA AKRAMOVNA</t>
        </is>
      </c>
      <c r="F97" s="114" t="inlineStr">
        <is>
          <t xml:space="preserve">998903154326 SMS QIZI, 998903970616 SMS OZI, 998946472100 SMS GAROVCHI, 998977078333 SMS OGLI,</t>
        </is>
      </c>
      <c r="G97" s="114" t="inlineStr">
        <is>
          <t xml:space="preserve">MUYNOQ KO’CHASI 116-UY</t>
        </is>
      </c>
      <c r="H97" s="115">
        <v>8.0</v>
      </c>
      <c r="I97" s="115">
        <v>972330.93</v>
      </c>
      <c r="K97" s="114" t="inlineStr">
        <is>
          <t xml:space="preserve">Uyiga borildi - va'da berdi</t>
        </is>
      </c>
    </row>
    <row r="98">
      <c r="A98" s="116" t="inlineStr">
        <is>
          <t xml:space="preserve">ФАРГОНА ВИЛОЯТИ</t>
        </is>
      </c>
      <c r="C98" s="116" t="inlineStr">
        <is>
          <t xml:space="preserve">Объезд</t>
        </is>
      </c>
      <c r="D98" s="116" t="inlineStr">
        <is>
          <t xml:space="preserve">Кр-99036825-1</t>
        </is>
      </c>
      <c r="E98" s="116" t="inlineStr">
        <is>
          <t xml:space="preserve">RAXMANKULOVA RANO EMINOVNA</t>
        </is>
      </c>
      <c r="F98" s="116" t="inlineStr">
        <is>
          <t xml:space="preserve">998916619568 SMS OZI, 998916667777 SMS OGLI BEGONA, 998992041119 SMS OGLI 2, 998902741221 SMS UYI BEGONA, 998972711111 SMS ,</t>
        </is>
      </c>
      <c r="G98" s="116" t="inlineStr">
        <is>
          <t xml:space="preserve">FARG’ONA VILOYATI FARG’ONA SHAHAR OQARIQ MFY OQARIQ KO’CHASI 350-A UY </t>
        </is>
      </c>
      <c r="H98" s="117">
        <v>120.0</v>
      </c>
      <c r="I98" s="117">
        <v>53771510.2</v>
      </c>
      <c r="K98" s="116" t="inlineStr">
        <is>
          <t xml:space="preserve">Uyiga borildi | 20648677.87</t>
        </is>
      </c>
    </row>
    <row r="99">
      <c r="A99" s="116" t="inlineStr">
        <is>
          <t xml:space="preserve">ФАРГОНА ВИЛОЯТИ</t>
        </is>
      </c>
      <c r="C99" s="116" t="inlineStr">
        <is>
          <t xml:space="preserve">Объезд</t>
        </is>
      </c>
      <c r="D99" s="116" t="inlineStr">
        <is>
          <t xml:space="preserve">Кр-99044960-2</t>
        </is>
      </c>
      <c r="E99" s="116" t="inlineStr">
        <is>
          <t xml:space="preserve">ABDULLAYEV BEGALI MIRZAJONOVICH</t>
        </is>
      </c>
      <c r="F99" s="116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99" s="116" t="inlineStr">
        <is>
          <t xml:space="preserve">FARG’ONA VILOYATI BESHARIQ TUMANI SHOBERDI MFY GULYOR KO’CHASI 40-UY</t>
        </is>
      </c>
      <c r="H99" s="117">
        <v>133.0</v>
      </c>
      <c r="I99" s="117">
        <v>46884561.84</v>
      </c>
      <c r="K99" s="116" t="inlineStr">
        <is>
          <t xml:space="preserve">Uyiga borildi - va'da berdi | 11979165</t>
        </is>
      </c>
    </row>
    <row r="100">
      <c r="A100" s="116" t="inlineStr">
        <is>
          <t xml:space="preserve">ФАРГОНА ВИЛОЯТИ</t>
        </is>
      </c>
      <c r="C100" s="116" t="inlineStr">
        <is>
          <t xml:space="preserve">Объезд</t>
        </is>
      </c>
      <c r="D100" s="116" t="inlineStr">
        <is>
          <t xml:space="preserve">Кр-99060331-1</t>
        </is>
      </c>
      <c r="E100" s="116" t="inlineStr">
        <is>
          <t xml:space="preserve">UMAROVA EXTIBOR SOTVOLDIYEVNA</t>
        </is>
      </c>
      <c r="F100" s="116" t="inlineStr">
        <is>
          <t xml:space="preserve">998905331878 узи, 998932974444 невара, 998982775557 уй, 998943313223 эри,</t>
        </is>
      </c>
      <c r="G100" s="116" t="inlineStr">
        <is>
          <t xml:space="preserve">FARG’ONA VILOYATI, FARG’ONA SHAHRI, FARG’ONA MFY, FITRAT KO’CHASI, 27-UY</t>
        </is>
      </c>
      <c r="H100" s="117">
        <v>41.0</v>
      </c>
      <c r="I100" s="117">
        <v>32347767.32</v>
      </c>
      <c r="K100" s="116" t="inlineStr">
        <is>
          <t xml:space="preserve">Uyiga borildi - va'da berdi | ERTAGA KECHROQA FILALGA BORIB TOLAB QOYADI EKAN | 9776256.28</t>
        </is>
      </c>
    </row>
    <row r="101">
      <c r="A101" s="116" t="inlineStr">
        <is>
          <t xml:space="preserve">ФАРГОНА ВИЛОЯТИ</t>
        </is>
      </c>
      <c r="C101" s="116" t="inlineStr">
        <is>
          <t xml:space="preserve">Объезд</t>
        </is>
      </c>
      <c r="D101" s="116" t="inlineStr">
        <is>
          <t xml:space="preserve">Кр-99035879-1</t>
        </is>
      </c>
      <c r="E101" s="116" t="inlineStr">
        <is>
          <t xml:space="preserve">OBIYEVA MOHIRA ANVARJON QIZI</t>
        </is>
      </c>
      <c r="F101" s="116" t="inlineStr">
        <is>
          <t xml:space="preserve">998911571991 SMS O’ZI, 998954059090 SMS ERI begana, 998900731111 SMS OPASI begana, 998911053107 SMS OPASI 2, 998906729797 SMS UKASI ,</t>
        </is>
      </c>
      <c r="G101" s="116" t="inlineStr">
        <is>
          <t xml:space="preserve">FARG’ONA VILOYATI RISHTON TUMANI ZOXIDON MFY GULUSTON KO’CHASI</t>
        </is>
      </c>
      <c r="H101" s="117">
        <v>99.0</v>
      </c>
      <c r="I101" s="117">
        <v>22233536.25</v>
      </c>
      <c r="K101" s="116" t="inlineStr">
        <is>
          <t xml:space="preserve">Uyiga borildi | 9348178.95</t>
        </is>
      </c>
    </row>
    <row r="102">
      <c r="A102" s="116" t="inlineStr">
        <is>
          <t xml:space="preserve">ФАРГОНА ВИЛОЯТИ</t>
        </is>
      </c>
      <c r="C102" s="116" t="inlineStr">
        <is>
          <t xml:space="preserve">Объезд</t>
        </is>
      </c>
      <c r="D102" s="116" t="inlineStr">
        <is>
          <t xml:space="preserve">Кр-99040913-4</t>
        </is>
      </c>
      <c r="E102" s="116" t="inlineStr">
        <is>
          <t xml:space="preserve">ISMIXANOVA SEVILA MUSTAFAYEVNA</t>
        </is>
      </c>
      <c r="F102" s="116" t="inlineStr">
        <is>
          <t xml:space="preserve">+998907030041 O’ZI, 998904077354 SHERIGI, 998905815272 SINGLI, 998907040019 SMS O’ZI,</t>
        </is>
      </c>
      <c r="G102" s="116" t="inlineStr">
        <is>
          <t xml:space="preserve">FARG’ONA VILOYATI FARG’ONA SHAHAR IBRAT MFY REGISTON (O’RTA SHO’RA) KO’CHASI 2-UY 9-XONADON</t>
        </is>
      </c>
      <c r="H102" s="117">
        <v>71.0</v>
      </c>
      <c r="I102" s="117">
        <v>21657013.3</v>
      </c>
      <c r="K102" s="116" t="inlineStr">
        <is>
          <t xml:space="preserve">Uyiga borildi - va'da berdi | 6873199.01</t>
        </is>
      </c>
    </row>
    <row r="103">
      <c r="A103" s="116" t="inlineStr">
        <is>
          <t xml:space="preserve">ФАРГОНА ВИЛОЯТИ</t>
        </is>
      </c>
      <c r="C103" s="116" t="inlineStr">
        <is>
          <t xml:space="preserve">Объезд</t>
        </is>
      </c>
      <c r="D103" s="116" t="inlineStr">
        <is>
          <t xml:space="preserve">Кр-99055209-1</t>
        </is>
      </c>
      <c r="E103" s="116" t="inlineStr">
        <is>
          <t xml:space="preserve">ISMOILOV KOMOLJON ISROILOVICH</t>
        </is>
      </c>
      <c r="F103" s="116" t="inlineStr">
        <is>
          <t xml:space="preserve">998911083458 OZI, 998916523715 AYOLI, 998911165525 SINGLISI, 998905343715 UKASI,</t>
        </is>
      </c>
      <c r="G103" s="116" t="inlineStr">
        <is>
          <t xml:space="preserve">FARG’ONA VILOYATI FARG’ONA SHAHAR OQARIQ MFY OQARIQ KO’CHASI 235-UY</t>
        </is>
      </c>
      <c r="H103" s="117">
        <v>41.0</v>
      </c>
      <c r="I103" s="117">
        <v>17611984.26</v>
      </c>
      <c r="K103" s="116" t="inlineStr">
        <is>
          <t xml:space="preserve">Uyiga borildi - va'da berdi | 5416666</t>
        </is>
      </c>
    </row>
    <row r="104">
      <c r="A104" s="116" t="inlineStr">
        <is>
          <t xml:space="preserve">ФАРГОНА ВИЛОЯТИ</t>
        </is>
      </c>
      <c r="C104" s="116" t="inlineStr">
        <is>
          <t xml:space="preserve">Объезд</t>
        </is>
      </c>
      <c r="D104" s="116" t="inlineStr">
        <is>
          <t xml:space="preserve">Кр-99060453-1</t>
        </is>
      </c>
      <c r="E104" s="116" t="inlineStr">
        <is>
          <t xml:space="preserve">YUSUPOVA OMINAXON XXX</t>
        </is>
      </c>
      <c r="F104" s="116" t="inlineStr">
        <is>
          <t xml:space="preserve">998975555600 SMS OZI, 998335757777 SMS OGLI, 998981700078 SMS NEVARASI, 998505102702 SMS OGLI,</t>
        </is>
      </c>
      <c r="G104" s="116" t="inlineStr">
        <is>
          <t xml:space="preserve">FARG’ONA VILOYATI FARG’ONA TUMANI BIRDAMLIK MFY MURUVVAT KO’CHASI 46-XONADON</t>
        </is>
      </c>
      <c r="H104" s="117">
        <v>41.0</v>
      </c>
      <c r="I104" s="117">
        <v>15666666.66</v>
      </c>
      <c r="K104" s="116" t="inlineStr">
        <is>
          <t xml:space="preserve">Uyiga borildi - va'da berdi | PULI KELMAY QOLIBDI ERTAGA KELISHI BILAN TOLAB QOYADI EKAN | 6060606</t>
        </is>
      </c>
    </row>
    <row r="105">
      <c r="A105" s="116" t="inlineStr">
        <is>
          <t xml:space="preserve">ФАРГОНА ВИЛОЯТИ</t>
        </is>
      </c>
      <c r="C105" s="116" t="inlineStr">
        <is>
          <t xml:space="preserve">Объезд</t>
        </is>
      </c>
      <c r="D105" s="116" t="inlineStr">
        <is>
          <t xml:space="preserve">Кр-99058090-1</t>
        </is>
      </c>
      <c r="E105" s="116" t="inlineStr">
        <is>
          <t xml:space="preserve">YUNUSOVA UMIDA OBIDJON QIZI</t>
        </is>
      </c>
      <c r="F105" s="116" t="inlineStr">
        <is>
          <t xml:space="preserve">998902900988 SMS OZI, 998916681988 SMS QIZI, 998910402015 SMS OGL, 998905812051 SMS OANSI,</t>
        </is>
      </c>
      <c r="G105" s="116" t="inlineStr">
        <is>
          <t xml:space="preserve">FARG’ONA VILOYATI FARG’ONA SHAHAR O’ZBEKISTON MFY A-QODIRIY KO’CHASI 148-UY 26-XONADON</t>
        </is>
      </c>
      <c r="H105" s="117">
        <v>41.0</v>
      </c>
      <c r="I105" s="117">
        <v>13367443.95</v>
      </c>
      <c r="K105" s="116" t="inlineStr">
        <is>
          <t xml:space="preserve">Uyiga borildi - va'da berdi | 4050817.89</t>
        </is>
      </c>
    </row>
    <row r="106">
      <c r="A106" s="116" t="inlineStr">
        <is>
          <t xml:space="preserve">ФАРГОНА ВИЛОЯТИ</t>
        </is>
      </c>
      <c r="C106" s="116" t="inlineStr">
        <is>
          <t xml:space="preserve">Объезд</t>
        </is>
      </c>
      <c r="D106" s="116" t="inlineStr">
        <is>
          <t xml:space="preserve">Кр-99041275-1</t>
        </is>
      </c>
      <c r="E106" s="116" t="inlineStr">
        <is>
          <t xml:space="preserve">JUMAMATOVA ZULXUMOR ISAKOVNA</t>
        </is>
      </c>
      <c r="F106" s="116" t="inlineStr">
        <is>
          <t xml:space="preserve">+998907788327 O’ZI, 998947215300 UY, 998982787707 ERI, 998987781111 O’G’LI TOLOVCHI,</t>
        </is>
      </c>
      <c r="G106" s="116" t="inlineStr">
        <is>
          <t xml:space="preserve">13-СИМТЕПА (Х.ИБРАГИМОВА) МФЙ, ОБИХАЁТ (ШОКИРОВА) КЎЧАСИ,  uy:32А</t>
        </is>
      </c>
      <c r="H106" s="117">
        <v>71.0</v>
      </c>
      <c r="I106" s="117">
        <v>10508395.32</v>
      </c>
      <c r="K106" s="116" t="inlineStr">
        <is>
          <t xml:space="preserve">Uyiga borildi - va'da berdi | 2964372.32</t>
        </is>
      </c>
    </row>
    <row r="107">
      <c r="A107" s="116" t="inlineStr">
        <is>
          <t xml:space="preserve">ФАРГОНА ВИЛОЯТИ</t>
        </is>
      </c>
      <c r="C107" s="116" t="inlineStr">
        <is>
          <t xml:space="preserve">Объезд</t>
        </is>
      </c>
      <c r="D107" s="116" t="inlineStr">
        <is>
          <t xml:space="preserve">Кр-99062630-1</t>
        </is>
      </c>
      <c r="E107" s="116" t="inlineStr">
        <is>
          <t xml:space="preserve">XASANOV OTABEK AZIZJONOVICH</t>
        </is>
      </c>
      <c r="F107" s="116" t="inlineStr">
        <is>
          <t xml:space="preserve">998916577977 узи, 998911590079 угли, 998958290856 акаси, 998938820883 JIYANI TOLOVCHI ,</t>
        </is>
      </c>
      <c r="G107" s="116" t="inlineStr">
        <is>
          <t xml:space="preserve">OLTIARIQ TUMANI</t>
        </is>
      </c>
      <c r="H107" s="117">
        <v>11.0</v>
      </c>
      <c r="I107" s="117">
        <v>8538415.68</v>
      </c>
      <c r="J107" s="117">
        <v>2708333.0</v>
      </c>
      <c r="K107" s="116" t="inlineStr">
        <is>
          <t xml:space="preserve">Uyiga borildi - to'ladi | 2708333</t>
        </is>
      </c>
    </row>
    <row r="108">
      <c r="A108" s="116" t="inlineStr">
        <is>
          <t xml:space="preserve">ФАРГОНА ВИЛОЯТИ</t>
        </is>
      </c>
      <c r="C108" s="116" t="inlineStr">
        <is>
          <t xml:space="preserve">Объезд</t>
        </is>
      </c>
      <c r="D108" s="116" t="inlineStr">
        <is>
          <t xml:space="preserve">Кр-99061811-1</t>
        </is>
      </c>
      <c r="E108" s="116" t="inlineStr">
        <is>
          <t xml:space="preserve">RASULOVA ODINA ABDURAXMONOVNA</t>
        </is>
      </c>
      <c r="F108" s="116" t="inlineStr">
        <is>
          <t xml:space="preserve">998905355332 OZI , 998772567505 QIZI , 998882066464 OGLI , 998958680024 UY ,</t>
        </is>
      </c>
      <c r="G108" s="116" t="inlineStr">
        <is>
          <t xml:space="preserve">FARG’ONA VILOYATI FARG’ONA SHAHAR TEMIRYOL 60-UY</t>
        </is>
      </c>
      <c r="H108" s="117">
        <v>11.0</v>
      </c>
      <c r="I108" s="117">
        <v>7523329.49</v>
      </c>
      <c r="K108" s="116" t="inlineStr">
        <is>
          <t xml:space="preserve">Uyiga borildi - va'da berdi | JUMAKUNI KECHGACHA TOLAB QOYADI EKAN SAVDOSI YAXSHI BOMAYABDI EKAN | 2708333</t>
        </is>
      </c>
    </row>
    <row r="109">
      <c r="A109" s="116" t="inlineStr">
        <is>
          <t xml:space="preserve">ФАРГОНА ВИЛОЯТИ</t>
        </is>
      </c>
      <c r="C109" s="116" t="inlineStr">
        <is>
          <t xml:space="preserve">Объезд</t>
        </is>
      </c>
      <c r="D109" s="116" t="inlineStr">
        <is>
          <t xml:space="preserve">Кр-99063728-1</t>
        </is>
      </c>
      <c r="E109" s="116" t="inlineStr">
        <is>
          <t xml:space="preserve">RAXMATALIYEVA GULXAYO MAVZURJONOVNA</t>
        </is>
      </c>
      <c r="F109" s="116" t="inlineStr">
        <is>
          <t xml:space="preserve">998979559393 OZI, 998337030333 ERI , 998951669090 ERI 2,</t>
        </is>
      </c>
      <c r="G109" s="116" t="inlineStr">
        <is>
          <t xml:space="preserve">SHO`R KOCHASI</t>
        </is>
      </c>
      <c r="H109" s="117">
        <v>11.0</v>
      </c>
      <c r="I109" s="117">
        <v>6184204.04</v>
      </c>
      <c r="K109" s="116" t="inlineStr">
        <is>
          <t xml:space="preserve">Uyiga borildi - va'da berdi | 5 LARGA QAYTA ALOQA ERI TOLOV QILISHGA HARAKAT QILADI EKAN | 2291667</t>
        </is>
      </c>
    </row>
    <row r="110">
      <c r="A110" s="116" t="inlineStr">
        <is>
          <t xml:space="preserve">ФАРГОНА ВИЛОЯТИ</t>
        </is>
      </c>
      <c r="C110" s="116" t="inlineStr">
        <is>
          <t xml:space="preserve">Объезд</t>
        </is>
      </c>
      <c r="D110" s="116" t="inlineStr">
        <is>
          <t xml:space="preserve">Кр-99062779-1</t>
        </is>
      </c>
      <c r="E110" s="116" t="inlineStr">
        <is>
          <t xml:space="preserve">JURAYEVA SADOKAT ADILOVNA</t>
        </is>
      </c>
      <c r="F110" s="116" t="inlineStr">
        <is>
          <t xml:space="preserve">+998903683078 SMS O’ZI, 998903035444 QIZI 2, 998908474999 UY, 998974176939 QIZI, 998905801885 TOLOVCHI,</t>
        </is>
      </c>
      <c r="G110" s="116" t="inlineStr">
        <is>
          <t xml:space="preserve">FARG’ONA VILOYATI FARG’ONA SHAHAR YULDUZ MFY YANGI ASR KO’CHASI 100-A UY 22-XONADON</t>
        </is>
      </c>
      <c r="H110" s="117">
        <v>11.0</v>
      </c>
      <c r="I110" s="117">
        <v>6070519.75</v>
      </c>
      <c r="K110" s="116" t="inlineStr">
        <is>
          <t xml:space="preserve">Uyiga borildi - va'da berdi | ERI CHETAN PUL JONATISHI KERAK EKAN JONATISHI BILAN YOPADI EKAN | 1874999.75</t>
        </is>
      </c>
    </row>
    <row r="111">
      <c r="A111" s="116" t="inlineStr">
        <is>
          <t xml:space="preserve">ФАРГОНА ВИЛОЯТИ</t>
        </is>
      </c>
      <c r="C111" s="116" t="inlineStr">
        <is>
          <t xml:space="preserve">Объезд</t>
        </is>
      </c>
      <c r="D111" s="116" t="inlineStr">
        <is>
          <t xml:space="preserve">Кр-99052308-1</t>
        </is>
      </c>
      <c r="E111" s="116" t="inlineStr">
        <is>
          <t xml:space="preserve">DEXKONOV BAXTIYOR TURSUNOVICH</t>
        </is>
      </c>
      <c r="F111" s="116" t="inlineStr">
        <is>
          <t xml:space="preserve">998979496268 O`ZI, 998940905979 UY, 998911196869 AYOLI, 998940965979 SMS OZI NEW,</t>
        </is>
      </c>
      <c r="G111" s="116" t="inlineStr">
        <is>
          <t xml:space="preserve">FARGONA VILOYATI</t>
        </is>
      </c>
      <c r="H111" s="117">
        <v>8.0</v>
      </c>
      <c r="I111" s="117">
        <v>5801905.09</v>
      </c>
      <c r="K111" s="116" t="inlineStr">
        <is>
          <t xml:space="preserve">Uyiga borildi - va'da berdi | 1875000</t>
        </is>
      </c>
    </row>
    <row r="112">
      <c r="A112" s="116" t="inlineStr">
        <is>
          <t xml:space="preserve">ФАРГОНА ВИЛОЯТИ</t>
        </is>
      </c>
      <c r="C112" s="116" t="inlineStr">
        <is>
          <t xml:space="preserve">Объезд</t>
        </is>
      </c>
      <c r="D112" s="116" t="inlineStr">
        <is>
          <t xml:space="preserve">Кр-99041300-1</t>
        </is>
      </c>
      <c r="E112" s="116" t="inlineStr">
        <is>
          <t xml:space="preserve">RAXMONOV ELDORBEK IFTIXORJON O’G’LI</t>
        </is>
      </c>
      <c r="F112" s="116" t="inlineStr">
        <is>
          <t xml:space="preserve">+998906283573 O’ZI, 998911170209 AKASI, 998952250504 DADASI BEGONA, 998959681278 ONASI,</t>
        </is>
      </c>
      <c r="G112" s="116" t="inlineStr">
        <is>
          <t xml:space="preserve">Ферганская область, Фуркатский район, Хайит МСГ, киш. Доғистон, дом 26</t>
        </is>
      </c>
      <c r="H112" s="117">
        <v>8.0</v>
      </c>
      <c r="I112" s="117">
        <v>5788284.31</v>
      </c>
      <c r="K112" s="116" t="inlineStr">
        <is>
          <t xml:space="preserve">Uyiga borildi - va'da berdi | 2476821.26</t>
        </is>
      </c>
    </row>
    <row r="113">
      <c r="A113" s="116" t="inlineStr">
        <is>
          <t xml:space="preserve">ФАРГОНА ВИЛОЯТИ</t>
        </is>
      </c>
      <c r="C113" s="116" t="inlineStr">
        <is>
          <t xml:space="preserve">Объезд</t>
        </is>
      </c>
      <c r="D113" s="116" t="inlineStr">
        <is>
          <t xml:space="preserve">Кр-99063120-1</t>
        </is>
      </c>
      <c r="E113" s="116" t="inlineStr">
        <is>
          <t xml:space="preserve">ABDURAXIMOVA DURDONAXON SHAVKATJON QIZI</t>
        </is>
      </c>
      <c r="F113" s="116" t="inlineStr">
        <is>
          <t xml:space="preserve">998978123377 SMS OZI, 998952320043 SMS AYOLI, 998886616191 SMS TOGASI, 998932183388 SMS ERI,</t>
        </is>
      </c>
      <c r="G113" s="116" t="inlineStr">
        <is>
          <t xml:space="preserve">FARG’ONA VILOYATI QUVA TUMANI BO’STON MFY SALIM KO’CHASI 386-UY</t>
        </is>
      </c>
      <c r="H113" s="117">
        <v>8.0</v>
      </c>
      <c r="I113" s="117">
        <v>5350927.31</v>
      </c>
      <c r="J113" s="117">
        <v>1667000.0</v>
      </c>
      <c r="K113" s="116" t="inlineStr">
        <is>
          <t xml:space="preserve">Uyiga borildi - to'ladi | 1667000</t>
        </is>
      </c>
    </row>
    <row r="114">
      <c r="A114" s="116" t="inlineStr">
        <is>
          <t xml:space="preserve">ФАРГОНА ВИЛОЯТИ</t>
        </is>
      </c>
      <c r="C114" s="116" t="inlineStr">
        <is>
          <t xml:space="preserve">Объезд</t>
        </is>
      </c>
      <c r="D114" s="116" t="inlineStr">
        <is>
          <t xml:space="preserve">Кр-99048975-1</t>
        </is>
      </c>
      <c r="E114" s="116" t="inlineStr">
        <is>
          <t xml:space="preserve">ERGASHEV ASRORBEK PAXLAVON O’G’LI</t>
        </is>
      </c>
      <c r="F114" s="116" t="inlineStr">
        <is>
          <t xml:space="preserve">+998941302940 SMS O’ZI, 998888201114 AKASI, 998906860405 AYOLI, 998916548020 UKASI, 998952298454 OZI NEW,</t>
        </is>
      </c>
      <c r="G114" s="116" t="inlineStr">
        <is>
          <t xml:space="preserve">FARG’ONA VILOYATI QO’SHTEPA TUMANI QAMISHTEPA MFY CHORBOG’ KO’CHASI 1.2-UY 16-XONADON</t>
        </is>
      </c>
      <c r="H114" s="117">
        <v>8.0</v>
      </c>
      <c r="I114" s="117">
        <v>5290642.23</v>
      </c>
      <c r="K114" s="116" t="inlineStr">
        <is>
          <t xml:space="preserve">Uyiga borildi - va'da berdi | 16 CHI KUNI PULIM KELADI KELISHI BILAN TOLAB QOYADI EKAN | 1666665.82</t>
        </is>
      </c>
    </row>
    <row r="115">
      <c r="A115" s="116" t="inlineStr">
        <is>
          <t xml:space="preserve">ФАРГОНА ВИЛОЯТИ</t>
        </is>
      </c>
      <c r="C115" s="116" t="inlineStr">
        <is>
          <t xml:space="preserve">Объезд</t>
        </is>
      </c>
      <c r="D115" s="116" t="inlineStr">
        <is>
          <t xml:space="preserve">Кр-99042987-1</t>
        </is>
      </c>
      <c r="E115" s="116" t="inlineStr">
        <is>
          <t xml:space="preserve">ERGASHEVA MARXABOXON MADAMINOVNA</t>
        </is>
      </c>
      <c r="F115" s="116" t="inlineStr">
        <is>
          <t xml:space="preserve">+998911085015 SMS O’ZI, 998911582303 OPASI ,BEGONAAAA, 998916694832 ERI, 998985750796 JIYANI,</t>
        </is>
      </c>
      <c r="G115" s="116" t="inlineStr">
        <is>
          <t xml:space="preserve">FARG’ONA VILOYATI QO’SHTEPA TUMANI BALANDMASJID MFY NAVQURON KO’CHASI 25-XONADON</t>
        </is>
      </c>
      <c r="H115" s="117">
        <v>8.0</v>
      </c>
      <c r="I115" s="117">
        <v>5249968.32</v>
      </c>
      <c r="K115" s="116" t="inlineStr">
        <is>
          <t xml:space="preserve">Uyiga borildi - va'da berdi | 1666665.68</t>
        </is>
      </c>
    </row>
    <row r="116">
      <c r="A116" s="116" t="inlineStr">
        <is>
          <t xml:space="preserve">ФАРГОНА ВИЛОЯТИ</t>
        </is>
      </c>
      <c r="C116" s="116" t="inlineStr">
        <is>
          <t xml:space="preserve">Объезд</t>
        </is>
      </c>
      <c r="D116" s="116" t="inlineStr">
        <is>
          <t xml:space="preserve">Кр-99042673-1</t>
        </is>
      </c>
      <c r="E116" s="116" t="inlineStr">
        <is>
          <t xml:space="preserve">UMURZAKOVA MUNIRA BAXTIYAROVNA</t>
        </is>
      </c>
      <c r="F116" s="116" t="inlineStr">
        <is>
          <t xml:space="preserve">+998951500250 SMS O’ZI, 998916501497 O’G’LI 2, 998936499485 O’G’LI, 998972050027 UY,</t>
        </is>
      </c>
      <c r="G116" s="116" t="inlineStr">
        <is>
          <t xml:space="preserve">FARG’ONA VILOYATI QO’SHTEPA TUMANI QAMISHTEPA MFY SERQO’YOSH KO’CHASI 90-XONADON</t>
        </is>
      </c>
      <c r="H116" s="117">
        <v>8.0</v>
      </c>
      <c r="I116" s="117">
        <v>5083970.66</v>
      </c>
      <c r="K116" s="116" t="inlineStr">
        <is>
          <t xml:space="preserve">Uyiga borildi - va'da berdi | BOLIB BOLIB TOLAYDI 25GACHA POLI TOLAB QOYADI EKAN | 1812270.59</t>
        </is>
      </c>
    </row>
    <row r="117">
      <c r="A117" s="116" t="inlineStr">
        <is>
          <t xml:space="preserve">ФАРГОНА ВИЛОЯТИ</t>
        </is>
      </c>
      <c r="C117" s="116" t="inlineStr">
        <is>
          <t xml:space="preserve">Объезд</t>
        </is>
      </c>
      <c r="D117" s="116" t="inlineStr">
        <is>
          <t xml:space="preserve">Кр-99052972-1</t>
        </is>
      </c>
      <c r="E117" s="116" t="inlineStr">
        <is>
          <t xml:space="preserve">AXMATQULOV JUMAQO’ZI ERGASHEVICH</t>
        </is>
      </c>
      <c r="F117" s="116" t="inlineStr">
        <is>
          <t xml:space="preserve">998916882765 SMS OZI, 998901512394 SMS OGL, 998954976569 SMS AYOOLI, 998580532372 SMS OGLI, 998958889169 OZI NEW,</t>
        </is>
      </c>
      <c r="G117" s="116" t="inlineStr">
        <is>
          <t xml:space="preserve">FARG’ONA VILOYATI BOG’DOD TUMANI PAXTAOBOD MFY TASHABBUS KO’CHASI 6-UY</t>
        </is>
      </c>
      <c r="H117" s="117">
        <v>8.0</v>
      </c>
      <c r="I117" s="117">
        <v>5083055.04</v>
      </c>
      <c r="K117" s="116" t="inlineStr">
        <is>
          <t xml:space="preserve">Uyiga borildi - va'da berdi | 1667000</t>
        </is>
      </c>
    </row>
    <row r="118">
      <c r="A118" s="116" t="inlineStr">
        <is>
          <t xml:space="preserve">ФАРГОНА ВИЛОЯТИ</t>
        </is>
      </c>
      <c r="C118" s="116" t="inlineStr">
        <is>
          <t xml:space="preserve">Объезд</t>
        </is>
      </c>
      <c r="D118" s="116" t="inlineStr">
        <is>
          <t xml:space="preserve">Кр-99047401-1</t>
        </is>
      </c>
      <c r="E118" s="116" t="inlineStr">
        <is>
          <t xml:space="preserve">QAZAQOV ABRORJON RAXIMOVICH</t>
        </is>
      </c>
      <c r="F118" s="116" t="inlineStr">
        <is>
          <t xml:space="preserve">998975958828 O'ZI, 998976661171 JIYANI, 998949142377 AKASI, 998949071171 SMS JIYANI, 998975958828 SMS  NEW, 998948850303 SHUNGA QILINSI TOLOVCHI ,</t>
        </is>
      </c>
      <c r="G118" s="116" t="inlineStr">
        <is>
          <t xml:space="preserve">BUVAYDA TUMANI</t>
        </is>
      </c>
      <c r="H118" s="117">
        <v>8.0</v>
      </c>
      <c r="I118" s="117">
        <v>4978430.59</v>
      </c>
      <c r="K118" s="116" t="inlineStr">
        <is>
          <t xml:space="preserve">Uyiga borildi - va'da berdi | 2121000</t>
        </is>
      </c>
    </row>
    <row r="119">
      <c r="A119" s="116" t="inlineStr">
        <is>
          <t xml:space="preserve">ФАРГОНА ВИЛОЯТИ</t>
        </is>
      </c>
      <c r="C119" s="116" t="inlineStr">
        <is>
          <t xml:space="preserve">Объезд</t>
        </is>
      </c>
      <c r="D119" s="116" t="inlineStr">
        <is>
          <t xml:space="preserve">Кр-99047398-1</t>
        </is>
      </c>
      <c r="E119" s="116" t="inlineStr">
        <is>
          <t xml:space="preserve">MAMATKARIMOV SARVARBEK AKMAL O’G’LI</t>
        </is>
      </c>
      <c r="F119" s="116" t="inlineStr">
        <is>
          <t xml:space="preserve">998940290792 SMS O’ZI, 998942412018 SMS AYOLI, 998777518062 SMS DADASI, 998912846371 SMS ONASI,</t>
        </is>
      </c>
      <c r="G119" s="116" t="inlineStr">
        <is>
          <t xml:space="preserve">FARGONA</t>
        </is>
      </c>
      <c r="H119" s="117">
        <v>8.0</v>
      </c>
      <c r="I119" s="117">
        <v>4473500.52</v>
      </c>
      <c r="K119" s="116" t="inlineStr">
        <is>
          <t xml:space="preserve">Uyiga borildi - va'da berdi | 1458000</t>
        </is>
      </c>
    </row>
    <row r="120">
      <c r="A120" s="116" t="inlineStr">
        <is>
          <t xml:space="preserve">ФАРГОНА ВИЛОЯТИ</t>
        </is>
      </c>
      <c r="C120" s="116" t="inlineStr">
        <is>
          <t xml:space="preserve">Объезд</t>
        </is>
      </c>
      <c r="D120" s="116" t="inlineStr">
        <is>
          <t xml:space="preserve">Кр-99052960-1</t>
        </is>
      </c>
      <c r="E120" s="116" t="inlineStr">
        <is>
          <t xml:space="preserve">UMMATQULOV MUXAMADJON YO’LDASHEVICH</t>
        </is>
      </c>
      <c r="F120" s="116" t="inlineStr">
        <is>
          <t xml:space="preserve">998903047144 OZI , 998905866786 OZI 2, 998947797144 AYOLI,</t>
        </is>
      </c>
      <c r="G120" s="116" t="inlineStr">
        <is>
          <t xml:space="preserve">BOG’DOD TUMANI</t>
        </is>
      </c>
      <c r="H120" s="117">
        <v>8.0</v>
      </c>
      <c r="I120" s="117">
        <v>4207484.57</v>
      </c>
      <c r="K120" s="116" t="inlineStr">
        <is>
          <t xml:space="preserve">Uyiga borildi - va'da berdi | 1458000</t>
        </is>
      </c>
    </row>
    <row r="121">
      <c r="A121" s="116" t="inlineStr">
        <is>
          <t xml:space="preserve">ФАРГОНА ВИЛОЯТИ</t>
        </is>
      </c>
      <c r="C121" s="116" t="inlineStr">
        <is>
          <t xml:space="preserve">Объезд</t>
        </is>
      </c>
      <c r="D121" s="116" t="inlineStr">
        <is>
          <t xml:space="preserve">Кр-99035863-1</t>
        </is>
      </c>
      <c r="E121" s="116" t="inlineStr">
        <is>
          <t xml:space="preserve">ERGASHEV ILXOMJON XAKIMOVICH</t>
        </is>
      </c>
      <c r="F121" s="116" t="inlineStr">
        <is>
          <t xml:space="preserve">998916767655 SMS OZI, 998907831068 SMS AYOLI, 998916584356 SMS OGLI, 998907814645 SMS SHERIGI begona, 998949767655 OZI NEW ,</t>
        </is>
      </c>
      <c r="G121" s="116" t="inlineStr">
        <is>
          <t xml:space="preserve">FARG’ONA VILOYATI MARG’ILON SHAHAR YANGI XAYOT MFY S-OLLOYOR KO’CHASI 288-UY</t>
        </is>
      </c>
      <c r="H121" s="117">
        <v>8.0</v>
      </c>
      <c r="I121" s="117">
        <v>2844140.1</v>
      </c>
      <c r="K121" s="116" t="inlineStr">
        <is>
          <t xml:space="preserve">Uyiga borildi - va'da berdi | 1515000</t>
        </is>
      </c>
    </row>
    <row r="122">
      <c r="A122" s="116" t="inlineStr">
        <is>
          <t xml:space="preserve">ФАРГОНА ВИЛОЯТИ</t>
        </is>
      </c>
      <c r="C122" s="116" t="inlineStr">
        <is>
          <t xml:space="preserve">Объезд</t>
        </is>
      </c>
      <c r="D122" s="116" t="inlineStr">
        <is>
          <t xml:space="preserve">Кр-99030819-2</t>
        </is>
      </c>
      <c r="E122" s="116" t="inlineStr">
        <is>
          <t xml:space="preserve">OLIMJONOV XURSHID AKRAMJON O’G’LI</t>
        </is>
      </c>
      <c r="F122" s="116" t="inlineStr">
        <is>
          <t xml:space="preserve">91-043-83-83  SMS O’ZI TO'LOVCHI , 90-363-00-13  SMS ONASI , 91-125-57-17  SMS UKASI , 90-632-77-00  SMS O’RTOG’I  , 998907792327 OZI NEW XOTINI,</t>
        </is>
      </c>
      <c r="G122" s="116" t="inlineStr">
        <is>
          <t xml:space="preserve">FARG’ONA VILOYATI FARG’ONA SHAHAR BERUNIY MFY, KIRGULI KO’CHASI 32-UY 1-XONADON </t>
        </is>
      </c>
      <c r="H122" s="117">
        <v>8.0</v>
      </c>
      <c r="I122" s="117">
        <v>2579143.77</v>
      </c>
      <c r="K122" s="116" t="inlineStr">
        <is>
          <t xml:space="preserve">Uyiga borildi - va'da berdi | HARAKAT QILEPAN TOPOLMAYABAN DEYABDI | 1239083.95</t>
        </is>
      </c>
    </row>
    <row r="123">
      <c r="A123" s="116" t="inlineStr">
        <is>
          <t xml:space="preserve">ФАРГОНА ВИЛОЯТИ</t>
        </is>
      </c>
      <c r="C123" s="116" t="inlineStr">
        <is>
          <t xml:space="preserve">Объезд</t>
        </is>
      </c>
      <c r="D123" s="116" t="inlineStr">
        <is>
          <t xml:space="preserve">Кр-99032352-1</t>
        </is>
      </c>
      <c r="E123" s="116" t="inlineStr">
        <is>
          <t xml:space="preserve">SULTANOV DILSHOD ASHURALIYEVICH</t>
        </is>
      </c>
      <c r="F123" s="116" t="inlineStr">
        <is>
          <t xml:space="preserve">998916545700 SMS O’ZI, 998956465701 SMS AYOLI, 998993207090 SMS O’G’LI, 998904070904 SMS JIYANI, 998946300886 SMS  tolovchi new ,</t>
        </is>
      </c>
      <c r="G123" s="116" t="inlineStr">
        <is>
          <t xml:space="preserve">FARG’ONA VIL MARG’ILON SH BO’RXONNIDIN MARG’ILONI MFY B.M KO’CHASI 378-UY</t>
        </is>
      </c>
      <c r="H123" s="117">
        <v>8.0</v>
      </c>
      <c r="I123" s="117">
        <v>1646091.85</v>
      </c>
      <c r="K123" s="116" t="inlineStr">
        <is>
          <t xml:space="preserve">Uyiga borildi - va'da berdi | 1212000</t>
        </is>
      </c>
    </row>
    <row r="124">
      <c r="A124" s="116" t="inlineStr">
        <is>
          <t xml:space="preserve">ФАРГОНА ВИЛОЯТИ</t>
        </is>
      </c>
      <c r="C124" s="116" t="inlineStr">
        <is>
          <t xml:space="preserve">Объезд</t>
        </is>
      </c>
      <c r="D124" s="116" t="inlineStr">
        <is>
          <t xml:space="preserve">Кр-99027619-5</t>
        </is>
      </c>
      <c r="E124" s="116" t="inlineStr">
        <is>
          <t xml:space="preserve">RO’ZIBOYEV JASURBEK ABDUSATTOR O’G’LI</t>
        </is>
      </c>
      <c r="F124" s="116" t="inlineStr">
        <is>
          <t xml:space="preserve">77-009-11-61 SMS OZI, 94-010-90-40 SMS Ortogi BEKZOD begona, 99-763-91-92 SMS AKASI MUXRIDDIN, 998994998162 Oyisi(941210467),</t>
        </is>
      </c>
      <c r="G124" s="116" t="inlineStr">
        <is>
          <t xml:space="preserve">FARGONA VILOYATI BOG’DOD TUMANI MATQULOBOT QISHLOGI ISTIQLOL KOCHASI 234-UY</t>
        </is>
      </c>
      <c r="H124" s="117">
        <v>8.0</v>
      </c>
      <c r="I124" s="117">
        <v>1415091.25</v>
      </c>
      <c r="J124" s="117">
        <v>743217.0</v>
      </c>
      <c r="K124" s="116" t="inlineStr">
        <is>
          <t xml:space="preserve">Uyiga borildi - to'ladi | 743217.55</t>
        </is>
      </c>
    </row>
    <row r="125">
      <c r="A125" s="116" t="inlineStr">
        <is>
          <t xml:space="preserve">ФАРГОНА ВИЛОЯТИ</t>
        </is>
      </c>
      <c r="C125" s="116" t="inlineStr">
        <is>
          <t xml:space="preserve">Объезд</t>
        </is>
      </c>
      <c r="D125" s="116" t="inlineStr">
        <is>
          <t xml:space="preserve">Кр-99025845-2</t>
        </is>
      </c>
      <c r="E125" s="116" t="inlineStr">
        <is>
          <t xml:space="preserve">TO’YCHIYEV IKROMJON UMAROVICH</t>
        </is>
      </c>
      <c r="F125" s="116" t="inlineStr">
        <is>
          <t xml:space="preserve">99-796-56-34 SMS , 93-607-41-00 SMS AYOLI, 99-051-29-35 SMS OGLI DILYORBEK, 98-107-07-19 SMS OGLI,</t>
        </is>
      </c>
      <c r="G125" s="116" t="inlineStr">
        <is>
          <t xml:space="preserve">FARG’ONA VILOYATI  BUVAYDA TUMANI SHO'R QISHLOQ</t>
        </is>
      </c>
      <c r="H125" s="117">
        <v>13.0</v>
      </c>
      <c r="I125" s="117">
        <v>1159484.77</v>
      </c>
      <c r="J125" s="117">
        <v>567996.0</v>
      </c>
      <c r="K125" s="116" t="inlineStr">
        <is>
          <t xml:space="preserve">Uyiga borildi - to'ladi | OGLI TOLASHI KERAK EKAN BUGUN TOLAYDI DEYABDI | 567996.06</t>
        </is>
      </c>
    </row>
    <row r="126">
      <c r="A126" s="116" t="inlineStr">
        <is>
          <t xml:space="preserve">ФАРГОНА ВИЛОЯТИ</t>
        </is>
      </c>
      <c r="C126" s="116" t="inlineStr">
        <is>
          <t xml:space="preserve">Объезд</t>
        </is>
      </c>
      <c r="D126" s="116" t="inlineStr">
        <is>
          <t xml:space="preserve">Кр-99041835-1</t>
        </is>
      </c>
      <c r="E126" s="116" t="inlineStr">
        <is>
          <t xml:space="preserve">BOLTABOYEV SHOHRUXBEK BEGALI O’G’LI</t>
        </is>
      </c>
      <c r="F126" s="116" t="inlineStr">
        <is>
          <t xml:space="preserve">+998500170756 SMS O’ZI, 998335636300 DADASI, 998955416171 UY, 998999723515 AMAKISI,</t>
        </is>
      </c>
      <c r="G126" s="116" t="inlineStr">
        <is>
          <t xml:space="preserve">FARG’ONA VILOYATI TOSHLOQ TUMANI ZARKENT MFY QASHQARI KO’CHASI 33-XONADON</t>
        </is>
      </c>
      <c r="H126" s="117">
        <v>8.0</v>
      </c>
      <c r="I126" s="117">
        <v>943447.81</v>
      </c>
      <c r="K126" s="116" t="inlineStr">
        <is>
          <t xml:space="preserve">Uyiga borildi - va'da berdi | 470393.8</t>
        </is>
      </c>
    </row>
    <row r="127">
      <c r="A127" s="116" t="inlineStr">
        <is>
          <t xml:space="preserve">ФАРГОНА ВИЛОЯТИ</t>
        </is>
      </c>
      <c r="C127" s="116" t="inlineStr">
        <is>
          <t xml:space="preserve">Объезд</t>
        </is>
      </c>
      <c r="D127" s="116" t="inlineStr">
        <is>
          <t xml:space="preserve">Кр-99041883-1</t>
        </is>
      </c>
      <c r="E127" s="116" t="inlineStr">
        <is>
          <t xml:space="preserve">UZAKOV ANVARJON MAKSIMOVICH</t>
        </is>
      </c>
      <c r="F127" s="116" t="inlineStr">
        <is>
          <t xml:space="preserve">+998993036357 SMS O’ZI, 998906326357 AYOLI, 998990097733 O’G’LI 2, 998991406357 O’G’LI,</t>
        </is>
      </c>
      <c r="G127" s="116" t="inlineStr">
        <is>
          <t xml:space="preserve">FARG’ONA VILOYATI OLTIARIQ TUMANI TINCHILIK MFY TADBIRKOR KO’CHASI 19-XONADON</t>
        </is>
      </c>
      <c r="H127" s="117">
        <v>8.0</v>
      </c>
      <c r="I127" s="117">
        <v>511789.26</v>
      </c>
      <c r="J127" s="117">
        <v>158652.0</v>
      </c>
      <c r="K127" s="116" t="inlineStr">
        <is>
          <t xml:space="preserve">Uyiga borildi - to'ladi | ERTAGA OGLI OZBEKISTONGA KIRADI EKAN ERTAGA KECHGACHA YOPIB QOYAMAN DEDI | 158652.49</t>
        </is>
      </c>
    </row>
    <row r="128">
      <c r="A128" s="98" t="inlineStr">
        <is>
          <t xml:space="preserve">ХОРАЗМ ВИЛОЯТИ</t>
        </is>
      </c>
      <c r="B128" s="98" t="inlineStr">
        <is>
          <t xml:space="preserve">SUPER BRANCH</t>
        </is>
      </c>
      <c r="C128" s="98" t="inlineStr">
        <is>
          <t xml:space="preserve">Объезд</t>
        </is>
      </c>
      <c r="D128" s="98" t="inlineStr">
        <is>
          <t xml:space="preserve">Кр-99063184-1</t>
        </is>
      </c>
      <c r="E128" s="98" t="inlineStr">
        <is>
          <t xml:space="preserve">ABDULLAYEV ZOHIDJON IBODULLAYEVICH</t>
        </is>
      </c>
      <c r="F128" s="98" t="inlineStr">
        <is>
          <t xml:space="preserve">998937795356 SMS OZI, 998957885356 SMS QIZI, 998937315356 SMS AYOLI, 998904360883 SMS ONASI,</t>
        </is>
      </c>
      <c r="G128" s="98" t="inlineStr">
        <is>
          <t xml:space="preserve">XORAZM VILOYATI BOG’OT TUMANI OBOD MFY YANGI TURMUSH KO’CHASI 81-UY</t>
        </is>
      </c>
      <c r="H128" s="99">
        <v>11.0</v>
      </c>
      <c r="I128" s="99">
        <v>7923088.71</v>
      </c>
      <c r="K128" s="98" t="inlineStr">
        <is>
          <t xml:space="preserve">Uyiga borildi - va'da berdi | ertaga yopad | 1729</t>
        </is>
      </c>
    </row>
    <row r="129">
      <c r="A129" s="98" t="inlineStr">
        <is>
          <t xml:space="preserve">ХОРАЗМ ВИЛОЯТИ</t>
        </is>
      </c>
      <c r="B129" s="98" t="inlineStr">
        <is>
          <t xml:space="preserve">SUPER BRANCH</t>
        </is>
      </c>
      <c r="C129" s="98" t="inlineStr">
        <is>
          <t xml:space="preserve">Объезд</t>
        </is>
      </c>
      <c r="D129" s="98" t="inlineStr">
        <is>
          <t xml:space="preserve">Кр-99059323-1</t>
        </is>
      </c>
      <c r="E129" s="98" t="inlineStr">
        <is>
          <t xml:space="preserve">QO’ZIYEV YO’LDASHBOY BAXODIROVICH</t>
        </is>
      </c>
      <c r="F129" s="98" t="inlineStr">
        <is>
          <t xml:space="preserve">999898733492 SMS OZI, 998995096105 SMS AKASI, 998127733772 SMS AKASI2, 998977900992 SMS KELINI,</t>
        </is>
      </c>
      <c r="G129" s="98" t="inlineStr">
        <is>
          <t xml:space="preserve">XORAZM VILOYATI XIVA TUMANI SHOMOXULUM MFY OG’AINILAR KO’CHASI 6-UY</t>
        </is>
      </c>
      <c r="H129" s="99">
        <v>8.0</v>
      </c>
      <c r="I129" s="99">
        <v>4843985.85</v>
      </c>
      <c r="K129" s="98" t="inlineStr">
        <is>
          <t xml:space="preserve">Uyiga borildi - va'da berdi | 20 sanagacha yopishga kelishibdi | 1498</t>
        </is>
      </c>
    </row>
    <row r="130">
      <c r="A130" s="98" t="inlineStr">
        <is>
          <t xml:space="preserve">ХОРАЗМ ВИЛОЯТИ</t>
        </is>
      </c>
      <c r="B130" s="98" t="inlineStr">
        <is>
          <t xml:space="preserve">SUPER BRANCH</t>
        </is>
      </c>
      <c r="C130" s="98" t="inlineStr">
        <is>
          <t xml:space="preserve">Объезд</t>
        </is>
      </c>
      <c r="D130" s="98" t="inlineStr">
        <is>
          <t xml:space="preserve">Кр-99059323-2</t>
        </is>
      </c>
      <c r="E130" s="98" t="inlineStr">
        <is>
          <t xml:space="preserve">QO’ZIYEV YO’LDASHBOY BAXODIROVICH</t>
        </is>
      </c>
      <c r="F130" s="98" t="inlineStr">
        <is>
          <t xml:space="preserve">999898733492 SMS OZI, 998995096105 SMS AKASI, 998127733772 SMS AKASI2, 998977900992 SMS KELINI,</t>
        </is>
      </c>
      <c r="G130" s="98" t="inlineStr">
        <is>
          <t xml:space="preserve">XORAZM VILOYATI XIVA TUMANI SHOMOXULUM MFY OG’AINILAR KO’CHASI 6-UY</t>
        </is>
      </c>
      <c r="H130" s="99">
        <v>8.0</v>
      </c>
      <c r="I130" s="99">
        <v>930342.68</v>
      </c>
      <c r="K130" s="98" t="inlineStr">
        <is>
          <t xml:space="preserve">Uyiga borildi - va'da berdi | 20 sanagacha yopishga kelishibdi | 1499</t>
        </is>
      </c>
    </row>
    <row r="131">
      <c r="A131" s="100" t="inlineStr">
        <is>
          <t xml:space="preserve">ХОРАЗМ ВИЛОЯТИ</t>
        </is>
      </c>
      <c r="B131" s="100" t="inlineStr">
        <is>
          <t xml:space="preserve">Урганч филиали</t>
        </is>
      </c>
      <c r="C131" s="100" t="inlineStr">
        <is>
          <t xml:space="preserve">Объезд</t>
        </is>
      </c>
      <c r="D131" s="100" t="inlineStr">
        <is>
          <t xml:space="preserve">Кр-99048761-1</t>
        </is>
      </c>
      <c r="E131" s="100" t="inlineStr">
        <is>
          <t xml:space="preserve">RAXIMOV QADAMBOY RUSTAMOVICH</t>
        </is>
      </c>
      <c r="F131" s="100" t="inlineStr">
        <is>
          <t xml:space="preserve">+998972214945 SMS O’G’LI, 998870014945 SMS AYOLI, 998876454945 SMS UZI,</t>
        </is>
      </c>
      <c r="G131" s="100" t="inlineStr">
        <is>
          <t xml:space="preserve">ХОРАЗМ ВИЛОЯТИ ХОНКА Ш., ЖАННАТМАКОН МФЙ, НАФОСАТ, 1 ТОР КЎЧАСИ,  uy:20</t>
        </is>
      </c>
      <c r="H131" s="101">
        <v>8.0</v>
      </c>
      <c r="I131" s="101">
        <v>4957962.57</v>
      </c>
      <c r="K131" s="100" t="inlineStr">
        <is>
          <t xml:space="preserve">Uyiga borildi - va'da berdi | muammo | 1281</t>
        </is>
      </c>
    </row>
    <row r="132">
      <c r="A132" s="100" t="inlineStr">
        <is>
          <t xml:space="preserve">ХОРАЗМ ВИЛОЯТИ</t>
        </is>
      </c>
      <c r="B132" s="100" t="inlineStr">
        <is>
          <t xml:space="preserve">Урганч филиали</t>
        </is>
      </c>
      <c r="C132" s="100" t="inlineStr">
        <is>
          <t xml:space="preserve">Объезд</t>
        </is>
      </c>
      <c r="D132" s="100" t="inlineStr">
        <is>
          <t xml:space="preserve">Кр-99041388-1</t>
        </is>
      </c>
      <c r="E132" s="100" t="inlineStr">
        <is>
          <t xml:space="preserve">ANNAKOV OYBEK RAJABOVICH</t>
        </is>
      </c>
      <c r="F132" s="100" t="inlineStr">
        <is>
          <t xml:space="preserve">+998933103143 SMS UZI, 998500761161 SMS O’G’LI, 998947708191 SMS AYOLI,</t>
        </is>
      </c>
      <c r="G132" s="100" t="inlineStr">
        <is>
          <t xml:space="preserve">КИРК-ЁП ҚФЙ, ОБОД МФЙ,  uy:Р/С</t>
        </is>
      </c>
      <c r="H132" s="101">
        <v>8.0</v>
      </c>
      <c r="I132" s="101">
        <v>4802915.23</v>
      </c>
      <c r="K132" s="100" t="inlineStr">
        <is>
          <t xml:space="preserve">Uyiga borildi - va'da berdi | muammo | 1098</t>
        </is>
      </c>
    </row>
    <row r="133">
      <c r="A133" s="100" t="inlineStr">
        <is>
          <t xml:space="preserve">ХОРАЗМ ВИЛОЯТИ</t>
        </is>
      </c>
      <c r="B133" s="100" t="inlineStr">
        <is>
          <t xml:space="preserve">Урганч филиали</t>
        </is>
      </c>
      <c r="C133" s="100" t="inlineStr">
        <is>
          <t xml:space="preserve">Объезд</t>
        </is>
      </c>
      <c r="D133" s="100" t="inlineStr">
        <is>
          <t xml:space="preserve">Кр-99042876-2</t>
        </is>
      </c>
      <c r="E133" s="100" t="inlineStr">
        <is>
          <t xml:space="preserve">MATKARIMOV UMAR QURBANBAYEVICH</t>
        </is>
      </c>
      <c r="F133" s="100" t="inlineStr">
        <is>
          <t xml:space="preserve">+998882010454 SMS UZI, 998880544455 SMS O’G’LI, 998959441475 SMS UZI 2,</t>
        </is>
      </c>
      <c r="G133" s="100" t="inlineStr">
        <is>
          <t xml:space="preserve">ХОРАЗМ ВИЛОЯТИ БОГОТ ТУМАНИ КОРАЁНТОК ҚФЙ, БОГЗОР МФЙ, ЁШЛАР КЎЧАСИ,  uy:23</t>
        </is>
      </c>
      <c r="H133" s="101">
        <v>8.0</v>
      </c>
      <c r="I133" s="101">
        <v>3818461.02</v>
      </c>
      <c r="K133" s="100" t="inlineStr">
        <is>
          <t xml:space="preserve">Uyiga borildi - va'da berdi | Rassiyadan 22-sanagacha tashid | 1180</t>
        </is>
      </c>
    </row>
    <row r="134">
      <c r="A134" s="100" t="inlineStr">
        <is>
          <t xml:space="preserve">ХОРАЗМ ВИЛОЯТИ</t>
        </is>
      </c>
      <c r="B134" s="100" t="inlineStr">
        <is>
          <t xml:space="preserve">Урганч филиали</t>
        </is>
      </c>
      <c r="C134" s="100" t="inlineStr">
        <is>
          <t xml:space="preserve">Объезд</t>
        </is>
      </c>
      <c r="D134" s="100" t="inlineStr">
        <is>
          <t xml:space="preserve">Кр-99042876-3</t>
        </is>
      </c>
      <c r="E134" s="100" t="inlineStr">
        <is>
          <t xml:space="preserve">MATKARIMOV UMAR QURBANBAYEVICH</t>
        </is>
      </c>
      <c r="F134" s="100" t="inlineStr">
        <is>
          <t xml:space="preserve">+998882010454 SMS UZI, 998880544455 SMS O’G’LI, 998959441475 SMS UZI 2,</t>
        </is>
      </c>
      <c r="G134" s="100" t="inlineStr">
        <is>
          <t xml:space="preserve">ХОРАЗМ ВИЛОЯТИ БОГОТ ТУМАНИ КОРАЁНТОК ҚФЙ, БОГЗОР МФЙ, ЁШЛАР КЎЧАСИ,  uy:23</t>
        </is>
      </c>
      <c r="H134" s="101">
        <v>8.0</v>
      </c>
      <c r="I134" s="101">
        <v>447414.0</v>
      </c>
      <c r="K134" s="100" t="inlineStr">
        <is>
          <t xml:space="preserve">Uyiga borildi - va'da berdi | Rassiyadan 22-sanagacha tashid | 1181</t>
        </is>
      </c>
    </row>
  </sheetData>
  <autoFilter ref="A2:K134"/>
  <hyperlinks>
    <hyperlink ref="A1" location="'Ввод'!A1" tooltip="Вернуться в отчёт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2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</sheetData>
  <autoFilter ref="A2:K2"/>
  <hyperlinks>
    <hyperlink ref="A1" location="'Ввод'!A1" tooltip="Вернуться в отчё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Ввод</vt:lpstr>
      <vt:lpstr>Отчёт_дня</vt:lpstr>
      <vt:lpstr>Дашборд</vt:lpstr>
      <vt:lpstr>Справочники</vt:lpstr>
      <vt:lpstr>Клиенты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