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Обещали" sheetId="6" r:id="rId10"/>
    <sheet name="Оплатили" sheetId="7" r:id="rId11"/>
    <sheet name="Не дозвонились" sheetId="8" r:id="rId12"/>
    <sheet name="Объезд" sheetId="9" r:id="rId13"/>
    <sheet name="Оплатили без разговора" sheetId="10" r:id="rId14"/>
  </sheets>
  <definedNames>
    <definedName name="_FilterDatabase" localSheetId="0" hidden="1">Ввод!$A$5:$AE$19</definedName>
    <definedName name="_xlnm._FilterDatabase" localSheetId="0" hidden="1">Ввод!$A$5:$AE$19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4" i="1" l="1"/>
  <c r="U24" i="1"/>
  <c r="P24" i="1"/>
  <c r="O24" i="1"/>
  <c r="E22" i="4"/>
  <c r="L22" i="3"/>
  <c r="K22" i="3"/>
  <c r="H22" i="3"/>
  <c r="D22" i="3"/>
  <c r="A22" i="3"/>
  <c r="N22" i="3" s="1"/>
  <c r="L21" i="3"/>
  <c r="K21" i="3"/>
  <c r="H21" i="3"/>
  <c r="D21" i="3"/>
  <c r="A21" i="3"/>
  <c r="N21" i="3" s="1"/>
  <c r="L20" i="3"/>
  <c r="K20" i="3"/>
  <c r="H20" i="3"/>
  <c r="D20" i="3"/>
  <c r="A20" i="3"/>
  <c r="N20" i="3" s="1"/>
  <c r="L19" i="3"/>
  <c r="K19" i="3"/>
  <c r="H19" i="3"/>
  <c r="D19" i="3"/>
  <c r="A19" i="3"/>
  <c r="N19" i="3" s="1"/>
  <c r="L18" i="3"/>
  <c r="K18" i="3"/>
  <c r="H18" i="3"/>
  <c r="D18" i="3"/>
  <c r="A18" i="3"/>
  <c r="N18" i="3" s="1"/>
  <c r="L17" i="3"/>
  <c r="K17" i="3"/>
  <c r="H17" i="3"/>
  <c r="D17" i="3"/>
  <c r="A17" i="3"/>
  <c r="N17" i="3" s="1"/>
  <c r="L16" i="3"/>
  <c r="K16" i="3"/>
  <c r="H16" i="3"/>
  <c r="D16" i="3"/>
  <c r="A16" i="3"/>
  <c r="N16" i="3" s="1"/>
  <c r="L15" i="3"/>
  <c r="K15" i="3"/>
  <c r="H15" i="3"/>
  <c r="D15" i="3"/>
  <c r="A15" i="3"/>
  <c r="N15" i="3" s="1"/>
  <c r="L14" i="3"/>
  <c r="K14" i="3"/>
  <c r="H14" i="3"/>
  <c r="D14" i="3"/>
  <c r="A14" i="3"/>
  <c r="N14" i="3" s="1"/>
  <c r="L13" i="3"/>
  <c r="K13" i="3"/>
  <c r="H13" i="3"/>
  <c r="D13" i="3"/>
  <c r="A13" i="3"/>
  <c r="N13" i="3" s="1"/>
  <c r="L12" i="3"/>
  <c r="K12" i="3"/>
  <c r="H12" i="3"/>
  <c r="D12" i="3"/>
  <c r="A12" i="3"/>
  <c r="N12" i="3" s="1"/>
  <c r="L11" i="3"/>
  <c r="K11" i="3"/>
  <c r="H11" i="3"/>
  <c r="D11" i="3"/>
  <c r="A11" i="3"/>
  <c r="N11" i="3" s="1"/>
  <c r="L10" i="3"/>
  <c r="K10" i="3"/>
  <c r="H10" i="3"/>
  <c r="D10" i="3"/>
  <c r="A10" i="3"/>
  <c r="N10" i="3" s="1"/>
  <c r="L9" i="3"/>
  <c r="K9" i="3"/>
  <c r="H9" i="3"/>
  <c r="D9" i="3"/>
  <c r="D27" i="3" s="1"/>
  <c r="A9" i="3"/>
  <c r="N9" i="3" s="1"/>
  <c r="C3" i="3"/>
  <c r="F35" i="2"/>
  <c r="A35" i="2"/>
  <c r="F34" i="2"/>
  <c r="A34" i="2"/>
  <c r="F33" i="2"/>
  <c r="A33" i="2"/>
  <c r="F32" i="2"/>
  <c r="A32" i="2"/>
  <c r="F31" i="2"/>
  <c r="A31" i="2"/>
  <c r="F30" i="2"/>
  <c r="A30" i="2"/>
  <c r="F29" i="2"/>
  <c r="A29" i="2"/>
  <c r="F28" i="2"/>
  <c r="A28" i="2"/>
  <c r="F27" i="2"/>
  <c r="A27" i="2"/>
  <c r="F26" i="2"/>
  <c r="A26" i="2"/>
  <c r="F25" i="2"/>
  <c r="A25" i="2"/>
  <c r="F24" i="2"/>
  <c r="A24" i="2"/>
  <c r="F23" i="2"/>
  <c r="A23" i="2"/>
  <c r="F22" i="2"/>
  <c r="A22" i="2"/>
  <c r="C3" i="2"/>
  <c r="X24" i="1"/>
  <c r="W24" i="1"/>
  <c r="H4" i="3" s="1"/>
  <c r="T24" i="1"/>
  <c r="D15" i="2" s="1"/>
  <c r="S24" i="1"/>
  <c r="R24" i="1"/>
  <c r="D14" i="2" s="1"/>
  <c r="Q24" i="1"/>
  <c r="N24" i="1"/>
  <c r="M24" i="1"/>
  <c r="L24" i="1"/>
  <c r="D11" i="2" s="1"/>
  <c r="K24" i="1"/>
  <c r="F24" i="1"/>
  <c r="E24" i="1"/>
  <c r="D7" i="2" s="1"/>
  <c r="Z19" i="1"/>
  <c r="H19" i="1"/>
  <c r="Y19" i="1" s="1"/>
  <c r="G19" i="1"/>
  <c r="E22" i="3" s="1"/>
  <c r="F22" i="3" s="1"/>
  <c r="D19" i="1"/>
  <c r="AB19" i="1" s="1"/>
  <c r="C19" i="1"/>
  <c r="B35" i="2" s="1"/>
  <c r="Z18" i="1"/>
  <c r="H18" i="1"/>
  <c r="G18" i="1"/>
  <c r="I18" i="1" s="1"/>
  <c r="D18" i="1"/>
  <c r="C21" i="3" s="1"/>
  <c r="C18" i="1"/>
  <c r="B34" i="2" s="1"/>
  <c r="Z17" i="1"/>
  <c r="H17" i="1"/>
  <c r="J17" i="1" s="1"/>
  <c r="G17" i="1"/>
  <c r="E20" i="3" s="1"/>
  <c r="F20" i="3" s="1"/>
  <c r="D17" i="1"/>
  <c r="C33" i="2" s="1"/>
  <c r="C17" i="1"/>
  <c r="B33" i="2" s="1"/>
  <c r="Z16" i="1"/>
  <c r="H16" i="1"/>
  <c r="J16" i="1" s="1"/>
  <c r="G16" i="1"/>
  <c r="E19" i="3" s="1"/>
  <c r="F19" i="3" s="1"/>
  <c r="D16" i="1"/>
  <c r="C32" i="2" s="1"/>
  <c r="C16" i="1"/>
  <c r="B32" i="2" s="1"/>
  <c r="Z15" i="1"/>
  <c r="H15" i="1"/>
  <c r="J15" i="1" s="1"/>
  <c r="G15" i="1"/>
  <c r="E18" i="3" s="1"/>
  <c r="F18" i="3" s="1"/>
  <c r="D15" i="1"/>
  <c r="C31" i="2" s="1"/>
  <c r="C15" i="1"/>
  <c r="B31" i="2" s="1"/>
  <c r="Z14" i="1"/>
  <c r="H14" i="1"/>
  <c r="Y14" i="1" s="1"/>
  <c r="G14" i="1"/>
  <c r="I14" i="1" s="1"/>
  <c r="D14" i="1"/>
  <c r="C17" i="3" s="1"/>
  <c r="C14" i="1"/>
  <c r="B30" i="2" s="1"/>
  <c r="Z13" i="1"/>
  <c r="H13" i="1"/>
  <c r="G16" i="3" s="1"/>
  <c r="G13" i="1"/>
  <c r="E16" i="3" s="1"/>
  <c r="F16" i="3" s="1"/>
  <c r="D13" i="1"/>
  <c r="C16" i="3" s="1"/>
  <c r="C13" i="1"/>
  <c r="B29" i="2" s="1"/>
  <c r="Z12" i="1"/>
  <c r="H12" i="1"/>
  <c r="G15" i="3" s="1"/>
  <c r="G12" i="1"/>
  <c r="I12" i="1" s="1"/>
  <c r="D12" i="1"/>
  <c r="C15" i="3" s="1"/>
  <c r="C12" i="1"/>
  <c r="B28" i="2" s="1"/>
  <c r="Z11" i="1"/>
  <c r="H11" i="1"/>
  <c r="G14" i="3" s="1"/>
  <c r="G11" i="1"/>
  <c r="E14" i="3" s="1"/>
  <c r="F14" i="3" s="1"/>
  <c r="D11" i="1"/>
  <c r="C27" i="2" s="1"/>
  <c r="C11" i="1"/>
  <c r="B27" i="2" s="1"/>
  <c r="Z10" i="1"/>
  <c r="H10" i="1"/>
  <c r="G13" i="3" s="1"/>
  <c r="G10" i="1"/>
  <c r="E13" i="3" s="1"/>
  <c r="F13" i="3" s="1"/>
  <c r="D10" i="1"/>
  <c r="C26" i="2" s="1"/>
  <c r="C10" i="1"/>
  <c r="B26" i="2" s="1"/>
  <c r="Z9" i="1"/>
  <c r="H9" i="1"/>
  <c r="G12" i="3" s="1"/>
  <c r="G9" i="1"/>
  <c r="E12" i="3" s="1"/>
  <c r="F12" i="3" s="1"/>
  <c r="D9" i="1"/>
  <c r="AB9" i="1" s="1"/>
  <c r="C9" i="1"/>
  <c r="B25" i="2" s="1"/>
  <c r="Z8" i="1"/>
  <c r="H8" i="1"/>
  <c r="G11" i="3" s="1"/>
  <c r="G8" i="1"/>
  <c r="E11" i="3" s="1"/>
  <c r="F11" i="3" s="1"/>
  <c r="D8" i="1"/>
  <c r="C24" i="2" s="1"/>
  <c r="C8" i="1"/>
  <c r="B24" i="2" s="1"/>
  <c r="Z7" i="1"/>
  <c r="H7" i="1"/>
  <c r="J7" i="1" s="1"/>
  <c r="G7" i="1"/>
  <c r="E10" i="3" s="1"/>
  <c r="F10" i="3" s="1"/>
  <c r="D7" i="1"/>
  <c r="AB7" i="1" s="1"/>
  <c r="C7" i="1"/>
  <c r="B23" i="2" s="1"/>
  <c r="Z6" i="1"/>
  <c r="J6" i="1"/>
  <c r="I6" i="1"/>
  <c r="H6" i="1"/>
  <c r="G6" i="1"/>
  <c r="D6" i="1"/>
  <c r="C9" i="3" s="1"/>
  <c r="C6" i="1"/>
  <c r="B22" i="2" s="1"/>
  <c r="D35" i="2" l="1"/>
  <c r="AE19" i="1"/>
  <c r="I15" i="1"/>
  <c r="AB6" i="1"/>
  <c r="Y13" i="1"/>
  <c r="D29" i="2" s="1"/>
  <c r="G29" i="2" s="1"/>
  <c r="AA17" i="1"/>
  <c r="E33" i="2" s="1"/>
  <c r="AA13" i="1"/>
  <c r="E29" i="2" s="1"/>
  <c r="Y15" i="1"/>
  <c r="D31" i="2" s="1"/>
  <c r="Y17" i="1"/>
  <c r="D33" i="2" s="1"/>
  <c r="AB13" i="1"/>
  <c r="I12" i="3"/>
  <c r="M12" i="3" s="1"/>
  <c r="I10" i="1"/>
  <c r="I13" i="1"/>
  <c r="Y7" i="1"/>
  <c r="J11" i="1"/>
  <c r="J14" i="1"/>
  <c r="G24" i="1"/>
  <c r="H3" i="3" s="1"/>
  <c r="Y11" i="1"/>
  <c r="I16" i="1"/>
  <c r="C29" i="2"/>
  <c r="C19" i="3"/>
  <c r="E17" i="3"/>
  <c r="F17" i="3" s="1"/>
  <c r="AA11" i="1"/>
  <c r="E27" i="2" s="1"/>
  <c r="L27" i="3"/>
  <c r="E15" i="3"/>
  <c r="F15" i="3" s="1"/>
  <c r="G17" i="3"/>
  <c r="Y8" i="1"/>
  <c r="I17" i="3"/>
  <c r="AB11" i="1"/>
  <c r="AB16" i="1"/>
  <c r="AA10" i="1"/>
  <c r="E26" i="2" s="1"/>
  <c r="J18" i="1"/>
  <c r="Y18" i="1"/>
  <c r="H27" i="3"/>
  <c r="I17" i="1"/>
  <c r="K27" i="3"/>
  <c r="Z24" i="1"/>
  <c r="G35" i="2"/>
  <c r="I24" i="1"/>
  <c r="D9" i="2" s="1"/>
  <c r="J16" i="3"/>
  <c r="D30" i="2"/>
  <c r="G30" i="2" s="1"/>
  <c r="AE14" i="1"/>
  <c r="G33" i="2"/>
  <c r="I11" i="3"/>
  <c r="M11" i="3" s="1"/>
  <c r="I15" i="3"/>
  <c r="M15" i="3"/>
  <c r="J15" i="3"/>
  <c r="I16" i="3"/>
  <c r="M16" i="3" s="1"/>
  <c r="I14" i="3"/>
  <c r="M14" i="3" s="1"/>
  <c r="I8" i="1"/>
  <c r="J9" i="1"/>
  <c r="Y10" i="1"/>
  <c r="AA12" i="1"/>
  <c r="E28" i="2" s="1"/>
  <c r="H24" i="1"/>
  <c r="D13" i="2"/>
  <c r="C28" i="2"/>
  <c r="C10" i="3"/>
  <c r="G18" i="3"/>
  <c r="C22" i="3"/>
  <c r="AB18" i="1"/>
  <c r="AA14" i="1"/>
  <c r="E30" i="2" s="1"/>
  <c r="I9" i="1"/>
  <c r="J10" i="1"/>
  <c r="AB14" i="1"/>
  <c r="AE15" i="1"/>
  <c r="I7" i="1"/>
  <c r="J8" i="1"/>
  <c r="Y9" i="1"/>
  <c r="AB12" i="1"/>
  <c r="AE13" i="1"/>
  <c r="I19" i="1"/>
  <c r="C23" i="2"/>
  <c r="G31" i="2"/>
  <c r="C35" i="2"/>
  <c r="E9" i="3"/>
  <c r="C11" i="3"/>
  <c r="G19" i="3"/>
  <c r="E21" i="3"/>
  <c r="F21" i="3" s="1"/>
  <c r="J19" i="1"/>
  <c r="C30" i="2"/>
  <c r="C12" i="3"/>
  <c r="J12" i="3" s="1"/>
  <c r="J17" i="3"/>
  <c r="G20" i="3"/>
  <c r="D16" i="2"/>
  <c r="C25" i="2"/>
  <c r="G9" i="3"/>
  <c r="C13" i="3"/>
  <c r="J13" i="3" s="1"/>
  <c r="G21" i="3"/>
  <c r="I21" i="3" s="1"/>
  <c r="I11" i="1"/>
  <c r="AA9" i="1"/>
  <c r="E25" i="2" s="1"/>
  <c r="AB10" i="1"/>
  <c r="Y6" i="1"/>
  <c r="AA8" i="1"/>
  <c r="E24" i="2" s="1"/>
  <c r="G10" i="3"/>
  <c r="C14" i="3"/>
  <c r="J14" i="3" s="1"/>
  <c r="G22" i="3"/>
  <c r="AA15" i="1"/>
  <c r="E31" i="2" s="1"/>
  <c r="Y12" i="1"/>
  <c r="AA19" i="1"/>
  <c r="E35" i="2" s="1"/>
  <c r="AB15" i="1"/>
  <c r="AA7" i="1"/>
  <c r="E23" i="2" s="1"/>
  <c r="AB8" i="1"/>
  <c r="AA6" i="1"/>
  <c r="E22" i="2" s="1"/>
  <c r="Y16" i="1"/>
  <c r="AA18" i="1"/>
  <c r="E34" i="2" s="1"/>
  <c r="C22" i="2"/>
  <c r="C34" i="2"/>
  <c r="J13" i="1"/>
  <c r="AA16" i="1"/>
  <c r="E32" i="2" s="1"/>
  <c r="AB17" i="1"/>
  <c r="D24" i="1"/>
  <c r="AB24" i="1" s="1"/>
  <c r="C18" i="3"/>
  <c r="J12" i="1"/>
  <c r="I13" i="3"/>
  <c r="M13" i="3" s="1"/>
  <c r="C20" i="3"/>
  <c r="AE17" i="1" l="1"/>
  <c r="D8" i="2"/>
  <c r="AE18" i="1"/>
  <c r="D34" i="2"/>
  <c r="G34" i="2" s="1"/>
  <c r="D27" i="2"/>
  <c r="G27" i="2" s="1"/>
  <c r="AE11" i="1"/>
  <c r="AE8" i="1"/>
  <c r="D24" i="2"/>
  <c r="G24" i="2" s="1"/>
  <c r="M17" i="3"/>
  <c r="C27" i="3"/>
  <c r="D23" i="2"/>
  <c r="G23" i="2" s="1"/>
  <c r="AE7" i="1"/>
  <c r="J22" i="3"/>
  <c r="I22" i="3"/>
  <c r="M22" i="3" s="1"/>
  <c r="J9" i="3"/>
  <c r="G27" i="3"/>
  <c r="H5" i="3"/>
  <c r="D10" i="2"/>
  <c r="AA24" i="1"/>
  <c r="J24" i="1"/>
  <c r="E27" i="3"/>
  <c r="F27" i="3" s="1"/>
  <c r="F9" i="3"/>
  <c r="J11" i="3"/>
  <c r="D26" i="2"/>
  <c r="G26" i="2" s="1"/>
  <c r="AE10" i="1"/>
  <c r="J10" i="3"/>
  <c r="I10" i="3"/>
  <c r="M10" i="3" s="1"/>
  <c r="D32" i="2"/>
  <c r="G32" i="2" s="1"/>
  <c r="AE16" i="1"/>
  <c r="J20" i="3"/>
  <c r="I20" i="3"/>
  <c r="M20" i="3" s="1"/>
  <c r="Y24" i="1"/>
  <c r="D12" i="2" s="1"/>
  <c r="AE12" i="1"/>
  <c r="D28" i="2"/>
  <c r="G28" i="2" s="1"/>
  <c r="AE6" i="1"/>
  <c r="D22" i="2"/>
  <c r="G22" i="2" s="1"/>
  <c r="M21" i="3"/>
  <c r="J21" i="3"/>
  <c r="J18" i="3"/>
  <c r="I18" i="3"/>
  <c r="M18" i="3" s="1"/>
  <c r="I9" i="3"/>
  <c r="M9" i="3" s="1"/>
  <c r="J19" i="3"/>
  <c r="I19" i="3"/>
  <c r="M19" i="3" s="1"/>
  <c r="AE9" i="1"/>
  <c r="D25" i="2"/>
  <c r="G25" i="2" s="1"/>
  <c r="J27" i="3" l="1"/>
  <c r="I27" i="3"/>
  <c r="M27" i="3" s="1"/>
  <c r="C44" i="2"/>
  <c r="A44" i="2"/>
  <c r="H43" i="2"/>
  <c r="E43" i="2"/>
  <c r="A43" i="2"/>
  <c r="H45" i="2"/>
  <c r="E45" i="2"/>
  <c r="C45" i="2"/>
  <c r="A45" i="2"/>
  <c r="H44" i="2"/>
  <c r="E44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Портфель и просрочка подтягиваются из Power Query — убедитесь, что данные на листах ПК_Портфель / ПК_Просрочка обновлены на эту дату.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<sst xmlns="http://schemas.openxmlformats.org/spreadsheetml/2006/main" count="204" uniqueCount="108">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</sst>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29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11" borderId="0" xfId="0" applyNumberFormat="true" applyFont="true" applyFill="true"/>
    <xf numFmtId="0" fontId="28" fillId="12" borderId="0" xfId="0" applyFont="true" applyFill="true" applyAlignment="true">
      <alignment horizontal="center" vertical="center"/>
    </xf>
    <xf numFmtId="0" fontId="28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Дашборд!$A$32:$A$35</c:f>
              <c:numCache>
                <c:formatCode>General</c:formatCode>
                <c:ptCount val="4"/>
              </c:numCache>
            </c:num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E38"/>
  <sheetViews>
    <sheetView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W24" sqref="W24:X24"/>
    </sheetView>
  </sheetViews>
  <sheetFormatPr defaultColWidth="8.7109375" defaultRowHeight="15" x14ac:dyDescent="0.25"/>
  <cols>
    <col min="21" max="21" width="14" style="1" customWidth="1"/>
    <col min="22" max="22" width="10" style="1" customWidth="1"/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0" style="1" customWidth="1"/>
    <col min="7" max="7" width="16" style="1" customWidth="1"/>
    <col min="8" max="8" width="11" style="1" customWidth="1"/>
    <col min="9" max="10" width="10" style="1" customWidth="1"/>
    <col min="11" max="11" width="15" style="1" customWidth="1"/>
    <col min="12" max="12" width="10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0" style="1" customWidth="1"/>
    <col min="19" max="19" width="14" style="1" customWidth="1"/>
    <col min="20" max="20" width="10" style="1" customWidth="1"/>
    <col min="21" max="21" width="14" style="1" customWidth="1"/>
    <col min="22" max="22" width="10" style="1" customWidth="1"/>
    <col min="24" max="23" width="10" style="1" customWidth="1"/>
    <col min="24" max="26" width="11" style="1" customWidth="1"/>
    <col min="27" max="27" width="22" style="1" customWidth="1"/>
    <col min="28" max="28" width="18" style="1" customWidth="1"/>
    <col min="29" max="29" width="26" style="1" hidden="1" customWidth="1"/>
    <col min="30" max="31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46282</v>
      </c>
      <c r="E2" s="75"/>
      <c r="F2" s="75"/>
      <c r="G2" s="3"/>
      <c r="H2" s="4"/>
      <c r="I2" s="3"/>
      <c r="J2" s="5"/>
      <c r="L2" s="75"/>
      <c r="M2" s="75"/>
      <c r="N2" s="6"/>
      <c r="O2" s="6"/>
      <c r="P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W3" s="76"/>
      <c r="X3" s="76"/>
      <c r="Y3" s="76"/>
      <c r="Z3" s="76"/>
      <c r="AA3" s="76"/>
      <c r="AB3" s="76"/>
      <c r="AC3" s="76"/>
      <c r="AD3" s="76"/>
      <c r="AE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>ДОЗВОНИЛИСЬ / ОБЕЩАЛИ</t>
        </is>
      </c>
      <c r="L4" s="71"/>
      <c r="M4" s="71"/>
      <c r="N4" s="72"/>
      <c r="O4" s="70" t="inlineStr">
        <is>
          <t>НЕ ДОЗВОНИЛИСЬ / ОБЪЕЗД</t>
        </is>
      </c>
      <c r="P4" s="71"/>
      <c r="Q4" s="71"/>
      <c r="R4" s="72"/>
      <c r="S4" s="70" t="inlineStr">
        <is>
          <t>ОПЛАЧЕНО ЗА ДЕНЬ</t>
        </is>
      </c>
      <c r="T4" s="71"/>
      <c r="U4" s="71"/>
      <c r="V4" s="71"/>
      <c r="W4" s="71"/>
      <c r="X4" s="72"/>
      <c r="Y4" s="68" t="s">
        <v>5</v>
      </c>
      <c r="Z4" s="68"/>
      <c r="AA4" s="68"/>
      <c r="AB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inlineStr">
        <is>
          <t xml:space="preserve">Объезд,
сум</t>
        </is>
      </c>
      <c r="R5" s="7" t="inlineStr">
        <is>
          <t xml:space="preserve">Объезд,
шт</t>
        </is>
      </c>
      <c r="S5" s="7" t="inlineStr">
        <is>
          <t xml:space="preserve">Оплатил дозвон,
сум</t>
        </is>
      </c>
      <c r="T5" s="7" t="inlineStr">
        <is>
          <t xml:space="preserve">Оплатил дозвон,
шт</t>
        </is>
      </c>
      <c r="U5" s="7" t="inlineStr">
        <is>
          <t xml:space="preserve">Объезд оплатил,
сум</t>
        </is>
      </c>
      <c r="V5" s="7" t="inlineStr">
        <is>
          <t xml:space="preserve">Объезд оплатил,
шт</t>
        </is>
      </c>
      <c r="W5" s="7" t="s">
        <v>24</v>
      </c>
      <c r="X5" s="7" t="s">
        <v>25</v>
      </c>
      <c r="Y5" s="7" t="s">
        <v>26</v>
      </c>
      <c r="Z5" s="7" t="s">
        <v>27</v>
      </c>
      <c r="AA5" s="7" t="s">
        <v>28</v>
      </c>
      <c r="AB5" s="8" t="s">
        <v>29</v>
      </c>
      <c r="AE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$K6+$O6</f>
        <v>216997310.13</v>
      </c>
      <c r="H6" s="13">
        <f t="shared" ref="H6:H19" si="1">$L6+$P6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529223906.34</v>
      </c>
      <c r="L6" s="13" t="n">
        <v>87.0</v>
      </c>
      <c r="M6" s="14" t="n">
        <v>513024698.07</v>
      </c>
      <c r="N6" s="13" t="n">
        <v>84.0</v>
      </c>
      <c r="O6" s="14" t="n">
        <v>240561739.11</v>
      </c>
      <c r="P6" s="13" t="n">
        <v>28.0</v>
      </c>
      <c r="Q6" s="14" t="n">
        <v>84857504.24</v>
      </c>
      <c r="R6" s="13" t="n">
        <v>13.0</v>
      </c>
      <c r="S6" s="14" t="n">
        <v>4657532.0</v>
      </c>
      <c r="T6" s="13" t="n">
        <v>3.0</v>
      </c>
      <c r="U6" s="14" t="n">
        <v>6438354.0</v>
      </c>
      <c r="V6" s="13" t="n">
        <v>3.0</v>
      </c>
      <c r="W6" s="16" t="n">
        <v>11095886.0</v>
      </c>
      <c r="X6" s="17" t="n">
        <v>6.0</v>
      </c>
      <c r="Y6" s="15">
        <f t="shared" ref="Y6:Y19" si="4">IFERROR($L6/$H6,"")</f>
        <v>0</v>
      </c>
      <c r="Z6" s="15" t="str">
        <f t="shared" ref="Z6:Z19" si="5">IFERROR($N6/$L6,"")</f>
        <v/>
      </c>
      <c r="AA6" s="18" t="str">
        <f t="shared" ref="AA6:AA19" si="6">IFERROR($H6/$D6,"")</f>
        <v/>
      </c>
      <c r="AB6" s="19" t="str">
        <f t="shared" ref="AB6:AB19" si="7">IFERROR($L6/$D6,"")</f>
        <v/>
      </c>
      <c r="AE6" s="20">
        <f t="shared" ref="AE6:AE19" si="8">IFERROR($Y6,0)+ROW()/1000000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40258501.16</v>
      </c>
      <c r="L7" s="13" t="n">
        <v>13.0</v>
      </c>
      <c r="M7" s="14" t="n">
        <v>39046202.31</v>
      </c>
      <c r="N7" s="13" t="n">
        <v>12.0</v>
      </c>
      <c r="O7" s="14" t="n">
        <v>187647913.27</v>
      </c>
      <c r="P7" s="13" t="n">
        <v>27.0</v>
      </c>
      <c r="Q7" s="14" t="n">
        <v>4643386.08</v>
      </c>
      <c r="R7" s="13" t="n">
        <v>3.0</v>
      </c>
      <c r="S7" s="14" t="n">
        <v>1265879.0</v>
      </c>
      <c r="T7" s="13" t="n">
        <v>1.0</v>
      </c>
      <c r="U7" s="14" t="n">
        <v>3762109.0</v>
      </c>
      <c r="V7" s="13" t="n">
        <v>2.0</v>
      </c>
      <c r="W7" s="16" t="n">
        <v>5027988.0</v>
      </c>
      <c r="X7" s="17" t="n">
        <v>3.0</v>
      </c>
      <c r="Y7" s="15">
        <f t="shared" si="4"/>
        <v>0</v>
      </c>
      <c r="Z7" s="15" t="str">
        <f t="shared" si="5"/>
        <v/>
      </c>
      <c r="AA7" s="18" t="str">
        <f t="shared" si="6"/>
        <v/>
      </c>
      <c r="AB7" s="19" t="str">
        <f t="shared" si="7"/>
        <v/>
      </c>
      <c r="AE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119620632.04</v>
      </c>
      <c r="L8" s="13" t="n">
        <v>31.0</v>
      </c>
      <c r="M8" s="14" t="n">
        <v>107773614.01</v>
      </c>
      <c r="N8" s="13" t="n">
        <v>22.0</v>
      </c>
      <c r="O8" s="14" t="n">
        <v>156806182.38</v>
      </c>
      <c r="P8" s="13" t="n">
        <v>40.0</v>
      </c>
      <c r="Q8" s="14" t="n">
        <v>55296772.5</v>
      </c>
      <c r="R8" s="13" t="n">
        <v>15.0</v>
      </c>
      <c r="S8" s="14" t="n">
        <v>11847018.03</v>
      </c>
      <c r="T8" s="13" t="n">
        <v>9.0</v>
      </c>
      <c r="U8" s="14" t="n">
        <v>11722636.38</v>
      </c>
      <c r="V8" s="13" t="n">
        <v>4.0</v>
      </c>
      <c r="W8" s="16" t="n">
        <v>23569654.41</v>
      </c>
      <c r="X8" s="17" t="n">
        <v>13.0</v>
      </c>
      <c r="Y8" s="15">
        <f t="shared" si="4"/>
        <v>0.39215686274509803</v>
      </c>
      <c r="Z8" s="15">
        <f t="shared" si="5"/>
        <v>0.95</v>
      </c>
      <c r="AA8" s="18" t="str">
        <f t="shared" si="6"/>
        <v/>
      </c>
      <c r="AB8" s="19" t="str">
        <f t="shared" si="7"/>
        <v/>
      </c>
      <c r="AE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94171738.8</v>
      </c>
      <c r="L9" s="13" t="n">
        <v>27.0</v>
      </c>
      <c r="M9" s="14" t="n">
        <v>87135274.14</v>
      </c>
      <c r="N9" s="13" t="n">
        <v>22.0</v>
      </c>
      <c r="O9" s="14" t="n">
        <v>282208605.59</v>
      </c>
      <c r="P9" s="13" t="n">
        <v>76.0</v>
      </c>
      <c r="Q9" s="14" t="n">
        <v>53867849.81</v>
      </c>
      <c r="R9" s="13" t="n">
        <v>12.0</v>
      </c>
      <c r="S9" s="14" t="n">
        <v>7036464.66</v>
      </c>
      <c r="T9" s="13" t="n">
        <v>5.0</v>
      </c>
      <c r="U9" s="14" t="n">
        <v>6953038.76</v>
      </c>
      <c r="V9" s="13" t="n">
        <v>6.0</v>
      </c>
      <c r="W9" s="16" t="n">
        <v>13989503.42</v>
      </c>
      <c r="X9" s="17" t="n">
        <v>11.0</v>
      </c>
      <c r="Y9" s="15">
        <f t="shared" si="4"/>
        <v>0.87878787878787878</v>
      </c>
      <c r="Z9" s="15">
        <f t="shared" si="5"/>
        <v>0.62068965517241381</v>
      </c>
      <c r="AA9" s="18" t="str">
        <f t="shared" si="6"/>
        <v/>
      </c>
      <c r="AB9" s="19" t="str">
        <f t="shared" si="7"/>
        <v/>
      </c>
      <c r="AE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175402198.86</v>
      </c>
      <c r="L10" s="13" t="n">
        <v>46.0</v>
      </c>
      <c r="M10" s="14" t="n">
        <v>171817967.36</v>
      </c>
      <c r="N10" s="13" t="n">
        <v>43.0</v>
      </c>
      <c r="O10" s="14" t="n">
        <v>109343412.65</v>
      </c>
      <c r="P10" s="13" t="n">
        <v>15.0</v>
      </c>
      <c r="Q10" s="14" t="n">
        <v>35606179.27</v>
      </c>
      <c r="R10" s="13" t="n">
        <v>8.0</v>
      </c>
      <c r="S10" s="14" t="n">
        <v>2771230.05</v>
      </c>
      <c r="T10" s="13" t="n">
        <v>3.0</v>
      </c>
      <c r="U10" s="14" t="n">
        <v>1767587.38</v>
      </c>
      <c r="V10" s="13" t="n">
        <v>1.0</v>
      </c>
      <c r="W10" s="16" t="n">
        <v>4538817.43</v>
      </c>
      <c r="X10" s="17" t="n">
        <v>4.0</v>
      </c>
      <c r="Y10" s="15">
        <f t="shared" si="4"/>
        <v>0.76923076923076927</v>
      </c>
      <c r="Z10" s="15">
        <f t="shared" si="5"/>
        <v>0.2</v>
      </c>
      <c r="AA10" s="18" t="str">
        <f t="shared" si="6"/>
        <v/>
      </c>
      <c r="AB10" s="19" t="str">
        <f t="shared" si="7"/>
        <v/>
      </c>
      <c r="AE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75426903.83</v>
      </c>
      <c r="L11" s="13" t="n">
        <v>24.0</v>
      </c>
      <c r="M11" s="14" t="n">
        <v>27253009.28</v>
      </c>
      <c r="N11" s="13" t="n">
        <v>8.0</v>
      </c>
      <c r="O11" s="14" t="n">
        <v>126365051.27</v>
      </c>
      <c r="P11" s="13" t="n">
        <v>33.0</v>
      </c>
      <c r="Q11" s="14" t="n">
        <v>4302470.58</v>
      </c>
      <c r="R11" s="13" t="n">
        <v>1.0</v>
      </c>
      <c r="S11" s="14" t="n">
        <v>13858448.07</v>
      </c>
      <c r="T11" s="13" t="n">
        <v>8.0</v>
      </c>
      <c r="U11" s="14" t="n">
        <v>0.0</v>
      </c>
      <c r="V11" s="13" t="n">
        <v>0.0</v>
      </c>
      <c r="W11" s="16" t="n">
        <v>13858448.07</v>
      </c>
      <c r="X11" s="17" t="n">
        <v>8.0</v>
      </c>
      <c r="Y11" s="15">
        <f t="shared" si="4"/>
        <v>5.5555555555555552E-2</v>
      </c>
      <c r="Z11" s="15">
        <f t="shared" si="5"/>
        <v>1</v>
      </c>
      <c r="AA11" s="18" t="str">
        <f t="shared" si="6"/>
        <v/>
      </c>
      <c r="AB11" s="19" t="str">
        <f t="shared" si="7"/>
        <v/>
      </c>
      <c r="AE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465904359.97</v>
      </c>
      <c r="L12" s="13" t="n">
        <v>73.0</v>
      </c>
      <c r="M12" s="14" t="n">
        <v>30120825.84</v>
      </c>
      <c r="N12" s="13" t="n">
        <v>9.0</v>
      </c>
      <c r="O12" s="14" t="n">
        <v>416082660.49</v>
      </c>
      <c r="P12" s="13" t="n">
        <v>60.0</v>
      </c>
      <c r="Q12" s="14" t="n">
        <v>15522111.7</v>
      </c>
      <c r="R12" s="13" t="n">
        <v>5.0</v>
      </c>
      <c r="S12" s="14" t="n">
        <v>0.0</v>
      </c>
      <c r="T12" s="13" t="n">
        <v>0.0</v>
      </c>
      <c r="U12" s="14" t="n">
        <v>0.0</v>
      </c>
      <c r="V12" s="13" t="n">
        <v>0.0</v>
      </c>
      <c r="W12" s="16" t="n">
        <v>0.0</v>
      </c>
      <c r="X12" s="17" t="n">
        <v>0.0</v>
      </c>
      <c r="Y12" s="15">
        <f t="shared" si="4"/>
        <v>0.4838709677419355</v>
      </c>
      <c r="Z12" s="15">
        <f t="shared" si="5"/>
        <v>1</v>
      </c>
      <c r="AA12" s="18" t="str">
        <f t="shared" si="6"/>
        <v/>
      </c>
      <c r="AB12" s="19" t="str">
        <f t="shared" si="7"/>
        <v/>
      </c>
      <c r="AE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134393622.06</v>
      </c>
      <c r="L13" s="13" t="n">
        <v>35.0</v>
      </c>
      <c r="M13" s="14" t="n">
        <v>112143696.75</v>
      </c>
      <c r="N13" s="13" t="n">
        <v>26.0</v>
      </c>
      <c r="O13" s="14" t="n">
        <v>358270073.09</v>
      </c>
      <c r="P13" s="13" t="n">
        <v>92.0</v>
      </c>
      <c r="Q13" s="14" t="n">
        <v>75252985.59</v>
      </c>
      <c r="R13" s="13" t="n">
        <v>18.0</v>
      </c>
      <c r="S13" s="14" t="n">
        <v>22249925.31</v>
      </c>
      <c r="T13" s="13" t="n">
        <v>9.0</v>
      </c>
      <c r="U13" s="14" t="n">
        <v>11412967.79</v>
      </c>
      <c r="V13" s="13" t="n">
        <v>5.0</v>
      </c>
      <c r="W13" s="16" t="n">
        <v>33662893.1</v>
      </c>
      <c r="X13" s="17" t="n">
        <v>14.0</v>
      </c>
      <c r="Y13" s="15">
        <f t="shared" si="4"/>
        <v>0.24590163934426229</v>
      </c>
      <c r="Z13" s="15">
        <f t="shared" si="5"/>
        <v>1</v>
      </c>
      <c r="AA13" s="18" t="str">
        <f t="shared" si="6"/>
        <v/>
      </c>
      <c r="AB13" s="19" t="str">
        <f t="shared" si="7"/>
        <v/>
      </c>
      <c r="AE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0.0</v>
      </c>
      <c r="L14" s="13" t="n">
        <v>0.0</v>
      </c>
      <c r="M14" s="14" t="n">
        <v>0.0</v>
      </c>
      <c r="N14" s="13" t="n">
        <v>0.0</v>
      </c>
      <c r="O14" s="14" t="n">
        <v>189447312.84</v>
      </c>
      <c r="P14" s="13" t="n">
        <v>46.0</v>
      </c>
      <c r="Q14" s="14" t="n">
        <v>0.0</v>
      </c>
      <c r="R14" s="13" t="n">
        <v>0.0</v>
      </c>
      <c r="S14" s="14" t="n">
        <v>0.0</v>
      </c>
      <c r="T14" s="13" t="n">
        <v>0.0</v>
      </c>
      <c r="U14" s="14" t="n">
        <v>0.0</v>
      </c>
      <c r="V14" s="13" t="n">
        <v>0.0</v>
      </c>
      <c r="W14" s="16" t="n">
        <v>0.0</v>
      </c>
      <c r="X14" s="17" t="n">
        <v>0.0</v>
      </c>
      <c r="Y14" s="15">
        <f t="shared" si="4"/>
        <v>0.58823529411764708</v>
      </c>
      <c r="Z14" s="15">
        <f t="shared" si="5"/>
        <v>0.1</v>
      </c>
      <c r="AA14" s="18" t="str">
        <f t="shared" si="6"/>
        <v/>
      </c>
      <c r="AB14" s="19" t="str">
        <f t="shared" si="7"/>
        <v/>
      </c>
      <c r="AE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914388268.62</v>
      </c>
      <c r="L15" s="13" t="n">
        <v>131.0</v>
      </c>
      <c r="M15" s="14" t="n">
        <v>905754825.8</v>
      </c>
      <c r="N15" s="13" t="n">
        <v>128.0</v>
      </c>
      <c r="O15" s="14" t="n">
        <v>575489044.37</v>
      </c>
      <c r="P15" s="13" t="n">
        <v>85.0</v>
      </c>
      <c r="Q15" s="14" t="n">
        <v>36126179.29</v>
      </c>
      <c r="R15" s="13" t="n">
        <v>8.0</v>
      </c>
      <c r="S15" s="14" t="n">
        <v>8633442.82</v>
      </c>
      <c r="T15" s="13" t="n">
        <v>3.0</v>
      </c>
      <c r="U15" s="14" t="n">
        <v>4139105.15</v>
      </c>
      <c r="V15" s="13" t="n">
        <v>2.0</v>
      </c>
      <c r="W15" s="16" t="n">
        <v>12772547.97</v>
      </c>
      <c r="X15" s="17" t="n">
        <v>5.0</v>
      </c>
      <c r="Y15" s="15">
        <f t="shared" si="4"/>
        <v>0.18556701030927836</v>
      </c>
      <c r="Z15" s="15">
        <f t="shared" si="5"/>
        <v>0.1111111111111111</v>
      </c>
      <c r="AA15" s="18" t="str">
        <f t="shared" si="6"/>
        <v/>
      </c>
      <c r="AB15" s="19" t="str">
        <f t="shared" si="7"/>
        <v/>
      </c>
      <c r="AE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1281306846.75</v>
      </c>
      <c r="P16" s="13" t="n">
        <v>216.0</v>
      </c>
      <c r="Q16" s="14" t="n">
        <v>0.0</v>
      </c>
      <c r="R16" s="13" t="n">
        <v>0.0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6" t="n">
        <v>0.0</v>
      </c>
      <c r="X16" s="17" t="n">
        <v>0.0</v>
      </c>
      <c r="Y16" s="15">
        <f t="shared" si="4"/>
        <v>0</v>
      </c>
      <c r="Z16" s="15" t="str">
        <f t="shared" si="5"/>
        <v/>
      </c>
      <c r="AA16" s="18" t="str">
        <f t="shared" si="6"/>
        <v/>
      </c>
      <c r="AB16" s="19" t="str">
        <f t="shared" si="7"/>
        <v/>
      </c>
      <c r="AE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132647198.47</v>
      </c>
      <c r="L17" s="13" t="n">
        <v>33.0</v>
      </c>
      <c r="M17" s="14" t="n">
        <v>126276646.05</v>
      </c>
      <c r="N17" s="13" t="n">
        <v>30.0</v>
      </c>
      <c r="O17" s="14" t="n">
        <v>1545996395.77</v>
      </c>
      <c r="P17" s="13" t="n">
        <v>173.0</v>
      </c>
      <c r="Q17" s="14" t="n">
        <v>48453884.01</v>
      </c>
      <c r="R17" s="13" t="n">
        <v>9.0</v>
      </c>
      <c r="S17" s="14" t="n">
        <v>6370552.42</v>
      </c>
      <c r="T17" s="13" t="n">
        <v>3.0</v>
      </c>
      <c r="U17" s="14" t="n">
        <v>0.0</v>
      </c>
      <c r="V17" s="13" t="n">
        <v>0.0</v>
      </c>
      <c r="W17" s="16" t="n">
        <v>6370552.42</v>
      </c>
      <c r="X17" s="17" t="n">
        <v>3.0</v>
      </c>
      <c r="Y17" s="15">
        <f t="shared" si="4"/>
        <v>0</v>
      </c>
      <c r="Z17" s="15" t="str">
        <f t="shared" si="5"/>
        <v/>
      </c>
      <c r="AA17" s="18" t="str">
        <f t="shared" si="6"/>
        <v/>
      </c>
      <c r="AB17" s="19" t="str">
        <f t="shared" si="7"/>
        <v/>
      </c>
      <c r="AE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343374506.62</v>
      </c>
      <c r="L18" s="13" t="n">
        <v>46.0</v>
      </c>
      <c r="M18" s="14" t="n">
        <v>327201367.9</v>
      </c>
      <c r="N18" s="13" t="n">
        <v>40.0</v>
      </c>
      <c r="O18" s="14" t="n">
        <v>696170325.92</v>
      </c>
      <c r="P18" s="13" t="n">
        <v>65.0</v>
      </c>
      <c r="Q18" s="14" t="n">
        <v>256033112.76</v>
      </c>
      <c r="R18" s="13" t="n">
        <v>23.0</v>
      </c>
      <c r="S18" s="14" t="n">
        <v>7976995.0</v>
      </c>
      <c r="T18" s="13" t="n">
        <v>6.0</v>
      </c>
      <c r="U18" s="14" t="n">
        <v>13983932.0</v>
      </c>
      <c r="V18" s="13" t="n">
        <v>10.0</v>
      </c>
      <c r="W18" s="16" t="n">
        <v>21960927.0</v>
      </c>
      <c r="X18" s="17" t="n">
        <v>16.0</v>
      </c>
      <c r="Y18" s="15">
        <f t="shared" si="4"/>
        <v>0</v>
      </c>
      <c r="Z18" s="15" t="str">
        <f t="shared" si="5"/>
        <v/>
      </c>
      <c r="AA18" s="18" t="str">
        <f t="shared" si="6"/>
        <v/>
      </c>
      <c r="AB18" s="19" t="str">
        <f t="shared" si="7"/>
        <v/>
      </c>
      <c r="AE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122074560.36</v>
      </c>
      <c r="L19" s="13" t="n">
        <v>46.0</v>
      </c>
      <c r="M19" s="14" t="n">
        <v>107970747.85</v>
      </c>
      <c r="N19" s="13" t="n">
        <v>37.0</v>
      </c>
      <c r="O19" s="14" t="n">
        <v>452300453.16</v>
      </c>
      <c r="P19" s="13" t="n">
        <v>92.0</v>
      </c>
      <c r="Q19" s="14" t="n">
        <v>44122728.06</v>
      </c>
      <c r="R19" s="13" t="n">
        <v>11.0</v>
      </c>
      <c r="S19" s="14" t="n">
        <v>14103812.51</v>
      </c>
      <c r="T19" s="13" t="n">
        <v>9.0</v>
      </c>
      <c r="U19" s="14" t="n">
        <v>7019065.52</v>
      </c>
      <c r="V19" s="13" t="n">
        <v>2.0</v>
      </c>
      <c r="W19" s="16" t="n">
        <v>21122878.03</v>
      </c>
      <c r="X19" s="17" t="n">
        <v>11.0</v>
      </c>
      <c r="Y19" s="15">
        <f t="shared" si="4"/>
        <v>0.46938775510204084</v>
      </c>
      <c r="Z19" s="15">
        <f t="shared" si="5"/>
        <v>0.2608695652173913</v>
      </c>
      <c r="AA19" s="18" t="str">
        <f t="shared" si="6"/>
        <v/>
      </c>
      <c r="AB19" s="19" t="str">
        <f t="shared" si="7"/>
        <v/>
      </c>
      <c r="AE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X20" si="9">SUM(K6:K19)</f>
        <v>1188247694.5900002</v>
      </c>
      <c r="L20" s="24">
        <f t="shared" si="9"/>
        <v>166</v>
      </c>
      <c r="M20" s="25">
        <f t="shared" si="9"/>
        <v>748285987.45000005</v>
      </c>
      <c r="N20" s="24">
        <f t="shared" si="9"/>
        <v>96</v>
      </c>
      <c r="O20" s="25">
        <f t="shared" ref="O20" si="10">SUM(O6:O19)</f>
        <v>0</v>
      </c>
      <c r="P20" s="24">
        <f t="shared" ref="P20" si="11">SUM(P6:P19)</f>
        <v>0</v>
      </c>
      <c r="Q20" s="25">
        <f t="shared" si="9"/>
        <v>5713191852.6799994</v>
      </c>
      <c r="R20" s="24">
        <f t="shared" si="9"/>
        <v>559</v>
      </c>
      <c r="S20" s="25">
        <f t="shared" si="9"/>
        <v>3291590.6</v>
      </c>
      <c r="T20" s="24">
        <f t="shared" si="9"/>
        <v>2</v>
      </c>
      <c r="U20" s="25" t="n">
        <f>SUM(U6:U19)</f>
        <v>0</v>
      </c>
      <c r="V20" s="24" t="n">
        <f>SUM(V6:V19)</f>
        <v>0</v>
      </c>
      <c r="W20" s="25">
        <f t="shared" si="9"/>
        <v>0</v>
      </c>
      <c r="X20" s="24">
        <f t="shared" si="9"/>
        <v>28</v>
      </c>
      <c r="Y20" s="26">
        <f>IFERROR($L20/$H20,"")</f>
        <v>0.22896551724137931</v>
      </c>
      <c r="Z20" s="26">
        <f>IFERROR($N20/$L20,"")</f>
        <v>0.57831325301204817</v>
      </c>
      <c r="AA20" s="27" t="str">
        <f>IFERROR($H20/$D20,"")</f>
        <v/>
      </c>
      <c r="AB20" s="28" t="str">
        <f>IFERROR($L20/$D20,"")</f>
        <v/>
      </c>
    </row>
    <row r="21" spans="1:31" ht="22.5" customHeight="1" x14ac:dyDescent="0.25"/>
    <row r="23">
      <c r="B23" s="95" t="inlineStr">
        <is>
          <t xml:space="preserve">ОТКРЫТЬ СПИСОК КЛИЕНТОВ</t>
        </is>
      </c>
    </row>
    <row r="24">
      <c r="B24" s="95" t="inlineStr">
        <is>
          <t xml:space="preserve">Область</t>
        </is>
      </c>
      <c r="C24" s="95" t="inlineStr">
        <is>
          <t xml:space="preserve">Дозв.</t>
        </is>
      </c>
      <c r="D24" s="95" t="inlineStr">
        <is>
          <t xml:space="preserve">Обещ.</t>
        </is>
      </c>
      <c r="E24" s="95" t="inlineStr">
        <is>
          <t xml:space="preserve">Опл.</t>
        </is>
      </c>
      <c r="F24" s="95" t="inlineStr">
        <is>
          <t xml:space="preserve">Не дозв.</t>
        </is>
      </c>
      <c r="G24" s="95" t="inlineStr">
        <is>
          <t xml:space="preserve">Объезд</t>
        </is>
      </c>
      <c r="H24" s="95" t="inlineStr">
        <is>
          <t xml:space="preserve">Опл. без разг.</t>
        </is>
      </c>
      <c r="I24" s="95" t="inlineStr">
        <is>
          <t xml:space="preserve">Всего</t>
        </is>
      </c>
    </row>
    <row r="25">
      <c r="B25" s="98" t="inlineStr">
        <is>
          <t xml:space="preserve">АНДИЖОН ВИЛОЯТИ</t>
        </is>
      </c>
      <c r="C25" s="96" t="inlineStr">
        <is>
          <t xml:space="preserve">▸</t>
        </is>
      </c>
      <c r="D25" s="96" t="inlineStr">
        <is>
          <t xml:space="preserve">▸</t>
        </is>
      </c>
      <c r="E25" s="96" t="inlineStr">
        <is>
          <t xml:space="preserve">▸</t>
        </is>
      </c>
      <c r="F25" s="96" t="inlineStr">
        <is>
          <t xml:space="preserve">▸</t>
        </is>
      </c>
      <c r="G25" s="96" t="inlineStr">
        <is>
          <t xml:space="preserve">▸</t>
        </is>
      </c>
      <c r="I25" s="96" t="inlineStr">
        <is>
          <t xml:space="preserve">▸</t>
        </is>
      </c>
    </row>
    <row r="26" spans="1:31" ht="15" customHeight="1" x14ac:dyDescent="0.25">
      <c r="A26" s="29"/>
      <c r="B26" s="98" t="inlineStr">
        <is>
          <t xml:space="preserve">БУХОРО ВИЛОЯТИ</t>
        </is>
      </c>
      <c r="C26" s="96" t="inlineStr">
        <is>
          <t xml:space="preserve">▸</t>
        </is>
      </c>
      <c r="D26" s="96" t="inlineStr">
        <is>
          <t xml:space="preserve">▸</t>
        </is>
      </c>
      <c r="E26" s="96" t="inlineStr">
        <is>
          <t xml:space="preserve">▸</t>
        </is>
      </c>
      <c r="F26" s="96" t="inlineStr">
        <is>
          <t xml:space="preserve">▸</t>
        </is>
      </c>
      <c r="G26" s="96" t="inlineStr">
        <is>
          <t xml:space="preserve">▸</t>
        </is>
      </c>
      <c r="I26" s="96" t="inlineStr">
        <is>
          <t xml:space="preserve">▸</t>
        </is>
      </c>
    </row>
    <row r="27">
      <c r="B27" s="98" t="inlineStr">
        <is>
          <t xml:space="preserve">ЖИЗЗАХ ВИЛОЯТИ</t>
        </is>
      </c>
      <c r="C27" s="96" t="inlineStr">
        <is>
          <t xml:space="preserve">▸</t>
        </is>
      </c>
      <c r="D27" s="96" t="inlineStr">
        <is>
          <t xml:space="preserve">▸</t>
        </is>
      </c>
      <c r="E27" s="96" t="inlineStr">
        <is>
          <t xml:space="preserve">▸</t>
        </is>
      </c>
      <c r="F27" s="96" t="inlineStr">
        <is>
          <t xml:space="preserve">▸</t>
        </is>
      </c>
      <c r="G27" s="96" t="inlineStr">
        <is>
          <t xml:space="preserve">▸</t>
        </is>
      </c>
      <c r="I27" s="96" t="inlineStr">
        <is>
          <t xml:space="preserve">▸</t>
        </is>
      </c>
    </row>
    <row r="28">
      <c r="B28" s="98" t="inlineStr">
        <is>
          <t xml:space="preserve">КАШКАДАРЁ ВИЛОЯТИ</t>
        </is>
      </c>
      <c r="C28" s="96" t="inlineStr">
        <is>
          <t xml:space="preserve">▸</t>
        </is>
      </c>
      <c r="D28" s="96" t="inlineStr">
        <is>
          <t xml:space="preserve">▸</t>
        </is>
      </c>
      <c r="E28" s="96" t="inlineStr">
        <is>
          <t xml:space="preserve">▸</t>
        </is>
      </c>
      <c r="F28" s="96" t="inlineStr">
        <is>
          <t xml:space="preserve">▸</t>
        </is>
      </c>
      <c r="G28" s="96" t="inlineStr">
        <is>
          <t xml:space="preserve">▸</t>
        </is>
      </c>
      <c r="I28" s="96" t="inlineStr">
        <is>
          <t xml:space="preserve">▸</t>
        </is>
      </c>
    </row>
    <row r="29">
      <c r="B29" s="98" t="inlineStr">
        <is>
          <t xml:space="preserve">КОРАКАЛПОГИСТОН РЕСПУБЛИКАСИ</t>
        </is>
      </c>
      <c r="C29" s="96" t="inlineStr">
        <is>
          <t xml:space="preserve">▸</t>
        </is>
      </c>
      <c r="D29" s="96" t="inlineStr">
        <is>
          <t xml:space="preserve">▸</t>
        </is>
      </c>
      <c r="E29" s="96" t="inlineStr">
        <is>
          <t xml:space="preserve">▸</t>
        </is>
      </c>
      <c r="F29" s="96" t="inlineStr">
        <is>
          <t xml:space="preserve">▸</t>
        </is>
      </c>
      <c r="G29" s="96" t="inlineStr">
        <is>
          <t xml:space="preserve">▸</t>
        </is>
      </c>
      <c r="I29" s="96" t="inlineStr">
        <is>
          <t xml:space="preserve">▸</t>
        </is>
      </c>
    </row>
    <row r="30">
      <c r="B30" s="98" t="inlineStr">
        <is>
          <t xml:space="preserve">НАВОИЙ ВИЛОЯТИ</t>
        </is>
      </c>
      <c r="C30" s="96" t="inlineStr">
        <is>
          <t xml:space="preserve">▸</t>
        </is>
      </c>
      <c r="D30" s="96" t="inlineStr">
        <is>
          <t xml:space="preserve">▸</t>
        </is>
      </c>
      <c r="E30" s="96" t="inlineStr">
        <is>
          <t xml:space="preserve">▸</t>
        </is>
      </c>
      <c r="F30" s="96" t="inlineStr">
        <is>
          <t xml:space="preserve">▸</t>
        </is>
      </c>
      <c r="G30" s="96" t="inlineStr">
        <is>
          <t xml:space="preserve">▸</t>
        </is>
      </c>
      <c r="I30" s="96" t="inlineStr">
        <is>
          <t xml:space="preserve">▸</t>
        </is>
      </c>
    </row>
    <row r="31">
      <c r="B31" s="98" t="inlineStr">
        <is>
          <t xml:space="preserve">НАМАНГАН ВИЛОЯТИ</t>
        </is>
      </c>
      <c r="C31" s="96" t="inlineStr">
        <is>
          <t xml:space="preserve">▸</t>
        </is>
      </c>
      <c r="D31" s="96" t="inlineStr">
        <is>
          <t xml:space="preserve">▸</t>
        </is>
      </c>
      <c r="F31" s="96" t="inlineStr">
        <is>
          <t xml:space="preserve">▸</t>
        </is>
      </c>
      <c r="G31" s="96" t="inlineStr">
        <is>
          <t xml:space="preserve">▸</t>
        </is>
      </c>
    </row>
    <row r="32">
      <c r="B32" s="98" t="inlineStr">
        <is>
          <t xml:space="preserve">САМАРКАНД ВИЛОЯТИ</t>
        </is>
      </c>
      <c r="C32" s="96" t="inlineStr">
        <is>
          <t xml:space="preserve">▸</t>
        </is>
      </c>
      <c r="D32" s="96" t="inlineStr">
        <is>
          <t xml:space="preserve">▸</t>
        </is>
      </c>
      <c r="E32" s="96" t="inlineStr">
        <is>
          <t xml:space="preserve">▸</t>
        </is>
      </c>
      <c r="F32" s="96" t="inlineStr">
        <is>
          <t xml:space="preserve">▸</t>
        </is>
      </c>
      <c r="G32" s="96" t="inlineStr">
        <is>
          <t xml:space="preserve">▸</t>
        </is>
      </c>
      <c r="I32" s="96" t="inlineStr">
        <is>
          <t xml:space="preserve">▸</t>
        </is>
      </c>
    </row>
    <row r="33">
      <c r="B33" s="98" t="inlineStr">
        <is>
          <t xml:space="preserve">СИРДАРЁ ВИЛОЯТИ</t>
        </is>
      </c>
      <c r="F33" s="96" t="inlineStr">
        <is>
          <t xml:space="preserve">▸</t>
        </is>
      </c>
    </row>
    <row r="34">
      <c r="B34" s="98" t="inlineStr">
        <is>
          <t xml:space="preserve">СУРХОНДАРЁ ВИЛОЯТИ</t>
        </is>
      </c>
      <c r="C34" s="96" t="inlineStr">
        <is>
          <t xml:space="preserve">▸</t>
        </is>
      </c>
      <c r="D34" s="96" t="inlineStr">
        <is>
          <t xml:space="preserve">▸</t>
        </is>
      </c>
      <c r="E34" s="96" t="inlineStr">
        <is>
          <t xml:space="preserve">▸</t>
        </is>
      </c>
      <c r="F34" s="96" t="inlineStr">
        <is>
          <t xml:space="preserve">▸</t>
        </is>
      </c>
      <c r="G34" s="96" t="inlineStr">
        <is>
          <t xml:space="preserve">▸</t>
        </is>
      </c>
      <c r="I34" s="96" t="inlineStr">
        <is>
          <t xml:space="preserve">▸</t>
        </is>
      </c>
    </row>
    <row r="35">
      <c r="B35" s="98" t="inlineStr">
        <is>
          <t xml:space="preserve">ТОШКЕНТ ВИЛОЯТИ</t>
        </is>
      </c>
      <c r="F35" s="96" t="inlineStr">
        <is>
          <t xml:space="preserve">▸</t>
        </is>
      </c>
    </row>
    <row r="36">
      <c r="B36" s="98" t="inlineStr">
        <is>
          <t xml:space="preserve">ТОШКЕНТ ШАХРИ</t>
        </is>
      </c>
      <c r="C36" s="96" t="inlineStr">
        <is>
          <t xml:space="preserve">▸</t>
        </is>
      </c>
      <c r="D36" s="96" t="inlineStr">
        <is>
          <t xml:space="preserve">▸</t>
        </is>
      </c>
      <c r="E36" s="96" t="inlineStr">
        <is>
          <t xml:space="preserve">▸</t>
        </is>
      </c>
      <c r="F36" s="96" t="inlineStr">
        <is>
          <t xml:space="preserve">▸</t>
        </is>
      </c>
      <c r="G36" s="96" t="inlineStr">
        <is>
          <t xml:space="preserve">▸</t>
        </is>
      </c>
      <c r="I36" s="96" t="inlineStr">
        <is>
          <t xml:space="preserve">▸</t>
        </is>
      </c>
    </row>
    <row r="37">
      <c r="B37" s="98" t="inlineStr">
        <is>
          <t xml:space="preserve">ФАРГОНА ВИЛОЯТИ</t>
        </is>
      </c>
      <c r="C37" s="96" t="inlineStr">
        <is>
          <t xml:space="preserve">▸</t>
        </is>
      </c>
      <c r="D37" s="96" t="inlineStr">
        <is>
          <t xml:space="preserve">▸</t>
        </is>
      </c>
      <c r="E37" s="96" t="inlineStr">
        <is>
          <t xml:space="preserve">▸</t>
        </is>
      </c>
      <c r="F37" s="96" t="inlineStr">
        <is>
          <t xml:space="preserve">▸</t>
        </is>
      </c>
      <c r="G37" s="96" t="inlineStr">
        <is>
          <t xml:space="preserve">▸</t>
        </is>
      </c>
      <c r="I37" s="96" t="inlineStr">
        <is>
          <t xml:space="preserve">▸</t>
        </is>
      </c>
    </row>
    <row r="38">
      <c r="B38" s="98" t="inlineStr">
        <is>
          <t xml:space="preserve">ХОРАЗМ ВИЛОЯТИ</t>
        </is>
      </c>
      <c r="C38" s="96" t="inlineStr">
        <is>
          <t xml:space="preserve">▸</t>
        </is>
      </c>
      <c r="D38" s="96" t="inlineStr">
        <is>
          <t xml:space="preserve">▸</t>
        </is>
      </c>
      <c r="E38" s="96" t="inlineStr">
        <is>
          <t xml:space="preserve">▸</t>
        </is>
      </c>
      <c r="F38" s="96" t="inlineStr">
        <is>
          <t xml:space="preserve">▸</t>
        </is>
      </c>
      <c r="G38" s="96" t="inlineStr">
        <is>
          <t xml:space="preserve">▸</t>
        </is>
      </c>
      <c r="I38" s="96" t="inlineStr">
        <is>
          <t xml:space="preserve">▸</t>
        </is>
      </c>
    </row>
  </sheetData>
  <autoFilter ref="A5:AE19" xr:uid="{00000000-0001-0000-0000-000000000000}"/>
  <mergeCells count="12">
    <mergeCell ref="A1:J1"/>
    <mergeCell ref="A2:B2"/>
    <mergeCell ref="E2:F2"/>
    <mergeCell ref="L2:M2"/>
    <mergeCell ref="A3:AE3"/>
    <mergeCell ref="Y4:AB4"/>
    <mergeCell ref="B20:C20"/>
    <mergeCell ref="K4:N4"/>
    <mergeCell ref="O4:R4"/>
    <mergeCell ref="E4:F4"/>
    <mergeCell ref="G4:J4"/>
    <mergeCell ref="S4:X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Y6:Y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A6:AA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W6:X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D25" location="'Обещали'!A3" tooltip="Список: Обещали"/>
    <hyperlink ref="E25" location="'Оплатили'!A3" tooltip="Список: Оплатили"/>
    <hyperlink ref="F25" location="'Не дозвонились'!A3" tooltip="Список: Не дозвонились"/>
    <hyperlink ref="G25" location="'Объезд'!A3" tooltip="Список: Объезд"/>
    <hyperlink ref="I25" location="'Оплатили'!A3" tooltip="Список: Оплатили"/>
    <hyperlink ref="C26" location="'Дозвонились'!A90" tooltip="Список: Дозвонились"/>
    <hyperlink ref="D26" location="'Обещали'!A87" tooltip="Список: Обещали"/>
    <hyperlink ref="E26" location="'Оплатили'!A9" tooltip="Список: Оплатили"/>
    <hyperlink ref="F26" location="'Не дозвонились'!A31" tooltip="Список: Не дозвонились"/>
    <hyperlink ref="G26" location="'Объезд'!A16" tooltip="Список: Объезд"/>
    <hyperlink ref="I26" location="'Оплатили'!A9" tooltip="Список: Оплатили"/>
    <hyperlink ref="C27" location="'Дозвонились'!A103" tooltip="Список: Дозвонились"/>
    <hyperlink ref="D27" location="'Обещали'!A99" tooltip="Список: Обещали"/>
    <hyperlink ref="E27" location="'Оплатили'!A12" tooltip="Список: Оплатили"/>
    <hyperlink ref="F27" location="'Не дозвонились'!A58" tooltip="Список: Не дозвонились"/>
    <hyperlink ref="G27" location="'Объезд'!A19" tooltip="Список: Объезд"/>
    <hyperlink ref="I27" location="'Оплатили'!A12" tooltip="Список: Оплатили"/>
    <hyperlink ref="C28" location="'Дозвонились'!A134" tooltip="Список: Дозвонились"/>
    <hyperlink ref="D28" location="'Обещали'!A121" tooltip="Список: Обещали"/>
    <hyperlink ref="E28" location="'Оплатили'!A25" tooltip="Список: Оплатили"/>
    <hyperlink ref="F28" location="'Не дозвонились'!A98" tooltip="Список: Не дозвонились"/>
    <hyperlink ref="G28" location="'Объезд'!A34" tooltip="Список: Объезд"/>
    <hyperlink ref="I28" location="'Оплатили'!A25" tooltip="Список: Оплатили"/>
    <hyperlink ref="C29" location="'Дозвонились'!A161" tooltip="Список: Дозвонились"/>
    <hyperlink ref="D29" location="'Обещали'!A143" tooltip="Список: Обещали"/>
    <hyperlink ref="E29" location="'Оплатили'!A36" tooltip="Список: Оплатили"/>
    <hyperlink ref="F29" location="'Не дозвонились'!A174" tooltip="Список: Не дозвонились"/>
    <hyperlink ref="G29" location="'Объезд'!A46" tooltip="Список: Объезд"/>
    <hyperlink ref="I29" location="'Оплатили'!A36" tooltip="Список: Оплатили"/>
    <hyperlink ref="C30" location="'Дозвонились'!A207" tooltip="Список: Дозвонились"/>
    <hyperlink ref="D30" location="'Обещали'!A186" tooltip="Список: Обещали"/>
    <hyperlink ref="E30" location="'Оплатили'!A40" tooltip="Список: Оплатили"/>
    <hyperlink ref="F30" location="'Не дозвонились'!A189" tooltip="Список: Не дозвонились"/>
    <hyperlink ref="G30" location="'Объезд'!A54" tooltip="Список: Объезд"/>
    <hyperlink ref="I30" location="'Оплатили'!A40" tooltip="Список: Оплатили"/>
    <hyperlink ref="C31" location="'Дозвонились'!A231" tooltip="Список: Дозвонились"/>
    <hyperlink ref="D31" location="'Обещали'!A194" tooltip="Список: Обещали"/>
    <hyperlink ref="F31" location="'Не дозвонились'!A222" tooltip="Список: Не дозвонились"/>
    <hyperlink ref="G31" location="'Объезд'!A55" tooltip="Список: Объезд"/>
    <hyperlink ref="C32" location="'Дозвонились'!A304" tooltip="Список: Дозвонились"/>
    <hyperlink ref="D32" location="'Обещали'!A203" tooltip="Список: Обещали"/>
    <hyperlink ref="E32" location="'Оплатили'!A48" tooltip="Список: Оплатили"/>
    <hyperlink ref="F32" location="'Не дозвонились'!A282" tooltip="Список: Не дозвонились"/>
    <hyperlink ref="G32" location="'Объезд'!A60" tooltip="Список: Объезд"/>
    <hyperlink ref="I32" location="'Оплатили'!A48" tooltip="Список: Оплатили"/>
    <hyperlink ref="F33" location="'Не дозвонились'!A374" tooltip="Список: Не дозвонились"/>
    <hyperlink ref="C34" location="'Дозвонились'!A339" tooltip="Список: Дозвонились"/>
    <hyperlink ref="D34" location="'Обещали'!A229" tooltip="Список: Обещали"/>
    <hyperlink ref="E34" location="'Оплатили'!A62" tooltip="Список: Оплатили"/>
    <hyperlink ref="F34" location="'Не дозвонились'!A420" tooltip="Список: Не дозвонились"/>
    <hyperlink ref="G34" location="'Объезд'!A78" tooltip="Список: Объезд"/>
    <hyperlink ref="I34" location="'Оплатили'!A62" tooltip="Список: Оплатили"/>
    <hyperlink ref="F35" location="'Не дозвонились'!A505" tooltip="Список: Не дозвонились"/>
    <hyperlink ref="C36" location="'Дозвонились'!A470" tooltip="Список: Дозвонились"/>
    <hyperlink ref="D36" location="'Обещали'!A357" tooltip="Список: Обещали"/>
    <hyperlink ref="E36" location="'Оплатили'!A67" tooltip="Список: Оплатили"/>
    <hyperlink ref="F36" location="'Не дозвонились'!A721" tooltip="Список: Не дозвонились"/>
    <hyperlink ref="G36" location="'Объезд'!A86" tooltip="Список: Объезд"/>
    <hyperlink ref="I36" location="'Оплатили'!A67" tooltip="Список: Оплатили"/>
    <hyperlink ref="C37" location="'Дозвонились'!A503" tooltip="Список: Дозвонились"/>
    <hyperlink ref="D37" location="'Обещали'!A387" tooltip="Список: Обещали"/>
    <hyperlink ref="E37" location="'Оплатили'!A70" tooltip="Список: Оплатили"/>
    <hyperlink ref="F37" location="'Не дозвонились'!A894" tooltip="Список: Не дозвонились"/>
    <hyperlink ref="G37" location="'Объезд'!A95" tooltip="Список: Объезд"/>
    <hyperlink ref="I37" location="'Оплатили'!A70" tooltip="Список: Оплатили"/>
    <hyperlink ref="C38" location="'Дозвонились'!A549" tooltip="Список: Дозвонились"/>
    <hyperlink ref="D38" location="'Обещали'!A427" tooltip="Список: Обещали"/>
    <hyperlink ref="E38" location="'Оплатили'!A86" tooltip="Список: Оплатили"/>
    <hyperlink ref="F38" location="'Не дозвонились'!A959" tooltip="Список: Не дозвонились"/>
    <hyperlink ref="G38" location="'Объезд'!A118" tooltip="Список: Объезд"/>
    <hyperlink ref="I38" location="'Оплатили'!A86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Ввод!$Y$20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Ввод!$N$20</f>
        <v>96</v>
      </c>
    </row>
    <row r="14" spans="1:9" ht="19.5" customHeight="1" x14ac:dyDescent="0.25">
      <c r="A14" s="83" t="s">
        <v>54</v>
      </c>
      <c r="B14" s="83"/>
      <c r="C14" s="83"/>
      <c r="D14" s="31">
        <f>Ввод!$P$20</f>
        <v>559</v>
      </c>
    </row>
    <row r="15" spans="1:9" ht="15" customHeight="1" x14ac:dyDescent="0.25">
      <c r="A15" s="83" t="s">
        <v>55</v>
      </c>
      <c r="B15" s="83"/>
      <c r="C15" s="83"/>
      <c r="D15" s="31">
        <f>Ввод!$R$20</f>
        <v>2</v>
      </c>
    </row>
    <row r="16" spans="1:9" ht="15" customHeight="1" x14ac:dyDescent="0.25">
      <c r="A16" s="84" t="s">
        <v>56</v>
      </c>
      <c r="B16" s="84"/>
      <c r="C16" s="84"/>
      <c r="D16" s="31">
        <f>Ввод!$W$20</f>
        <v>0</v>
      </c>
    </row>
    <row r="17" spans="1:9" ht="15" customHeight="1" x14ac:dyDescent="0.25"/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IFERROR(Ввод!$Y$6,0)</f>
        <v>0</v>
      </c>
      <c r="E22" s="36" t="str">
        <f>IFERROR(Ввод!$AA$6,0)</f>
        <v/>
      </c>
      <c r="F22" s="37">
        <f>Ввод!$W$6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IFERROR(Ввод!$Y$7,0)</f>
        <v>0</v>
      </c>
      <c r="E23" s="36" t="str">
        <f>IFERROR(Ввод!$AA$7,0)</f>
        <v/>
      </c>
      <c r="F23" s="37">
        <f>Ввод!$W$7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IFERROR(Ввод!$Y$8,0)</f>
        <v>0.39215686274509803</v>
      </c>
      <c r="E24" s="36" t="str">
        <f>IFERROR(Ввод!$AA$8,0)</f>
        <v/>
      </c>
      <c r="F24" s="37">
        <f>Ввод!$W$8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IFERROR(Ввод!$Y$9,0)</f>
        <v>0.87878787878787878</v>
      </c>
      <c r="E25" s="36" t="str">
        <f>IFERROR(Ввод!$AA$9,0)</f>
        <v/>
      </c>
      <c r="F25" s="37">
        <f>Ввод!$W$9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IFERROR(Ввод!$Y$10,0)</f>
        <v>0.76923076923076927</v>
      </c>
      <c r="E26" s="36" t="str">
        <f>IFERROR(Ввод!$AA$10,0)</f>
        <v/>
      </c>
      <c r="F26" s="37">
        <f>Ввод!$W$10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IFERROR(Ввод!$Y$11,0)</f>
        <v>5.5555555555555552E-2</v>
      </c>
      <c r="E27" s="36" t="str">
        <f>IFERROR(Ввод!$AA$11,0)</f>
        <v/>
      </c>
      <c r="F27" s="37">
        <f>Ввод!$W$11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IFERROR(Ввод!$Y$12,0)</f>
        <v>0.4838709677419355</v>
      </c>
      <c r="E28" s="36" t="str">
        <f>IFERROR(Ввод!$AA$12,0)</f>
        <v/>
      </c>
      <c r="F28" s="37">
        <f>Ввод!$W$12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IFERROR(Ввод!$Y$13,0)</f>
        <v>0.24590163934426229</v>
      </c>
      <c r="E29" s="36" t="str">
        <f>IFERROR(Ввод!$AA$13,0)</f>
        <v/>
      </c>
      <c r="F29" s="37">
        <f>Ввод!$W$13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IFERROR(Ввод!$Y$14,0)</f>
        <v>0.58823529411764708</v>
      </c>
      <c r="E30" s="36" t="str">
        <f>IFERROR(Ввод!$AA$14,0)</f>
        <v/>
      </c>
      <c r="F30" s="37">
        <f>Ввод!$W$14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IFERROR(Ввод!$Y$15,0)</f>
        <v>0.18556701030927836</v>
      </c>
      <c r="E31" s="36" t="str">
        <f>IFERROR(Ввод!$AA$15,0)</f>
        <v/>
      </c>
      <c r="F31" s="37">
        <f>Ввод!$W$15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IFERROR(Ввод!$Y$16,0)</f>
        <v>0</v>
      </c>
      <c r="E32" s="36" t="str">
        <f>IFERROR(Ввод!$AA$16,0)</f>
        <v/>
      </c>
      <c r="F32" s="37">
        <f>Ввод!$W$16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IFERROR(Ввод!$Y$17,0)</f>
        <v>0</v>
      </c>
      <c r="E33" s="36" t="str">
        <f>IFERROR(Ввод!$AA$17,0)</f>
        <v/>
      </c>
      <c r="F33" s="37">
        <f>Ввод!$W$17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IFERROR(Ввод!$Y$18,0)</f>
        <v>0</v>
      </c>
      <c r="E34" s="36" t="str">
        <f>IFERROR(Ввод!$AA$18,0)</f>
        <v/>
      </c>
      <c r="F34" s="37">
        <f>Ввод!$W$18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IFERROR(Ввод!$Y$19,0)</f>
        <v>0.46938775510204084</v>
      </c>
      <c r="E35" s="36" t="str">
        <f>IFERROR(Ввод!$AA$19,0)</f>
        <v/>
      </c>
      <c r="F35" s="37">
        <f>Ввод!$W$19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IFERROR(INDEX(Ввод!$B$6:$B$19,MATCH(LARGE(Ввод!$AE$6:$AE$19,1),Ввод!$AE$6:$AE$19,0)),"")</f>
        <v>КАШКАДАРЁ ВИЛОЯТИ</v>
      </c>
      <c r="B43" s="77"/>
      <c r="C43" s="78">
        <f>IFERROR(INDEX(Ввод!$Y$6:$Y$19,MATCH(LARGE(Ввод!$AE$6:$AE$19,1),Ввод!$AE$6:$AE$19,0)),"")</f>
        <v>0.87878787878787878</v>
      </c>
      <c r="D43" s="78"/>
      <c r="E43" s="79" t="str">
        <f>IFERROR(INDEX(Ввод!$B$6:$B$19,MATCH(SMALL(Ввод!$AE$6:$AE$19,1),Ввод!$AE$6:$AE$19,0)),"")</f>
        <v>АНДИЖОН ВИЛОЯТИ</v>
      </c>
      <c r="F43" s="79"/>
      <c r="G43" s="79"/>
      <c r="H43" s="80">
        <f>IFERROR(INDEX(Ввод!$Y$6:$Y$19,MATCH(SMALL(Ввод!$AE$6:$AE$19,1),Ввод!$AE$6:$AE$19,0)),"")</f>
        <v>0</v>
      </c>
      <c r="I43" s="80"/>
    </row>
    <row r="44" spans="1:9" ht="15" customHeight="1" x14ac:dyDescent="0.25">
      <c r="A44" s="77" t="str">
        <f>IFERROR(INDEX(Ввод!$B$6:$B$19,MATCH(LARGE(Ввод!$AE$6:$AE$19,2),Ввод!$AE$6:$AE$19,0)),"")</f>
        <v>КОРАКАЛПОГИСТОН РЕСПУБЛИКАСИ</v>
      </c>
      <c r="B44" s="77"/>
      <c r="C44" s="78">
        <f>IFERROR(INDEX(Ввод!$Y$6:$Y$19,MATCH(LARGE(Ввод!$AE$6:$AE$19,2),Ввод!$AE$6:$AE$19,0)),"")</f>
        <v>0.76923076923076927</v>
      </c>
      <c r="D44" s="78"/>
      <c r="E44" s="79" t="str">
        <f>IFERROR(INDEX(Ввод!$B$6:$B$19,MATCH(SMALL(Ввод!$AE$6:$AE$19,2),Ввод!$AE$6:$AE$19,0)),"")</f>
        <v>БУХОРО ВИЛОЯТИ</v>
      </c>
      <c r="F44" s="79"/>
      <c r="G44" s="79"/>
      <c r="H44" s="80">
        <f>IFERROR(INDEX(Ввод!$Y$6:$Y$19,MATCH(SMALL(Ввод!$AE$6:$AE$19,2),Ввод!$AE$6:$AE$19,0)),"")</f>
        <v>0</v>
      </c>
      <c r="I44" s="80"/>
    </row>
    <row r="45" spans="1:9" ht="15" customHeight="1" x14ac:dyDescent="0.25">
      <c r="A45" s="77" t="str">
        <f>IFERROR(INDEX(Ввод!$B$6:$B$19,MATCH(LARGE(Ввод!$AE$6:$AE$19,3),Ввод!$AE$6:$AE$19,0)),"")</f>
        <v>СИРДАРЁ ВИЛОЯТИ</v>
      </c>
      <c r="B45" s="77"/>
      <c r="C45" s="78">
        <f>IFERROR(INDEX(Ввод!$Y$6:$Y$19,MATCH(LARGE(Ввод!$AE$6:$AE$19,3),Ввод!$AE$6:$AE$19,0)),"")</f>
        <v>0.58823529411764708</v>
      </c>
      <c r="D45" s="78"/>
      <c r="E45" s="79" t="str">
        <f>IFERROR(INDEX(Ввод!$B$6:$B$19,MATCH(SMALL(Ввод!$AE$6:$AE$19,3),Ввод!$AE$6:$AE$19,0)),"")</f>
        <v>ТОШКЕНТ ВИЛОЯТИ</v>
      </c>
      <c r="F45" s="79"/>
      <c r="G45" s="79"/>
      <c r="H45" s="80">
        <f>IFERROR(INDEX(Ввод!$Y$6:$Y$19,MATCH(SMALL(Ввод!$AE$6:$AE$19,3),Ввод!$AE$6:$AE$19,0)),"")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2"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Ввод!$W$20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Ввод!$N$6</f>
        <v>0</v>
      </c>
      <c r="L9" s="37">
        <f>Ввод!$W$6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Ввод!$N$7</f>
        <v>0</v>
      </c>
      <c r="L10" s="37">
        <f>Ввод!$W$7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Ввод!$N$8</f>
        <v>19</v>
      </c>
      <c r="L11" s="37">
        <f>Ввод!$W$8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Ввод!$N$9</f>
        <v>18</v>
      </c>
      <c r="L12" s="37">
        <f>Ввод!$W$9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Ввод!$N$10</f>
        <v>4</v>
      </c>
      <c r="L13" s="37">
        <f>Ввод!$W$10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Ввод!$N$11</f>
        <v>1</v>
      </c>
      <c r="L14" s="37">
        <f>Ввод!$W$11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Ввод!$N$12</f>
        <v>30</v>
      </c>
      <c r="L15" s="37">
        <f>Ввод!$W$12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Ввод!$N$13</f>
        <v>15</v>
      </c>
      <c r="L16" s="37">
        <f>Ввод!$W$13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Ввод!$N$14</f>
        <v>1</v>
      </c>
      <c r="L17" s="37">
        <f>Ввод!$W$14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Ввод!$N$15</f>
        <v>2</v>
      </c>
      <c r="L18" s="37">
        <f>Ввод!$W$15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Ввод!$N$16</f>
        <v>0</v>
      </c>
      <c r="L19" s="37">
        <f>Ввод!$W$16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Ввод!$N$17</f>
        <v>0</v>
      </c>
      <c r="L20" s="37">
        <f>Ввод!$W$17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Ввод!$N$18</f>
        <v>0</v>
      </c>
      <c r="L21" s="37">
        <f>Ввод!$W$18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Ввод!$N$19</f>
        <v>6</v>
      </c>
      <c r="L22" s="37">
        <f>Ввод!$W$19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/>
      <c r="B30" s="89"/>
      <c r="C30" s="89"/>
    </row>
    <row r="31" spans="1:14" ht="15" customHeight="1" x14ac:dyDescent="0.25">
      <c r="A31" s="41"/>
      <c r="B31" s="41"/>
      <c r="C31" s="41"/>
    </row>
    <row r="32" spans="1:14" ht="15" customHeight="1" x14ac:dyDescent="0.25">
      <c r="A32" s="42"/>
      <c r="B32" s="43"/>
      <c r="C32" s="44"/>
    </row>
    <row r="33" spans="1:7" ht="15" customHeight="1" x14ac:dyDescent="0.25">
      <c r="A33" s="42"/>
      <c r="B33" s="43"/>
      <c r="C33" s="44"/>
    </row>
    <row r="34" spans="1:7" ht="15" customHeight="1" x14ac:dyDescent="0.25">
      <c r="A34" s="42"/>
      <c r="B34" s="43"/>
      <c r="C34" s="44"/>
    </row>
    <row r="35" spans="1:7" ht="15" customHeight="1" x14ac:dyDescent="0.25">
      <c r="A35" s="42"/>
      <c r="B35" s="43"/>
      <c r="C35" s="44"/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59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Обещал</t>
        </is>
      </c>
      <c r="D3" s="98" t="inlineStr">
        <is>
          <t xml:space="preserve">Кр-99062885-1</t>
        </is>
      </c>
      <c r="E3" s="98" t="inlineStr">
        <is>
          <t xml:space="preserve">KASIMXODJAYEV ABDUXALIL ABDUMAJITOVICH</t>
        </is>
      </c>
      <c r="F3" s="98" t="inlineStr">
        <is>
          <t xml:space="preserve">+998916208060 SMS O’ZI, 998914781293 SMS AYOLI, 998916028060 SMS UY, 998976208060 SMS O’ZI2,</t>
        </is>
      </c>
      <c r="G3" s="98" t="inlineStr">
        <is>
          <t xml:space="preserve">ANDIJON VILOYATI  ANDIJON SHAHAR MAYDONBOZOR MFY YAXSHI KO’CHASI 61/59-UY</t>
        </is>
      </c>
      <c r="H3" s="99">
        <v>10.0</v>
      </c>
      <c r="I3" s="99">
        <v>14507307.79</v>
      </c>
      <c r="K3" s="98" t="inlineStr">
        <is>
          <t xml:space="preserve">Va'da berdi | 1-2 kunda hal qiladi | 4383561.643835616 | 10123746.15</t>
        </is>
      </c>
    </row>
    <row r="4">
      <c r="A4" s="98" t="inlineStr">
        <is>
          <t xml:space="preserve">АНДИЖОН ВИЛОЯТИ</t>
        </is>
      </c>
      <c r="C4" s="98" t="inlineStr">
        <is>
          <t xml:space="preserve">Обещал</t>
        </is>
      </c>
      <c r="D4" s="98" t="inlineStr">
        <is>
          <t xml:space="preserve">Кр-99058759-1</t>
        </is>
      </c>
      <c r="E4" s="98" t="inlineStr">
        <is>
          <t xml:space="preserve">RAXMANOV DILSHODBEK TO’XTASINOVICH</t>
        </is>
      </c>
      <c r="F4" s="98" t="inlineStr">
        <is>
          <t xml:space="preserve">998889930005 SMS OZI, 998955173700 SMS AYOLI, 998979970184 SMS UKASI, 998949300052 SMS OZI 2,</t>
        </is>
      </c>
      <c r="G4" s="98" t="inlineStr">
        <is>
          <t xml:space="preserve">ANDIJON VILOYATI QO’RG’ONTEPA TUMANI DEXQONCHEK MFY ERKIN IJOD KO’CHASI 74-UY</t>
        </is>
      </c>
      <c r="H4" s="99">
        <v>13.0</v>
      </c>
      <c r="I4" s="99">
        <v>13767147.22</v>
      </c>
      <c r="K4" s="98" t="inlineStr">
        <is>
          <t xml:space="preserve">Va'da berdi | 25 kunga hal qiladi | 5342465.7534246575 | 8424681.47</t>
        </is>
      </c>
    </row>
    <row r="5">
      <c r="A5" s="98" t="inlineStr">
        <is>
          <t xml:space="preserve">АНДИЖОН ВИЛОЯТИ</t>
        </is>
      </c>
      <c r="C5" s="98" t="inlineStr">
        <is>
          <t xml:space="preserve">Обещал</t>
        </is>
      </c>
      <c r="D5" s="98" t="inlineStr">
        <is>
          <t xml:space="preserve">Кр-99047889-1</t>
        </is>
      </c>
      <c r="E5" s="98" t="inlineStr">
        <is>
          <t xml:space="preserve">SHIRMATOV MUXAMMADOZOD QODIRALI O’G’LI</t>
        </is>
      </c>
      <c r="F5" s="98" t="inlineStr">
        <is>
          <t xml:space="preserve">+998911715500 SMS O’ZI, 998772495500 SMS OG’LI, 998972225500 SMS UY, 998998173300 SMS NEVARASI,</t>
        </is>
      </c>
      <c r="G5" s="98" t="inlineStr">
        <is>
          <t xml:space="preserve">ANDIJON VILOYATI ANDIJON SHAHAR ISTIQLOL MFY OBOD 1-TOR KO’CHASI 5-UY</t>
        </is>
      </c>
      <c r="H5" s="99">
        <v>13.0</v>
      </c>
      <c r="I5" s="99">
        <v>12856969.26</v>
      </c>
      <c r="K5" s="98" t="inlineStr">
        <is>
          <t xml:space="preserve">Va'da berdi | 25 kunga hal qiladi | 4630136.98630137 | 8226832.27</t>
        </is>
      </c>
    </row>
    <row r="6">
      <c r="A6" s="98" t="inlineStr">
        <is>
          <t xml:space="preserve">АНДИЖОН ВИЛОЯТИ</t>
        </is>
      </c>
      <c r="C6" s="98" t="inlineStr">
        <is>
          <t xml:space="preserve">Обещал</t>
        </is>
      </c>
      <c r="D6" s="98" t="inlineStr">
        <is>
          <t xml:space="preserve">Кр-99060389-1</t>
        </is>
      </c>
      <c r="E6" s="98" t="inlineStr">
        <is>
          <t xml:space="preserve">SULTANOVA XAMIDA ULJABEKOVNA</t>
        </is>
      </c>
      <c r="F6" s="98" t="inlineStr">
        <is>
          <t xml:space="preserve">+998934141584 SMS O’ZI, 998973243443 SMS KELINI, 998979753443 SMS O’G’LI, 998993200858 SMS XO’JAYNI,</t>
        </is>
      </c>
      <c r="G6" s="98" t="inlineStr">
        <is>
          <t xml:space="preserve">Andijon viloyati Andijon shahar Sadoqat MFY Fuzuliy ko’chasi 49-uy</t>
        </is>
      </c>
      <c r="H6" s="99">
        <v>10.0</v>
      </c>
      <c r="I6" s="99">
        <v>12724540.83</v>
      </c>
      <c r="K6" s="98" t="inlineStr">
        <is>
          <t xml:space="preserve">Va'da berdi | dushanba seshanba kuni | 3835616.438356164 | 8888924.39</t>
        </is>
      </c>
    </row>
    <row r="7">
      <c r="A7" s="98" t="inlineStr">
        <is>
          <t xml:space="preserve">АНДИЖОН ВИЛОЯТИ</t>
        </is>
      </c>
      <c r="C7" s="98" t="inlineStr">
        <is>
          <t xml:space="preserve">Обещал</t>
        </is>
      </c>
      <c r="D7" s="98" t="inlineStr">
        <is>
          <t xml:space="preserve">Кр-99061048-1</t>
        </is>
      </c>
      <c r="E7" s="98" t="inlineStr">
        <is>
          <t xml:space="preserve">ORIFJANOV NODIRBEK OMANJANOVICH</t>
        </is>
      </c>
      <c r="F7" s="98" t="inlineStr">
        <is>
          <t xml:space="preserve">998916841884 uzi, 998335177797 ayoli, 998944870903 onasi,</t>
        </is>
      </c>
      <c r="G7" s="98" t="inlineStr">
        <is>
          <t xml:space="preserve">ANDIJON VILOYATI QO’RG’ONTEPA TUMANI SAVAY YANGI BO’STON MFY BARKAMOL KO’CHASI 58-UY</t>
        </is>
      </c>
      <c r="H7" s="99">
        <v>13.0</v>
      </c>
      <c r="I7" s="99">
        <v>11960619.86</v>
      </c>
      <c r="K7" s="98" t="inlineStr">
        <is>
          <t xml:space="preserve">Va'da berdi | shu hafta hal qilib berdi | 4273972.602739726 | 7686647.26</t>
        </is>
      </c>
    </row>
    <row r="8">
      <c r="A8" s="98" t="inlineStr">
        <is>
          <t xml:space="preserve">АНДИЖОН ВИЛОЯТИ</t>
        </is>
      </c>
      <c r="C8" s="98" t="inlineStr">
        <is>
          <t xml:space="preserve">Обещал</t>
        </is>
      </c>
      <c r="D8" s="98" t="inlineStr">
        <is>
          <t xml:space="preserve">Кр-99061572-1</t>
        </is>
      </c>
      <c r="E8" s="98" t="inlineStr">
        <is>
          <t xml:space="preserve">AXMEDOV  JAVOHIRBEK TOJIDIN O’G’LI</t>
        </is>
      </c>
      <c r="F8" s="98" t="inlineStr">
        <is>
          <t xml:space="preserve">998907726810 узи, 998910676800 аели, 998882357585 укаси, 998974054333 укаси,</t>
        </is>
      </c>
      <c r="G8" s="98" t="inlineStr">
        <is>
          <t xml:space="preserve">ANDIJON VILOYATI ANDIJON TUMANI NURAFSHON MFY YANGI TURMUSH KO’CHASI 69A-UY</t>
        </is>
      </c>
      <c r="H8" s="99">
        <v>13.0</v>
      </c>
      <c r="I8" s="99">
        <v>11959423.46</v>
      </c>
      <c r="K8" s="98" t="inlineStr">
        <is>
          <t xml:space="preserve">Va'da berdi | 25 kunga hal qiladi | 4273972.602739726 | 7685450.86</t>
        </is>
      </c>
    </row>
    <row r="9">
      <c r="A9" s="98" t="inlineStr">
        <is>
          <t xml:space="preserve">АНДИЖОН ВИЛОЯТИ</t>
        </is>
      </c>
      <c r="C9" s="98" t="inlineStr">
        <is>
          <t xml:space="preserve">Обещал</t>
        </is>
      </c>
      <c r="D9" s="98" t="inlineStr">
        <is>
          <t xml:space="preserve">Кр-99024542-1</t>
        </is>
      </c>
      <c r="E9" s="98" t="inlineStr">
        <is>
          <t xml:space="preserve">XALMATOV ADIL PAZILOVICH</t>
        </is>
      </c>
      <c r="F9" s="98" t="inlineStr">
        <is>
          <t xml:space="preserve">77-123-13-10 SMS OZI, 98-707-22-92 SMS OZI, 90-541-13-18 SMS OZI, 998880072292 УГЛИ шохрух,</t>
        </is>
      </c>
      <c r="G9" s="98" t="inlineStr">
        <is>
          <t xml:space="preserve">ANDIJON VILOYATI ANDIJON SHAHAR ISLOMOBOD MFY 7-TOR MUXITDINOV 21-UY</t>
        </is>
      </c>
      <c r="H9" s="99">
        <v>8.0</v>
      </c>
      <c r="I9" s="99">
        <v>11534219.7</v>
      </c>
      <c r="K9" s="98" t="inlineStr">
        <is>
          <t xml:space="preserve">Va'da berdi | 25 kuni tolaydi | 5041095.890410959 | 6493123.81</t>
        </is>
      </c>
    </row>
    <row r="10">
      <c r="A10" s="98" t="inlineStr">
        <is>
          <t xml:space="preserve">АНДИЖОН ВИЛОЯТИ</t>
        </is>
      </c>
      <c r="C10" s="98" t="inlineStr">
        <is>
          <t xml:space="preserve">Обещал</t>
        </is>
      </c>
      <c r="D10" s="98" t="inlineStr">
        <is>
          <t xml:space="preserve">Кр-99063922-3</t>
        </is>
      </c>
      <c r="E10" s="98" t="inlineStr">
        <is>
          <t xml:space="preserve">RUZIYEVA RANO KABILOVNA</t>
        </is>
      </c>
      <c r="F10" s="98" t="inlineStr">
        <is>
          <t xml:space="preserve">+998905437075 SMS O’ZI, 998902597075 SMS UY, 998906257691 SMS OPASI, 998921519222 SMS QIZI,</t>
        </is>
      </c>
      <c r="G10" s="98" t="inlineStr">
        <is>
          <t xml:space="preserve">ANDIJON VILOYATI ANDIJON SHAHAR O’ZBEGIM MFY, A. MUSAYE KO’CHASI 4-UY 31-XONADON</t>
        </is>
      </c>
      <c r="H10" s="99">
        <v>10.0</v>
      </c>
      <c r="I10" s="99">
        <v>11102362.23</v>
      </c>
      <c r="K10" s="98" t="inlineStr">
        <is>
          <t xml:space="preserve">Va'da berdi | dushanba kuni tolaydi | 3835616.438356164 | 7266745.79</t>
        </is>
      </c>
    </row>
    <row r="11">
      <c r="A11" s="98" t="inlineStr">
        <is>
          <t xml:space="preserve">АНДИЖОН ВИЛОЯТИ</t>
        </is>
      </c>
      <c r="C11" s="98" t="inlineStr">
        <is>
          <t xml:space="preserve">Обещал</t>
        </is>
      </c>
      <c r="D11" s="98" t="inlineStr">
        <is>
          <t xml:space="preserve">Кр-99063424-2</t>
        </is>
      </c>
      <c r="E11" s="98" t="inlineStr">
        <is>
          <t xml:space="preserve">TURSUNOV RAXMATILLO IKRAMJANOVICH</t>
        </is>
      </c>
      <c r="F11" s="98" t="inlineStr">
        <is>
          <t xml:space="preserve">998702250075 SMS OZI, 998886020075 SMS UKASI2, 998889248080 SMS AYOLI, 998970711009 SMS UKASI,</t>
        </is>
      </c>
      <c r="G11" s="98" t="inlineStr">
        <is>
          <t xml:space="preserve">ANDIJON VILOYATI QO’RG’ONTEPA TUMANI</t>
        </is>
      </c>
      <c r="H11" s="99">
        <v>10.0</v>
      </c>
      <c r="I11" s="99">
        <v>10783206.14</v>
      </c>
      <c r="K11" s="98" t="inlineStr">
        <is>
          <t xml:space="preserve">Va'da berdi | 25 kuni tolaydi | 3013698.6301369863 | 7769507.51</t>
        </is>
      </c>
    </row>
    <row r="12">
      <c r="A12" s="98" t="inlineStr">
        <is>
          <t xml:space="preserve">АНДИЖОН ВИЛОЯТИ</t>
        </is>
      </c>
      <c r="C12" s="98" t="inlineStr">
        <is>
          <t xml:space="preserve">Обещал</t>
        </is>
      </c>
      <c r="D12" s="98" t="inlineStr">
        <is>
          <t xml:space="preserve">Кр-99033455-2</t>
        </is>
      </c>
      <c r="E12" s="98" t="inlineStr">
        <is>
          <t xml:space="preserve">ABDULAZIZOV NOZIMJON NASIBJONOVICH</t>
        </is>
      </c>
      <c r="F12" s="98" t="inlineStr">
        <is>
          <t xml:space="preserve">998934104844 SMS O’ZI, 998000048002 SMS O’ZI 2, 998932544648 SMS AYOLI, 998936913859 SMS XAMKASBI, 998948770475 SMS otasi new ,</t>
        </is>
      </c>
      <c r="G12" s="98" t="inlineStr">
        <is>
          <t xml:space="preserve">ANDIJON VILOYATI PAXTAOBOD TUMANI MA’RIFAT MFY,MA’RIFAT KO’CHASI 47-UY</t>
        </is>
      </c>
      <c r="H12" s="99">
        <v>6.0</v>
      </c>
      <c r="I12" s="99">
        <v>10697383.35</v>
      </c>
      <c r="K12" s="98" t="inlineStr">
        <is>
          <t xml:space="preserve">Va'da berdi | 1-2 kunda hal qiladi | 2465753.4246575343 | 8231629.93</t>
        </is>
      </c>
    </row>
    <row r="13">
      <c r="A13" s="98" t="inlineStr">
        <is>
          <t xml:space="preserve">АНДИЖОН ВИЛОЯТИ</t>
        </is>
      </c>
      <c r="C13" s="98" t="inlineStr">
        <is>
          <t xml:space="preserve">Дозвон</t>
        </is>
      </c>
      <c r="D13" s="98" t="inlineStr">
        <is>
          <t xml:space="preserve">Кр-99039306-1</t>
        </is>
      </c>
      <c r="E13" s="98" t="inlineStr">
        <is>
          <t xml:space="preserve">ODILJONOV ABDULAZIZ UMIDJON O’G’LI</t>
        </is>
      </c>
      <c r="F13" s="98" t="inlineStr">
        <is>
          <t xml:space="preserve">998934153932 SMS OZI, 998937810042 SMS ONASI, 998937810094 SMS OTASI, 998941051030 SMS AKASI,</t>
        </is>
      </c>
      <c r="G13" s="98" t="inlineStr">
        <is>
          <t xml:space="preserve">ANDIJON VILOYATI ANDIJON SHAHAR  DALVARZIN MFY A.ASHUROV 3-TOR KO’CHASI 4-UY </t>
        </is>
      </c>
      <c r="H13" s="99">
        <v>14.0</v>
      </c>
      <c r="I13" s="99">
        <v>10688765.49</v>
      </c>
      <c r="J13" s="99">
        <v>3835616.0</v>
      </c>
      <c r="K13" s="98" t="inlineStr">
        <is>
          <t xml:space="preserve">To'ladi | 3835616.4383561644 | 6853149.05</t>
        </is>
      </c>
    </row>
    <row r="14">
      <c r="A14" s="98" t="inlineStr">
        <is>
          <t xml:space="preserve">АНДИЖОН ВИЛОЯТИ</t>
        </is>
      </c>
      <c r="C14" s="98" t="inlineStr">
        <is>
          <t xml:space="preserve">Обещал</t>
        </is>
      </c>
      <c r="D14" s="98" t="inlineStr">
        <is>
          <t xml:space="preserve">Кр-99062998-1</t>
        </is>
      </c>
      <c r="E14" s="98" t="inlineStr">
        <is>
          <t xml:space="preserve">TURDIMAMATOV ERKINJON ABDUMANNABOVICH</t>
        </is>
      </c>
      <c r="F14" s="98" t="inlineStr">
        <is>
          <t xml:space="preserve">+998880040107 SMS O’ZI, 998884772717 SMS O’G’LI, 998914870066 SMS AYOLI, 998941068585 SMS QIZI,</t>
        </is>
      </c>
      <c r="G14" s="98" t="inlineStr">
        <is>
          <t xml:space="preserve">ANDIJON VILOYATI BO’STON TUMANI MADANIYAT MFY, TINCHLIK  KO’CHASI 3-UY</t>
        </is>
      </c>
      <c r="H14" s="99">
        <v>10.0</v>
      </c>
      <c r="I14" s="99">
        <v>10186881.25</v>
      </c>
      <c r="K14" s="98" t="inlineStr">
        <is>
          <t xml:space="preserve">Va'da berdi | dushanba kuni tolaydi | 3287671.2328767125 | 6899210.02</t>
        </is>
      </c>
    </row>
    <row r="15">
      <c r="A15" s="98" t="inlineStr">
        <is>
          <t xml:space="preserve">АНДИЖОН ВИЛОЯТИ</t>
        </is>
      </c>
      <c r="C15" s="98" t="inlineStr">
        <is>
          <t xml:space="preserve">Обещал</t>
        </is>
      </c>
      <c r="D15" s="98" t="inlineStr">
        <is>
          <t xml:space="preserve">Кр-99057627-1</t>
        </is>
      </c>
      <c r="E15" s="98" t="inlineStr">
        <is>
          <t xml:space="preserve">ABDUGANIYEVA MATLUBAXON XXX</t>
        </is>
      </c>
      <c r="F15" s="98" t="inlineStr">
        <is>
          <t xml:space="preserve">998911757604 SMS OZI, 998902011084 SMS OGLI, 998910611084 SMS KELIMI, 998907620065 SMS QUDASI,</t>
        </is>
      </c>
      <c r="G15" s="98" t="inlineStr">
        <is>
          <t xml:space="preserve">ANDIJON VILOYATI ANDIJON SHAHAR QORATUT MFY 5-KICHIK NOXIYA KO’CHASI 17-UY, 78-XONADON</t>
        </is>
      </c>
      <c r="H15" s="99">
        <v>13.0</v>
      </c>
      <c r="I15" s="99">
        <v>9732853.79</v>
      </c>
      <c r="K15" s="98" t="inlineStr">
        <is>
          <t xml:space="preserve">Va'da berdi | shu hafta hal qilib berdi | 4630136.98630137 | 5102716.8</t>
        </is>
      </c>
    </row>
    <row r="16">
      <c r="A16" s="98" t="inlineStr">
        <is>
          <t xml:space="preserve">АНДИЖОН ВИЛОЯТИ</t>
        </is>
      </c>
      <c r="C16" s="98" t="inlineStr">
        <is>
          <t xml:space="preserve">Обещал</t>
        </is>
      </c>
      <c r="D16" s="98" t="inlineStr">
        <is>
          <t xml:space="preserve">Кр-99063505-1</t>
        </is>
      </c>
      <c r="E16" s="98" t="inlineStr">
        <is>
          <t xml:space="preserve">QORABOYEV XURSANBEK XXX</t>
        </is>
      </c>
      <c r="F16" s="98" t="inlineStr">
        <is>
          <t xml:space="preserve">+998950760759 SMS O’ZI, 998937805535 SMS QIZI, 998947861300 SMS O’G’LI, 998948630360 SMS AYOLI, 998932428771 SMS Tolovchi Azamat ,</t>
        </is>
      </c>
      <c r="G16" s="98" t="inlineStr">
        <is>
          <t xml:space="preserve">ANDIJON VILOYATI   ASAKA TUMANI NAMUNA BO’STON  MFY QIPCHOQ KO’CHASI  53-UY</t>
        </is>
      </c>
      <c r="H16" s="99">
        <v>10.0</v>
      </c>
      <c r="I16" s="99">
        <v>9187621.58</v>
      </c>
      <c r="K16" s="98" t="inlineStr">
        <is>
          <t xml:space="preserve">Va'da berdi | 18-19 kuni tolaydi | 3835616.438356164 | 5352005.14</t>
        </is>
      </c>
    </row>
    <row r="17">
      <c r="A17" s="98" t="inlineStr">
        <is>
          <t xml:space="preserve">АНДИЖОН ВИЛОЯТИ</t>
        </is>
      </c>
      <c r="C17" s="98" t="inlineStr">
        <is>
          <t xml:space="preserve">Обещал</t>
        </is>
      </c>
      <c r="D17" s="98" t="inlineStr">
        <is>
          <t xml:space="preserve">Кр-99033808-2</t>
        </is>
      </c>
      <c r="E17" s="98" t="inlineStr">
        <is>
          <t xml:space="preserve">NASIRDINOV MANOPJON PATTAYEVICH</t>
        </is>
      </c>
      <c r="F17" s="98" t="inlineStr">
        <is>
          <t xml:space="preserve">998931053080 SMS O’ZI meva sotadi , 998900000000 SMS, +998916126328 SMS O’ZI, 998916031864 SMS O’ZI2, 998943877760 SMS O’G’LI,</t>
        </is>
      </c>
      <c r="G17" s="98" t="inlineStr">
        <is>
          <t xml:space="preserve">ANDIJON VILOYATI ANDIJON TUMANI GUMBAZ MFY  SHODIYONA KO’CHASI 65-UY</t>
        </is>
      </c>
      <c r="H17" s="99">
        <v>10.0</v>
      </c>
      <c r="I17" s="99">
        <v>9130923.91</v>
      </c>
      <c r="K17" s="98" t="inlineStr">
        <is>
          <t xml:space="preserve">Va'da berdi | 25 gacha hal qiladi | 2739726.02739726 | 6391197.88</t>
        </is>
      </c>
    </row>
    <row r="18">
      <c r="A18" s="98" t="inlineStr">
        <is>
          <t xml:space="preserve">АНДИЖОН ВИЛОЯТИ</t>
        </is>
      </c>
      <c r="C18" s="98" t="inlineStr">
        <is>
          <t xml:space="preserve">Обещал</t>
        </is>
      </c>
      <c r="D18" s="98" t="inlineStr">
        <is>
          <t xml:space="preserve">Кр-99057460-1</t>
        </is>
      </c>
      <c r="E18" s="98" t="inlineStr">
        <is>
          <t xml:space="preserve">ONORBOY O’G’LI PULATJON XXX</t>
        </is>
      </c>
      <c r="F18" s="98" t="inlineStr">
        <is>
          <t xml:space="preserve">998953135155 SMS UZI, 998954616995 SMS AYOLI, 998902025254 SMS AKASI, 998772639874 SMS OPASI,</t>
        </is>
      </c>
      <c r="G18" s="98" t="inlineStr">
        <is>
          <t xml:space="preserve">ANDIJON VILOYATI QO’RG’ONTEPA TUMANI DARDOK, NAVOIY MFY YANGI OBOD KO’CHASI 334-UY</t>
        </is>
      </c>
      <c r="H18" s="99">
        <v>10.0</v>
      </c>
      <c r="I18" s="99">
        <v>9110715.32</v>
      </c>
      <c r="K18" s="98" t="inlineStr">
        <is>
          <t xml:space="preserve">Va'da berdi | oyni oxirigacha hal qiladi | 2739726.02739726 | 6370989.29</t>
        </is>
      </c>
    </row>
    <row r="19">
      <c r="A19" s="98" t="inlineStr">
        <is>
          <t xml:space="preserve">АНДИЖОН ВИЛОЯТИ</t>
        </is>
      </c>
      <c r="C19" s="98" t="inlineStr">
        <is>
          <t xml:space="preserve">Обещал</t>
        </is>
      </c>
      <c r="D19" s="98" t="inlineStr">
        <is>
          <t xml:space="preserve">Кр-99062903-1</t>
        </is>
      </c>
      <c r="E19" s="98" t="inlineStr">
        <is>
          <t xml:space="preserve">BAZARBAYEV ISMOILJON IBRAXIMOVICH</t>
        </is>
      </c>
      <c r="F19" s="98" t="inlineStr">
        <is>
          <t xml:space="preserve">+998902581505 SMS O’ZI, 998774300260 SMS AYOLI, 998932477040 SMS UY, 998943338444 SMS O’ZI 2,</t>
        </is>
      </c>
      <c r="G19" s="98" t="inlineStr">
        <is>
          <t xml:space="preserve">ANDIJON VILOYATI   ANDIJON SHAHAR XAMDO’STLIK MFY IFTIXOR KO’CHASI 64-UY</t>
        </is>
      </c>
      <c r="H19" s="99">
        <v>10.0</v>
      </c>
      <c r="I19" s="99">
        <v>9070252.55</v>
      </c>
      <c r="K19" s="98" t="inlineStr">
        <is>
          <t xml:space="preserve">Va'da berdi | 19-20 kuni hal qiladi | 3287671.2328767125 | 5782581.32</t>
        </is>
      </c>
    </row>
    <row r="20">
      <c r="A20" s="98" t="inlineStr">
        <is>
          <t xml:space="preserve">АНДИЖОН ВИЛОЯТИ</t>
        </is>
      </c>
      <c r="C20" s="98" t="inlineStr">
        <is>
          <t xml:space="preserve">Обещал</t>
        </is>
      </c>
      <c r="D20" s="98" t="inlineStr">
        <is>
          <t xml:space="preserve">Кр-99061829-1</t>
        </is>
      </c>
      <c r="E20" s="98" t="inlineStr">
        <is>
          <t xml:space="preserve">JO’RAYEV BAXTIYAR BAZAROVICH</t>
        </is>
      </c>
      <c r="F20" s="98" t="inlineStr">
        <is>
          <t xml:space="preserve">998994380553 ozi, 998944172190 ayoli, 998500450753 ogli,</t>
        </is>
      </c>
      <c r="G20" s="98" t="inlineStr">
        <is>
          <t xml:space="preserve">Манзил: ANDIJON VILOYATI ASAKA TUMANI FAROVON MFY UZUN KO’CHASI 64-UY</t>
        </is>
      </c>
      <c r="H20" s="99">
        <v>10.0</v>
      </c>
      <c r="I20" s="99">
        <v>9054359.33</v>
      </c>
      <c r="K20" s="98" t="inlineStr">
        <is>
          <t xml:space="preserve">Va'da berdi | dushanba kuni tolaydi | 2739726.02739726 | 6314633.3</t>
        </is>
      </c>
    </row>
    <row r="21">
      <c r="A21" s="98" t="inlineStr">
        <is>
          <t xml:space="preserve">АНДИЖОН ВИЛОЯТИ</t>
        </is>
      </c>
      <c r="C21" s="98" t="inlineStr">
        <is>
          <t xml:space="preserve">Обещал</t>
        </is>
      </c>
      <c r="D21" s="98" t="inlineStr">
        <is>
          <t xml:space="preserve">Кр-99050885-1</t>
        </is>
      </c>
      <c r="E21" s="98" t="inlineStr">
        <is>
          <t xml:space="preserve">TAYLAKOVA MA’MURAXON NEMATJANOVNA</t>
        </is>
      </c>
      <c r="F21" s="98" t="inlineStr">
        <is>
          <t xml:space="preserve">998501951880 SMS OZI, 998941173187 SMS UAKSI, 998936318477 SMS SINGLISI, 998970174417 SMS KELINI,</t>
        </is>
      </c>
      <c r="G21" s="98" t="inlineStr">
        <is>
          <t xml:space="preserve">ANDIJON VILOYATI ANDIJON SHAHAR BUNYODKOR MFY QO’SH ARIQ DAXASI 46-UY  31-XONADON</t>
        </is>
      </c>
      <c r="H21" s="99">
        <v>10.0</v>
      </c>
      <c r="I21" s="99">
        <v>9000036.89</v>
      </c>
      <c r="K21" s="98" t="inlineStr">
        <is>
          <t xml:space="preserve">Va'da berdi | dushanba seshanba kuni | 2739726.02739726 | 6260310.86</t>
        </is>
      </c>
    </row>
    <row r="22">
      <c r="A22" s="98" t="inlineStr">
        <is>
          <t xml:space="preserve">АНДИЖОН ВИЛОЯТИ</t>
        </is>
      </c>
      <c r="C22" s="98" t="inlineStr">
        <is>
          <t xml:space="preserve">Обещал</t>
        </is>
      </c>
      <c r="D22" s="98" t="inlineStr">
        <is>
          <t xml:space="preserve">Кр-99044950-1</t>
        </is>
      </c>
      <c r="E22" s="98" t="inlineStr">
        <is>
          <t xml:space="preserve">MAMAYUNUSOV SOBIRJON YUSUPOVICH</t>
        </is>
      </c>
      <c r="F22" s="98" t="inlineStr">
        <is>
          <t xml:space="preserve">+998903831002 SMS O’ZI, 998500448004 SMS O’ZI2, 998902202308 SMS QIZI, 998910697782 SMS XO’JAYNI,</t>
        </is>
      </c>
      <c r="G22" s="98" t="inlineStr">
        <is>
          <t xml:space="preserve">АНДИЖОН ВИЛОЯТИ МАРХАМАТ ТУМАНИ ГУЛИСТОН МФЙ, ФИДОКОР КЎЧАСИ,  uy:Р/С</t>
        </is>
      </c>
      <c r="H22" s="99">
        <v>13.0</v>
      </c>
      <c r="I22" s="99">
        <v>8994448.49</v>
      </c>
      <c r="K22" s="98" t="inlineStr">
        <is>
          <t xml:space="preserve">Va'da berdi | shu hafta hal qilib berdi | 3205479.452054795 | 5788969.04</t>
        </is>
      </c>
    </row>
    <row r="23">
      <c r="A23" s="98" t="inlineStr">
        <is>
          <t xml:space="preserve">АНДИЖОН ВИЛОЯТИ</t>
        </is>
      </c>
      <c r="C23" s="98" t="inlineStr">
        <is>
          <t xml:space="preserve">Обещал</t>
        </is>
      </c>
      <c r="D23" s="98" t="inlineStr">
        <is>
          <t xml:space="preserve">Кр-99063433-1</t>
        </is>
      </c>
      <c r="E23" s="98" t="inlineStr">
        <is>
          <t xml:space="preserve">MAMIROV SHAVKATBEK BURIBAYEVICH</t>
        </is>
      </c>
      <c r="F23" s="98" t="inlineStr">
        <is>
          <t xml:space="preserve">+998914753616 SMS O’ZI, 998774111767 SMS AYOLI, 998902076067 SMS KELINI, 998905536067 SMS O’G’LI,</t>
        </is>
      </c>
      <c r="G23" s="98" t="inlineStr">
        <is>
          <t xml:space="preserve">ANDIJON VILOYATI ANDIJON TUMANI TOSHLOQ  MFY, MIRZA  KO’CHASI 798-UY</t>
        </is>
      </c>
      <c r="H23" s="99">
        <v>10.0</v>
      </c>
      <c r="I23" s="99">
        <v>8973303.25</v>
      </c>
      <c r="K23" s="98" t="inlineStr">
        <is>
          <t xml:space="preserve">Va'da berdi | oyni oxirigacha hal qiladi | 2739726.02739726 | 6233577.22</t>
        </is>
      </c>
    </row>
    <row r="24">
      <c r="A24" s="98" t="inlineStr">
        <is>
          <t xml:space="preserve">АНДИЖОН ВИЛОЯТИ</t>
        </is>
      </c>
      <c r="C24" s="98" t="inlineStr">
        <is>
          <t xml:space="preserve">Обещал</t>
        </is>
      </c>
      <c r="D24" s="98" t="inlineStr">
        <is>
          <t xml:space="preserve">Кр-99033504-1</t>
        </is>
      </c>
      <c r="E24" s="98" t="inlineStr">
        <is>
          <t xml:space="preserve">NIYAZOV XAYBATULLA BURXANOVICH</t>
        </is>
      </c>
      <c r="F24" s="98" t="inlineStr">
        <is>
          <t xml:space="preserve">998979926505 SMS OZI, 998501881794 SMS O'G'LI, 998951679511 SMS KELINI, 998507199794 SMS QIZI,</t>
        </is>
      </c>
      <c r="G24" s="98" t="inlineStr">
        <is>
          <t xml:space="preserve">ANDIJON VILOYATI ASAKA TUMANI QADRIYAT MFY HUMO KO’CHASI 39-UY 28- XONADON</t>
        </is>
      </c>
      <c r="H24" s="99">
        <v>10.0</v>
      </c>
      <c r="I24" s="99">
        <v>8118559.84</v>
      </c>
      <c r="K24" s="98" t="inlineStr">
        <is>
          <t xml:space="preserve">Va'da berdi | 25 gacha hal qiladi | 2465753.4246575343 | 5652806.42</t>
        </is>
      </c>
    </row>
    <row r="25">
      <c r="A25" s="98" t="inlineStr">
        <is>
          <t xml:space="preserve">АНДИЖОН ВИЛОЯТИ</t>
        </is>
      </c>
      <c r="C25" s="98" t="inlineStr">
        <is>
          <t xml:space="preserve">Обещал</t>
        </is>
      </c>
      <c r="D25" s="98" t="inlineStr">
        <is>
          <t xml:space="preserve">Кр-99039487-1</t>
        </is>
      </c>
      <c r="E25" s="98" t="inlineStr">
        <is>
          <t xml:space="preserve">USMANOV RAXMANALI XXX</t>
        </is>
      </c>
      <c r="F25" s="98" t="inlineStr">
        <is>
          <t xml:space="preserve">998507778257 SMS OZI, 998949595701 SMS AYOLI, 998330880202 SMS OGLI, 998505081800 SMS KELINI,</t>
        </is>
      </c>
      <c r="G25" s="98" t="inlineStr">
        <is>
          <t xml:space="preserve">ANDIJON VILOYATI JALOLQUDUQ TUMANI OLMAZOR MFY OTASHKALB KO’CHASI 26-UY </t>
        </is>
      </c>
      <c r="H25" s="99">
        <v>7.0</v>
      </c>
      <c r="I25" s="99">
        <v>7796182.37</v>
      </c>
      <c r="K25" s="98" t="inlineStr">
        <is>
          <t xml:space="preserve">Va'da berdi | oyni oxirigacha hal qiladi | 1917808.2191780822 | 5878374.15</t>
        </is>
      </c>
    </row>
    <row r="26">
      <c r="A26" s="98" t="inlineStr">
        <is>
          <t xml:space="preserve">АНДИЖОН ВИЛОЯТИ</t>
        </is>
      </c>
      <c r="C26" s="98" t="inlineStr">
        <is>
          <t xml:space="preserve">Обещал</t>
        </is>
      </c>
      <c r="D26" s="98" t="inlineStr">
        <is>
          <t xml:space="preserve">Кр-99029251-1</t>
        </is>
      </c>
      <c r="E26" s="98" t="inlineStr">
        <is>
          <t xml:space="preserve">XAKIMOV DOSTONBEK INOMJON O’G’LI</t>
        </is>
      </c>
      <c r="F26" s="98" t="inlineStr">
        <is>
          <t xml:space="preserve">998999212231 SMS uzi new raqami, 998933989897 SMS begana tanimidi!, 998903703633 SMS,</t>
        </is>
      </c>
      <c r="G26" s="98" t="inlineStr">
        <is>
          <t xml:space="preserve">ANDIJON VILOYATI ANDIJON TUMAN</t>
        </is>
      </c>
      <c r="H26" s="99">
        <v>9.0</v>
      </c>
      <c r="I26" s="99">
        <v>7793738.37</v>
      </c>
      <c r="K26" s="98" t="inlineStr">
        <is>
          <t xml:space="preserve">Va'da berdi | Farrux aka hal qiladi | 3378082.1917808224 | 4415656.18</t>
        </is>
      </c>
    </row>
    <row r="27">
      <c r="A27" s="98" t="inlineStr">
        <is>
          <t xml:space="preserve">АНДИЖОН ВИЛОЯТИ</t>
        </is>
      </c>
      <c r="C27" s="98" t="inlineStr">
        <is>
          <t xml:space="preserve">Обещал</t>
        </is>
      </c>
      <c r="D27" s="98" t="inlineStr">
        <is>
          <t xml:space="preserve">Кр-99034252-1</t>
        </is>
      </c>
      <c r="E27" s="98" t="inlineStr">
        <is>
          <t xml:space="preserve">ESONOV RAVSHAN XOLDAROVICH</t>
        </is>
      </c>
      <c r="F27" s="98" t="inlineStr">
        <is>
          <t xml:space="preserve">998501043170 SMS O’ZI, 998887711099 SMS AYOLI, 998990891219 SMS JIYANI, 998979817500 SMS  I  OZI EKAN ,</t>
        </is>
      </c>
      <c r="G27" s="98" t="inlineStr">
        <is>
          <t xml:space="preserve">ANDIJON VILOYATI SHAXRIXON TUMANI NAYNAVO MFY QORABO’YIN 2 KO’CHASI 39-UY</t>
        </is>
      </c>
      <c r="H27" s="99">
        <v>10.0</v>
      </c>
      <c r="I27" s="99">
        <v>7540541.12</v>
      </c>
      <c r="K27" s="98" t="inlineStr">
        <is>
          <t xml:space="preserve">Va'da berdi | bugun hal qiladi | 2465753.4246575343 | 5074787.7</t>
        </is>
      </c>
    </row>
    <row r="28">
      <c r="A28" s="98" t="inlineStr">
        <is>
          <t xml:space="preserve">АНДИЖОН ВИЛОЯТИ</t>
        </is>
      </c>
      <c r="C28" s="98" t="inlineStr">
        <is>
          <t xml:space="preserve">Обещал</t>
        </is>
      </c>
      <c r="D28" s="98" t="inlineStr">
        <is>
          <t xml:space="preserve">Кр-99052625-1</t>
        </is>
      </c>
      <c r="E28" s="98" t="inlineStr">
        <is>
          <t xml:space="preserve">SHAMATOVA MAXMUDAXON UMIDJON QIZI</t>
        </is>
      </c>
      <c r="F28" s="98" t="inlineStr">
        <is>
          <t xml:space="preserve">998916120121 SMS OZI, 998885937444 SMS ONASI, 998889680010 SMS OTASI, 998907585855 SMS OPASI,</t>
        </is>
      </c>
      <c r="G28" s="98" t="inlineStr">
        <is>
          <t xml:space="preserve">ANDIJON VILOYATI ANDIJON TUMANI SADDATAGI MFY CHEK KO’CHASI 87-UY</t>
        </is>
      </c>
      <c r="H28" s="99">
        <v>10.0</v>
      </c>
      <c r="I28" s="99">
        <v>7296127.05</v>
      </c>
      <c r="K28" s="98" t="inlineStr">
        <is>
          <t xml:space="preserve">Va'da berdi | dushanba kuni tolaydi | 2191780.821917808 | 5104346.23</t>
        </is>
      </c>
    </row>
    <row r="29">
      <c r="A29" s="98" t="inlineStr">
        <is>
          <t xml:space="preserve">АНДИЖОН ВИЛОЯТИ</t>
        </is>
      </c>
      <c r="C29" s="98" t="inlineStr">
        <is>
          <t xml:space="preserve">Обещал</t>
        </is>
      </c>
      <c r="D29" s="98" t="inlineStr">
        <is>
          <t xml:space="preserve">Кр-99034299-2</t>
        </is>
      </c>
      <c r="E29" s="98" t="inlineStr">
        <is>
          <t xml:space="preserve">MAMADALIYEVA ZUXRAXON BAXROMOVNA</t>
        </is>
      </c>
      <c r="F29" s="98" t="inlineStr">
        <is>
          <t xml:space="preserve">998979939062 SMS TOLOVCHI, 998889990036 SMS OGLI, 998889991060 SMS OGLI, 998999722052 SMS OZI,</t>
        </is>
      </c>
      <c r="G29" s="98" t="inlineStr">
        <is>
          <t xml:space="preserve">ANDIJON VILOYATI ASAKA TUMANI CHEK MFY, FARG’ONA KATTA YO’LI KO’CHASI </t>
        </is>
      </c>
      <c r="H29" s="99">
        <v>10.0</v>
      </c>
      <c r="I29" s="99">
        <v>7295193.02</v>
      </c>
      <c r="K29" s="98" t="inlineStr">
        <is>
          <t xml:space="preserve">Va'da berdi | 25 kuni tolaydi | 2191780.821917808 | 5103412.2</t>
        </is>
      </c>
    </row>
    <row r="30">
      <c r="A30" s="98" t="inlineStr">
        <is>
          <t xml:space="preserve">АНДИЖОН ВИЛОЯТИ</t>
        </is>
      </c>
      <c r="C30" s="98" t="inlineStr">
        <is>
          <t xml:space="preserve">Обещал</t>
        </is>
      </c>
      <c r="D30" s="98" t="inlineStr">
        <is>
          <t xml:space="preserve">Кр-99057367-1</t>
        </is>
      </c>
      <c r="E30" s="98" t="inlineStr">
        <is>
          <t xml:space="preserve">ERGASHEVA DILBARXON XXX</t>
        </is>
      </c>
      <c r="F30" s="98" t="inlineStr">
        <is>
          <t xml:space="preserve">998955529082 SMS O’ZI TO’LOVCHI, 998935483685 SMS AYOLI, 998950107819 SMS OGLI, 998914993298 SMS QIZI,</t>
        </is>
      </c>
      <c r="G30" s="98" t="inlineStr">
        <is>
          <t xml:space="preserve">ANDIJON VILOYATI BULOQBOSHI TUMANI UCHKO’CHA  MFY PESHQADAM KO’CHASI 6-UY</t>
        </is>
      </c>
      <c r="H30" s="99">
        <v>10.0</v>
      </c>
      <c r="I30" s="99">
        <v>7288928.87</v>
      </c>
      <c r="K30" s="98" t="inlineStr">
        <is>
          <t xml:space="preserve">Va'da berdi | bolib bolib tolov qiladi ekan | 2191780.821917808 | 5097148.05</t>
        </is>
      </c>
    </row>
    <row r="31">
      <c r="A31" s="98" t="inlineStr">
        <is>
          <t xml:space="preserve">АНДИЖОН ВИЛОЯТИ</t>
        </is>
      </c>
      <c r="C31" s="98" t="inlineStr">
        <is>
          <t xml:space="preserve">Обещал</t>
        </is>
      </c>
      <c r="D31" s="98" t="inlineStr">
        <is>
          <t xml:space="preserve">Кр-99062778-2</t>
        </is>
      </c>
      <c r="E31" s="98" t="inlineStr">
        <is>
          <t xml:space="preserve">SODIQOV KOMOLDIN USMONOVICH</t>
        </is>
      </c>
      <c r="F31" s="98" t="inlineStr">
        <is>
          <t xml:space="preserve">+998979727278 SMS O’G’LI TO’LOVCHI, 998772987278 SMS AYOLI, 998930657161 SMS O’ZI, 998947060694 SMS QIZI,</t>
        </is>
      </c>
      <c r="G31" s="98" t="inlineStr">
        <is>
          <t xml:space="preserve">ANDIJON VILOYATI  OLTINKO’L TUMANI TEMIRXO’JA MFY TEMIRXO’JA KO’CHASI 638-UY</t>
        </is>
      </c>
      <c r="H31" s="99">
        <v>10.0</v>
      </c>
      <c r="I31" s="99">
        <v>7277792.0</v>
      </c>
      <c r="K31" s="98" t="inlineStr">
        <is>
          <t xml:space="preserve">Va'da berdi | 25 kunga hal qiladi | 2191780.821917808 | 5086011.18</t>
        </is>
      </c>
    </row>
    <row r="32">
      <c r="A32" s="98" t="inlineStr">
        <is>
          <t xml:space="preserve">АНДИЖОН ВИЛОЯТИ</t>
        </is>
      </c>
      <c r="C32" s="98" t="inlineStr">
        <is>
          <t xml:space="preserve">Обещал</t>
        </is>
      </c>
      <c r="D32" s="98" t="inlineStr">
        <is>
          <t xml:space="preserve">Кр-99062881-1</t>
        </is>
      </c>
      <c r="E32" s="98" t="inlineStr">
        <is>
          <t xml:space="preserve">DJALILOVA SAXIBAXON XAMIDJANOVNA</t>
        </is>
      </c>
      <c r="F32" s="98" t="inlineStr">
        <is>
          <t xml:space="preserve">+998945131961 SMS O’ZI, 998933171152 SMS KELINI, 998934373105 SMS XO’JAYNI, 998998439222 SMS O’G’LI,</t>
        </is>
      </c>
      <c r="G32" s="98" t="inlineStr">
        <is>
          <t xml:space="preserve">ANDIJON VILOYATI   OLTINKO’L TUMANI ITTIFOQ MFY QO’RG’ONCHA KO’CH ASI 32-UY</t>
        </is>
      </c>
      <c r="H32" s="99">
        <v>10.0</v>
      </c>
      <c r="I32" s="99">
        <v>7222772.25</v>
      </c>
      <c r="K32" s="98" t="inlineStr">
        <is>
          <t xml:space="preserve">Va'da berdi | dushanba kuni tolaydi | 3013698.6301369863 | 4209073.62</t>
        </is>
      </c>
    </row>
    <row r="33">
      <c r="A33" s="98" t="inlineStr">
        <is>
          <t xml:space="preserve">АНДИЖОН ВИЛОЯТИ</t>
        </is>
      </c>
      <c r="C33" s="98" t="inlineStr">
        <is>
          <t xml:space="preserve">Обещал</t>
        </is>
      </c>
      <c r="D33" s="98" t="inlineStr">
        <is>
          <t xml:space="preserve">Кр-99060311-1</t>
        </is>
      </c>
      <c r="E33" s="98" t="inlineStr">
        <is>
          <t xml:space="preserve">TURSUNALIYEVA XAYITXON MARIPJON QIZI</t>
        </is>
      </c>
      <c r="F33" s="98" t="inlineStr">
        <is>
          <t xml:space="preserve">998940628884 узи, 998936112423 синглиси, 998934012272 кизи, 998501854188 угли,</t>
        </is>
      </c>
      <c r="G33" s="98" t="inlineStr">
        <is>
          <t xml:space="preserve">ANDIJON VILOYATI</t>
        </is>
      </c>
      <c r="H33" s="99">
        <v>10.0</v>
      </c>
      <c r="I33" s="99">
        <v>7200879.93</v>
      </c>
      <c r="K33" s="98" t="inlineStr">
        <is>
          <t xml:space="preserve">Va'da berdi | 20 kunga hal qiladi | 2191780.821917808 | 5009099.11</t>
        </is>
      </c>
    </row>
    <row r="34">
      <c r="A34" s="98" t="inlineStr">
        <is>
          <t xml:space="preserve">АНДИЖОН ВИЛОЯТИ</t>
        </is>
      </c>
      <c r="C34" s="98" t="inlineStr">
        <is>
          <t xml:space="preserve">Обещал</t>
        </is>
      </c>
      <c r="D34" s="98" t="inlineStr">
        <is>
          <t xml:space="preserve">Кр-99029097-1</t>
        </is>
      </c>
      <c r="E34" s="98" t="inlineStr">
        <is>
          <t xml:space="preserve">MAVLANOVA MUXAYYOXON KAXARDJANOVNA</t>
        </is>
      </c>
      <c r="F34" s="98" t="inlineStr">
        <is>
          <t xml:space="preserve">95-988-30-07  SMS TO’LOVCHI, 90-766-61-62  SMS AYOLI, 99-340-57-54  SMS O’G’LI, 90-763-53-23-  SMS O’G’LI, 998772484980 SMS opasi  tolovchi new,</t>
        </is>
      </c>
      <c r="G34" s="98" t="inlineStr">
        <is>
          <t xml:space="preserve">ANDIJON VILOYATI ANDIJON SHAHAR OBOD MFY LOYIXAVIY KO’CHASI 3B-UY</t>
        </is>
      </c>
      <c r="H34" s="99">
        <v>14.0</v>
      </c>
      <c r="I34" s="99">
        <v>7012705.24</v>
      </c>
      <c r="K34" s="98" t="inlineStr">
        <is>
          <t xml:space="preserve">Va'da berdi | oyni oxirigacha hal qiladi | 3068493.1506849313 | 3944212.09</t>
        </is>
      </c>
    </row>
    <row r="35">
      <c r="A35" s="98" t="inlineStr">
        <is>
          <t xml:space="preserve">АНДИЖОН ВИЛОЯТИ</t>
        </is>
      </c>
      <c r="C35" s="98" t="inlineStr">
        <is>
          <t xml:space="preserve">Обещал</t>
        </is>
      </c>
      <c r="D35" s="98" t="inlineStr">
        <is>
          <t xml:space="preserve">Кр-99039938-1</t>
        </is>
      </c>
      <c r="E35" s="98" t="inlineStr">
        <is>
          <t xml:space="preserve">YULDASHEV RAFIK PAZILOVICH</t>
        </is>
      </c>
      <c r="F35" s="98" t="inlineStr">
        <is>
          <t xml:space="preserve">998777547848 SMS OZI  zargarlik agentligida yurist bolib iwlid , 998888380020 SMS QIZI, 998905459367 SMS ONASI, 998903808282 SMS AKASI,</t>
        </is>
      </c>
      <c r="G35" s="98" t="inlineStr">
        <is>
          <t xml:space="preserve">ANDIJON VILOYATI ANDIJON SHAXAR YAXSHI MFY, KOLXOZCHI  KO’CHASI 38-UY</t>
        </is>
      </c>
      <c r="H35" s="99">
        <v>10.0</v>
      </c>
      <c r="I35" s="99">
        <v>6924498.88</v>
      </c>
      <c r="K35" s="98" t="inlineStr">
        <is>
          <t xml:space="preserve">Va'da berdi | dushanba kunga | 2054794.5205479453 | 4869704.36</t>
        </is>
      </c>
    </row>
    <row r="36">
      <c r="A36" s="98" t="inlineStr">
        <is>
          <t xml:space="preserve">АНДИЖОН ВИЛОЯТИ</t>
        </is>
      </c>
      <c r="C36" s="98" t="inlineStr">
        <is>
          <t xml:space="preserve">Обещал</t>
        </is>
      </c>
      <c r="D36" s="98" t="inlineStr">
        <is>
          <t xml:space="preserve">Кр-99046576-1</t>
        </is>
      </c>
      <c r="E36" s="98" t="inlineStr">
        <is>
          <t xml:space="preserve">MAMADALIYEV SANJAR MURATOVICH</t>
        </is>
      </c>
      <c r="F36" s="98" t="inlineStr">
        <is>
          <t xml:space="preserve">+998945966091 SMS O’ZI, 998901474044 SMS QO’SHNISI ISLOMBEK, 998938061719 SMS AYOLI, 998952319791 SMS UKASI,</t>
        </is>
      </c>
      <c r="G36" s="98" t="inlineStr">
        <is>
          <t xml:space="preserve">Andijon viloyati Xo’jaobod tumani Quvvatmurod MFY Yangi xayot ko’chasi 115-uy</t>
        </is>
      </c>
      <c r="H36" s="99">
        <v>10.0</v>
      </c>
      <c r="I36" s="99">
        <v>6753523.52</v>
      </c>
      <c r="K36" s="98" t="inlineStr">
        <is>
          <t xml:space="preserve">Va'da berdi | 19-20 kuni hal qiladi | 2054794.5205479453 | 4698729</t>
        </is>
      </c>
    </row>
    <row r="37">
      <c r="A37" s="98" t="inlineStr">
        <is>
          <t xml:space="preserve">АНДИЖОН ВИЛОЯТИ</t>
        </is>
      </c>
      <c r="C37" s="98" t="inlineStr">
        <is>
          <t xml:space="preserve">Обещал</t>
        </is>
      </c>
      <c r="D37" s="98" t="inlineStr">
        <is>
          <t xml:space="preserve">Кр-99063371-1</t>
        </is>
      </c>
      <c r="E37" s="98" t="inlineStr">
        <is>
          <t xml:space="preserve">MANSUROVA MUKADDAMXON ASHURALIYEVNA</t>
        </is>
      </c>
      <c r="F37" s="98" t="inlineStr">
        <is>
          <t xml:space="preserve">+998914860919 SMS O’ZI, 998507065046 SMS KELINI, 998884720998 SMS O’G’LI, 998970993737 SMS O’G’LI,</t>
        </is>
      </c>
      <c r="G37" s="98" t="inlineStr">
        <is>
          <t xml:space="preserve">ANDIJON VILOYATI  ANDIJON SHAHAR JUMABOZOR  MFY SOY KO’CHASI  20-UY</t>
        </is>
      </c>
      <c r="H37" s="99">
        <v>10.0</v>
      </c>
      <c r="I37" s="99">
        <v>6693541.0</v>
      </c>
      <c r="K37" s="98" t="inlineStr">
        <is>
          <t xml:space="preserve">Va'da berdi | seshanba kuni tolaydi | 2191780.821917808 | 4501760.18</t>
        </is>
      </c>
    </row>
    <row r="38">
      <c r="A38" s="98" t="inlineStr">
        <is>
          <t xml:space="preserve">АНДИЖОН ВИЛОЯТИ</t>
        </is>
      </c>
      <c r="C38" s="98" t="inlineStr">
        <is>
          <t xml:space="preserve">Обещал</t>
        </is>
      </c>
      <c r="D38" s="98" t="inlineStr">
        <is>
          <t xml:space="preserve">Кр-99037429-1</t>
        </is>
      </c>
      <c r="E38" s="98" t="inlineStr">
        <is>
          <t xml:space="preserve">JO’RAYEV SHAVKATJON NUMANOVICH</t>
        </is>
      </c>
      <c r="F38" s="98" t="inlineStr">
        <is>
          <t xml:space="preserve">998972323399 SMS OZI, 998940157478 SMS AYOLI, 998335801253 SMS O’G’LI, 998330381253 SMS QIZI,</t>
        </is>
      </c>
      <c r="G38" s="98" t="inlineStr">
        <is>
          <t xml:space="preserve">ANDIJON VILOYATI ASAKA TUMANI YANGISOR MFY YANGISOR KO’CHASI 162-UY</t>
        </is>
      </c>
      <c r="H38" s="99">
        <v>1.0</v>
      </c>
      <c r="I38" s="99">
        <v>6562333.5</v>
      </c>
      <c r="K38" s="98" t="inlineStr">
        <is>
          <t xml:space="preserve">Va'da berdi | bugun kechga yoki ertaga hal qiladi | 273972.602739726 | 6288360.9</t>
        </is>
      </c>
    </row>
    <row r="39">
      <c r="A39" s="98" t="inlineStr">
        <is>
          <t xml:space="preserve">АНДИЖОН ВИЛОЯТИ</t>
        </is>
      </c>
      <c r="C39" s="98" t="inlineStr">
        <is>
          <t xml:space="preserve">Обещал</t>
        </is>
      </c>
      <c r="D39" s="98" t="inlineStr">
        <is>
          <t xml:space="preserve">Кр-99056908-1</t>
        </is>
      </c>
      <c r="E39" s="98" t="inlineStr">
        <is>
          <t xml:space="preserve">ERKINOV MUHAMMADBILOL TO’LQINBOY O’G’LI</t>
        </is>
      </c>
      <c r="F39" s="98" t="inlineStr">
        <is>
          <t xml:space="preserve">998958783737 SMS OZI, 998706027002 SSMS OZI , 998959297262 SMS OZI 2,</t>
        </is>
      </c>
      <c r="G39" s="98" t="inlineStr">
        <is>
          <t xml:space="preserve">ANDIJON VILOYATI ASAKA TUMANI FIDOKOR MFY TINCHLIK 7-UY</t>
        </is>
      </c>
      <c r="H39" s="99">
        <v>10.0</v>
      </c>
      <c r="I39" s="99">
        <v>6360352.23</v>
      </c>
      <c r="K39" s="98" t="inlineStr">
        <is>
          <t xml:space="preserve">Va'da berdi | oyni oxirigacha hal qiladi | 1917808.219178082 | 4442544.01</t>
        </is>
      </c>
    </row>
    <row r="40">
      <c r="A40" s="98" t="inlineStr">
        <is>
          <t xml:space="preserve">АНДИЖОН ВИЛОЯТИ</t>
        </is>
      </c>
      <c r="C40" s="98" t="inlineStr">
        <is>
          <t xml:space="preserve">Обещал</t>
        </is>
      </c>
      <c r="D40" s="98" t="inlineStr">
        <is>
          <t xml:space="preserve">Кр-99054551-1</t>
        </is>
      </c>
      <c r="E40" s="98" t="inlineStr">
        <is>
          <t xml:space="preserve">BADALOV ANVAR QAMALOVICH</t>
        </is>
      </c>
      <c r="F40" s="98" t="inlineStr">
        <is>
          <t xml:space="preserve">998959116333 SMS OZI, 998996446624 SMS UKASI, 998958384047 SMS AYOLI, 998507262580 SMS OGLI,</t>
        </is>
      </c>
      <c r="G40" s="98" t="inlineStr">
        <is>
          <t xml:space="preserve">ANDIJON VILOYATI XO’JAOBOD TUMANI YUKSALISH MFY YANGI CHEK KO’CHASI 85-UY</t>
        </is>
      </c>
      <c r="H40" s="99">
        <v>10.0</v>
      </c>
      <c r="I40" s="99">
        <v>6317896.76</v>
      </c>
      <c r="K40" s="98" t="inlineStr">
        <is>
          <t xml:space="preserve">Va'da berdi | shu hafta hal qilib berdi | 1917808.219178082 | 4400088.54</t>
        </is>
      </c>
    </row>
    <row r="41">
      <c r="A41" s="98" t="inlineStr">
        <is>
          <t xml:space="preserve">АНДИЖОН ВИЛОЯТИ</t>
        </is>
      </c>
      <c r="C41" s="98" t="inlineStr">
        <is>
          <t xml:space="preserve">Обещал</t>
        </is>
      </c>
      <c r="D41" s="98" t="inlineStr">
        <is>
          <t xml:space="preserve">Кр-99062620-1</t>
        </is>
      </c>
      <c r="E41" s="98" t="inlineStr">
        <is>
          <t xml:space="preserve">TURSUNOVA YORQINOY TOYIRJONOVNA</t>
        </is>
      </c>
      <c r="F41" s="98" t="inlineStr">
        <is>
          <t xml:space="preserve">998936072012 SMS OZI, 998936031220 SMS OGLI, 998889639939 SMS OGLI, 998500725253 SMS SINGLISI,</t>
        </is>
      </c>
      <c r="G41" s="98" t="inlineStr">
        <is>
          <t xml:space="preserve">ANDIJON VILOYATI XO’JAOBOD TUMANI MUSTAQILLIKNING 27 YILLIGI MFY BOBUR  KO’CHASI 116-UY</t>
        </is>
      </c>
      <c r="H41" s="99">
        <v>15.0</v>
      </c>
      <c r="I41" s="99">
        <v>6271610.16</v>
      </c>
      <c r="K41" s="98" t="inlineStr">
        <is>
          <t xml:space="preserve">Va'da berdi | oyni oxirigacha hal qiladi | 3287671.2328767125 | 2983938.93</t>
        </is>
      </c>
    </row>
    <row r="42">
      <c r="A42" s="98" t="inlineStr">
        <is>
          <t xml:space="preserve">АНДИЖОН ВИЛОЯТИ</t>
        </is>
      </c>
      <c r="C42" s="98" t="inlineStr">
        <is>
          <t xml:space="preserve">Обещал</t>
        </is>
      </c>
      <c r="D42" s="98" t="inlineStr">
        <is>
          <t xml:space="preserve">Кр-99045554-1</t>
        </is>
      </c>
      <c r="E42" s="98" t="inlineStr">
        <is>
          <t xml:space="preserve">G’OFUROV ABDULLAJON OMONOVICH</t>
        </is>
      </c>
      <c r="F42" s="98" t="inlineStr">
        <is>
          <t xml:space="preserve">998934395830 SMS TO’LOVCHI, 998939735040 SMS AYYOLI, 998941060696 SMS O’ZI, 998944395830 SMS TO’LOVCHI,</t>
        </is>
      </c>
      <c r="G42" s="98" t="inlineStr">
        <is>
          <t xml:space="preserve">Сегаза МФЙ, Сегаза кучаси, 109-уй</t>
        </is>
      </c>
      <c r="H42" s="99">
        <v>14.0</v>
      </c>
      <c r="I42" s="99">
        <v>6226181.42</v>
      </c>
      <c r="K42" s="98" t="inlineStr">
        <is>
          <t xml:space="preserve">Va'da berdi | dushanba kunga | 1726027.397260274 | 4500154.02</t>
        </is>
      </c>
    </row>
    <row r="43">
      <c r="A43" s="98" t="inlineStr">
        <is>
          <t xml:space="preserve">АНДИЖОН ВИЛОЯТИ</t>
        </is>
      </c>
      <c r="C43" s="98" t="inlineStr">
        <is>
          <t xml:space="preserve">Обещал</t>
        </is>
      </c>
      <c r="D43" s="98" t="inlineStr">
        <is>
          <t xml:space="preserve">Кр-99041352-1</t>
        </is>
      </c>
      <c r="E43" s="98" t="inlineStr">
        <is>
          <t xml:space="preserve">AXMEDOVA UMIDA XOSHIMOVNA</t>
        </is>
      </c>
      <c r="F43" s="98" t="inlineStr">
        <is>
          <t xml:space="preserve">998950163403 SMS OZI, 998200102787 SMS QIZI, 998907602802 SMS OGLI, 998905287820 SMS KELINI,</t>
        </is>
      </c>
      <c r="G43" s="98" t="inlineStr">
        <is>
          <t xml:space="preserve">ANDIJON VILOYATI BALOQCHI TUMANI BOTIR MFY, D. TOJIBOYEV KO’CHASI 15-UY</t>
        </is>
      </c>
      <c r="H43" s="99">
        <v>10.0</v>
      </c>
      <c r="I43" s="99">
        <v>5926187.99</v>
      </c>
      <c r="K43" s="98" t="inlineStr">
        <is>
          <t xml:space="preserve">Va'da berdi | 20 gacha hal qiladi | 1780821.917808219 | 4145366.07</t>
        </is>
      </c>
    </row>
    <row r="44">
      <c r="A44" s="98" t="inlineStr">
        <is>
          <t xml:space="preserve">АНДИЖОН ВИЛОЯТИ</t>
        </is>
      </c>
      <c r="C44" s="98" t="inlineStr">
        <is>
          <t xml:space="preserve">Обещал</t>
        </is>
      </c>
      <c r="D44" s="98" t="inlineStr">
        <is>
          <t xml:space="preserve">Кр-99041175-1</t>
        </is>
      </c>
      <c r="E44" s="98" t="inlineStr">
        <is>
          <t xml:space="preserve">PARPIYEV MUXAMMADRASUL MO’MINJON O’G’LI</t>
        </is>
      </c>
      <c r="F44" s="98" t="inlineStr">
        <is>
          <t xml:space="preserve">998700493848 SMS OZI   , 998910673069 SMS ONASI oyoq kiyim  tikib sotadi ishlab chiqarish sex bor  , 998906265646 SMS OTASI, 998916066699 SMS QOSHNISI,</t>
        </is>
      </c>
      <c r="G44" s="98" t="inlineStr">
        <is>
          <t xml:space="preserve">ANDIJON VILOYATI ANDIJON SHAHAR QALANDARXONA MFY  M. SAIDOV  KO’CHASI 96-UY</t>
        </is>
      </c>
      <c r="H44" s="99">
        <v>7.0</v>
      </c>
      <c r="I44" s="99">
        <v>5781873.59</v>
      </c>
      <c r="K44" s="98" t="inlineStr">
        <is>
          <t xml:space="preserve">Va'da berdi | bugun erta hal qiladi | 1342465.7534246575 | 4439407.84</t>
        </is>
      </c>
    </row>
    <row r="45">
      <c r="A45" s="98" t="inlineStr">
        <is>
          <t xml:space="preserve">АНДИЖОН ВИЛОЯТИ</t>
        </is>
      </c>
      <c r="C45" s="98" t="inlineStr">
        <is>
          <t xml:space="preserve">Обещал</t>
        </is>
      </c>
      <c r="D45" s="98" t="inlineStr">
        <is>
          <t xml:space="preserve">Кр-99035336-1</t>
        </is>
      </c>
      <c r="E45" s="98" t="inlineStr">
        <is>
          <t xml:space="preserve">RO’ZIYEVA MUNIRAXON SULTONOVNA</t>
        </is>
      </c>
      <c r="F45" s="98" t="inlineStr">
        <is>
          <t xml:space="preserve">998936907720 SMS OZI, 998949796867 SMS QIZI, 998504044603 SMS OGLI, 998934446258 SMS ONASI,</t>
        </is>
      </c>
      <c r="G45" s="98" t="inlineStr">
        <is>
          <t xml:space="preserve">ANDIJON VILOYATI BO’Z TUMANI MUSTAQILLIK KO’CHASI  70-UY,11-XONADON</t>
        </is>
      </c>
      <c r="H45" s="99">
        <v>1.0</v>
      </c>
      <c r="I45" s="99">
        <v>5524020.91</v>
      </c>
      <c r="K45" s="98" t="inlineStr">
        <is>
          <t xml:space="preserve">Va'da berdi | 20 kunga hal qiladi | 273972.602739726 | 5250048.31</t>
        </is>
      </c>
    </row>
    <row r="46">
      <c r="A46" s="98" t="inlineStr">
        <is>
          <t xml:space="preserve">АНДИЖОН ВИЛОЯТИ</t>
        </is>
      </c>
      <c r="C46" s="98" t="inlineStr">
        <is>
          <t xml:space="preserve">Обещал</t>
        </is>
      </c>
      <c r="D46" s="98" t="inlineStr">
        <is>
          <t xml:space="preserve">Кр-99039783-1</t>
        </is>
      </c>
      <c r="E46" s="98" t="inlineStr">
        <is>
          <t xml:space="preserve">NORKULOV ALISHER BAXTIYOROVICH</t>
        </is>
      </c>
      <c r="F46" s="98" t="inlineStr">
        <is>
          <t xml:space="preserve">998914754708 SMS OZI, 998937823777 SMS DOSTI, 998906110086 SMS TANISHI, 998902050050 SMS TOLOVCHI,</t>
        </is>
      </c>
      <c r="G46" s="98" t="inlineStr">
        <is>
          <t xml:space="preserve">ANDIJON VILOYATI ANDIJON TUMANI TERAKTAGI MFY OTALIQBOY KO’CHASI 15</t>
        </is>
      </c>
      <c r="H46" s="99">
        <v>10.0</v>
      </c>
      <c r="I46" s="99">
        <v>5501498.15</v>
      </c>
      <c r="K46" s="98" t="inlineStr">
        <is>
          <t xml:space="preserve">Va'da berdi | dushanba kunga | 1643835.6164383562 | 3857662.53</t>
        </is>
      </c>
    </row>
    <row r="47">
      <c r="A47" s="98" t="inlineStr">
        <is>
          <t xml:space="preserve">АНДИЖОН ВИЛОЯТИ</t>
        </is>
      </c>
      <c r="C47" s="98" t="inlineStr">
        <is>
          <t xml:space="preserve">Обещал</t>
        </is>
      </c>
      <c r="D47" s="98" t="inlineStr">
        <is>
          <t xml:space="preserve">Кр-99063310-1</t>
        </is>
      </c>
      <c r="E47" s="98" t="inlineStr">
        <is>
          <t xml:space="preserve">XASANOVA YODGORXON KOMILOVNA</t>
        </is>
      </c>
      <c r="F47" s="98" t="inlineStr">
        <is>
          <t xml:space="preserve">+998916041294 SMS O’ZI, 998902111294 SMS O’ZI2, 998905287775 SMS O’G’LI TO’LOVCHI, 998910656489 SMS QIZI,</t>
        </is>
      </c>
      <c r="G47" s="98" t="inlineStr">
        <is>
          <t xml:space="preserve">ANDIJON VILOYATI ANDIJON TUMANI JANNATMONAN MFY, YUKSALISH KO’CHASI 99-UY</t>
        </is>
      </c>
      <c r="H47" s="99">
        <v>10.0</v>
      </c>
      <c r="I47" s="99">
        <v>5478864.97</v>
      </c>
      <c r="K47" s="98" t="inlineStr">
        <is>
          <t xml:space="preserve">Va'da berdi | dushanba kuni tolaydi | 2191780.821917808 | 3287084.15</t>
        </is>
      </c>
    </row>
    <row r="48">
      <c r="A48" s="98" t="inlineStr">
        <is>
          <t xml:space="preserve">АНДИЖОН ВИЛОЯТИ</t>
        </is>
      </c>
      <c r="C48" s="98" t="inlineStr">
        <is>
          <t xml:space="preserve">Обещал</t>
        </is>
      </c>
      <c r="D48" s="98" t="inlineStr">
        <is>
          <t xml:space="preserve">Кр-99039371-3</t>
        </is>
      </c>
      <c r="E48" s="98" t="inlineStr">
        <is>
          <t xml:space="preserve">ABDUPATTAYEV OMADJON AZIZBEK O’G’LI</t>
        </is>
      </c>
      <c r="F48" s="98" t="inlineStr">
        <is>
          <t xml:space="preserve">998932541941 sms ozi , 998917739907 sms akasi , 998770707025 sms qoshni, 998900299859 sms uy ,</t>
        </is>
      </c>
      <c r="G48" s="98" t="inlineStr">
        <is>
          <t xml:space="preserve">Андижанская область, Пахтаабадский район, Бобурмирзо МСГ, ул.  Бобурмирзо, дом 16</t>
        </is>
      </c>
      <c r="H48" s="99">
        <v>10.0</v>
      </c>
      <c r="I48" s="99">
        <v>5441798.24</v>
      </c>
      <c r="K48" s="98" t="inlineStr">
        <is>
          <t xml:space="preserve">Va'da berdi | bugun hal qiladi | 1643835.6164383562 | 3797962.62</t>
        </is>
      </c>
    </row>
    <row r="49">
      <c r="A49" s="98" t="inlineStr">
        <is>
          <t xml:space="preserve">АНДИЖОН ВИЛОЯТИ</t>
        </is>
      </c>
      <c r="C49" s="98" t="inlineStr">
        <is>
          <t xml:space="preserve">Обещал</t>
        </is>
      </c>
      <c r="D49" s="98" t="inlineStr">
        <is>
          <t xml:space="preserve">Кр-99043394-2</t>
        </is>
      </c>
      <c r="E49" s="98" t="inlineStr">
        <is>
          <t xml:space="preserve">SULEYMANOV AVAZBEK ALIMJANOVICH</t>
        </is>
      </c>
      <c r="F49" s="98" t="inlineStr">
        <is>
          <t xml:space="preserve">+998334923332 SMS O’ZI, 998914923332 SMS AYOLI, 998916192585 SMS QIZI, 998999772585 SMS QIZI,</t>
        </is>
      </c>
      <c r="G49" s="98" t="inlineStr">
        <is>
          <t xml:space="preserve">Навруз МФЙ, Узумбог,2 тор кўчаси, 170-уй, 1-хонадон</t>
        </is>
      </c>
      <c r="H49" s="99">
        <v>10.0</v>
      </c>
      <c r="I49" s="99">
        <v>5360370.63</v>
      </c>
      <c r="K49" s="98" t="inlineStr">
        <is>
          <t xml:space="preserve">Va'da berdi | bolib bolib tolov qiladi ekan | 1643835.6164383562 | 3716535.01</t>
        </is>
      </c>
    </row>
    <row r="50">
      <c r="A50" s="98" t="inlineStr">
        <is>
          <t xml:space="preserve">АНДИЖОН ВИЛОЯТИ</t>
        </is>
      </c>
      <c r="C50" s="98" t="inlineStr">
        <is>
          <t xml:space="preserve">Обещал</t>
        </is>
      </c>
      <c r="D50" s="98" t="inlineStr">
        <is>
          <t xml:space="preserve">Кр-99031082-1</t>
        </is>
      </c>
      <c r="E50" s="98" t="inlineStr">
        <is>
          <t xml:space="preserve">DJURAYEV SHUKURMURAT ABDUMALIKOVICH</t>
        </is>
      </c>
      <c r="F50" s="98" t="inlineStr">
        <is>
          <t xml:space="preserve">998770107727 SMS O’ZI, 998932102925 SMS ONASI, 998903851705 SMS AYOLI, 998902113221 SMS JIYANI, 998914777147 ozi new,</t>
        </is>
      </c>
      <c r="G50" s="98" t="inlineStr">
        <is>
          <t xml:space="preserve">ANDIJON VILOYATI JALOLQUDUQ TUMANI BOZORBOSHI MFY X.OLIMJONOV KO’CHASI 5-UY </t>
        </is>
      </c>
      <c r="H50" s="99">
        <v>6.0</v>
      </c>
      <c r="I50" s="99">
        <v>5117067.43</v>
      </c>
      <c r="K50" s="98" t="inlineStr">
        <is>
          <t xml:space="preserve">Va'da berdi | 25 gacha hal qiladi | 1232876.7123287672 | 3884190.72</t>
        </is>
      </c>
    </row>
    <row r="51">
      <c r="A51" s="98" t="inlineStr">
        <is>
          <t xml:space="preserve">АНДИЖОН ВИЛОЯТИ</t>
        </is>
      </c>
      <c r="C51" s="98" t="inlineStr">
        <is>
          <t xml:space="preserve">Обещал</t>
        </is>
      </c>
      <c r="D51" s="98" t="inlineStr">
        <is>
          <t xml:space="preserve">Кр-99031409-1</t>
        </is>
      </c>
      <c r="E51" s="98" t="inlineStr">
        <is>
          <t xml:space="preserve">DILMURODOV MANSURBEK DILMUROD O’G’LI</t>
        </is>
      </c>
      <c r="F51" s="98" t="inlineStr">
        <is>
          <t xml:space="preserve">91-611-00-86  SMS O’ZI, 91-490-57-74  SMS AYOLI, 93-782-37-77  SMS TO’LOVCHI, 90-205-00-50  SMS UKASI,</t>
        </is>
      </c>
      <c r="G51" s="98" t="inlineStr">
        <is>
          <t xml:space="preserve">ANDIJON VILOYATI XO’JAOBOD  TUMANI CHIM BULOQ MFY YANGI CHEK KO’CHASI 9-UY</t>
        </is>
      </c>
      <c r="H51" s="99">
        <v>15.0</v>
      </c>
      <c r="I51" s="99">
        <v>5111425.08</v>
      </c>
      <c r="K51" s="98" t="inlineStr">
        <is>
          <t xml:space="preserve">Va'da berdi | Farrux aka bn gaplashgan | 2260273.9726027395 | 2851151.11</t>
        </is>
      </c>
    </row>
    <row r="52">
      <c r="A52" s="98" t="inlineStr">
        <is>
          <t xml:space="preserve">АНДИЖОН ВИЛОЯТИ</t>
        </is>
      </c>
      <c r="C52" s="98" t="inlineStr">
        <is>
          <t xml:space="preserve">Обещал</t>
        </is>
      </c>
      <c r="D52" s="98" t="inlineStr">
        <is>
          <t xml:space="preserve">Кр-99063628-1</t>
        </is>
      </c>
      <c r="E52" s="98" t="inlineStr">
        <is>
          <t xml:space="preserve">TASHMATOV XUSNUTDIN ODILJANOVICH</t>
        </is>
      </c>
      <c r="F52" s="98" t="inlineStr">
        <is>
          <t xml:space="preserve">998901705955 O’ZI,</t>
        </is>
      </c>
      <c r="G52" s="98" t="inlineStr">
        <is>
          <t xml:space="preserve">АНДИЖОН ВИЛОЯТИ АНДИЖОН ШАХAР АХМАД ЯССАВИЙ МФЙ ЛОЙИХАЛАШ КУЧАСИ 6-УЙ</t>
        </is>
      </c>
      <c r="H52" s="99">
        <v>10.0</v>
      </c>
      <c r="I52" s="99">
        <v>5057351.54</v>
      </c>
      <c r="K52" s="98" t="inlineStr">
        <is>
          <t xml:space="preserve">Va'da berdi | Farrux aka bn gaplashgan | 1643835.6164383562 | 3413515.92</t>
        </is>
      </c>
    </row>
    <row r="53">
      <c r="A53" s="98" t="inlineStr">
        <is>
          <t xml:space="preserve">АНДИЖОН ВИЛОЯТИ</t>
        </is>
      </c>
      <c r="C53" s="98" t="inlineStr">
        <is>
          <t xml:space="preserve">Обещал</t>
        </is>
      </c>
      <c r="D53" s="98" t="inlineStr">
        <is>
          <t xml:space="preserve">Кр-99039745-4</t>
        </is>
      </c>
      <c r="E53" s="98" t="inlineStr">
        <is>
          <t xml:space="preserve">XALILOV AXRORBEK KARIMJON O’G’LI</t>
        </is>
      </c>
      <c r="F53" s="98" t="inlineStr">
        <is>
          <t xml:space="preserve">+998916089005 SMS O’ZI, 998916024344 SMS AKASI, 998940801700 SMS DO’STI,</t>
        </is>
      </c>
      <c r="G53" s="98" t="inlineStr">
        <is>
          <t xml:space="preserve">ОРС МФЙ, ОРС КЎЧАСИ,  uy:Р/С</t>
        </is>
      </c>
      <c r="H53" s="99">
        <v>10.0</v>
      </c>
      <c r="I53" s="99">
        <v>5016062.37</v>
      </c>
      <c r="K53" s="98" t="inlineStr">
        <is>
          <t xml:space="preserve">Va'da berdi | 1-2 kunda hal qiladi | 1506849.3150684931 | 3509213.05</t>
        </is>
      </c>
    </row>
    <row r="54">
      <c r="A54" s="98" t="inlineStr">
        <is>
          <t xml:space="preserve">АНДИЖОН ВИЛОЯТИ</t>
        </is>
      </c>
      <c r="C54" s="98" t="inlineStr">
        <is>
          <t xml:space="preserve">Обещал</t>
        </is>
      </c>
      <c r="D54" s="98" t="inlineStr">
        <is>
          <t xml:space="preserve">Кр-99060327-1</t>
        </is>
      </c>
      <c r="E54" s="98" t="inlineStr">
        <is>
          <t xml:space="preserve">NURMUXAMMEDOV SARVARBEK NURMUXAMMAD O’G’LI</t>
        </is>
      </c>
      <c r="F54" s="98" t="inlineStr">
        <is>
          <t xml:space="preserve">998934480001 SMS OZI, 998909511113 SMS AYOLI, 998200111077 SMS QIZI, 998001110892 SMS OZI 2,</t>
        </is>
      </c>
      <c r="G54" s="98" t="inlineStr">
        <is>
          <t xml:space="preserve">ANDIJON VILOYATI OLTINKO’L TUMANI QO’SHTEPA MFY, C. ASHUROV  KO’CHASI 32-UY</t>
        </is>
      </c>
      <c r="H54" s="99">
        <v>13.0</v>
      </c>
      <c r="I54" s="99">
        <v>4934929.86</v>
      </c>
      <c r="K54" s="98" t="inlineStr">
        <is>
          <t xml:space="preserve">Va'da berdi | dushanba kuni tolaydi | 1780821.917808219 | 3154107.94</t>
        </is>
      </c>
    </row>
    <row r="55">
      <c r="A55" s="98" t="inlineStr">
        <is>
          <t xml:space="preserve">АНДИЖОН ВИЛОЯТИ</t>
        </is>
      </c>
      <c r="C55" s="98" t="inlineStr">
        <is>
          <t xml:space="preserve">Обещал</t>
        </is>
      </c>
      <c r="D55" s="98" t="inlineStr">
        <is>
          <t xml:space="preserve">Кр-99039772-1</t>
        </is>
      </c>
      <c r="E55" s="98" t="inlineStr">
        <is>
          <t xml:space="preserve">TO’RAYEVA TAMARA MUXTAROVNA</t>
        </is>
      </c>
      <c r="F55" s="98" t="inlineStr">
        <is>
          <t xml:space="preserve">998903890565 SMS OZI, 998881646162 SMS XOJAYINI, 998916061291 SMS QIZI, 998914841789 SMS QIZ 2,</t>
        </is>
      </c>
      <c r="G55" s="98" t="inlineStr">
        <is>
          <t xml:space="preserve">ANDIJON VILOYATI MARXAMAT TUMANI  BOBOXUROSON  MFY, BOBOXUROSON  KO’CHASI 18-UYI</t>
        </is>
      </c>
      <c r="H55" s="99">
        <v>10.0</v>
      </c>
      <c r="I55" s="99">
        <v>4724361.55</v>
      </c>
      <c r="K55" s="98" t="inlineStr">
        <is>
          <t xml:space="preserve">Va'da berdi | 24 kunga hal qilib beradi | 1506849.3150684931 | 3217512.23</t>
        </is>
      </c>
    </row>
    <row r="56">
      <c r="A56" s="98" t="inlineStr">
        <is>
          <t xml:space="preserve">АНДИЖОН ВИЛОЯТИ</t>
        </is>
      </c>
      <c r="C56" s="98" t="inlineStr">
        <is>
          <t xml:space="preserve">Обещал</t>
        </is>
      </c>
      <c r="D56" s="98" t="inlineStr">
        <is>
          <t xml:space="preserve">Кр-99050384-1</t>
        </is>
      </c>
      <c r="E56" s="98" t="inlineStr">
        <is>
          <t xml:space="preserve">YUSUPOV MANSURBEK ODILJONOVICH</t>
        </is>
      </c>
      <c r="F56" s="98" t="inlineStr">
        <is>
          <t xml:space="preserve">+998914979790 SMS O’ZI, 998500407542 SMS UY, 998945631595 SMS AYOLI, 998974488280 SMS ONASI,</t>
        </is>
      </c>
      <c r="G56" s="98" t="inlineStr">
        <is>
          <t xml:space="preserve">ANDIJON VILOYATI  IZBOSKAN TUMANI ROVOT MFY GAVXAR KO’CHASI 45-UY</t>
        </is>
      </c>
      <c r="H56" s="99">
        <v>10.0</v>
      </c>
      <c r="I56" s="99">
        <v>4693592.96</v>
      </c>
      <c r="K56" s="98" t="inlineStr">
        <is>
          <t xml:space="preserve">Va'da berdi | kelasi hafta | 3561643.835616438 | 1131949.12</t>
        </is>
      </c>
    </row>
    <row r="57">
      <c r="A57" s="98" t="inlineStr">
        <is>
          <t xml:space="preserve">АНДИЖОН ВИЛОЯТИ</t>
        </is>
      </c>
      <c r="C57" s="98" t="inlineStr">
        <is>
          <t xml:space="preserve">Обещал</t>
        </is>
      </c>
      <c r="D57" s="98" t="inlineStr">
        <is>
          <t xml:space="preserve">Кр-99053363-1</t>
        </is>
      </c>
      <c r="E57" s="98" t="inlineStr">
        <is>
          <t xml:space="preserve">XAMRAQULOV FAYZULLO SARDORBEK O’G’LI</t>
        </is>
      </c>
      <c r="F57" s="98" t="inlineStr">
        <is>
          <t xml:space="preserve">998995135848 SMS OZI, 998916126009  SMS ZALOGATEL, 998914944999 SMS DADASI, 998889988055 SMS OSHNASI,</t>
        </is>
      </c>
      <c r="G57" s="98" t="inlineStr">
        <is>
          <t xml:space="preserve">ANDIJON VILOYATI ANDIJON SHAHAR DALVARZIN MFY, S. ZUNUNOVA  KO’CHASI 24 A-UY</t>
        </is>
      </c>
      <c r="H57" s="99">
        <v>10.0</v>
      </c>
      <c r="I57" s="99">
        <v>4533478.29</v>
      </c>
      <c r="K57" s="98" t="inlineStr">
        <is>
          <t xml:space="preserve">Va'da berdi | 25 kunga hal qiladi | 1369863.01369863 | 3163615.28</t>
        </is>
      </c>
    </row>
    <row r="58">
      <c r="A58" s="98" t="inlineStr">
        <is>
          <t xml:space="preserve">АНДИЖОН ВИЛОЯТИ</t>
        </is>
      </c>
      <c r="C58" s="98" t="inlineStr">
        <is>
          <t xml:space="preserve">Обещал</t>
        </is>
      </c>
      <c r="D58" s="98" t="inlineStr">
        <is>
          <t xml:space="preserve">Кр-99060327-2</t>
        </is>
      </c>
      <c r="E58" s="98" t="inlineStr">
        <is>
          <t xml:space="preserve">NURMUXAMMEDOV SARVARBEK NURMUXAMMAD O’G’LI</t>
        </is>
      </c>
      <c r="F58" s="98" t="inlineStr">
        <is>
          <t xml:space="preserve">998934480001 SMS OZI, 998909511113 SMS AYOLI, 998200111077 SMS QIZI, 998001110892 SMS OZI 2,</t>
        </is>
      </c>
      <c r="G58" s="98" t="inlineStr">
        <is>
          <t xml:space="preserve">ANDIJON VILOYATI OLTINKO’L TUMANI QO’SHTEPA MFY, C. ASHUROV  KO’CHASI 32-UY</t>
        </is>
      </c>
      <c r="H58" s="99">
        <v>10.0</v>
      </c>
      <c r="I58" s="99">
        <v>4514765.34</v>
      </c>
      <c r="K58" s="98" t="inlineStr">
        <is>
          <t xml:space="preserve">Va'da berdi | dushanba kuni tolaydi | 1369863.01369863 | 3144902.33</t>
        </is>
      </c>
    </row>
    <row r="59">
      <c r="A59" s="98" t="inlineStr">
        <is>
          <t xml:space="preserve">АНДИЖОН ВИЛОЯТИ</t>
        </is>
      </c>
      <c r="C59" s="98" t="inlineStr">
        <is>
          <t xml:space="preserve">Обещал</t>
        </is>
      </c>
      <c r="D59" s="98" t="inlineStr">
        <is>
          <t xml:space="preserve">Кр-99041712-1</t>
        </is>
      </c>
      <c r="E59" s="98" t="inlineStr">
        <is>
          <t xml:space="preserve">BAKIROVA SARVINOZ AVAZBEK QIZI</t>
        </is>
      </c>
      <c r="F59" s="98" t="inlineStr">
        <is>
          <t xml:space="preserve">998907689700 SMS OZI, 998914489748 SMS ONASI, 998932363330 SMS ERI, 998914974897 SMS DASI, +998907689700 Primary phone from road24,</t>
        </is>
      </c>
      <c r="G59" s="98" t="inlineStr">
        <is>
          <t xml:space="preserve">Кўктўнлик МФЙ, Куктунлик кучаси, 6-уй</t>
        </is>
      </c>
      <c r="H59" s="99">
        <v>10.0</v>
      </c>
      <c r="I59" s="99">
        <v>4497870.42</v>
      </c>
      <c r="K59" s="98" t="inlineStr">
        <is>
          <t xml:space="preserve">Va'da berdi | oyni oxirigacha hal qiladi | 1369863.01369863 | 3128007.41</t>
        </is>
      </c>
    </row>
    <row r="60">
      <c r="A60" s="98" t="inlineStr">
        <is>
          <t xml:space="preserve">АНДИЖОН ВИЛОЯТИ</t>
        </is>
      </c>
      <c r="C60" s="98" t="inlineStr">
        <is>
          <t xml:space="preserve">Обещал</t>
        </is>
      </c>
      <c r="D60" s="98" t="inlineStr">
        <is>
          <t xml:space="preserve">Кр-99057410-1</t>
        </is>
      </c>
      <c r="E60" s="98" t="inlineStr">
        <is>
          <t xml:space="preserve">AXUNOV ZIYOYIDIN TURDIBAYEVICH</t>
        </is>
      </c>
      <c r="F60" s="98" t="inlineStr">
        <is>
          <t xml:space="preserve">998914969606 SMS  O’ZI TO’LOVCHI, 998921506804 SMS ONASI, 998932408189 SMS OPASI, 998912880295 SMS KELNOYISI,</t>
        </is>
      </c>
      <c r="G60" s="98" t="inlineStr">
        <is>
          <t xml:space="preserve">ANDIJON VILOYATI ASAKA TUMANI YUQORI BO’Z MFY YUQORI BO’Z  KO’CHASI 89-UY</t>
        </is>
      </c>
      <c r="H60" s="99">
        <v>10.0</v>
      </c>
      <c r="I60" s="99">
        <v>4494520.47</v>
      </c>
      <c r="K60" s="98" t="inlineStr">
        <is>
          <t xml:space="preserve">Va'da berdi | shu hafta hal qilib berdi | 1369863.01369863 | 3124657.46</t>
        </is>
      </c>
    </row>
    <row r="61">
      <c r="A61" s="98" t="inlineStr">
        <is>
          <t xml:space="preserve">АНДИЖОН ВИЛОЯТИ</t>
        </is>
      </c>
      <c r="C61" s="98" t="inlineStr">
        <is>
          <t xml:space="preserve">Обещал</t>
        </is>
      </c>
      <c r="D61" s="98" t="inlineStr">
        <is>
          <t xml:space="preserve">Кр-99063233-1</t>
        </is>
      </c>
      <c r="E61" s="98" t="inlineStr">
        <is>
          <t xml:space="preserve">BOZAROV ILXOMJON XASANBAYEVICH</t>
        </is>
      </c>
      <c r="F61" s="98" t="inlineStr">
        <is>
          <t xml:space="preserve">998885478863 SMS AYOLI, 998885508800 SMS O’ZI2, 998889620062 SMS O’G’LI, 998914977722 SMS O’ZI,</t>
        </is>
      </c>
      <c r="G61" s="98" t="inlineStr">
        <is>
          <t xml:space="preserve">ANDIJON VILOYATI ANDIJON SHAHAR MIRPO’STIN MFY MAXFIRATXOJI KO’CHASI 1-TOR KO’CHASI 6-UY</t>
        </is>
      </c>
      <c r="H61" s="99">
        <v>10.0</v>
      </c>
      <c r="I61" s="99">
        <v>4370891.26</v>
      </c>
      <c r="K61" s="98" t="inlineStr">
        <is>
          <t xml:space="preserve">Va'da berdi | oyni oxirigacha hal qiladi | 1369863.01369863 | 3001028.25</t>
        </is>
      </c>
    </row>
    <row r="62">
      <c r="A62" s="98" t="inlineStr">
        <is>
          <t xml:space="preserve">АНДИЖОН ВИЛОЯТИ</t>
        </is>
      </c>
      <c r="C62" s="98" t="inlineStr">
        <is>
          <t xml:space="preserve">Обещал</t>
        </is>
      </c>
      <c r="D62" s="98" t="inlineStr">
        <is>
          <t xml:space="preserve">Кр-99040384-2</t>
        </is>
      </c>
      <c r="E62" s="98" t="inlineStr">
        <is>
          <t xml:space="preserve">MUXAMMADJONOV XEKMATULLO AVAZBEK O’G’LI</t>
        </is>
      </c>
      <c r="F62" s="98" t="inlineStr">
        <is>
          <t xml:space="preserve">998902575202 sms ozi, 998934475357 SMS AYOLI, 998916047434 SMS UKASI, 998912111710 SMS AMAKISI,</t>
        </is>
      </c>
      <c r="G62" s="98" t="inlineStr">
        <is>
          <t xml:space="preserve">ҚЎШТЕПА МФЙ, ЧАМАНЗОР КЎЧАСИ,  uy:Р/С</t>
        </is>
      </c>
      <c r="H62" s="99">
        <v>10.0</v>
      </c>
      <c r="I62" s="99">
        <v>4353548.65</v>
      </c>
      <c r="K62" s="98" t="inlineStr">
        <is>
          <t xml:space="preserve">Va'da berdi | ertaga hal qiladi | 1315068.4931506847 | 3038480.16</t>
        </is>
      </c>
    </row>
    <row r="63">
      <c r="A63" s="98" t="inlineStr">
        <is>
          <t xml:space="preserve">АНДИЖОН ВИЛОЯТИ</t>
        </is>
      </c>
      <c r="C63" s="98" t="inlineStr">
        <is>
          <t xml:space="preserve">Обещал</t>
        </is>
      </c>
      <c r="D63" s="98" t="inlineStr">
        <is>
          <t xml:space="preserve">Кр-99040647-1</t>
        </is>
      </c>
      <c r="E63" s="98" t="inlineStr">
        <is>
          <t xml:space="preserve">AKBAROV RAVSHANBEK XXX</t>
        </is>
      </c>
      <c r="F63" s="98" t="inlineStr">
        <is>
          <t xml:space="preserve">998996161058 SMS OZI, 998935511517 SMS AYOLI, 998942157201 SMS QIZI, 998992306087 SMS OGLI, +998996161058 SMS O’ZI,</t>
        </is>
      </c>
      <c r="G63" s="98" t="inlineStr">
        <is>
          <t xml:space="preserve">ANDIJON VILOYATI OLTINKO’L TUMANI AYRONCHI MFY, AYRONCHI  KO’CHASI 856-UY</t>
        </is>
      </c>
      <c r="H63" s="99">
        <v>10.0</v>
      </c>
      <c r="I63" s="99">
        <v>4167369.85</v>
      </c>
      <c r="K63" s="98" t="inlineStr">
        <is>
          <t xml:space="preserve">Va'da berdi | 25 kunga hal qiladi | 2191780.821917808 | 1975589.03</t>
        </is>
      </c>
    </row>
    <row r="64">
      <c r="A64" s="98" t="inlineStr">
        <is>
          <t xml:space="preserve">АНДИЖОН ВИЛОЯТИ</t>
        </is>
      </c>
      <c r="C64" s="98" t="inlineStr">
        <is>
          <t xml:space="preserve">Обещал</t>
        </is>
      </c>
      <c r="D64" s="98" t="inlineStr">
        <is>
          <t xml:space="preserve">Кр-99031802-1</t>
        </is>
      </c>
      <c r="E64" s="98" t="inlineStr">
        <is>
          <t xml:space="preserve">ASRANOV XURSHIDBEK PULATJON O’G’LI</t>
        </is>
      </c>
      <c r="F64" s="98" t="inlineStr">
        <is>
          <t xml:space="preserve">998888311117 SMS O’ZI, 998905403334 SMS ONASI, 998906247271 SMS AYOLI, 998160434332 SMS ONASI 2,</t>
        </is>
      </c>
      <c r="G64" s="98" t="inlineStr">
        <is>
          <t xml:space="preserve">ANDIJON VILOYATI ANDIJON SHAHAR DEXQONOBOD MFY M.SOLIYEV KO’CHASI 57-UY</t>
        </is>
      </c>
      <c r="H64" s="99">
        <v>3.0</v>
      </c>
      <c r="I64" s="99">
        <v>4101788.01</v>
      </c>
      <c r="K64" s="98" t="inlineStr">
        <is>
          <t xml:space="preserve">Va'da berdi | shu hafta hal qiladi | 575342.4657534247 | 3526445.54</t>
        </is>
      </c>
    </row>
    <row r="65">
      <c r="A65" s="98" t="inlineStr">
        <is>
          <t xml:space="preserve">АНДИЖОН ВИЛОЯТИ</t>
        </is>
      </c>
      <c r="C65" s="98" t="inlineStr">
        <is>
          <t xml:space="preserve">Обещал</t>
        </is>
      </c>
      <c r="D65" s="98" t="inlineStr">
        <is>
          <t xml:space="preserve">Кр-99035962-1</t>
        </is>
      </c>
      <c r="E65" s="98" t="inlineStr">
        <is>
          <t xml:space="preserve">ANVARBEKOV ABDULLAJON ZAFAR O’G’LI</t>
        </is>
      </c>
      <c r="F65" s="98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65" s="98" t="inlineStr">
        <is>
          <t xml:space="preserve">ANDIJON VILOYATI JALAQUDUQ TUMANI XAMZA MFY SADAF KO'CHASI 72-UY</t>
        </is>
      </c>
      <c r="H65" s="99">
        <v>3.0</v>
      </c>
      <c r="I65" s="99">
        <v>3977304.08</v>
      </c>
      <c r="K65" s="98" t="inlineStr">
        <is>
          <t xml:space="preserve">Va'da berdi | shu hafta hal qiladi | 410958.90410958906 | 3566345.18</t>
        </is>
      </c>
    </row>
    <row r="66">
      <c r="A66" s="98" t="inlineStr">
        <is>
          <t xml:space="preserve">АНДИЖОН ВИЛОЯТИ</t>
        </is>
      </c>
      <c r="C66" s="98" t="inlineStr">
        <is>
          <t xml:space="preserve">Обещал</t>
        </is>
      </c>
      <c r="D66" s="98" t="inlineStr">
        <is>
          <t xml:space="preserve">Кр-99038704-1</t>
        </is>
      </c>
      <c r="E66" s="98" t="inlineStr">
        <is>
          <t xml:space="preserve">MAXKAMOV AXMADJON ADILJON O’G’LI</t>
        </is>
      </c>
      <c r="F66" s="98" t="inlineStr">
        <is>
          <t xml:space="preserve">998971692929 SMS OZI, 998902043292 SMS OZI 2, 998914876346 SMS ONASI, 998901436222 SMS ONASI 2,</t>
        </is>
      </c>
      <c r="G66" s="98" t="inlineStr">
        <is>
          <t xml:space="preserve">ANDIJON VILOYATI JALAQUDUQ TUMANI  JALAQUDUQ MFY BOG’YO’LI  KO’CHASI 54-UY </t>
        </is>
      </c>
      <c r="H66" s="99">
        <v>8.0</v>
      </c>
      <c r="I66" s="99">
        <v>3653001.89</v>
      </c>
      <c r="K66" s="98" t="inlineStr">
        <is>
          <t xml:space="preserve">Va'da berdi | 25 kunga hal qiladi | 1315068.493150685 | 2337933.4</t>
        </is>
      </c>
    </row>
    <row r="67">
      <c r="A67" s="98" t="inlineStr">
        <is>
          <t xml:space="preserve">АНДИЖОН ВИЛОЯТИ</t>
        </is>
      </c>
      <c r="C67" s="98" t="inlineStr">
        <is>
          <t xml:space="preserve">Обещал</t>
        </is>
      </c>
      <c r="D67" s="98" t="inlineStr">
        <is>
          <t xml:space="preserve">Кр-99040747-1</t>
        </is>
      </c>
      <c r="E67" s="98" t="inlineStr">
        <is>
          <t xml:space="preserve">TEMIROV VOXIDJON XASANBOYEVICH</t>
        </is>
      </c>
      <c r="F67" s="98" t="inlineStr">
        <is>
          <t xml:space="preserve">998334941581 SMS OZI, 998958254383 SMS AYOLI, 998772592200 SMS OGLI, 998774292810 SMS QIZI,</t>
        </is>
      </c>
      <c r="G67" s="98" t="inlineStr">
        <is>
          <t xml:space="preserve">ANDIJON VILOYATI SHAXRIXON TUMANI QO’RG’ONCHA MFY,  QO’RG’ONCHA  KO’CHASI 43-UY</t>
        </is>
      </c>
      <c r="H67" s="99">
        <v>10.0</v>
      </c>
      <c r="I67" s="99">
        <v>3616188.66</v>
      </c>
      <c r="K67" s="98" t="inlineStr">
        <is>
          <t xml:space="preserve">Va'da berdi | bugun hal qiladi | 1095890.410958904 | 2520298.25</t>
        </is>
      </c>
    </row>
    <row r="68">
      <c r="A68" s="98" t="inlineStr">
        <is>
          <t xml:space="preserve">АНДИЖОН ВИЛОЯТИ</t>
        </is>
      </c>
      <c r="C68" s="98" t="inlineStr">
        <is>
          <t xml:space="preserve">Обещал</t>
        </is>
      </c>
      <c r="D68" s="98" t="inlineStr">
        <is>
          <t xml:space="preserve">Кр-99063829-1</t>
        </is>
      </c>
      <c r="E68" s="98" t="inlineStr">
        <is>
          <t xml:space="preserve">MIRZAYEV ABDULAZIZ RUSTAMOVICH</t>
        </is>
      </c>
      <c r="F68" s="98" t="inlineStr">
        <is>
          <t xml:space="preserve">998773674777 SMS ONASI, 998940207105 SMS UZI, 998970610099 SSM AKASI, 998990723095 SMS DOSTI,</t>
        </is>
      </c>
      <c r="G68" s="98" t="inlineStr">
        <is>
          <t xml:space="preserve">Quvvatmurod MFY, Dilkushod ko’chasi, 139-uy</t>
        </is>
      </c>
      <c r="H68" s="99">
        <v>3.0</v>
      </c>
      <c r="I68" s="99">
        <v>3406936.45</v>
      </c>
      <c r="K68" s="98" t="inlineStr">
        <is>
          <t xml:space="preserve">Va'da berdi | akasi oldi aytib qoyadi ekan | 205479.45205479453 | 3201457</t>
        </is>
      </c>
    </row>
    <row r="69">
      <c r="A69" s="98" t="inlineStr">
        <is>
          <t xml:space="preserve">АНДИЖОН ВИЛОЯТИ</t>
        </is>
      </c>
      <c r="C69" s="98" t="inlineStr">
        <is>
          <t xml:space="preserve">Дозвон</t>
        </is>
      </c>
      <c r="D69" s="98" t="inlineStr">
        <is>
          <t xml:space="preserve">Кр-99039609-1</t>
        </is>
      </c>
      <c r="E69" s="98" t="inlineStr">
        <is>
          <t xml:space="preserve">TOJIDINOVA MUXARRAMXON KOBULOVNA</t>
        </is>
      </c>
      <c r="F69" s="98" t="inlineStr">
        <is>
          <t xml:space="preserve">998940331487 SMS OZI, 998950978615 SMS XOJAYINI, 998903870911 SMS OGLI, 998934168183 SMS AKASI,</t>
        </is>
      </c>
      <c r="G69" s="98" t="inlineStr">
        <is>
          <t xml:space="preserve">ANDIJON VILOYATI MARXAMAT TUMANI  MIRISHKOLAR MFY, DORBOZ KO’CHASI 45-UY</t>
        </is>
      </c>
      <c r="H69" s="99">
        <v>3.0</v>
      </c>
      <c r="I69" s="99">
        <v>3360170.03</v>
      </c>
      <c r="J69" s="99">
        <v>410958.0</v>
      </c>
      <c r="K69" s="98" t="inlineStr">
        <is>
          <t xml:space="preserve">To'ladi | 410958.90410958906 | 2949211.13</t>
        </is>
      </c>
    </row>
    <row r="70">
      <c r="A70" s="98" t="inlineStr">
        <is>
          <t xml:space="preserve">АНДИЖОН ВИЛОЯТИ</t>
        </is>
      </c>
      <c r="C70" s="98" t="inlineStr">
        <is>
          <t xml:space="preserve">Обещал</t>
        </is>
      </c>
      <c r="D70" s="98" t="inlineStr">
        <is>
          <t xml:space="preserve">Кр-99040988-1</t>
        </is>
      </c>
      <c r="E70" s="98" t="inlineStr">
        <is>
          <t xml:space="preserve">ISAQJONOV PAXLAVONJON XUSNIDDIN O’G’LI</t>
        </is>
      </c>
      <c r="F70" s="98" t="inlineStr">
        <is>
          <t xml:space="preserve">+998888008486 SMS O’ZI, 998770009233 SMS UKASI, 998991498699 SMS AYOLI,</t>
        </is>
      </c>
      <c r="G70" s="98" t="inlineStr">
        <is>
          <t xml:space="preserve">ТОПТИҚ МФЙ, ТОПТИҚ КЎЧАСИ,  uy:Р/С</t>
        </is>
      </c>
      <c r="H70" s="99">
        <v>15.0</v>
      </c>
      <c r="I70" s="99">
        <v>3315627.58</v>
      </c>
      <c r="K70" s="98" t="inlineStr">
        <is>
          <t xml:space="preserve">Va'da berdi | 25 kunga hal qiladi | 1232876.7123287672 | 2082750.87</t>
        </is>
      </c>
    </row>
    <row r="71">
      <c r="A71" s="98" t="inlineStr">
        <is>
          <t xml:space="preserve">АНДИЖОН ВИЛОЯТИ</t>
        </is>
      </c>
      <c r="C71" s="98" t="inlineStr">
        <is>
          <t xml:space="preserve">Обещал</t>
        </is>
      </c>
      <c r="D71" s="98" t="inlineStr">
        <is>
          <t xml:space="preserve">Кр-99037428-1</t>
        </is>
      </c>
      <c r="E71" s="98" t="inlineStr">
        <is>
          <t xml:space="preserve">TOLIPOV MUHIDDIN AVAZJON O’G’LI</t>
        </is>
      </c>
      <c r="F71" s="98" t="inlineStr">
        <is>
          <t xml:space="preserve">998505111153 SMS UZI , 998995001004 SMS OZI 2, 998911717258 SMS ISHXONASI, 998998677258 SMS AYOLI,</t>
        </is>
      </c>
      <c r="G71" s="98" t="inlineStr">
        <is>
          <t xml:space="preserve">ANDIJON VILOYATI BULOQBOSHI TUMANI FAROVON MFY OXANGARON KO’CHASI 46-UY</t>
        </is>
      </c>
      <c r="H71" s="99">
        <v>1.0</v>
      </c>
      <c r="I71" s="99">
        <v>3247405.38</v>
      </c>
      <c r="K71" s="98" t="inlineStr">
        <is>
          <t xml:space="preserve">Va'da berdi | shu hafta hal qiladi | 136986.301369863 | 3110419.08</t>
        </is>
      </c>
    </row>
    <row r="72">
      <c r="A72" s="98" t="inlineStr">
        <is>
          <t xml:space="preserve">АНДИЖОН ВИЛОЯТИ</t>
        </is>
      </c>
      <c r="C72" s="98" t="inlineStr">
        <is>
          <t xml:space="preserve">Обещал</t>
        </is>
      </c>
      <c r="D72" s="98" t="inlineStr">
        <is>
          <t xml:space="preserve">Кр-99046070-1</t>
        </is>
      </c>
      <c r="E72" s="98" t="inlineStr">
        <is>
          <t xml:space="preserve">MADAMINOV UMIDILLO MANSURJON O’G’LI</t>
        </is>
      </c>
      <c r="F72" s="98" t="inlineStr">
        <is>
          <t xml:space="preserve">+998993039777 SMS O’ZI, 998950549306 SMS AYOLI, 998979959266 SMS UKASI, 998994069576 SMS ONASI,</t>
        </is>
      </c>
      <c r="G72" s="98" t="inlineStr">
        <is>
          <t xml:space="preserve">Andijon viloyati Paxtaobod tumani  Soybo’yi MFY Soybo’yi ko’chasi, 40-yu</t>
        </is>
      </c>
      <c r="H72" s="99">
        <v>10.0</v>
      </c>
      <c r="I72" s="99">
        <v>3192409.65</v>
      </c>
      <c r="K72" s="98" t="inlineStr">
        <is>
          <t xml:space="preserve">Va'da berdi | dushanba seshanba kuni | 2191780.821917808 | 1000628.83</t>
        </is>
      </c>
    </row>
    <row r="73">
      <c r="A73" s="98" t="inlineStr">
        <is>
          <t xml:space="preserve">АНДИЖОН ВИЛОЯТИ</t>
        </is>
      </c>
      <c r="C73" s="98" t="inlineStr">
        <is>
          <t xml:space="preserve">Обещал</t>
        </is>
      </c>
      <c r="D73" s="98" t="inlineStr">
        <is>
          <t xml:space="preserve">Кр-99040884-2</t>
        </is>
      </c>
      <c r="E73" s="98" t="inlineStr">
        <is>
          <t xml:space="preserve">ABDILAJONOV LATIPJON XXX</t>
        </is>
      </c>
      <c r="F73" s="98" t="inlineStr">
        <is>
          <t xml:space="preserve">+998950121049 SMS O’ZI, 998871087272 SMS O’G’LI, 998936770060 SMS NABIRASI, 998955801953 SMS AYOLI,</t>
        </is>
      </c>
      <c r="G73" s="98" t="inlineStr">
        <is>
          <t xml:space="preserve">ХЎЖАТЕПА МФЙ, МАШИНАСОЗЛАР КЎЧАСИ,  uy:Р/С</t>
        </is>
      </c>
      <c r="H73" s="99">
        <v>14.0</v>
      </c>
      <c r="I73" s="99">
        <v>3101599.0</v>
      </c>
      <c r="K73" s="98" t="inlineStr">
        <is>
          <t xml:space="preserve">Va'da berdi | shu hafta hal qilib berdi | 2684931.506849315 | 416667.49</t>
        </is>
      </c>
    </row>
    <row r="74">
      <c r="A74" s="98" t="inlineStr">
        <is>
          <t xml:space="preserve">АНДИЖОН ВИЛОЯТИ</t>
        </is>
      </c>
      <c r="C74" s="98" t="inlineStr">
        <is>
          <t xml:space="preserve">Обещал</t>
        </is>
      </c>
      <c r="D74" s="98" t="inlineStr">
        <is>
          <t xml:space="preserve">Кр-99063829-2</t>
        </is>
      </c>
      <c r="E74" s="98" t="inlineStr">
        <is>
          <t xml:space="preserve">MIRZAYEV ABDULAZIZ RUSTAMOVICH</t>
        </is>
      </c>
      <c r="F74" s="98" t="inlineStr">
        <is>
          <t xml:space="preserve">998773674777 SMS ONASI, 998940207105 SMS UZI, 998970610099 SSM AKASI, 998990723095 SMS DOSTI,</t>
        </is>
      </c>
      <c r="G74" s="98" t="inlineStr">
        <is>
          <t xml:space="preserve">Quvvatmurod MFY, Dilkushod ko’chasi, 139-uy</t>
        </is>
      </c>
      <c r="H74" s="99">
        <v>3.0</v>
      </c>
      <c r="I74" s="99">
        <v>2725548.56</v>
      </c>
      <c r="K74" s="98" t="inlineStr">
        <is>
          <t xml:space="preserve">Va'da berdi | akasi oldi aytib qoyadi ekan | 164383.56164383562 | 2561165</t>
        </is>
      </c>
    </row>
    <row r="75">
      <c r="A75" s="98" t="inlineStr">
        <is>
          <t xml:space="preserve">АНДИЖОН ВИЛОЯТИ</t>
        </is>
      </c>
      <c r="C75" s="98" t="inlineStr">
        <is>
          <t xml:space="preserve">Обещал</t>
        </is>
      </c>
      <c r="D75" s="98" t="inlineStr">
        <is>
          <t xml:space="preserve">Кр-99027758-1</t>
        </is>
      </c>
      <c r="E75" s="98" t="inlineStr">
        <is>
          <t xml:space="preserve">TO’LANBOYEV DONIYORBEK BAXTIYORJON O’G’LI</t>
        </is>
      </c>
      <c r="F75" s="98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75" s="98" t="inlineStr">
        <is>
          <t xml:space="preserve">ANDIJON VILOYATI ANDIJON SHAHAR BOG’ISHAMOL MFY K. DJABBAROV KO’CHASI 5-UY</t>
        </is>
      </c>
      <c r="H75" s="99">
        <v>3.0</v>
      </c>
      <c r="I75" s="99">
        <v>2683297.97</v>
      </c>
      <c r="K75" s="98" t="inlineStr">
        <is>
          <t xml:space="preserve">Va'da berdi | 20 kunga hal qiladi | 410958.90410958906 | 2272339.07</t>
        </is>
      </c>
    </row>
    <row r="76">
      <c r="A76" s="98" t="inlineStr">
        <is>
          <t xml:space="preserve">АНДИЖОН ВИЛОЯТИ</t>
        </is>
      </c>
      <c r="C76" s="98" t="inlineStr">
        <is>
          <t xml:space="preserve">Обещал</t>
        </is>
      </c>
      <c r="D76" s="98" t="inlineStr">
        <is>
          <t xml:space="preserve">Кр-99038903-1</t>
        </is>
      </c>
      <c r="E76" s="98" t="inlineStr">
        <is>
          <t xml:space="preserve">G’OFUROVA SANTALATXON TOXIRJON QIZI</t>
        </is>
      </c>
      <c r="F76" s="98" t="inlineStr">
        <is>
          <t xml:space="preserve">998942572820 SMS OZI , 998931161001 SMS OZI 2 begona , 998935511000 SMS QAYNI SINGLISI, 998939856162 SMS QAYSINI,</t>
        </is>
      </c>
      <c r="G76" s="98" t="inlineStr">
        <is>
          <t xml:space="preserve">ANDIJON VILOYATI ANDIJON TUMANI DARXON MFY, ZAROBOD KO’CHASI 91-UY</t>
        </is>
      </c>
      <c r="H76" s="99">
        <v>1.0</v>
      </c>
      <c r="I76" s="99">
        <v>2622309.16</v>
      </c>
      <c r="K76" s="98" t="inlineStr">
        <is>
          <t xml:space="preserve">Va'da berdi | shu hafta hal qiladi | 109589.04109589041 | 2512720.12</t>
        </is>
      </c>
    </row>
    <row r="77">
      <c r="A77" s="98" t="inlineStr">
        <is>
          <t xml:space="preserve">АНДИЖОН ВИЛОЯТИ</t>
        </is>
      </c>
      <c r="C77" s="98" t="inlineStr">
        <is>
          <t xml:space="preserve">Обещал</t>
        </is>
      </c>
      <c r="D77" s="98" t="inlineStr">
        <is>
          <t xml:space="preserve">Кр-99039608-1</t>
        </is>
      </c>
      <c r="E77" s="98" t="inlineStr">
        <is>
          <t xml:space="preserve">FAXRUTDINOV FAZLITDIN XAYBATULLAYEVICH</t>
        </is>
      </c>
      <c r="F77" s="98" t="inlineStr">
        <is>
          <t xml:space="preserve">998936926077 SMS OZI, 998951175010 SMS OGLI, 998977712560 SMS OGLI2,</t>
        </is>
      </c>
      <c r="G77" s="98" t="inlineStr">
        <is>
          <t xml:space="preserve">ANDIJON VILOYATI SHAXRIXON TUMANI  MULLABOY MFY, AXMAD YASSAVIY KO’CHASI 28-UY</t>
        </is>
      </c>
      <c r="H77" s="99">
        <v>3.0</v>
      </c>
      <c r="I77" s="99">
        <v>2588011.74</v>
      </c>
      <c r="K77" s="98" t="inlineStr">
        <is>
          <t xml:space="preserve">Va'da berdi | bugun hal qiladi | 1643835.6164383562 | 944176.12</t>
        </is>
      </c>
    </row>
    <row r="78">
      <c r="A78" s="98" t="inlineStr">
        <is>
          <t xml:space="preserve">АНДИЖОН ВИЛОЯТИ</t>
        </is>
      </c>
      <c r="C78" s="98" t="inlineStr">
        <is>
          <t xml:space="preserve">Обещал</t>
        </is>
      </c>
      <c r="D78" s="98" t="inlineStr">
        <is>
          <t xml:space="preserve">Кр-99062971-1</t>
        </is>
      </c>
      <c r="E78" s="98" t="inlineStr">
        <is>
          <t xml:space="preserve">ABDULLAYEV O’TKIRBEK MAMASIDIKOVICH</t>
        </is>
      </c>
      <c r="F78" s="98" t="inlineStr">
        <is>
          <t xml:space="preserve">+998932333213 SMS O’ZI, 998507033213 SMS UY, 998931033213 SMS O’G’LI, 998946107010 SMS O’G’LI,</t>
        </is>
      </c>
      <c r="G78" s="98" t="inlineStr">
        <is>
          <t xml:space="preserve">ANDIJON VILOYATI  ANDIJON TUMANI CHEM MFY, GULSHAN  KO’CHASI 88-UY</t>
        </is>
      </c>
      <c r="H78" s="99">
        <v>10.0</v>
      </c>
      <c r="I78" s="99">
        <v>2448077.53</v>
      </c>
      <c r="K78" s="98" t="inlineStr">
        <is>
          <t xml:space="preserve">Va'da berdi | 25 gacha hal qiladi | 1095890.410958904 | 1352187.12</t>
        </is>
      </c>
    </row>
    <row r="79">
      <c r="A79" s="98" t="inlineStr">
        <is>
          <t xml:space="preserve">АНДИЖОН ВИЛОЯТИ</t>
        </is>
      </c>
      <c r="C79" s="98" t="inlineStr">
        <is>
          <t xml:space="preserve">Обещал</t>
        </is>
      </c>
      <c r="D79" s="98" t="inlineStr">
        <is>
          <t xml:space="preserve">Кр-99041191-1</t>
        </is>
      </c>
      <c r="E79" s="98" t="inlineStr">
        <is>
          <t xml:space="preserve">SHOXINAZAROV ABDULLOH AZIZBEK O’G’LI</t>
        </is>
      </c>
      <c r="F79" s="98" t="inlineStr">
        <is>
          <t xml:space="preserve">+998880662277 SMS O’ZI, 998881005751 SMS ONASI, 998931005751 SMS DADASI, 998970272127 SMS DO’STI MUXAMMADSOLIQ,</t>
        </is>
      </c>
      <c r="G79" s="98" t="inlineStr">
        <is>
          <t xml:space="preserve">Экин тикин МФЙ, Шафтолизор кучаси, 252-уй</t>
        </is>
      </c>
      <c r="H79" s="99">
        <v>10.0</v>
      </c>
      <c r="I79" s="99">
        <v>2283916.04</v>
      </c>
      <c r="K79" s="98" t="inlineStr">
        <is>
          <t xml:space="preserve">Va'da berdi | bugun erta hal qiladi | 684931.506849315 | 1598984.53</t>
        </is>
      </c>
    </row>
    <row r="80">
      <c r="A80" s="98" t="inlineStr">
        <is>
          <t xml:space="preserve">АНДИЖОН ВИЛОЯТИ</t>
        </is>
      </c>
      <c r="C80" s="98" t="inlineStr">
        <is>
          <t xml:space="preserve">Дозвон</t>
        </is>
      </c>
      <c r="D80" s="98" t="inlineStr">
        <is>
          <t xml:space="preserve">Кр-99004621-4</t>
        </is>
      </c>
      <c r="E80" s="98" t="inlineStr">
        <is>
          <t xml:space="preserve">NADIROV MURODJON BAXRAMJON O’G’LI</t>
        </is>
      </c>
      <c r="F80" s="98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80" s="98" t="inlineStr">
        <is>
          <t xml:space="preserve">Саноат МФЙ, А.Йулдошев 1 тор кучаси, 37-уй</t>
        </is>
      </c>
      <c r="H80" s="99">
        <v>10.0</v>
      </c>
      <c r="I80" s="99">
        <v>2150272.74</v>
      </c>
      <c r="J80" s="99">
        <v>410958.0</v>
      </c>
      <c r="K80" s="98" t="inlineStr">
        <is>
          <t xml:space="preserve">To'ladi | 410958.90410958906 | 1739313.84</t>
        </is>
      </c>
    </row>
    <row r="81">
      <c r="A81" s="98" t="inlineStr">
        <is>
          <t xml:space="preserve">АНДИЖОН ВИЛОЯТИ</t>
        </is>
      </c>
      <c r="C81" s="98" t="inlineStr">
        <is>
          <t xml:space="preserve">Обещал</t>
        </is>
      </c>
      <c r="D81" s="98" t="inlineStr">
        <is>
          <t xml:space="preserve">Кр-99038983-2</t>
        </is>
      </c>
      <c r="E81" s="98" t="inlineStr">
        <is>
          <t xml:space="preserve">REJABOVA GULNOZA MAXAMMADJON QIZI</t>
        </is>
      </c>
      <c r="F81" s="98" t="inlineStr">
        <is>
          <t xml:space="preserve">998331132300 SMS OZI olmaliqda kambinatda ishlid , 998931632300 SMS AKASI, 998987882323 SMS UKASI, 998944009532 SMS ONASI,</t>
        </is>
      </c>
      <c r="G81" s="98" t="inlineStr">
        <is>
          <t xml:space="preserve">ANDIJON VILOYATI  QO’RG’ONTEPA TUMANI DEXQONCHEK  MFY SAJDAGOX KO’CHASI 30-UY</t>
        </is>
      </c>
      <c r="H81" s="99">
        <v>10.0</v>
      </c>
      <c r="I81" s="99">
        <v>1986455.68</v>
      </c>
      <c r="K81" s="98" t="inlineStr">
        <is>
          <t xml:space="preserve">Va'da berdi | bugun erta hal qiladi | 364383.5616438356 | 1622072.12</t>
        </is>
      </c>
    </row>
    <row r="82">
      <c r="A82" s="98" t="inlineStr">
        <is>
          <t xml:space="preserve">АНДИЖОН ВИЛОЯТИ</t>
        </is>
      </c>
      <c r="C82" s="98" t="inlineStr">
        <is>
          <t xml:space="preserve">Обещал</t>
        </is>
      </c>
      <c r="D82" s="98" t="inlineStr">
        <is>
          <t xml:space="preserve">Кр-99029531-1</t>
        </is>
      </c>
      <c r="E82" s="98" t="inlineStr">
        <is>
          <t xml:space="preserve">TOLIBJONOVA MAFTUNAXON OYBEK QIZI</t>
        </is>
      </c>
      <c r="F82" s="98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82" s="98" t="inlineStr">
        <is>
          <t xml:space="preserve">ANDIJON VILOYATI ANDIJON TUMANI ISTIQLOL MFY OQ YOR KO’CHASI 163-UY</t>
        </is>
      </c>
      <c r="H82" s="99">
        <v>3.0</v>
      </c>
      <c r="I82" s="99">
        <v>1957283.66</v>
      </c>
      <c r="K82" s="98" t="inlineStr">
        <is>
          <t xml:space="preserve">Va'da berdi | bugun erta hal qiladi | 287671.23287671234 | 1669612.43</t>
        </is>
      </c>
    </row>
    <row r="83">
      <c r="A83" s="98" t="inlineStr">
        <is>
          <t xml:space="preserve">АНДИЖОН ВИЛОЯТИ</t>
        </is>
      </c>
      <c r="C83" s="98" t="inlineStr">
        <is>
          <t xml:space="preserve">Обещал</t>
        </is>
      </c>
      <c r="D83" s="98" t="inlineStr">
        <is>
          <t xml:space="preserve">Кр-99039141-1</t>
        </is>
      </c>
      <c r="E83" s="98" t="inlineStr">
        <is>
          <t xml:space="preserve">SAIDBEKOVA MOXINUR MUXAMMADJON QIZI</t>
        </is>
      </c>
      <c r="F83" s="98" t="inlineStr">
        <is>
          <t xml:space="preserve">998970957667 SMS OZI, 998974114774 SMS AKASI begona,</t>
        </is>
      </c>
      <c r="G83" s="98" t="inlineStr">
        <is>
          <t xml:space="preserve">ANDIJON VILOYATI ANDIJON  SHAHAR MASH’AL MFY T.REJAPOV 1-UY 53-XONADON</t>
        </is>
      </c>
      <c r="H83" s="99">
        <v>10.0</v>
      </c>
      <c r="I83" s="99">
        <v>1954465.27</v>
      </c>
      <c r="K83" s="98" t="inlineStr">
        <is>
          <t xml:space="preserve">Va'da berdi | 20 gacha hal qiladi | 547945.205479452 | 1406520.06</t>
        </is>
      </c>
    </row>
    <row r="84">
      <c r="A84" s="98" t="inlineStr">
        <is>
          <t xml:space="preserve">АНДИЖОН ВИЛОЯТИ</t>
        </is>
      </c>
      <c r="C84" s="98" t="inlineStr">
        <is>
          <t xml:space="preserve">Обещал</t>
        </is>
      </c>
      <c r="D84" s="98" t="inlineStr">
        <is>
          <t xml:space="preserve">Кр-99063628-3</t>
        </is>
      </c>
      <c r="E84" s="98" t="inlineStr">
        <is>
          <t xml:space="preserve">TASHMATOV XUSNUTDIN ODILJANOVICH</t>
        </is>
      </c>
      <c r="F84" s="98" t="inlineStr">
        <is>
          <t xml:space="preserve">998901705955 O’ZI,</t>
        </is>
      </c>
      <c r="G84" s="98" t="inlineStr">
        <is>
          <t xml:space="preserve">АНДИЖОН ВИЛОЯТИ АНДИЖОН ШАХAР АХМАД ЯССАВИЙ МФЙ ЛОЙИХАЛАШ КУЧАСИ 6-УЙ</t>
        </is>
      </c>
      <c r="H84" s="99">
        <v>10.0</v>
      </c>
      <c r="I84" s="99">
        <v>1588633.18</v>
      </c>
      <c r="K84" s="98" t="inlineStr">
        <is>
          <t xml:space="preserve">Va'da berdi | Farrux aka bn gaplashgan | 547945.205479452 | 1040687.97</t>
        </is>
      </c>
    </row>
    <row r="85">
      <c r="A85" s="98" t="inlineStr">
        <is>
          <t xml:space="preserve">АНДИЖОН ВИЛОЯТИ</t>
        </is>
      </c>
      <c r="C85" s="98" t="inlineStr">
        <is>
          <t xml:space="preserve">Обещал</t>
        </is>
      </c>
      <c r="D85" s="98" t="inlineStr">
        <is>
          <t xml:space="preserve">Кр-99027653-1</t>
        </is>
      </c>
      <c r="E85" s="98" t="inlineStr">
        <is>
          <t xml:space="preserve">G’ANIYEV MARDONBEK DILMUROD O’G’LI</t>
        </is>
      </c>
      <c r="F85" s="98" t="inlineStr">
        <is>
          <t xml:space="preserve">97-834-27-17 SMS O'ZI, 99-402-73-17 SMS ZALOGADATEL, 99-494-13-38 SMS KELINOYISI, 91-481-17-11  SMS DO’STI Begona ,</t>
        </is>
      </c>
      <c r="G85" s="98" t="inlineStr">
        <is>
          <t xml:space="preserve">ANDIJON VILOYATI MARXAMAT TUMANI NAVRO’Z MFY CHILONZOR KO’CHASI 114-UY</t>
        </is>
      </c>
      <c r="H85" s="99">
        <v>10.0</v>
      </c>
      <c r="I85" s="99">
        <v>1301512.17</v>
      </c>
      <c r="K85" s="98" t="inlineStr">
        <is>
          <t xml:space="preserve">Va'da berdi | shu hafta oxiriga tashlab beradi ekan ozi rusda ekan | 493150.68493150687 | 808361.49</t>
        </is>
      </c>
    </row>
    <row r="86">
      <c r="A86" s="98" t="inlineStr">
        <is>
          <t xml:space="preserve">АНДИЖОН ВИЛОЯТИ</t>
        </is>
      </c>
      <c r="C86" s="98" t="inlineStr">
        <is>
          <t xml:space="preserve">Обещал</t>
        </is>
      </c>
      <c r="D86" s="98" t="inlineStr">
        <is>
          <t xml:space="preserve">Кр-99035336-2</t>
        </is>
      </c>
      <c r="E86" s="98" t="inlineStr">
        <is>
          <t xml:space="preserve">RO’ZIYEVA MUNIRAXON SULTONOVNA</t>
        </is>
      </c>
      <c r="F86" s="98" t="inlineStr">
        <is>
          <t xml:space="preserve">998936907720 SMS OZI, 998949796867 SMS QIZI, 998504044603 SMS OGLI, 998934446258 SMS ONASI,</t>
        </is>
      </c>
      <c r="G86" s="98" t="inlineStr">
        <is>
          <t xml:space="preserve">ANDIJON VILOYATI BO’Z TUMANI MUSTAQILLIK KO’CHASI  70-UY,11-XONADON</t>
        </is>
      </c>
      <c r="H86" s="99">
        <v>10.0</v>
      </c>
      <c r="I86" s="99">
        <v>1268111.0</v>
      </c>
      <c r="K86" s="98" t="inlineStr">
        <is>
          <t xml:space="preserve">Va'da berdi | 20 kunga hal qiladi | 383561.6438356164 | 884549.36</t>
        </is>
      </c>
    </row>
    <row r="87">
      <c r="A87" s="98" t="inlineStr">
        <is>
          <t xml:space="preserve">АНДИЖОН ВИЛОЯТИ</t>
        </is>
      </c>
      <c r="C87" s="98" t="inlineStr">
        <is>
          <t xml:space="preserve">Обещал</t>
        </is>
      </c>
      <c r="D87" s="98" t="inlineStr">
        <is>
          <t xml:space="preserve">Кр-99036805-2</t>
        </is>
      </c>
      <c r="E87" s="98" t="inlineStr">
        <is>
          <t xml:space="preserve">BESHBAYEVA OYAT KASIMOVA</t>
        </is>
      </c>
      <c r="F87" s="98" t="inlineStr">
        <is>
          <t xml:space="preserve">998979805801 SMS ozi , 998950012711 SMS ogli , 998501114027 SMS kelini , 998938252911 SMS ukasi , 998979805801 SMS ozi ,</t>
        </is>
      </c>
      <c r="G87" s="98" t="inlineStr">
        <is>
          <t xml:space="preserve">ANDIJON SHAHRI </t>
        </is>
      </c>
      <c r="H87" s="99">
        <v>10.0</v>
      </c>
      <c r="I87" s="99">
        <v>1141809.69</v>
      </c>
      <c r="K87" s="98" t="inlineStr">
        <is>
          <t xml:space="preserve">Va'da berdi | 20-25 kuni hal qiladi | 273972.602739726 | 867837.09</t>
        </is>
      </c>
    </row>
    <row r="88">
      <c r="A88" s="98" t="inlineStr">
        <is>
          <t xml:space="preserve">АНДИЖОН ВИЛОЯТИ</t>
        </is>
      </c>
      <c r="C88" s="98" t="inlineStr">
        <is>
          <t xml:space="preserve">Обещал</t>
        </is>
      </c>
      <c r="D88" s="98" t="inlineStr">
        <is>
          <t xml:space="preserve">Кр-99038164-1</t>
        </is>
      </c>
      <c r="E88" s="98" t="inlineStr">
        <is>
          <t xml:space="preserve">TURSUNALIYEV SIROJIDDIN YUNUSALI O’G’LI</t>
        </is>
      </c>
      <c r="F88" s="98" t="inlineStr">
        <is>
          <t xml:space="preserve">998883397171 SMS OZI, 998509978785 SMS AKASI, 998772880618 SMS OPASI, 998951552560 SMS DADASI,</t>
        </is>
      </c>
      <c r="G88" s="98" t="inlineStr">
        <is>
          <t xml:space="preserve">ANDIJON  VILOYATI BULOQBOSHI  TUMANI  RIVOJ MFY,YANGI CHEK KO’CHASI 412-UY</t>
        </is>
      </c>
      <c r="H88" s="99">
        <v>3.0</v>
      </c>
      <c r="I88" s="99">
        <v>1060078.09</v>
      </c>
      <c r="K88" s="98" t="inlineStr">
        <is>
          <t xml:space="preserve">Va'da berdi | 20 kunga hal qiladi | 575342.4657534247 | 484735.62</t>
        </is>
      </c>
    </row>
    <row r="89">
      <c r="A89" s="98" t="inlineStr">
        <is>
          <t xml:space="preserve">АНДИЖОН ВИЛОЯТИ</t>
        </is>
      </c>
      <c r="C89" s="98" t="inlineStr">
        <is>
          <t xml:space="preserve">Обещал</t>
        </is>
      </c>
      <c r="D89" s="98" t="inlineStr">
        <is>
          <t xml:space="preserve">Кр-99038275-3</t>
        </is>
      </c>
      <c r="E89" s="98" t="inlineStr">
        <is>
          <t xml:space="preserve">KARIMOVA XAMROXON MO’YDINOVNA</t>
        </is>
      </c>
      <c r="F89" s="98" t="inlineStr">
        <is>
          <t xml:space="preserve">998508831410 SMS OZI, 998948881410 SMS OGLI, 998916012492 SMS KELINI, 998937359892 SMS AKASI,</t>
        </is>
      </c>
      <c r="G89" s="98" t="inlineStr">
        <is>
          <t xml:space="preserve">ANDIJON  VILOYATI SHAXRIXON   TUMANI YANGIMAXALLA MFY, OBOD KO’CHASI  75/1-UY</t>
        </is>
      </c>
      <c r="H89" s="99">
        <v>10.0</v>
      </c>
      <c r="I89" s="99">
        <v>913144.31</v>
      </c>
      <c r="K89" s="98" t="inlineStr">
        <is>
          <t xml:space="preserve">Va'da berdi | shu hafta hal qiladi | 246575.34246575343 | 666568.97</t>
        </is>
      </c>
    </row>
    <row r="90">
      <c r="A90" s="100" t="inlineStr">
        <is>
          <t xml:space="preserve">БУХОРО ВИЛОЯТИ</t>
        </is>
      </c>
      <c r="B90" s="100" t="inlineStr">
        <is>
          <t xml:space="preserve">SUPER BRANCH</t>
        </is>
      </c>
      <c r="C90" s="100" t="inlineStr">
        <is>
          <t xml:space="preserve">Обещал</t>
        </is>
      </c>
      <c r="D90" s="100" t="inlineStr">
        <is>
          <t xml:space="preserve">Кр-99063363-1</t>
        </is>
      </c>
      <c r="E90" s="100" t="inlineStr">
        <is>
          <t xml:space="preserve">KOMILOVA ZEBO NURIDDINOVNA</t>
        </is>
      </c>
      <c r="F90" s="100" t="inlineStr">
        <is>
          <t xml:space="preserve">998995031288 OZI, 998773127040 JIYANI, 998998621288 ONASI, 998770900005 DOSTI,</t>
        </is>
      </c>
      <c r="G90" s="100" t="inlineStr">
        <is>
          <t xml:space="preserve">BUXORO VILOYATI QORAKUL TUMANI XOJAKON MFY XUNARMANDLAR KO’CHASI 86-UY</t>
        </is>
      </c>
      <c r="H90" s="101">
        <v>9.0</v>
      </c>
      <c r="I90" s="101">
        <v>9248185.5</v>
      </c>
      <c r="K90" s="100" t="inlineStr">
        <is>
          <t xml:space="preserve">Va'da berdi | 39 | 12614632.016630135</t>
        </is>
      </c>
    </row>
    <row r="91">
      <c r="A91" s="100" t="inlineStr">
        <is>
          <t xml:space="preserve">БУХОРО ВИЛОЯТИ</t>
        </is>
      </c>
      <c r="B91" s="100" t="inlineStr">
        <is>
          <t xml:space="preserve">SUPER BRANCH</t>
        </is>
      </c>
      <c r="C91" s="100" t="inlineStr">
        <is>
          <t xml:space="preserve">Обещал</t>
        </is>
      </c>
      <c r="D91" s="100" t="inlineStr">
        <is>
          <t xml:space="preserve">Кр-99033006-2</t>
        </is>
      </c>
      <c r="E91" s="100" t="inlineStr">
        <is>
          <t xml:space="preserve">AMIRQULOV AZIZBEK FARXOD O’G’LI</t>
        </is>
      </c>
      <c r="F91" s="100" t="inlineStr">
        <is>
          <t xml:space="preserve">998943206655 SMS O’ZI , 998930065166 SMS AKASI, 998940514494 SMS UKASI,</t>
        </is>
      </c>
      <c r="G91" s="100" t="inlineStr">
        <is>
          <t xml:space="preserve">BUXORO VILOYATI KORAKO’L TUMANI DARG’ALI MFY OQG’UN QISHLOG’I 22-UY</t>
        </is>
      </c>
      <c r="H91" s="101">
        <v>12.0</v>
      </c>
      <c r="I91" s="101">
        <v>2230158.71</v>
      </c>
      <c r="K91" s="100" t="inlineStr">
        <is>
          <t xml:space="preserve">Va'da berdi | 10 | 2423559.9516438358</t>
        </is>
      </c>
    </row>
    <row r="92">
      <c r="A92" s="100" t="inlineStr">
        <is>
          <t xml:space="preserve">БУХОРО ВИЛОЯТИ</t>
        </is>
      </c>
      <c r="B92" s="100" t="inlineStr">
        <is>
          <t xml:space="preserve">SUPER BRANCH</t>
        </is>
      </c>
      <c r="C92" s="100" t="inlineStr">
        <is>
          <t xml:space="preserve">Обещал</t>
        </is>
      </c>
      <c r="D92" s="100" t="inlineStr">
        <is>
          <t xml:space="preserve">Кр-99057620-1</t>
        </is>
      </c>
      <c r="E92" s="100" t="inlineStr">
        <is>
          <t xml:space="preserve">SADRIDDINOV SAVRIDDIN HUSNIDDIN O’G’LI</t>
        </is>
      </c>
      <c r="F92" s="100" t="inlineStr">
        <is>
          <t xml:space="preserve">998997027515 SMS UZI, 998906367515 SMS OTASI, 998997077515 SMS ONASI, 998918087515 SMS AKASI,</t>
        </is>
      </c>
      <c r="G92" s="100" t="inlineStr">
        <is>
          <t xml:space="preserve">BUXORO VILOYATI VOBKENT TUMANI KO'LXATIB MFY, NAVOIY KO'CHASI, 4-UY </t>
        </is>
      </c>
      <c r="H92" s="101">
        <v>7.0</v>
      </c>
      <c r="I92" s="101">
        <v>1850061.77</v>
      </c>
      <c r="K92" s="100" t="inlineStr">
        <is>
          <t xml:space="preserve">Va'da berdi | 34 | 2387048.071369863</t>
        </is>
      </c>
    </row>
    <row r="93">
      <c r="A93" s="100" t="inlineStr">
        <is>
          <t xml:space="preserve">БУХОРО ВИЛОЯТИ</t>
        </is>
      </c>
      <c r="B93" s="100" t="inlineStr">
        <is>
          <t xml:space="preserve">SUPER BRANCH</t>
        </is>
      </c>
      <c r="C93" s="100" t="inlineStr">
        <is>
          <t xml:space="preserve">Обещал</t>
        </is>
      </c>
      <c r="D93" s="100" t="inlineStr">
        <is>
          <t xml:space="preserve">Кр-99033006-3</t>
        </is>
      </c>
      <c r="E93" s="100" t="inlineStr">
        <is>
          <t xml:space="preserve">AMIRQULOV AZIZBEK FARXOD O’G’LI</t>
        </is>
      </c>
      <c r="F93" s="100" t="inlineStr">
        <is>
          <t xml:space="preserve">998943206655 SMS O’ZI , 998930065166 SMS AKASI, 998940514494 SMS UKASI,</t>
        </is>
      </c>
      <c r="G93" s="100" t="inlineStr">
        <is>
          <t xml:space="preserve">BUXORO VILOYATI KORAKO’L TUMANI DARG’ALI MFY OQG’UN QISHLOG’I 22-UY</t>
        </is>
      </c>
      <c r="H93" s="101">
        <v>0.0</v>
      </c>
      <c r="I93" s="101">
        <v>1673796.38</v>
      </c>
      <c r="K93" s="100" t="inlineStr">
        <is>
          <t xml:space="preserve">Va'da berdi | 11 | 1673796.38</t>
        </is>
      </c>
    </row>
    <row r="94">
      <c r="A94" s="100" t="inlineStr">
        <is>
          <t xml:space="preserve">БУХОРО ВИЛОЯТИ</t>
        </is>
      </c>
      <c r="B94" s="100" t="inlineStr">
        <is>
          <t xml:space="preserve">SUPER BRANCH</t>
        </is>
      </c>
      <c r="C94" s="100" t="inlineStr">
        <is>
          <t xml:space="preserve">Обещал</t>
        </is>
      </c>
      <c r="D94" s="100" t="inlineStr">
        <is>
          <t xml:space="preserve">Кр-99039939-1</t>
        </is>
      </c>
      <c r="E94" s="100" t="inlineStr">
        <is>
          <t xml:space="preserve">TUXTAYEVA NARGIZA JURAYEVNA</t>
        </is>
      </c>
      <c r="F94" s="100" t="inlineStr">
        <is>
          <t xml:space="preserve">998918365488 SMS OZI, 998903407973 SMS ONASI, 998331951802 SMS ERI, 998994452534 SMS UY,</t>
        </is>
      </c>
      <c r="G94" s="100" t="inlineStr">
        <is>
          <t xml:space="preserve">BUXORO VILOYATI BUXORO SHAHAR FOSHUN MFY ALPOMISH KO'CHASI, 17/3 UY, 10-XONADON</t>
        </is>
      </c>
      <c r="H94" s="101">
        <v>7.0</v>
      </c>
      <c r="I94" s="101">
        <v>1602703.75</v>
      </c>
      <c r="K94" s="100" t="inlineStr">
        <is>
          <t xml:space="preserve">Va'da berdi | 24 | 2358394.8329041097</t>
        </is>
      </c>
    </row>
    <row r="95">
      <c r="A95" s="100" t="inlineStr">
        <is>
          <t xml:space="preserve">БУХОРО ВИЛОЯТИ</t>
        </is>
      </c>
      <c r="B95" s="100" t="inlineStr">
        <is>
          <t xml:space="preserve">SUPER BRANCH</t>
        </is>
      </c>
      <c r="C95" s="100" t="inlineStr">
        <is>
          <t xml:space="preserve">Обещал</t>
        </is>
      </c>
      <c r="D95" s="100" t="inlineStr">
        <is>
          <t xml:space="preserve">Кр-99036367-2</t>
        </is>
      </c>
      <c r="E95" s="100" t="inlineStr">
        <is>
          <t xml:space="preserve">BEHBUDOV ASLBEK RIZAMATOVICH</t>
        </is>
      </c>
      <c r="F95" s="100" t="inlineStr">
        <is>
          <t xml:space="preserve">+998947812907 SMS O’ZI, 998914462869 SMS OTASI, 998948795777 SMS JIYANI, 998997034797 SMS ONASI,</t>
        </is>
      </c>
      <c r="G95" s="100" t="inlineStr">
        <is>
          <t xml:space="preserve">BUXORO VILOYATI QORAKO’L TUMANI KUYI JANPAR 101-UY</t>
        </is>
      </c>
      <c r="H95" s="101">
        <v>7.0</v>
      </c>
      <c r="I95" s="101">
        <v>1095014.7</v>
      </c>
      <c r="K95" s="100" t="inlineStr">
        <is>
          <t xml:space="preserve">Va'da berdi | 16 | 1460127.68369863</t>
        </is>
      </c>
    </row>
    <row r="96">
      <c r="A96" s="102" t="inlineStr">
        <is>
          <t xml:space="preserve">БУХОРО ВИЛОЯТИ</t>
        </is>
      </c>
      <c r="B96" s="102" t="inlineStr">
        <is>
          <t xml:space="preserve">Бухоро филиали</t>
        </is>
      </c>
      <c r="C96" s="102" t="inlineStr">
        <is>
          <t xml:space="preserve">Обещал</t>
        </is>
      </c>
      <c r="D96" s="102" t="inlineStr">
        <is>
          <t xml:space="preserve">Кр-99062884-1</t>
        </is>
      </c>
      <c r="E96" s="102" t="inlineStr">
        <is>
          <t xml:space="preserve">MADIYEVA ISTAT RAVSHANOVNA</t>
        </is>
      </c>
      <c r="F96" s="102" t="inlineStr">
        <is>
          <t xml:space="preserve">+998997320621 SMS O’ZI, 998505742858 SMS O’G’LI, 998933080621 SMS KELINI, 998943960868 SMS QIZI,</t>
        </is>
      </c>
      <c r="G96" s="102" t="inlineStr">
        <is>
          <t xml:space="preserve">BUXORO VILOYATI JONDOR TUMANI ZARAFSHON MFY ZARAFSHON KO’CHASI 406-UY</t>
        </is>
      </c>
      <c r="H96" s="103">
        <v>7.0</v>
      </c>
      <c r="I96" s="103">
        <v>6933746.01</v>
      </c>
      <c r="K96" s="102" t="inlineStr">
        <is>
          <t xml:space="preserve">Va'da berdi | 37 | 8771645.565780822</t>
        </is>
      </c>
    </row>
    <row r="97">
      <c r="A97" s="102" t="inlineStr">
        <is>
          <t xml:space="preserve">БУХОРО ВИЛОЯТИ</t>
        </is>
      </c>
      <c r="B97" s="102" t="inlineStr">
        <is>
          <t xml:space="preserve">Бухоро филиали</t>
        </is>
      </c>
      <c r="C97" s="102" t="inlineStr">
        <is>
          <t xml:space="preserve">Обещал</t>
        </is>
      </c>
      <c r="D97" s="102" t="inlineStr">
        <is>
          <t xml:space="preserve">Кр-99062677-2</t>
        </is>
      </c>
      <c r="E97" s="102" t="inlineStr">
        <is>
          <t xml:space="preserve">POCHCHOYEVA ZULAYXO TOLIBJONOVNA</t>
        </is>
      </c>
      <c r="F97" s="102" t="inlineStr">
        <is>
          <t xml:space="preserve">+998932594485 SMS O’ZI, 998952224447 SMS ERI, 998992304600 SMS QAYNONASI, 998995554600 SMS QAYNOTA, 998939564485 узи 2,</t>
        </is>
      </c>
      <c r="G97" s="102" t="inlineStr">
        <is>
          <t xml:space="preserve">BUXORO VILOYAT JONDOR TUMAN IBN SINO MFY ASBOBSOZ KO’CHA 130-UY</t>
        </is>
      </c>
      <c r="H97" s="103">
        <v>7.0</v>
      </c>
      <c r="I97" s="103">
        <v>4279787.38</v>
      </c>
      <c r="K97" s="102" t="inlineStr">
        <is>
          <t xml:space="preserve">Va'da berdi | 35 | 5555825.088054795</t>
        </is>
      </c>
    </row>
    <row r="98">
      <c r="A98" s="102" t="inlineStr">
        <is>
          <t xml:space="preserve">БУХОРО ВИЛОЯТИ</t>
        </is>
      </c>
      <c r="B98" s="102" t="inlineStr">
        <is>
          <t xml:space="preserve">Бухоро филиали</t>
        </is>
      </c>
      <c r="C98" s="102" t="inlineStr">
        <is>
          <t xml:space="preserve">Обещал</t>
        </is>
      </c>
      <c r="D98" s="102" t="inlineStr">
        <is>
          <t xml:space="preserve">Кр-99035221-3</t>
        </is>
      </c>
      <c r="E98" s="102" t="inlineStr">
        <is>
          <t xml:space="preserve">SHUKUROV YUNUS UMAROVICH</t>
        </is>
      </c>
      <c r="F98" s="102" t="inlineStr">
        <is>
          <t xml:space="preserve">998990297718 SMS O’ZI, 998996751234 SMS AYOLI, 998992231806 SMS QAYNONASI, 998992947718 SMS ONASI,</t>
        </is>
      </c>
      <c r="G98" s="102" t="inlineStr">
        <is>
          <t xml:space="preserve">Хужа Мушкин МФЙ, Алпомиш кучаси, 13/2-уй, 7-хонадон</t>
        </is>
      </c>
      <c r="H98" s="103">
        <v>7.0</v>
      </c>
      <c r="I98" s="103">
        <v>3797288.24</v>
      </c>
      <c r="K98" s="102" t="inlineStr">
        <is>
          <t xml:space="preserve">Va'da berdi | 15 | 4756192.459671233</t>
        </is>
      </c>
    </row>
    <row r="99">
      <c r="A99" s="102" t="inlineStr">
        <is>
          <t xml:space="preserve">БУХОРО ВИЛОЯТИ</t>
        </is>
      </c>
      <c r="B99" s="102" t="inlineStr">
        <is>
          <t xml:space="preserve">Бухоро филиали</t>
        </is>
      </c>
      <c r="C99" s="102" t="inlineStr">
        <is>
          <t xml:space="preserve">Обещал</t>
        </is>
      </c>
      <c r="D99" s="102" t="inlineStr">
        <is>
          <t xml:space="preserve">Кр-99027572-1</t>
        </is>
      </c>
      <c r="E99" s="102" t="inlineStr">
        <is>
          <t xml:space="preserve">TO’YBOYEV BEHRUZ LUQMON O’G’LI</t>
        </is>
      </c>
      <c r="F99" s="102" t="inlineStr">
        <is>
          <t xml:space="preserve">99-262-34-44 SMS O'ZI хоразимда харбий , 95-571-45-41  SMS XOTINI, 97-452-30-33  SMS DADASI,</t>
        </is>
      </c>
      <c r="G99" s="102" t="inlineStr">
        <is>
          <t xml:space="preserve">BUXORO VILOYATI G’IJDUVON TUMANI POZAGARI MAXALLASI XARCHXONA KUCHASI 133 UY</t>
        </is>
      </c>
      <c r="H99" s="103">
        <v>11.0</v>
      </c>
      <c r="I99" s="103">
        <v>2921973.59</v>
      </c>
      <c r="K99" s="102" t="inlineStr">
        <is>
          <t xml:space="preserve">Va'da berdi | 4 | 3663423.4540547943</t>
        </is>
      </c>
    </row>
    <row r="100">
      <c r="A100" s="102" t="inlineStr">
        <is>
          <t xml:space="preserve">БУХОРО ВИЛОЯТИ</t>
        </is>
      </c>
      <c r="B100" s="102" t="inlineStr">
        <is>
          <t xml:space="preserve">Бухоро филиали</t>
        </is>
      </c>
      <c r="C100" s="102" t="inlineStr">
        <is>
          <t xml:space="preserve">Обещал</t>
        </is>
      </c>
      <c r="D100" s="102" t="inlineStr">
        <is>
          <t xml:space="preserve">Кр-99037180-2</t>
        </is>
      </c>
      <c r="E100" s="102" t="inlineStr">
        <is>
          <t xml:space="preserve">YULDASHEVA DILNOZA FAXRIDINOVNA</t>
        </is>
      </c>
      <c r="F100" s="102" t="inlineStr">
        <is>
          <t xml:space="preserve">998914076943 SMS OZI, 998907441349 SMS ERI , 998941250707 SMS JIYANI, 998507056161 SMS AMAKISI, +998914076943 SMS O’ZI,</t>
        </is>
      </c>
      <c r="G100" s="102" t="inlineStr">
        <is>
          <t xml:space="preserve">ИСТИКБОЛ МФЙ, ШУРОБОД, 67-УЙ</t>
        </is>
      </c>
      <c r="H100" s="103">
        <v>5.0</v>
      </c>
      <c r="I100" s="103">
        <v>2742706.8</v>
      </c>
      <c r="K100" s="102" t="inlineStr">
        <is>
          <t xml:space="preserve">Va'da berdi | 18 | 3349626.5284931506</t>
        </is>
      </c>
    </row>
    <row r="101">
      <c r="A101" s="102" t="inlineStr">
        <is>
          <t xml:space="preserve">БУХОРО ВИЛОЯТИ</t>
        </is>
      </c>
      <c r="B101" s="102" t="inlineStr">
        <is>
          <t xml:space="preserve">Бухоро филиали</t>
        </is>
      </c>
      <c r="C101" s="102" t="inlineStr">
        <is>
          <t xml:space="preserve">Дозвон</t>
        </is>
      </c>
      <c r="D101" s="102" t="inlineStr">
        <is>
          <t xml:space="preserve">Кр-99019690-4</t>
        </is>
      </c>
      <c r="E101" s="102" t="inlineStr">
        <is>
          <t xml:space="preserve">HAYDAROV FURQAT RAXMATILLOYEVICH</t>
        </is>
      </c>
      <c r="F101" s="102" t="inlineStr">
        <is>
          <t xml:space="preserve">97-488-07-66  SMS O'ZI, 88-301-90-93  SMS AKASI, 97-296-06-93  SMS UY, 93-841-53-50  SMS AYOLI, 998505999203 SMS O'ZI2,</t>
        </is>
      </c>
      <c r="G101" s="102" t="inlineStr">
        <is>
          <t xml:space="preserve">BUXORO VILOYAT BUXORO SHAHRI BESHKAPPA KO'CHASI 106 UY</t>
        </is>
      </c>
      <c r="H101" s="103">
        <v>9.0</v>
      </c>
      <c r="I101" s="103">
        <v>1212298.85</v>
      </c>
      <c r="J101" s="103">
        <v>1265879.0</v>
      </c>
      <c r="K101" s="102" t="inlineStr">
        <is>
          <t xml:space="preserve">To'ladi | 1 | 1265879.6719178082</t>
        </is>
      </c>
    </row>
    <row r="102">
      <c r="A102" s="102" t="inlineStr">
        <is>
          <t xml:space="preserve">БУХОРО ВИЛОЯТИ</t>
        </is>
      </c>
      <c r="B102" s="102" t="inlineStr">
        <is>
          <t xml:space="preserve">Бухоро филиали</t>
        </is>
      </c>
      <c r="C102" s="102" t="inlineStr">
        <is>
          <t xml:space="preserve">Обещал</t>
        </is>
      </c>
      <c r="D102" s="102" t="inlineStr">
        <is>
          <t xml:space="preserve">Кр-99027688-2</t>
        </is>
      </c>
      <c r="E102" s="102" t="inlineStr">
        <is>
          <t xml:space="preserve">HUSENOV BARNO HASANOVICH</t>
        </is>
      </c>
      <c r="F102" s="102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102" s="102" t="inlineStr">
        <is>
          <t xml:space="preserve">АРАБХОНА МФЙ, АРАБХОНА,</t>
        </is>
      </c>
      <c r="H102" s="103">
        <v>7.0</v>
      </c>
      <c r="I102" s="103">
        <v>670779.48</v>
      </c>
      <c r="K102" s="102" t="inlineStr">
        <is>
          <t xml:space="preserve">Va'da berdi | 5 | 1302705.5112054795</t>
        </is>
      </c>
    </row>
    <row r="103">
      <c r="A103" s="104" t="inlineStr">
        <is>
          <t xml:space="preserve">ЖИЗЗАХ ВИЛОЯТИ</t>
        </is>
      </c>
      <c r="C103" s="104" t="inlineStr">
        <is>
          <t xml:space="preserve">Обещал</t>
        </is>
      </c>
      <c r="D103" s="104" t="inlineStr">
        <is>
          <t xml:space="preserve">Кр-99047637-1</t>
        </is>
      </c>
      <c r="E103" s="104" t="inlineStr">
        <is>
          <t xml:space="preserve">AZIMOV ASADBEK OTABEK O’G’LI</t>
        </is>
      </c>
      <c r="F103" s="104" t="inlineStr">
        <is>
          <t xml:space="preserve">+998905382222 SMS NOMER, 998971120007 SMS O’ZI, 998991937773 begonA EKAN,</t>
        </is>
      </c>
      <c r="G103" s="104" t="inlineStr">
        <is>
          <t xml:space="preserve">JIZZAX VILOYATI JIZZAX SHAHRI TURON MFY   SAYILJOYI KUCHASI 21-UY</t>
        </is>
      </c>
      <c r="H103" s="105">
        <v>73.0</v>
      </c>
      <c r="I103" s="105">
        <v>20202259.54</v>
      </c>
      <c r="K103" s="104" t="inlineStr">
        <is>
          <t xml:space="preserve">Va'da berdi | filyal keliwi kerak</t>
        </is>
      </c>
    </row>
    <row r="104">
      <c r="A104" s="104" t="inlineStr">
        <is>
          <t xml:space="preserve">ЖИЗЗАХ ВИЛОЯТИ</t>
        </is>
      </c>
      <c r="C104" s="104" t="inlineStr">
        <is>
          <t xml:space="preserve">Обещал</t>
        </is>
      </c>
      <c r="D104" s="104" t="inlineStr">
        <is>
          <t xml:space="preserve">Кр-99056937-2</t>
        </is>
      </c>
      <c r="E104" s="104" t="inlineStr">
        <is>
          <t xml:space="preserve">RASHIDOVA NASIBA YAKUBOVNA</t>
        </is>
      </c>
      <c r="F104" s="104" t="inlineStr">
        <is>
          <t xml:space="preserve">998889541771 SMS OZI, 998843817712 SMS OZI2, 998974390219 SMS KELINI,</t>
        </is>
      </c>
      <c r="G104" s="104" t="inlineStr">
        <is>
          <t xml:space="preserve">JIZZAX VILOYATI JIZZAX SHAHAR MIRZO ULUG'BEK MAHALLASI 2-UY 10-XONADON</t>
        </is>
      </c>
      <c r="H104" s="105">
        <v>13.0</v>
      </c>
      <c r="I104" s="105">
        <v>8261002.22</v>
      </c>
      <c r="K104" s="104" t="inlineStr">
        <is>
          <t xml:space="preserve">Va'da berdi | kecgaca tolaydi</t>
        </is>
      </c>
    </row>
    <row r="105">
      <c r="A105" s="104" t="inlineStr">
        <is>
          <t xml:space="preserve">ЖИЗЗАХ ВИЛОЯТИ</t>
        </is>
      </c>
      <c r="C105" s="104" t="inlineStr">
        <is>
          <t xml:space="preserve">Обещал</t>
        </is>
      </c>
      <c r="D105" s="104" t="inlineStr">
        <is>
          <t xml:space="preserve">Кр-99040635-1</t>
        </is>
      </c>
      <c r="E105" s="104" t="inlineStr">
        <is>
          <t xml:space="preserve">JURAYEVA ZULAYXA LUTFULLAYEVNA</t>
        </is>
      </c>
      <c r="F105" s="104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05" s="104" t="inlineStr">
        <is>
          <t xml:space="preserve">JIZZAX VILOYATI, DO’STLIK TUMANI, NAVRUZ MFY, IFTIXOR KUCHASI, 11-2 UY</t>
        </is>
      </c>
      <c r="H105" s="105">
        <v>43.0</v>
      </c>
      <c r="I105" s="105">
        <v>8146268.67</v>
      </c>
      <c r="K105" s="104" t="inlineStr">
        <is>
          <t xml:space="preserve">Va'da berdi | bugun tolaydi</t>
        </is>
      </c>
    </row>
    <row r="106">
      <c r="A106" s="104" t="inlineStr">
        <is>
          <t xml:space="preserve">ЖИЗЗАХ ВИЛОЯТИ</t>
        </is>
      </c>
      <c r="C106" s="104" t="inlineStr">
        <is>
          <t xml:space="preserve">Обещал</t>
        </is>
      </c>
      <c r="D106" s="104" t="inlineStr">
        <is>
          <t xml:space="preserve">Кр-99036112-1</t>
        </is>
      </c>
      <c r="E106" s="104" t="inlineStr">
        <is>
          <t xml:space="preserve">O’TASHEV RAVSHAN BOXTIYOR O’G’LI</t>
        </is>
      </c>
      <c r="F106" s="104" t="inlineStr">
        <is>
          <t xml:space="preserve">998991037766 SMS OZI, 998946525295 SMS AKA TOLOVCHI, 998946738436 SMS AYOLI TOLOVCHI, 998944973835 SMS AYOLI, 998958735995 SMS TOLOVCHI,</t>
        </is>
      </c>
      <c r="G106" s="104" t="inlineStr">
        <is>
          <t xml:space="preserve">JIZZAX VILOYATI MIRZACHUL TUMANI PAXTAZOR SHFY BUNYODKOR KUCHASI 38-UY 2-XONADON </t>
        </is>
      </c>
      <c r="H106" s="105">
        <v>44.0</v>
      </c>
      <c r="I106" s="105">
        <v>6856165.76</v>
      </c>
      <c r="K106" s="104" t="inlineStr">
        <is>
          <t xml:space="preserve">Va'da berdi | mowin olingan</t>
        </is>
      </c>
    </row>
    <row r="107">
      <c r="A107" s="104" t="inlineStr">
        <is>
          <t xml:space="preserve">ЖИЗЗАХ ВИЛОЯТИ</t>
        </is>
      </c>
      <c r="C107" s="104" t="inlineStr">
        <is>
          <t xml:space="preserve">Обещал</t>
        </is>
      </c>
      <c r="D107" s="104" t="inlineStr">
        <is>
          <t xml:space="preserve">Кр-99033328-1</t>
        </is>
      </c>
      <c r="E107" s="104" t="inlineStr">
        <is>
          <t xml:space="preserve">XOLBUTAYEV DILMUROD ABDUMALIKOVICH</t>
        </is>
      </c>
      <c r="F107" s="104" t="inlineStr">
        <is>
          <t xml:space="preserve">998915680048 SMS O’ZI, 998994280048 SMS UKASI, 998990280048 SMS AYOLI BEGONA, 998900265356 SMS ONASI,</t>
        </is>
      </c>
      <c r="G107" s="104" t="inlineStr">
        <is>
          <t xml:space="preserve">JIZZAX VILOYATI ZOMIN TUMANI  DASHTOBOD SHAXAR QORATEPA MFY SHIRIN KUCHASI </t>
        </is>
      </c>
      <c r="H107" s="105">
        <v>13.0</v>
      </c>
      <c r="I107" s="105">
        <v>6506790.93</v>
      </c>
      <c r="K107" s="104" t="inlineStr">
        <is>
          <t xml:space="preserve">Va'da berdi | 5 6 gaca tulaydi</t>
        </is>
      </c>
    </row>
    <row r="108">
      <c r="A108" s="104" t="inlineStr">
        <is>
          <t xml:space="preserve">ЖИЗЗАХ ВИЛОЯТИ</t>
        </is>
      </c>
      <c r="C108" s="104" t="inlineStr">
        <is>
          <t xml:space="preserve">Обещал</t>
        </is>
      </c>
      <c r="D108" s="104" t="inlineStr">
        <is>
          <t xml:space="preserve">Кр-99028038-1</t>
        </is>
      </c>
      <c r="E108" s="104" t="inlineStr">
        <is>
          <t xml:space="preserve">XAZRATKULOVA RAYXON TURSUNBAYEVNA</t>
        </is>
      </c>
      <c r="F108" s="104" t="inlineStr">
        <is>
          <t xml:space="preserve">998772725500 SMS OZI, 998951307770 SMS UKASI, 998904928594 SMS ZOLOGATEL,</t>
        </is>
      </c>
      <c r="G108" s="104" t="inlineStr">
        <is>
          <t xml:space="preserve">JIZZAX VILOYATI JIZZAX SHAHRI OBOD MFY XALQLAR DUSTLIGI KUCHASI 101-A UY 23-XONADON</t>
        </is>
      </c>
      <c r="H108" s="105">
        <v>8.0</v>
      </c>
      <c r="I108" s="105">
        <v>5917963.62</v>
      </c>
      <c r="K108" s="104" t="inlineStr">
        <is>
          <t xml:space="preserve">Va'da berdi | wu hafta ohirgaca yopadi timur aka bilan gaplawgan ekan</t>
        </is>
      </c>
    </row>
    <row r="109">
      <c r="A109" s="104" t="inlineStr">
        <is>
          <t xml:space="preserve">ЖИЗЗАХ ВИЛОЯТИ</t>
        </is>
      </c>
      <c r="C109" s="104" t="inlineStr">
        <is>
          <t xml:space="preserve">Обещал</t>
        </is>
      </c>
      <c r="D109" s="104" t="inlineStr">
        <is>
          <t xml:space="preserve">Кр-99005110-6</t>
        </is>
      </c>
      <c r="E109" s="104" t="inlineStr">
        <is>
          <t xml:space="preserve">TURSUNOVA MAXBUBA OLIMJON KIZI</t>
        </is>
      </c>
      <c r="F109" s="104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09" s="104" t="inlineStr">
        <is>
          <t xml:space="preserve">JIZZAX VILOYATI JIZZAX SHAHAR BUNYODKOR .M.F.Y YORQIN KO’CHASI 16-UY</t>
        </is>
      </c>
      <c r="H109" s="105">
        <v>14.0</v>
      </c>
      <c r="I109" s="105">
        <v>5523834.76</v>
      </c>
      <c r="K109" s="104" t="inlineStr">
        <is>
          <t xml:space="preserve">Va'da berdi | bugun tolaydi kecgaca</t>
        </is>
      </c>
    </row>
    <row r="110">
      <c r="A110" s="104" t="inlineStr">
        <is>
          <t xml:space="preserve">ЖИЗЗАХ ВИЛОЯТИ</t>
        </is>
      </c>
      <c r="C110" s="104" t="inlineStr">
        <is>
          <t xml:space="preserve">Обещал</t>
        </is>
      </c>
      <c r="D110" s="104" t="inlineStr">
        <is>
          <t xml:space="preserve">Кр-99038849-1</t>
        </is>
      </c>
      <c r="E110" s="104" t="inlineStr">
        <is>
          <t xml:space="preserve">XASANOV INOMJON USMONOVICH</t>
        </is>
      </c>
      <c r="F110" s="104" t="inlineStr">
        <is>
          <t xml:space="preserve">998977931100 SMS SINGLISI, 998916262046 SMS OZI, 998976831100 SMS SINGLISI 2, 998915665348 SMS AYOLI,</t>
        </is>
      </c>
      <c r="G110" s="104" t="inlineStr">
        <is>
          <t xml:space="preserve">ДУСТЛИК, ДУСТЛИК, Э.АШИРМАТОВ,  uy:Р/С</t>
        </is>
      </c>
      <c r="H110" s="105">
        <v>2.0</v>
      </c>
      <c r="I110" s="105">
        <v>5384444.03</v>
      </c>
      <c r="K110" s="104" t="inlineStr">
        <is>
          <t xml:space="preserve">Va'da berdi | kecgaca tolaydi</t>
        </is>
      </c>
    </row>
    <row r="111">
      <c r="A111" s="104" t="inlineStr">
        <is>
          <t xml:space="preserve">ЖИЗЗАХ ВИЛОЯТИ</t>
        </is>
      </c>
      <c r="C111" s="104" t="inlineStr">
        <is>
          <t xml:space="preserve">Обещал</t>
        </is>
      </c>
      <c r="D111" s="104" t="inlineStr">
        <is>
          <t xml:space="preserve">Кр-99042115-1</t>
        </is>
      </c>
      <c r="E111" s="104" t="inlineStr">
        <is>
          <t xml:space="preserve">MIRZAYEV OYBEK SUNATILLAYEVICH</t>
        </is>
      </c>
      <c r="F111" s="104" t="inlineStr">
        <is>
          <t xml:space="preserve">+998902659695 SMS, 998915909006 SMS, 998974559695 SMS,</t>
        </is>
      </c>
      <c r="G111" s="104" t="inlineStr">
        <is>
          <t xml:space="preserve">JIZZAX VILOYATI SH.RASHIDOV TUMANI TOKCHILIK MFY ZARGARLIK KUCHASI 2-UY</t>
        </is>
      </c>
      <c r="H111" s="105">
        <v>10.0</v>
      </c>
      <c r="I111" s="105">
        <v>4457135.3</v>
      </c>
      <c r="K111" s="104" t="inlineStr">
        <is>
          <t xml:space="preserve">Va'da berdi | ertaga aniq yopad kecgaca</t>
        </is>
      </c>
    </row>
    <row r="112">
      <c r="A112" s="104" t="inlineStr">
        <is>
          <t xml:space="preserve">ЖИЗЗАХ ВИЛОЯТИ</t>
        </is>
      </c>
      <c r="C112" s="104" t="inlineStr">
        <is>
          <t xml:space="preserve">Обещал</t>
        </is>
      </c>
      <c r="D112" s="104" t="inlineStr">
        <is>
          <t xml:space="preserve">Кр-99063504-1</t>
        </is>
      </c>
      <c r="E112" s="104" t="inlineStr">
        <is>
          <t xml:space="preserve">MIRZAYEVA LOBARXON ERGASHEVNA</t>
        </is>
      </c>
      <c r="F112" s="104" t="inlineStr">
        <is>
          <t xml:space="preserve">998933556974 UZI, 998934026974 ERI, 998958832266 TO’LOVCHI,</t>
        </is>
      </c>
      <c r="G112" s="104" t="inlineStr">
        <is>
          <t xml:space="preserve">ТОШКЕСГАН КФЙ, ЛОЙИХАДАГИ КЎЧА,  uy:РАКАМСИЗ</t>
        </is>
      </c>
      <c r="H112" s="105">
        <v>10.0</v>
      </c>
      <c r="I112" s="105">
        <v>4425062.18</v>
      </c>
      <c r="K112" s="104" t="inlineStr">
        <is>
          <t xml:space="preserve">Va'da berdi | duwanba tulaydi</t>
        </is>
      </c>
    </row>
    <row r="113">
      <c r="A113" s="104" t="inlineStr">
        <is>
          <t xml:space="preserve">ЖИЗЗАХ ВИЛОЯТИ</t>
        </is>
      </c>
      <c r="C113" s="104" t="inlineStr">
        <is>
          <t xml:space="preserve">Обещал</t>
        </is>
      </c>
      <c r="D113" s="104" t="inlineStr">
        <is>
          <t xml:space="preserve">Кр-99057340-1</t>
        </is>
      </c>
      <c r="E113" s="104" t="inlineStr">
        <is>
          <t xml:space="preserve">SUYUNOVA UMIDA ILHOM QIZI</t>
        </is>
      </c>
      <c r="F113" s="104" t="inlineStr">
        <is>
          <t xml:space="preserve">998995542023 SMS ERI, 998930913798 SMS UZI, 998943461045 SMS UY, 998901020807 SMS Akasi,</t>
        </is>
      </c>
      <c r="G113" s="104" t="inlineStr">
        <is>
          <t xml:space="preserve">JIZZAX VILOYATI MIRZACHO'L TUMANI IPAK YULI QFY YANGI XAYOT KUCHASI 29-UY</t>
        </is>
      </c>
      <c r="H113" s="105">
        <v>10.0</v>
      </c>
      <c r="I113" s="105">
        <v>3800442.87</v>
      </c>
      <c r="K113" s="104" t="inlineStr">
        <is>
          <t xml:space="preserve">Va'da berdi | 12da tel qiliw kerak</t>
        </is>
      </c>
    </row>
    <row r="114">
      <c r="A114" s="104" t="inlineStr">
        <is>
          <t xml:space="preserve">ЖИЗЗАХ ВИЛОЯТИ</t>
        </is>
      </c>
      <c r="C114" s="104" t="inlineStr">
        <is>
          <t xml:space="preserve">Обещал</t>
        </is>
      </c>
      <c r="D114" s="104" t="inlineStr">
        <is>
          <t xml:space="preserve">Кр-99011601-4</t>
        </is>
      </c>
      <c r="E114" s="104" t="inlineStr">
        <is>
          <t xml:space="preserve">JO’RAQULOV JAVLONJON QAHRAMON O’G’LI</t>
        </is>
      </c>
      <c r="F114" s="104" t="inlineStr">
        <is>
          <t xml:space="preserve">88-126-00-25 SMS UZI, 97-482-53-53 SMS AYOLI, 88-437-53-53 SMS OTASI, 97-127-53-53 SMS AYOLI, 998776406865 SMS Ukasi tolovchi,</t>
        </is>
      </c>
      <c r="G114" s="104" t="inlineStr">
        <is>
          <t xml:space="preserve">JIZZAX VILOYATI JIZZAX TUMANI OLMACHI MAHALLASI OLMACHI KUCHASI 9/9 UY</t>
        </is>
      </c>
      <c r="H114" s="105">
        <v>14.0</v>
      </c>
      <c r="I114" s="105">
        <v>3593058.47</v>
      </c>
      <c r="K114" s="104" t="inlineStr">
        <is>
          <t xml:space="preserve">Va'da berdi | kecga iwdan ciqib filyalga oborb beradi</t>
        </is>
      </c>
    </row>
    <row r="115">
      <c r="A115" s="104" t="inlineStr">
        <is>
          <t xml:space="preserve">ЖИЗЗАХ ВИЛОЯТИ</t>
        </is>
      </c>
      <c r="C115" s="104" t="inlineStr">
        <is>
          <t xml:space="preserve">Обещал</t>
        </is>
      </c>
      <c r="D115" s="104" t="inlineStr">
        <is>
          <t xml:space="preserve">Кр-99062344-1</t>
        </is>
      </c>
      <c r="E115" s="104" t="inlineStr">
        <is>
          <t xml:space="preserve">ALIMOV BAXROM YETMISHOVICH</t>
        </is>
      </c>
      <c r="F115" s="104" t="inlineStr">
        <is>
          <t xml:space="preserve">998959098681 O`ZI, 998959108681 AYOLI, 998956261810 QIZI,</t>
        </is>
      </c>
      <c r="G115" s="104" t="inlineStr">
        <is>
          <t xml:space="preserve">JIZZAX VILOYATI ZARBDOR TUMANI RAVOT MFY PILLAKOR KUCHASI 1-UYI</t>
        </is>
      </c>
      <c r="H115" s="105">
        <v>10.0</v>
      </c>
      <c r="I115" s="105">
        <v>3532551.19</v>
      </c>
      <c r="K115" s="104" t="inlineStr">
        <is>
          <t xml:space="preserve">Va'da berdi | qisman tolov qigan qoganini ertaaga tolaydi</t>
        </is>
      </c>
    </row>
    <row r="116">
      <c r="A116" s="104" t="inlineStr">
        <is>
          <t xml:space="preserve">ЖИЗЗАХ ВИЛОЯТИ</t>
        </is>
      </c>
      <c r="C116" s="104" t="inlineStr">
        <is>
          <t xml:space="preserve">Обещал</t>
        </is>
      </c>
      <c r="D116" s="104" t="inlineStr">
        <is>
          <t xml:space="preserve">Кр-99063773-1</t>
        </is>
      </c>
      <c r="E116" s="104" t="inlineStr">
        <is>
          <t xml:space="preserve">MUHAMADIYEVA GULNORA QIZILOVNA</t>
        </is>
      </c>
      <c r="F116" s="104" t="inlineStr">
        <is>
          <t xml:space="preserve">998911950663 UZI, 998977947748 O’G’LI, 998995406039 O’G’LI,</t>
        </is>
      </c>
      <c r="G116" s="104" t="inlineStr">
        <is>
          <t xml:space="preserve">Жиззахлик МФЙ,  ул.Ш.Рашидов , 24-уй</t>
        </is>
      </c>
      <c r="H116" s="105">
        <v>10.0</v>
      </c>
      <c r="I116" s="105">
        <v>3412267.7</v>
      </c>
      <c r="K116" s="104" t="inlineStr">
        <is>
          <t xml:space="preserve">Va'da berdi | ertaga tolaydi</t>
        </is>
      </c>
    </row>
    <row r="117">
      <c r="A117" s="104" t="inlineStr">
        <is>
          <t xml:space="preserve">ЖИЗЗАХ ВИЛОЯТИ</t>
        </is>
      </c>
      <c r="C117" s="104" t="inlineStr">
        <is>
          <t xml:space="preserve">Обещал</t>
        </is>
      </c>
      <c r="D117" s="104" t="inlineStr">
        <is>
          <t xml:space="preserve">Кр-99042221-2</t>
        </is>
      </c>
      <c r="E117" s="104" t="inlineStr">
        <is>
          <t xml:space="preserve">MAMATQOSIMOV DOSTONJON YUSUF O’G’LI</t>
        </is>
      </c>
      <c r="F117" s="104" t="inlineStr">
        <is>
          <t xml:space="preserve">+998919420024 SMS, 998911963666 SMS, 998919430024 SMS,</t>
        </is>
      </c>
      <c r="G117" s="104" t="inlineStr">
        <is>
          <t xml:space="preserve">JIZZAX VILOYATI JIZZAX SHAHRI ULUG’BEK MFY SHIRIN KUCHASI 16/2-UY</t>
        </is>
      </c>
      <c r="H117" s="105">
        <v>10.0</v>
      </c>
      <c r="I117" s="105">
        <v>3365882.19</v>
      </c>
      <c r="K117" s="104" t="inlineStr">
        <is>
          <t xml:space="preserve">Va'da berdi | bolib bolib tulov qilyapti</t>
        </is>
      </c>
    </row>
    <row r="118">
      <c r="A118" s="104" t="inlineStr">
        <is>
          <t xml:space="preserve">ЖИЗЗАХ ВИЛОЯТИ</t>
        </is>
      </c>
      <c r="C118" s="104" t="inlineStr">
        <is>
          <t xml:space="preserve">Обещал</t>
        </is>
      </c>
      <c r="D118" s="104" t="inlineStr">
        <is>
          <t xml:space="preserve">Кр-99039288-1</t>
        </is>
      </c>
      <c r="E118" s="104" t="inlineStr">
        <is>
          <t xml:space="preserve">YAKUBOV BUNYOD NEMATILLAYEVICH</t>
        </is>
      </c>
      <c r="F118" s="104" t="inlineStr">
        <is>
          <t xml:space="preserve">998904878684 SMS OZI, 998886441986 SMS AYOLI, 998932988684 SMS OZI, 998773450986 SMS SINGLISI,</t>
        </is>
      </c>
      <c r="G118" s="104" t="inlineStr">
        <is>
          <t xml:space="preserve">JIZZAX VILOYATI DUSTLIK TUMANI MEVAZOR QFY LOLAZOR KUCHASI 35-UY </t>
        </is>
      </c>
      <c r="H118" s="105">
        <v>15.0</v>
      </c>
      <c r="I118" s="105">
        <v>3193775.48</v>
      </c>
      <c r="K118" s="104" t="inlineStr">
        <is>
          <t xml:space="preserve">Va'da berdi | bugun tolaydi</t>
        </is>
      </c>
    </row>
    <row r="119">
      <c r="A119" s="104" t="inlineStr">
        <is>
          <t xml:space="preserve">ЖИЗЗАХ ВИЛОЯТИ</t>
        </is>
      </c>
      <c r="C119" s="104" t="inlineStr">
        <is>
          <t xml:space="preserve">Дозвон</t>
        </is>
      </c>
      <c r="D119" s="104" t="inlineStr">
        <is>
          <t xml:space="preserve">Кр-99055031-1</t>
        </is>
      </c>
      <c r="E119" s="104" t="inlineStr">
        <is>
          <t xml:space="preserve">PARDAYEVA XAFIZA AKRAMOVNA</t>
        </is>
      </c>
      <c r="F119" s="104" t="inlineStr">
        <is>
          <t xml:space="preserve">998995900655 SMS OZI, 998997473110 SMS OZI, 998958160926 SMS O'G'LI,</t>
        </is>
      </c>
      <c r="G119" s="104" t="inlineStr">
        <is>
          <t xml:space="preserve">JIZZAX VILOYATI G'ALLAOROL TUMANI MIRZABULOQ QFY NAYMAN KUCHASI 36-UY</t>
        </is>
      </c>
      <c r="H119" s="105">
        <v>10.0</v>
      </c>
      <c r="I119" s="105">
        <v>3028615.26</v>
      </c>
      <c r="J119" s="105">
        <v>3028615.26</v>
      </c>
      <c r="K119" s="104" t="inlineStr">
        <is>
          <t xml:space="preserve">To'ladi</t>
        </is>
      </c>
    </row>
    <row r="120">
      <c r="A120" s="104" t="inlineStr">
        <is>
          <t xml:space="preserve">ЖИЗЗАХ ВИЛОЯТИ</t>
        </is>
      </c>
      <c r="C120" s="104" t="inlineStr">
        <is>
          <t xml:space="preserve">Дозвон</t>
        </is>
      </c>
      <c r="D120" s="104" t="inlineStr">
        <is>
          <t xml:space="preserve">Кр-99052894-1</t>
        </is>
      </c>
      <c r="E120" s="104" t="inlineStr">
        <is>
          <t xml:space="preserve">SUVONQULOV SHAXRIYOR MIRZABEK O’G’LI</t>
        </is>
      </c>
      <c r="F120" s="104" t="inlineStr">
        <is>
          <t xml:space="preserve">998943079900 SMS OZI, 998932800094 SMS AKASI, 998938265665 SMS AKASI 2, 999839712506 SMS UKASI,</t>
        </is>
      </c>
      <c r="G120" s="104" t="inlineStr">
        <is>
          <t xml:space="preserve">JIZZAX VILOYATI SHAROF RASHIDOV TUMANI QANG'LI QFY NURAFSHON MFY OBOD KUCHASI 9-UY</t>
        </is>
      </c>
      <c r="H120" s="105">
        <v>10.0</v>
      </c>
      <c r="I120" s="105">
        <v>2557891.17</v>
      </c>
      <c r="J120" s="105">
        <v>2557891.17</v>
      </c>
      <c r="K120" s="104" t="inlineStr">
        <is>
          <t xml:space="preserve">To'ladi</t>
        </is>
      </c>
    </row>
    <row r="121">
      <c r="A121" s="104" t="inlineStr">
        <is>
          <t xml:space="preserve">ЖИЗЗАХ ВИЛОЯТИ</t>
        </is>
      </c>
      <c r="C121" s="104" t="inlineStr">
        <is>
          <t xml:space="preserve">Обещал</t>
        </is>
      </c>
      <c r="D121" s="104" t="inlineStr">
        <is>
          <t xml:space="preserve">Кр-99039314-1</t>
        </is>
      </c>
      <c r="E121" s="104" t="inlineStr">
        <is>
          <t xml:space="preserve">IZBOSAROV BUNYODBEK BEHZOD O’G’LI</t>
        </is>
      </c>
      <c r="F121" s="104" t="inlineStr">
        <is>
          <t xml:space="preserve">998919400878 SMS UZI, 998886647070 SMS AKASI, 998991900011 SMS KATTA AKASI, 998996100011 SMS ADASI,</t>
        </is>
      </c>
      <c r="G121" s="104" t="inlineStr">
        <is>
          <t xml:space="preserve">JIZZAX VILOYATI PAXTAKOR TUMANI TOSHKENT MFY NURAFSHON KUCHASI 7/1-UY </t>
        </is>
      </c>
      <c r="H121" s="105">
        <v>14.0</v>
      </c>
      <c r="I121" s="105">
        <v>2480562.27</v>
      </c>
      <c r="K121" s="104" t="inlineStr">
        <is>
          <t xml:space="preserve">Va'da berdi | 20sigaca tolaydi dedi jurasi</t>
        </is>
      </c>
    </row>
    <row r="122">
      <c r="A122" s="104" t="inlineStr">
        <is>
          <t xml:space="preserve">ЖИЗЗАХ ВИЛОЯТИ</t>
        </is>
      </c>
      <c r="C122" s="104" t="inlineStr">
        <is>
          <t xml:space="preserve">Обещал</t>
        </is>
      </c>
      <c r="D122" s="104" t="inlineStr">
        <is>
          <t xml:space="preserve">Кр-99046098-1</t>
        </is>
      </c>
      <c r="E122" s="104" t="inlineStr">
        <is>
          <t xml:space="preserve">RAMAZANOV IXTIYOR BAXTIYOR O’G’LI</t>
        </is>
      </c>
      <c r="F122" s="104" t="inlineStr">
        <is>
          <t xml:space="preserve">998915983004 SMS, 998945960080 SMS, 998950800277 SMS,</t>
        </is>
      </c>
      <c r="G122" s="104" t="inlineStr">
        <is>
          <t xml:space="preserve">JIZZAX VILOYATI, JIZZAX SHAHRI, TINCHLIK MFY, S.KARIMOV KO’CHASI, 5/17-UY</t>
        </is>
      </c>
      <c r="H122" s="105">
        <v>13.0</v>
      </c>
      <c r="I122" s="105">
        <v>2261681.75</v>
      </c>
      <c r="K122" s="104" t="inlineStr">
        <is>
          <t xml:space="preserve">Va'da berdi | ertaga aniq yopad kecgaca</t>
        </is>
      </c>
    </row>
    <row r="123">
      <c r="A123" s="104" t="inlineStr">
        <is>
          <t xml:space="preserve">ЖИЗЗАХ ВИЛОЯТИ</t>
        </is>
      </c>
      <c r="C123" s="104" t="inlineStr">
        <is>
          <t xml:space="preserve">Обещал</t>
        </is>
      </c>
      <c r="D123" s="104" t="inlineStr">
        <is>
          <t xml:space="preserve">Кр-99034257-1</t>
        </is>
      </c>
      <c r="E123" s="104" t="inlineStr">
        <is>
          <t xml:space="preserve">MURADOV SHOKIRJON ABDULLAYEVICH</t>
        </is>
      </c>
      <c r="F123" s="104" t="inlineStr">
        <is>
          <t xml:space="preserve">998950381202 SMS OZI, 998957986998 SMS SINI, 998933680979 SMS AYOLI, 998991677998 SMS KELINI, 998950240408 SMS O’G’LI TO’LOVCHI,</t>
        </is>
      </c>
      <c r="G123" s="104" t="inlineStr">
        <is>
          <t xml:space="preserve">JIZZAX VILOYATI G’ALLAOROL TUMANI MADANIYAT MFY QANGLIOBOD SHAXARCHASI 265-UY </t>
        </is>
      </c>
      <c r="H123" s="105">
        <v>10.0</v>
      </c>
      <c r="I123" s="105">
        <v>2226012.47</v>
      </c>
      <c r="K123" s="104" t="inlineStr">
        <is>
          <t xml:space="preserve">Va'da berdi | bugun qisman tolaydi qoganini ertaga tolaydi</t>
        </is>
      </c>
    </row>
    <row r="124">
      <c r="A124" s="104" t="inlineStr">
        <is>
          <t xml:space="preserve">ЖИЗЗАХ ВИЛОЯТИ</t>
        </is>
      </c>
      <c r="C124" s="104" t="inlineStr">
        <is>
          <t xml:space="preserve">Обещал</t>
        </is>
      </c>
      <c r="D124" s="104" t="inlineStr">
        <is>
          <t xml:space="preserve">Кр-99039656-1</t>
        </is>
      </c>
      <c r="E124" s="104" t="inlineStr">
        <is>
          <t xml:space="preserve">XOLBEKOV ULUG’BEK SULTONBEK O’G’LI</t>
        </is>
      </c>
      <c r="F124" s="104" t="inlineStr">
        <is>
          <t xml:space="preserve">998995620921 SMS OZI, 998919931111 SMS AKASI, 998940131831 SMS TOLOVCHI,</t>
        </is>
      </c>
      <c r="G124" s="104" t="inlineStr">
        <is>
          <t xml:space="preserve">JIZZAX VILOYATI SHAROF RASHIDOV TUMANI QO’SHBARMOQ QFY Q.RUMIY  KUCHASI  2-UY</t>
        </is>
      </c>
      <c r="H124" s="105">
        <v>2.0</v>
      </c>
      <c r="I124" s="105">
        <v>2047668.65</v>
      </c>
      <c r="K124" s="104" t="inlineStr">
        <is>
          <t xml:space="preserve">Va'da berdi | ertaga aniq yopadi bolib tulayapti</t>
        </is>
      </c>
    </row>
    <row r="125">
      <c r="A125" s="104" t="inlineStr">
        <is>
          <t xml:space="preserve">ЖИЗЗАХ ВИЛОЯТИ</t>
        </is>
      </c>
      <c r="C125" s="104" t="inlineStr">
        <is>
          <t xml:space="preserve">Дозвон</t>
        </is>
      </c>
      <c r="D125" s="104" t="inlineStr">
        <is>
          <t xml:space="preserve">Кр-99039329-1</t>
        </is>
      </c>
      <c r="E125" s="104" t="inlineStr">
        <is>
          <t xml:space="preserve">TURSUNMATOV ABDULAZIZ ALIAKBAR O’G’LI</t>
        </is>
      </c>
      <c r="F125" s="104" t="inlineStr">
        <is>
          <t xml:space="preserve">+998947200340 SMS OZI, 998772942607 SMS DADASI, 998990231125 SMS AKASI, 998999992897 SMS UKASI,</t>
        </is>
      </c>
      <c r="G125" s="104" t="inlineStr">
        <is>
          <t xml:space="preserve">МУГОЛ КФЙ, МУГОЛ КФЙ, ЛОЙИХАДАГИ,  uy:Р.С</t>
        </is>
      </c>
      <c r="H125" s="105">
        <v>10.0</v>
      </c>
      <c r="I125" s="105">
        <v>1773514.2</v>
      </c>
      <c r="J125" s="105">
        <v>1773514.2</v>
      </c>
      <c r="K125" s="104" t="inlineStr">
        <is>
          <t xml:space="preserve">To'ladi</t>
        </is>
      </c>
    </row>
    <row r="126">
      <c r="A126" s="104" t="inlineStr">
        <is>
          <t xml:space="preserve">ЖИЗЗАХ ВИЛОЯТИ</t>
        </is>
      </c>
      <c r="C126" s="104" t="inlineStr">
        <is>
          <t xml:space="preserve">Дозвон</t>
        </is>
      </c>
      <c r="D126" s="104" t="inlineStr">
        <is>
          <t xml:space="preserve">Кр-99041692-1</t>
        </is>
      </c>
      <c r="E126" s="104" t="inlineStr">
        <is>
          <t xml:space="preserve">XAYDAROVA MUHABBAT KAMOL QIZI</t>
        </is>
      </c>
      <c r="F126" s="104" t="inlineStr">
        <is>
          <t xml:space="preserve">+998871055002 SMS OZI, 998879530070 SMS AYOLI, 998918910095 SMS AKASI, 998918910095 SMS UKASI,</t>
        </is>
      </c>
      <c r="G126" s="104" t="inlineStr">
        <is>
          <t xml:space="preserve">JIZZAX VILOYATI JIZZAX TUMANI QANGLI MFY FAROVON KUCHASI 36-UY</t>
        </is>
      </c>
      <c r="H126" s="105">
        <v>10.0</v>
      </c>
      <c r="I126" s="105">
        <v>1763084.63</v>
      </c>
      <c r="J126" s="105">
        <v>1763084.63</v>
      </c>
      <c r="K126" s="104" t="inlineStr">
        <is>
          <t xml:space="preserve">To'ladi</t>
        </is>
      </c>
    </row>
    <row r="127">
      <c r="A127" s="104" t="inlineStr">
        <is>
          <t xml:space="preserve">ЖИЗЗАХ ВИЛОЯТИ</t>
        </is>
      </c>
      <c r="C127" s="104" t="inlineStr">
        <is>
          <t xml:space="preserve">Обещал</t>
        </is>
      </c>
      <c r="D127" s="104" t="inlineStr">
        <is>
          <t xml:space="preserve">Кр-99028367-3</t>
        </is>
      </c>
      <c r="E127" s="104" t="inlineStr">
        <is>
          <t xml:space="preserve">KARIMOV BOTIRJON RUZMATOVICH</t>
        </is>
      </c>
      <c r="F127" s="104" t="inlineStr">
        <is>
          <t xml:space="preserve">91-564-03-10 SM S OZI, 91-591-45-24  SMS ATYOLI, 91-564-22-53  SMS QIZI, 95-996-66-77 sms sin,</t>
        </is>
      </c>
      <c r="G127" s="104" t="inlineStr">
        <is>
          <t xml:space="preserve">JIZZAX VILOYATI JIZZAX SHAHAR OBOD MFY FURQAT KUCHASI 28-UY</t>
        </is>
      </c>
      <c r="H127" s="105">
        <v>14.0</v>
      </c>
      <c r="I127" s="105">
        <v>1482189.48</v>
      </c>
      <c r="K127" s="104" t="inlineStr">
        <is>
          <t xml:space="preserve">Va'da berdi | kecgaca tolaydi</t>
        </is>
      </c>
    </row>
    <row r="128">
      <c r="A128" s="104" t="inlineStr">
        <is>
          <t xml:space="preserve">ЖИЗЗАХ ВИЛОЯТИ</t>
        </is>
      </c>
      <c r="C128" s="104" t="inlineStr">
        <is>
          <t xml:space="preserve">Дозвон</t>
        </is>
      </c>
      <c r="D128" s="104" t="inlineStr">
        <is>
          <t xml:space="preserve">Кр-99033516-1</t>
        </is>
      </c>
      <c r="E128" s="104" t="inlineStr">
        <is>
          <t xml:space="preserve">MIRZAMAXMUDOV ODILJON ALLAYOR O’G’LI</t>
        </is>
      </c>
      <c r="F128" s="104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128" s="104" t="inlineStr">
        <is>
          <t xml:space="preserve">JIZZAX VILOYATI BAXMAL TUMANI UDAMALI QISHLOG’I 63-UY </t>
        </is>
      </c>
      <c r="H128" s="105">
        <v>3.0</v>
      </c>
      <c r="I128" s="105">
        <v>1079691.82</v>
      </c>
      <c r="J128" s="105">
        <v>1079691.82</v>
      </c>
      <c r="K128" s="104" t="inlineStr">
        <is>
          <t xml:space="preserve">To'ladi</t>
        </is>
      </c>
    </row>
    <row r="129">
      <c r="A129" s="104" t="inlineStr">
        <is>
          <t xml:space="preserve">ЖИЗЗАХ ВИЛОЯТИ</t>
        </is>
      </c>
      <c r="C129" s="104" t="inlineStr">
        <is>
          <t xml:space="preserve">Дозвон</t>
        </is>
      </c>
      <c r="D129" s="104" t="inlineStr">
        <is>
          <t xml:space="preserve">Кр-99046548-1</t>
        </is>
      </c>
      <c r="E129" s="104" t="inlineStr">
        <is>
          <t xml:space="preserve">BOYMURZAYEV HASAN NAZAR O’G’LI</t>
        </is>
      </c>
      <c r="F129" s="104" t="inlineStr">
        <is>
          <t xml:space="preserve">998996766010 узи, 998954330009 укаси, 998919446010 уй,</t>
        </is>
      </c>
      <c r="G129" s="104" t="inlineStr">
        <is>
          <t xml:space="preserve">JIZZAX VILOYATI SHAROF RASHIDOV TUMANI PAXTOBOD QFY YAXTANLIK MAHALLASI </t>
        </is>
      </c>
      <c r="H129" s="105">
        <v>10.0</v>
      </c>
      <c r="I129" s="105">
        <v>793050.32</v>
      </c>
      <c r="J129" s="105">
        <v>793050.32</v>
      </c>
      <c r="K129" s="104" t="inlineStr">
        <is>
          <t xml:space="preserve">To'ladi</t>
        </is>
      </c>
    </row>
    <row r="130">
      <c r="A130" s="104" t="inlineStr">
        <is>
          <t xml:space="preserve">ЖИЗЗАХ ВИЛОЯТИ</t>
        </is>
      </c>
      <c r="C130" s="104" t="inlineStr">
        <is>
          <t xml:space="preserve">Обещал</t>
        </is>
      </c>
      <c r="D130" s="104" t="inlineStr">
        <is>
          <t xml:space="preserve">Кр-99031804-1</t>
        </is>
      </c>
      <c r="E130" s="104" t="inlineStr">
        <is>
          <t xml:space="preserve">USMANOV GAYRAT IMAMOVICH</t>
        </is>
      </c>
      <c r="F130" s="104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30" s="104" t="inlineStr">
        <is>
          <t xml:space="preserve">JIZZAX VILOYATI SH.RASHIDOV TUMANI QO’SHBARMOQ QFY UCHARIQ MAHALLASI ROHAT KUCHASI 15-UY</t>
        </is>
      </c>
      <c r="H130" s="105">
        <v>1.0</v>
      </c>
      <c r="I130" s="105">
        <v>696594.48</v>
      </c>
      <c r="K130" s="104" t="inlineStr">
        <is>
          <t xml:space="preserve">Va'da berdi | ertaga tulaydi</t>
        </is>
      </c>
    </row>
    <row r="131">
      <c r="A131" s="104" t="inlineStr">
        <is>
          <t xml:space="preserve">ЖИЗЗАХ ВИЛОЯТИ</t>
        </is>
      </c>
      <c r="C131" s="104" t="inlineStr">
        <is>
          <t xml:space="preserve">Дозвон</t>
        </is>
      </c>
      <c r="D131" s="104" t="inlineStr">
        <is>
          <t xml:space="preserve">Кр-99045797-2</t>
        </is>
      </c>
      <c r="E131" s="104" t="inlineStr">
        <is>
          <t xml:space="preserve">QARSHIBAYEV RUSLAN QAXRAMON O’G’LI</t>
        </is>
      </c>
      <c r="F131" s="104" t="inlineStr">
        <is>
          <t xml:space="preserve">+998900251515 SMS, 998902978487 SMS, 998992408778 SMS,</t>
        </is>
      </c>
      <c r="G131" s="104" t="inlineStr">
        <is>
          <t xml:space="preserve">JIZZAX VILOYATI SH.RASHIDOV TUMANI TOSHKENTLIK MFY QATORTOL KUCHASI 7-UY</t>
        </is>
      </c>
      <c r="H131" s="105">
        <v>10.0</v>
      </c>
      <c r="I131" s="105">
        <v>386582.6</v>
      </c>
      <c r="J131" s="105">
        <v>386582.6</v>
      </c>
      <c r="K131" s="104" t="inlineStr">
        <is>
          <t xml:space="preserve">To'ladi</t>
        </is>
      </c>
    </row>
    <row r="132">
      <c r="A132" s="104" t="inlineStr">
        <is>
          <t xml:space="preserve">ЖИЗЗАХ ВИЛОЯТИ</t>
        </is>
      </c>
      <c r="C132" s="104" t="inlineStr">
        <is>
          <t xml:space="preserve">Дозвон</t>
        </is>
      </c>
      <c r="D132" s="104" t="inlineStr">
        <is>
          <t xml:space="preserve">Кр-99016886-4</t>
        </is>
      </c>
      <c r="E132" s="104" t="inlineStr">
        <is>
          <t xml:space="preserve">NORBOYEV UTKIR XUDOYBOKOVICH</t>
        </is>
      </c>
      <c r="F132" s="104" t="inlineStr">
        <is>
          <t xml:space="preserve">903111781 SMS UZI new, 992851781 SMS AYOLI Begona, 991760374 SMS AKASI, 955557476 SMS AKASI,</t>
        </is>
      </c>
      <c r="G132" s="104" t="inlineStr">
        <is>
          <t xml:space="preserve">JIZZAX VILOYATI ZOMIN TUMANI G'ALLAKOR QFY BAYMOQLI QISHLOG'I YANGI HAYOT KUCHASI 36-UY</t>
        </is>
      </c>
      <c r="H132" s="105">
        <v>1.0</v>
      </c>
      <c r="I132" s="105">
        <v>270598.44</v>
      </c>
      <c r="J132" s="105">
        <v>270598.44</v>
      </c>
      <c r="K132" s="104" t="inlineStr">
        <is>
          <t xml:space="preserve">To'ladi</t>
        </is>
      </c>
    </row>
    <row r="133">
      <c r="A133" s="104" t="inlineStr">
        <is>
          <t xml:space="preserve">ЖИЗЗАХ ВИЛОЯТИ</t>
        </is>
      </c>
      <c r="C133" s="104" t="inlineStr">
        <is>
          <t xml:space="preserve">Дозвон</t>
        </is>
      </c>
      <c r="D133" s="104" t="inlineStr">
        <is>
          <t xml:space="preserve">Кр-99034148-3</t>
        </is>
      </c>
      <c r="E133" s="104" t="inlineStr">
        <is>
          <t xml:space="preserve">SAYFUTDINOVA GAVXAR SHUXRATOVNA</t>
        </is>
      </c>
      <c r="F133" s="104" t="inlineStr">
        <is>
          <t xml:space="preserve">998903111016 SMS OZI, 998976480208 SMS ERI TOLOVCHI, 998912093311 SMS HAMKASBI, 998712267815 SMS UY,</t>
        </is>
      </c>
      <c r="G133" s="104" t="inlineStr">
        <is>
          <t xml:space="preserve">JIZZAX VILOYATI SH.RASHIDOV TUMANI ZIYOKOR QFY M.ESHONQULOV KUCHASI 125-UY </t>
        </is>
      </c>
      <c r="H133" s="105">
        <v>10.0</v>
      </c>
      <c r="I133" s="105">
        <v>193989.59</v>
      </c>
      <c r="J133" s="105">
        <v>193989.59</v>
      </c>
      <c r="K133" s="104" t="inlineStr">
        <is>
          <t xml:space="preserve">To'ladi</t>
        </is>
      </c>
    </row>
    <row r="134">
      <c r="A134" s="106" t="inlineStr">
        <is>
          <t xml:space="preserve">КАШКАДАРЁ ВИЛОЯТИ</t>
        </is>
      </c>
      <c r="C134" s="106" t="inlineStr">
        <is>
          <t xml:space="preserve">Обещал</t>
        </is>
      </c>
      <c r="D134" s="106" t="inlineStr">
        <is>
          <t xml:space="preserve">Кр-99036435-3</t>
        </is>
      </c>
      <c r="E134" s="106" t="inlineStr">
        <is>
          <t xml:space="preserve">JO’RAQULOV MANSUR QULMUROT O’G’LI</t>
        </is>
      </c>
      <c r="F134" s="106" t="inlineStr">
        <is>
          <t xml:space="preserve">998997330311 SMS O’ZI, 998333400311 SMS AYOLI, 998942976783 SMS O’ZI 2, 998881365522 SMS UKASI ,</t>
        </is>
      </c>
      <c r="G134" s="106" t="inlineStr">
        <is>
          <t xml:space="preserve">ЧИРОКЧИ МФЙ, ЧИРОКЧИ,  uy:Р/С</t>
        </is>
      </c>
      <c r="H134" s="107">
        <v>13.0</v>
      </c>
      <c r="I134" s="107">
        <v>17475594.32</v>
      </c>
      <c r="K134" s="106" t="inlineStr">
        <is>
          <t xml:space="preserve">Va'da berdi | 20 da to'laydi</t>
        </is>
      </c>
    </row>
    <row r="135">
      <c r="A135" s="106" t="inlineStr">
        <is>
          <t xml:space="preserve">КАШКАДАРЁ ВИЛОЯТИ</t>
        </is>
      </c>
      <c r="C135" s="106" t="inlineStr">
        <is>
          <t xml:space="preserve">Обещал</t>
        </is>
      </c>
      <c r="D135" s="106" t="inlineStr">
        <is>
          <t xml:space="preserve">Кр-99035525-2</t>
        </is>
      </c>
      <c r="E135" s="106" t="inlineStr">
        <is>
          <t xml:space="preserve">RO’ZIYEV AZIZJON FARXODOVICH</t>
        </is>
      </c>
      <c r="F135" s="106" t="inlineStr">
        <is>
          <t xml:space="preserve">998903545851 SMS OZI , 998909434667 SMS AYOLI, 998973422225 SMS UKASI, 998717546462 SMS UKASI,</t>
        </is>
      </c>
      <c r="G135" s="106" t="inlineStr">
        <is>
          <t xml:space="preserve">QASHQADARYO VILOYATI SHAHRISABZ SHAHRI KATTACHUTON KO’CHASI 27-UY</t>
        </is>
      </c>
      <c r="H135" s="107">
        <v>10.0</v>
      </c>
      <c r="I135" s="107">
        <v>9849521.69</v>
      </c>
      <c r="K135" s="106" t="inlineStr">
        <is>
          <t xml:space="preserve">Va'da berdi | shanba kuni pulim  bo'ladi to'lavoramn dedi</t>
        </is>
      </c>
    </row>
    <row r="136">
      <c r="A136" s="106" t="inlineStr">
        <is>
          <t xml:space="preserve">КАШКАДАРЁ ВИЛОЯТИ</t>
        </is>
      </c>
      <c r="C136" s="106" t="inlineStr">
        <is>
          <t xml:space="preserve">Обещал</t>
        </is>
      </c>
      <c r="D136" s="106" t="inlineStr">
        <is>
          <t xml:space="preserve">Кр-99038157-1</t>
        </is>
      </c>
      <c r="E136" s="106" t="inlineStr">
        <is>
          <t xml:space="preserve">JUMAYEV ERNAZAR IBRAGIMOVICH</t>
        </is>
      </c>
      <c r="F136" s="106" t="inlineStr">
        <is>
          <t xml:space="preserve">998973170009 SMS OZI  BEGONA, 998972259900 SMS UKASI, 998882209990 SMS OTASI, 998973109990 SMS AKASI   UZIII,</t>
        </is>
      </c>
      <c r="G136" s="106" t="inlineStr">
        <is>
          <t xml:space="preserve">QASHQADARYO VILOYATI MUBORAK TUMANI ISTIQLOL MFY NEFTCHILAR KUCHASI 1-32 UY</t>
        </is>
      </c>
      <c r="H136" s="107">
        <v>3.0</v>
      </c>
      <c r="I136" s="107">
        <v>7515687.1</v>
      </c>
      <c r="K136" s="106" t="inlineStr">
        <is>
          <t xml:space="preserve">Va'da berdi | bugun bittasi pul beradi kartadan yechib ketadi dedi</t>
        </is>
      </c>
    </row>
    <row r="137">
      <c r="A137" s="106" t="inlineStr">
        <is>
          <t xml:space="preserve">КАШКАДАРЁ ВИЛОЯТИ</t>
        </is>
      </c>
      <c r="C137" s="106" t="inlineStr">
        <is>
          <t xml:space="preserve">Обещал</t>
        </is>
      </c>
      <c r="D137" s="106" t="inlineStr">
        <is>
          <t xml:space="preserve">Кр-99012796-5</t>
        </is>
      </c>
      <c r="E137" s="106" t="inlineStr">
        <is>
          <t xml:space="preserve">SATTOROV JOBIR JAMOL O’G’LI</t>
        </is>
      </c>
      <c r="F137" s="106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37" s="106" t="inlineStr">
        <is>
          <t xml:space="preserve">QASHQADARYO VILOYATI KOSON TUMANI PAXTAZOR MFY X TEMIROV KO’CHASI 22-UY</t>
        </is>
      </c>
      <c r="H137" s="107">
        <v>10.0</v>
      </c>
      <c r="I137" s="107">
        <v>6180702.33</v>
      </c>
      <c r="K137" s="106" t="inlineStr">
        <is>
          <t xml:space="preserve">Va'da berdi | 21- kun to'lov bo'ladi dedi</t>
        </is>
      </c>
    </row>
    <row r="138">
      <c r="A138" s="106" t="inlineStr">
        <is>
          <t xml:space="preserve">КАШКАДАРЁ ВИЛОЯТИ</t>
        </is>
      </c>
      <c r="C138" s="106" t="inlineStr">
        <is>
          <t xml:space="preserve">Обещал</t>
        </is>
      </c>
      <c r="D138" s="106" t="inlineStr">
        <is>
          <t xml:space="preserve">Кр-99034170-3</t>
        </is>
      </c>
      <c r="E138" s="106" t="inlineStr">
        <is>
          <t xml:space="preserve">YUSUPOV OBID XOMETOVICH</t>
        </is>
      </c>
      <c r="F138" s="106" t="inlineStr">
        <is>
          <t xml:space="preserve">998883831111 SMS O’ZI, 998973871111 SMS O’G’LI, 998973801991 SMS UKASI, 998912621111 SMS AKASI,</t>
        </is>
      </c>
      <c r="G138" s="106" t="inlineStr">
        <is>
          <t xml:space="preserve">QASHQADARYO VILOYATI SHAXRISABZ TUMANI XONTEPA MFY SHUKRONA 32 UY</t>
        </is>
      </c>
      <c r="H138" s="107">
        <v>10.0</v>
      </c>
      <c r="I138" s="107">
        <v>5901069.16</v>
      </c>
      <c r="K138" s="106" t="inlineStr">
        <is>
          <t xml:space="preserve">Va'da berdi | juma kun abetdn kn yopvoradi</t>
        </is>
      </c>
    </row>
    <row r="139">
      <c r="A139" s="106" t="inlineStr">
        <is>
          <t xml:space="preserve">КАШКАДАРЁ ВИЛОЯТИ</t>
        </is>
      </c>
      <c r="C139" s="106" t="inlineStr">
        <is>
          <t xml:space="preserve">Обещал</t>
        </is>
      </c>
      <c r="D139" s="106" t="inlineStr">
        <is>
          <t xml:space="preserve">Кр-99039293-1</t>
        </is>
      </c>
      <c r="E139" s="106" t="inlineStr">
        <is>
          <t xml:space="preserve">NORBUTAYEVA YULDUZXON BAXTIYAROVNA</t>
        </is>
      </c>
      <c r="F139" s="106" t="inlineStr">
        <is>
          <t xml:space="preserve">998973137733 SMS OZI, 998908668282 SMS OZI, 998993308084 SMS OILASI,</t>
        </is>
      </c>
      <c r="G139" s="106" t="inlineStr">
        <is>
          <t xml:space="preserve">QASHQADARYO VILOYATI QAMASHI TUMANI ZAFAR MFY IFTIXOR KO’CHASI 1/1-UY 21-XONADON</t>
        </is>
      </c>
      <c r="H139" s="107">
        <v>10.0</v>
      </c>
      <c r="I139" s="107">
        <v>5305025.22</v>
      </c>
      <c r="K139" s="106" t="inlineStr">
        <is>
          <t xml:space="preserve">Va'da berdi | erte kechgacha yopamn dedi</t>
        </is>
      </c>
    </row>
    <row r="140">
      <c r="A140" s="106" t="inlineStr">
        <is>
          <t xml:space="preserve">КАШКАДАРЁ ВИЛОЯТИ</t>
        </is>
      </c>
      <c r="C140" s="106" t="inlineStr">
        <is>
          <t xml:space="preserve">Обещал</t>
        </is>
      </c>
      <c r="D140" s="106" t="inlineStr">
        <is>
          <t xml:space="preserve">Кр-99039445-1</t>
        </is>
      </c>
      <c r="E140" s="106" t="inlineStr">
        <is>
          <t xml:space="preserve">MIRZAMURODOV SHOXRUZBEK DAVRON O’G’LI</t>
        </is>
      </c>
      <c r="F140" s="106" t="inlineStr">
        <is>
          <t xml:space="preserve">+998873999404 SMS O’ZI, 998888818005 SMS DOSTI, 998959006035 SMS DOSTI, 998990855744 UZI NEWW,</t>
        </is>
      </c>
      <c r="G140" s="106" t="inlineStr">
        <is>
          <t xml:space="preserve">Чувуллоқ МФЙ, Миллий хунармандлар кучаси, 86-уй</t>
        </is>
      </c>
      <c r="H140" s="107">
        <v>9.0</v>
      </c>
      <c r="I140" s="107">
        <v>4255261.64</v>
      </c>
      <c r="K140" s="106" t="inlineStr">
        <is>
          <t xml:space="preserve">Va'da berdi | dushanba kun tolaydi</t>
        </is>
      </c>
    </row>
    <row r="141">
      <c r="A141" s="106" t="inlineStr">
        <is>
          <t xml:space="preserve">КАШКАДАРЁ ВИЛОЯТИ</t>
        </is>
      </c>
      <c r="C141" s="106" t="inlineStr">
        <is>
          <t xml:space="preserve">Обещал</t>
        </is>
      </c>
      <c r="D141" s="106" t="inlineStr">
        <is>
          <t xml:space="preserve">Кр-99036016-1</t>
        </is>
      </c>
      <c r="E141" s="106" t="inlineStr">
        <is>
          <t xml:space="preserve">NORBOYEV UTKIR KERKIYEVICH</t>
        </is>
      </c>
      <c r="F141" s="106" t="inlineStr">
        <is>
          <t xml:space="preserve">998977715284 SMS O’ZI, 998937090588 SMS AYOLI , 998971152626 SMS DO’STI , 998884982107 SMS DO’STI , 998991912626 SMS TULOVCHI1,</t>
        </is>
      </c>
      <c r="G141" s="106" t="inlineStr">
        <is>
          <t xml:space="preserve">QASHQADARYO VILOYATI QAMASHI TUMANI PASTTOL QISHLOG’I 3/12 XONADON</t>
        </is>
      </c>
      <c r="H141" s="107">
        <v>2.0</v>
      </c>
      <c r="I141" s="107">
        <v>3797862.41</v>
      </c>
      <c r="K141" s="106" t="inlineStr">
        <is>
          <t xml:space="preserve">Va'da berdi | ertaga aniq to'lov bo'ladi dedi</t>
        </is>
      </c>
    </row>
    <row r="142">
      <c r="A142" s="106" t="inlineStr">
        <is>
          <t xml:space="preserve">КАШКАДАРЁ ВИЛОЯТИ</t>
        </is>
      </c>
      <c r="C142" s="106" t="inlineStr">
        <is>
          <t xml:space="preserve">Обещал</t>
        </is>
      </c>
      <c r="D142" s="106" t="inlineStr">
        <is>
          <t xml:space="preserve">Кр-99038081-1</t>
        </is>
      </c>
      <c r="E142" s="106" t="inlineStr">
        <is>
          <t xml:space="preserve">ASHUROV MIRZA URALOVICH</t>
        </is>
      </c>
      <c r="F142" s="106" t="inlineStr">
        <is>
          <t xml:space="preserve">998987750515 SMS OZI, 998880042215 SMS O’G’LI, 998906699171 SMS O’G’LI, 998972747000 SMS UKASI,</t>
        </is>
      </c>
      <c r="G142" s="106" t="inlineStr">
        <is>
          <t xml:space="preserve">QASHQADARYO VILOYATI QARSHI SHAHAR GUNGON MFY MUSA JALIL KUCHASI 48-UY</t>
        </is>
      </c>
      <c r="H142" s="107">
        <v>3.0</v>
      </c>
      <c r="I142" s="107">
        <v>3728488.93</v>
      </c>
      <c r="K142" s="106" t="inlineStr">
        <is>
          <t xml:space="preserve">Va'da berdi | bugun oyligim tushushi kk bugun yopamn dedi 0515</t>
        </is>
      </c>
    </row>
    <row r="143">
      <c r="A143" s="106" t="inlineStr">
        <is>
          <t xml:space="preserve">КАШКАДАРЁ ВИЛОЯТИ</t>
        </is>
      </c>
      <c r="C143" s="106" t="inlineStr">
        <is>
          <t xml:space="preserve">Обещал</t>
        </is>
      </c>
      <c r="D143" s="106" t="inlineStr">
        <is>
          <t xml:space="preserve">Кр-99038818-4</t>
        </is>
      </c>
      <c r="E143" s="106" t="inlineStr">
        <is>
          <t xml:space="preserve">AZIZOV ZAKIR TASHAROVICH</t>
        </is>
      </c>
      <c r="F143" s="106" t="inlineStr">
        <is>
          <t xml:space="preserve">998992562088 SMS O’ZI, 998770306222 SMS O’G’LI, 998972226222 SMS UY   BEGONAA, 998771003949 SMS O'ZI,</t>
        </is>
      </c>
      <c r="G143" s="106" t="inlineStr">
        <is>
          <t xml:space="preserve">КУРГОНЧА МФЙ, ТОР КЎЧАСИ,  uy:28</t>
        </is>
      </c>
      <c r="H143" s="107">
        <v>10.0</v>
      </c>
      <c r="I143" s="107">
        <v>3422858.73</v>
      </c>
      <c r="K143" s="106" t="inlineStr">
        <is>
          <t xml:space="preserve">Va'da berdi | ss=hanba kuni to'liman deb</t>
        </is>
      </c>
    </row>
    <row r="144">
      <c r="A144" s="106" t="inlineStr">
        <is>
          <t xml:space="preserve">КАШКАДАРЁ ВИЛОЯТИ</t>
        </is>
      </c>
      <c r="C144" s="106" t="inlineStr">
        <is>
          <t xml:space="preserve">Обещал</t>
        </is>
      </c>
      <c r="D144" s="106" t="inlineStr">
        <is>
          <t xml:space="preserve">Кр-99035261-1</t>
        </is>
      </c>
      <c r="E144" s="106" t="inlineStr">
        <is>
          <t xml:space="preserve">BOYMATOV ULUG’BEK MUSULMONOVICH</t>
        </is>
      </c>
      <c r="F144" s="106" t="inlineStr">
        <is>
          <t xml:space="preserve">998910081104 SMS OZI, 998997472245 SMS AKASI, 998973868211 SMS ULUG’BEK, 998973800007 SMS AKASI  (BEGONA))),</t>
        </is>
      </c>
      <c r="G144" s="106" t="inlineStr">
        <is>
          <t xml:space="preserve">QASHQADARYO VILOYATI KITOB TUMANI SHARQ YULDUZI MFY RUS QISHLOG’I MADAMIN KUCHASI 653-UY</t>
        </is>
      </c>
      <c r="H144" s="107">
        <v>2.0</v>
      </c>
      <c r="I144" s="107">
        <v>2813692.68</v>
      </c>
      <c r="K144" s="106" t="inlineStr">
        <is>
          <t xml:space="preserve">Va'da berdi | 21 da to'lov qilamn dedi</t>
        </is>
      </c>
    </row>
    <row r="145">
      <c r="A145" s="106" t="inlineStr">
        <is>
          <t xml:space="preserve">КАШКАДАРЁ ВИЛОЯТИ</t>
        </is>
      </c>
      <c r="C145" s="106" t="inlineStr">
        <is>
          <t xml:space="preserve">Обещал</t>
        </is>
      </c>
      <c r="D145" s="106" t="inlineStr">
        <is>
          <t xml:space="preserve">Кр-99020798-2</t>
        </is>
      </c>
      <c r="E145" s="106" t="inlineStr">
        <is>
          <t xml:space="preserve">AZIZOV JASURBEK BAXODIR O’G’LI</t>
        </is>
      </c>
      <c r="F145" s="106" t="inlineStr">
        <is>
          <t xml:space="preserve">998939308088 SMS O’ZI, 998335880100 SMS AKASI, 998342233302 SMS AKASI 2,</t>
        </is>
      </c>
      <c r="G145" s="106" t="inlineStr">
        <is>
          <t xml:space="preserve">QASHQADARYO VILOYATI QARSHI SHAHAR AROVUL MFY JAYXUN 2 KO’CHASI 29- UY</t>
        </is>
      </c>
      <c r="H145" s="107">
        <v>1.0</v>
      </c>
      <c r="I145" s="107">
        <v>2760594.64</v>
      </c>
      <c r="K145" s="106" t="inlineStr">
        <is>
          <t xml:space="preserve">Va'da berdi | kechgacha to'liman dedi</t>
        </is>
      </c>
    </row>
    <row r="146">
      <c r="A146" s="106" t="inlineStr">
        <is>
          <t xml:space="preserve">КАШКАДАРЁ ВИЛОЯТИ</t>
        </is>
      </c>
      <c r="C146" s="106" t="inlineStr">
        <is>
          <t xml:space="preserve">Дозвон</t>
        </is>
      </c>
      <c r="D146" s="106" t="inlineStr">
        <is>
          <t xml:space="preserve">Кр-99041095-1</t>
        </is>
      </c>
      <c r="E146" s="106" t="inlineStr">
        <is>
          <t xml:space="preserve">DJABBAROV NA’MAT MUSTAFAYEVICH</t>
        </is>
      </c>
      <c r="F146" s="106" t="inlineStr">
        <is>
          <t xml:space="preserve">+998973142870 OZI, 998952339919 UYI, 998973129919 O’G’LI TO'LOVCHI,</t>
        </is>
      </c>
      <c r="G146" s="106" t="inlineStr">
        <is>
          <t xml:space="preserve">КАШКАДАРЁ ВИЛОЯТИ КАРШИ ТУМАНИ УЗУМЗОР МФЙ, ЛАГМОН  ҚИШЛОҒИ,  uy:77</t>
        </is>
      </c>
      <c r="H146" s="107">
        <v>10.0</v>
      </c>
      <c r="I146" s="107">
        <v>2502672.12</v>
      </c>
      <c r="J146" s="107">
        <v>2502672.12</v>
      </c>
      <c r="K146" s="106" t="inlineStr">
        <is>
          <t xml:space="preserve">To'ladi</t>
        </is>
      </c>
    </row>
    <row r="147">
      <c r="A147" s="106" t="inlineStr">
        <is>
          <t xml:space="preserve">КАШКАДАРЁ ВИЛОЯТИ</t>
        </is>
      </c>
      <c r="C147" s="106" t="inlineStr">
        <is>
          <t xml:space="preserve">Обещал</t>
        </is>
      </c>
      <c r="D147" s="106" t="inlineStr">
        <is>
          <t xml:space="preserve">Кр-99031640-1</t>
        </is>
      </c>
      <c r="E147" s="106" t="inlineStr">
        <is>
          <t xml:space="preserve">XO’JAMURODOV ILYOS AHMADOVICH</t>
        </is>
      </c>
      <c r="F147" s="106" t="inlineStr">
        <is>
          <t xml:space="preserve">50-755-84-04  SMS O’ZI, 95-939-91-01  SMS OILASI, 998990919688 SMS TO'LOVCHI AYOLI, 998990910625 SMS TOG'ASI, 998935474488 SMS TO'LOVCHI,</t>
        </is>
      </c>
      <c r="G147" s="106" t="inlineStr">
        <is>
          <t xml:space="preserve">QASHQADARYO VILOYATI NISHON TUMANI GULIBODAM MFY QIRQILOCH QISHLOG’I</t>
        </is>
      </c>
      <c r="H147" s="107">
        <v>7.0</v>
      </c>
      <c r="I147" s="107">
        <v>2210697.42</v>
      </c>
      <c r="K147" s="106" t="inlineStr">
        <is>
          <t xml:space="preserve">Va'da berdi | eriga aytarkan bugun to'lab qo'yarkan</t>
        </is>
      </c>
    </row>
    <row r="148">
      <c r="A148" s="106" t="inlineStr">
        <is>
          <t xml:space="preserve">КАШКАДАРЁ ВИЛОЯТИ</t>
        </is>
      </c>
      <c r="C148" s="106" t="inlineStr">
        <is>
          <t xml:space="preserve">Обещал</t>
        </is>
      </c>
      <c r="D148" s="106" t="inlineStr">
        <is>
          <t xml:space="preserve">Кр-99033686-1</t>
        </is>
      </c>
      <c r="E148" s="106" t="inlineStr">
        <is>
          <t xml:space="preserve">CHORIYEVA SHOHNOZA ABDURASHIDOVNA</t>
        </is>
      </c>
      <c r="F148" s="106" t="inlineStr">
        <is>
          <t xml:space="preserve">998957777748 узи, 998932222234 аели, 998991289300 дадаси, 998990405493 онаси,</t>
        </is>
      </c>
      <c r="G148" s="106" t="inlineStr">
        <is>
          <t xml:space="preserve">QASHQADARYO VILOYATI DEHQONOBOD TUMANI QURG’ONTOSH MFY GALA KUCHASI 100-UY</t>
        </is>
      </c>
      <c r="H148" s="107">
        <v>10.0</v>
      </c>
      <c r="I148" s="107">
        <v>2209042.67</v>
      </c>
      <c r="K148" s="106" t="inlineStr">
        <is>
          <t xml:space="preserve">Va'da berdi | shanba kuni yopvoradi</t>
        </is>
      </c>
    </row>
    <row r="149">
      <c r="A149" s="106" t="inlineStr">
        <is>
          <t xml:space="preserve">КАШКАДАРЁ ВИЛОЯТИ</t>
        </is>
      </c>
      <c r="C149" s="106" t="inlineStr">
        <is>
          <t xml:space="preserve">Дозвон</t>
        </is>
      </c>
      <c r="D149" s="106" t="inlineStr">
        <is>
          <t xml:space="preserve">Кр-99035132-1</t>
        </is>
      </c>
      <c r="E149" s="106" t="inlineStr">
        <is>
          <t xml:space="preserve">OCHILOV OYBEK ISROIL O’G’LI</t>
        </is>
      </c>
      <c r="F149" s="106" t="inlineStr">
        <is>
          <t xml:space="preserve">998995008899  SMS O’ZI , 998507575193 SMS UKASI , 998500011995 SMS OILASI , 998507575293  SMS UKASI 2, 998972230068 SMS DADASI,</t>
        </is>
      </c>
      <c r="G149" s="106" t="inlineStr">
        <is>
          <t xml:space="preserve">QASHQADARYO VILOYATI KOSON TUMANI USHOKTEPA MFY USHOKTEPA KUCHASI 21 UY</t>
        </is>
      </c>
      <c r="H149" s="107">
        <v>8.0</v>
      </c>
      <c r="I149" s="107">
        <v>2196036.81</v>
      </c>
      <c r="J149" s="107">
        <v>2196036.81</v>
      </c>
      <c r="K149" s="106" t="inlineStr">
        <is>
          <t xml:space="preserve">To'ladi</t>
        </is>
      </c>
    </row>
    <row r="150">
      <c r="A150" s="106" t="inlineStr">
        <is>
          <t xml:space="preserve">КАШКАДАРЁ ВИЛОЯТИ</t>
        </is>
      </c>
      <c r="C150" s="106" t="inlineStr">
        <is>
          <t xml:space="preserve">Дозвон</t>
        </is>
      </c>
      <c r="D150" s="106" t="inlineStr">
        <is>
          <t xml:space="preserve">Кр-99037164-1</t>
        </is>
      </c>
      <c r="E150" s="106" t="inlineStr">
        <is>
          <t xml:space="preserve">IMOMOV FAYZULLA PARDAYEVICH</t>
        </is>
      </c>
      <c r="F150" s="106" t="inlineStr">
        <is>
          <t xml:space="preserve">998919553110 SMS OZI, 998807931102 SMS OZI 2, 998906672203 SMS OILASI, 998889883110 SMS O’G’LI,</t>
        </is>
      </c>
      <c r="G150" s="106" t="inlineStr">
        <is>
          <t xml:space="preserve">QASHQADARYO VILOYATI YAKKABOG’ TUMANI SEROB MFY MINJIR QISHLOQI</t>
        </is>
      </c>
      <c r="H150" s="107">
        <v>13.0</v>
      </c>
      <c r="I150" s="107">
        <v>2187130.37</v>
      </c>
      <c r="J150" s="107">
        <v>2187130.37</v>
      </c>
      <c r="K150" s="106" t="inlineStr">
        <is>
          <t xml:space="preserve">To'ladi</t>
        </is>
      </c>
    </row>
    <row r="151">
      <c r="A151" s="106" t="inlineStr">
        <is>
          <t xml:space="preserve">КАШКАДАРЁ ВИЛОЯТИ</t>
        </is>
      </c>
      <c r="C151" s="106" t="inlineStr">
        <is>
          <t xml:space="preserve">Обещал</t>
        </is>
      </c>
      <c r="D151" s="106" t="inlineStr">
        <is>
          <t xml:space="preserve">Кр-99038157-2</t>
        </is>
      </c>
      <c r="E151" s="106" t="inlineStr">
        <is>
          <t xml:space="preserve">JUMAYEV ERNAZAR IBRAGIMOVICH</t>
        </is>
      </c>
      <c r="F151" s="106" t="inlineStr">
        <is>
          <t xml:space="preserve">998973170009 SMS OZI  BEGONA, 998972259900 SMS UKASI, 998882209990 SMS OTASI, 998973109990 SMS AKASI   UZIII,</t>
        </is>
      </c>
      <c r="G151" s="106" t="inlineStr">
        <is>
          <t xml:space="preserve">QASHQADARYO VILOYATI MUBORAK TUMANI ISTIQLOL MFY NEFTCHILAR KUCHASI 1-32 UY</t>
        </is>
      </c>
      <c r="H151" s="107">
        <v>10.0</v>
      </c>
      <c r="I151" s="107">
        <v>1524951.25</v>
      </c>
      <c r="K151" s="106" t="inlineStr">
        <is>
          <t xml:space="preserve">Va'da berdi | bugun bittasi pul beradi kartadan yechib ketadi dedi</t>
        </is>
      </c>
    </row>
    <row r="152">
      <c r="A152" s="106" t="inlineStr">
        <is>
          <t xml:space="preserve">КАШКАДАРЁ ВИЛОЯТИ</t>
        </is>
      </c>
      <c r="C152" s="106" t="inlineStr">
        <is>
          <t xml:space="preserve">Обещал</t>
        </is>
      </c>
      <c r="D152" s="106" t="inlineStr">
        <is>
          <t xml:space="preserve">Кр-99037785-1</t>
        </is>
      </c>
      <c r="E152" s="106" t="inlineStr">
        <is>
          <t xml:space="preserve">ESHBAYEV ADXAM JOVLI O’G’LI</t>
        </is>
      </c>
      <c r="F152" s="106" t="inlineStr">
        <is>
          <t xml:space="preserve">998976703494 SMS OZI, 998884860002 SMS AKASI, 998886792168 SMS UKASI, 998771091102 SMS ALISHER AKA OZIMIZI XODIM,</t>
        </is>
      </c>
      <c r="G152" s="106" t="inlineStr">
        <is>
          <t xml:space="preserve">QASHQADARYO VILOYATI NISHON TUMANI UMR BUNYODKORI MFY MUSTAQILLIK KUCHASI 20-UY</t>
        </is>
      </c>
      <c r="H152" s="107">
        <v>10.0</v>
      </c>
      <c r="I152" s="107">
        <v>1464235.1</v>
      </c>
      <c r="K152" s="106" t="inlineStr">
        <is>
          <t xml:space="preserve">Va'da berdi | yopvoradi buni ertaga</t>
        </is>
      </c>
    </row>
    <row r="153">
      <c r="A153" s="106" t="inlineStr">
        <is>
          <t xml:space="preserve">КАШКАДАРЁ ВИЛОЯТИ</t>
        </is>
      </c>
      <c r="C153" s="106" t="inlineStr">
        <is>
          <t xml:space="preserve">Обещал</t>
        </is>
      </c>
      <c r="D153" s="106" t="inlineStr">
        <is>
          <t xml:space="preserve">Кр-99020517-11</t>
        </is>
      </c>
      <c r="E153" s="106" t="inlineStr">
        <is>
          <t xml:space="preserve">PRIMOV TOLMASBEK SHERMATOVICH</t>
        </is>
      </c>
      <c r="F153" s="106" t="inlineStr">
        <is>
          <t xml:space="preserve">97-229-20-44 SMS ruslan ukasi , 97-311-44-40 SMS BEGONA EKAN, 97-001-20-44 SMS OGLI, 88-200-20-78 SMS TULOVCHI TOLMASBEK,</t>
        </is>
      </c>
      <c r="G153" s="106" t="inlineStr">
        <is>
          <t xml:space="preserve">QASHQADARYO VILOYATI KOSON TUMANI DARCHA MFY PO’LATI QISHLOG’I 5-UY</t>
        </is>
      </c>
      <c r="H153" s="107">
        <v>13.0</v>
      </c>
      <c r="I153" s="107">
        <v>1401440.24</v>
      </c>
      <c r="K153" s="106" t="inlineStr">
        <is>
          <t xml:space="preserve">Va'da berdi | dushanba kun</t>
        </is>
      </c>
    </row>
    <row r="154">
      <c r="A154" s="106" t="inlineStr">
        <is>
          <t xml:space="preserve">КАШКАДАРЁ ВИЛОЯТИ</t>
        </is>
      </c>
      <c r="C154" s="106" t="inlineStr">
        <is>
          <t xml:space="preserve">Обещал</t>
        </is>
      </c>
      <c r="D154" s="106" t="inlineStr">
        <is>
          <t xml:space="preserve">Кр-99033487-3</t>
        </is>
      </c>
      <c r="E154" s="106" t="inlineStr">
        <is>
          <t xml:space="preserve">SHODMONOVA BAXTIGUL ABDIQAYUM QIZI</t>
        </is>
      </c>
      <c r="F154" s="106" t="inlineStr">
        <is>
          <t xml:space="preserve">998908957040 SMS O’ZI, 998908797040 SMS OILASI, 998935250601 SMS, 998995719343 SMS, 998955556474 SMS TO'LOVCHI FAQAT SHUNGA QILINSIN, 998973102809 SMS Eldor tolovchi,</t>
        </is>
      </c>
      <c r="G154" s="106" t="inlineStr">
        <is>
          <t xml:space="preserve">QASHQADARYO VILOYATI QARSHI TUMANI PATRON MFY PATRON QISHLOG’I 112-UY</t>
        </is>
      </c>
      <c r="H154" s="107">
        <v>10.0</v>
      </c>
      <c r="I154" s="107">
        <v>1393483.64</v>
      </c>
      <c r="K154" s="106" t="inlineStr">
        <is>
          <t xml:space="preserve">Va'da berdi | xozir to'liman dedi</t>
        </is>
      </c>
    </row>
    <row r="155">
      <c r="A155" s="106" t="inlineStr">
        <is>
          <t xml:space="preserve">КАШКАДАРЁ ВИЛОЯТИ</t>
        </is>
      </c>
      <c r="C155" s="106" t="inlineStr">
        <is>
          <t xml:space="preserve">Обещал</t>
        </is>
      </c>
      <c r="D155" s="106" t="inlineStr">
        <is>
          <t xml:space="preserve">Кр-99020517-10</t>
        </is>
      </c>
      <c r="E155" s="106" t="inlineStr">
        <is>
          <t xml:space="preserve">PRIMOV TOLMASBEK SHERMATOVICH</t>
        </is>
      </c>
      <c r="F155" s="106" t="inlineStr">
        <is>
          <t xml:space="preserve">97-229-20-44 SMS ruslan ukasi , 97-311-44-40 SMS BEGONA EKAN, 97-001-20-44 SMS OGLI, 88-200-20-78 SMS TULOVCHI TOLMASBEK,</t>
        </is>
      </c>
      <c r="G155" s="106" t="inlineStr">
        <is>
          <t xml:space="preserve">QASHQADARYO VILOYATI KOSON TUMANI DARCHA MFY PO’LATI QISHLOG’I 5-UY</t>
        </is>
      </c>
      <c r="H155" s="107">
        <v>3.0</v>
      </c>
      <c r="I155" s="107">
        <v>1173771.74</v>
      </c>
      <c r="K155" s="106" t="inlineStr">
        <is>
          <t xml:space="preserve">Va'da berdi | dushanba kun</t>
        </is>
      </c>
    </row>
    <row r="156">
      <c r="A156" s="106" t="inlineStr">
        <is>
          <t xml:space="preserve">КАШКАДАРЁ ВИЛОЯТИ</t>
        </is>
      </c>
      <c r="C156" s="106" t="inlineStr">
        <is>
          <t xml:space="preserve">Обещал</t>
        </is>
      </c>
      <c r="D156" s="106" t="inlineStr">
        <is>
          <t xml:space="preserve">Кр-99037888-1</t>
        </is>
      </c>
      <c r="E156" s="106" t="inlineStr">
        <is>
          <t xml:space="preserve">BOLTAYEVA ZUHRA AHMAD QIZI</t>
        </is>
      </c>
      <c r="F156" s="106" t="inlineStr">
        <is>
          <t xml:space="preserve">998945290771 SMS OZI, 998914576968 SMS SINGLISI BEGONA, 998932700506 SMS OPASI, 998944590080 SMS AKASI  UZIII,</t>
        </is>
      </c>
      <c r="G156" s="106" t="inlineStr">
        <is>
          <t xml:space="preserve">QASHQADARYO VILOYATI MUBORAK TUMANI YOSHLIK MFY MR-N 2, 1/2 DOM 29 KVARTIRA</t>
        </is>
      </c>
      <c r="H156" s="107">
        <v>9.0</v>
      </c>
      <c r="I156" s="107">
        <v>1014178.92</v>
      </c>
      <c r="K156" s="106" t="inlineStr">
        <is>
          <t xml:space="preserve">Va'da berdi | dushanbaga to'liman deb</t>
        </is>
      </c>
    </row>
    <row r="157">
      <c r="A157" s="106" t="inlineStr">
        <is>
          <t xml:space="preserve">КАШКАДАРЁ ВИЛОЯТИ</t>
        </is>
      </c>
      <c r="C157" s="106" t="inlineStr">
        <is>
          <t xml:space="preserve">Обещал</t>
        </is>
      </c>
      <c r="D157" s="106" t="inlineStr">
        <is>
          <t xml:space="preserve">Кр-99020517-7</t>
        </is>
      </c>
      <c r="E157" s="106" t="inlineStr">
        <is>
          <t xml:space="preserve">PRIMOV TOLMASBEK SHERMATOVICH</t>
        </is>
      </c>
      <c r="F157" s="106" t="inlineStr">
        <is>
          <t xml:space="preserve">97-229-20-44 SMS ruslan ukasi , 97-311-44-40 SMS BEGONA EKAN, 97-001-20-44 SMS OGLI, 88-200-20-78 SMS TULOVCHI TOLMASBEK,</t>
        </is>
      </c>
      <c r="G157" s="106" t="inlineStr">
        <is>
          <t xml:space="preserve">QASHQADARYO VILOYATI KOSON TUMANI DARCHA MFY PO’LATI QISHLOG’I 5-UY</t>
        </is>
      </c>
      <c r="H157" s="107">
        <v>10.0</v>
      </c>
      <c r="I157" s="107">
        <v>869495.38</v>
      </c>
      <c r="K157" s="106" t="inlineStr">
        <is>
          <t xml:space="preserve">Va'da berdi | dushanba kun</t>
        </is>
      </c>
    </row>
    <row r="158">
      <c r="A158" s="106" t="inlineStr">
        <is>
          <t xml:space="preserve">КАШКАДАРЁ ВИЛОЯТИ</t>
        </is>
      </c>
      <c r="C158" s="106" t="inlineStr">
        <is>
          <t xml:space="preserve">Обещал</t>
        </is>
      </c>
      <c r="D158" s="106" t="inlineStr">
        <is>
          <t xml:space="preserve">Кр-99039600-1</t>
        </is>
      </c>
      <c r="E158" s="106" t="inlineStr">
        <is>
          <t xml:space="preserve">SAFAROV JAMSHIDBEK HASAN O’G’LI</t>
        </is>
      </c>
      <c r="F158" s="106" t="inlineStr">
        <is>
          <t xml:space="preserve">998770752671 SMS OZI, 999877859596 SMS TOLOVCHI, 998777859695 SMS TOLOVCHIN AYOLI, 998901671013 SMS UY,</t>
        </is>
      </c>
      <c r="G158" s="106" t="inlineStr">
        <is>
          <t xml:space="preserve">QASHQADARYO VILOYATI QAMASHI TUMANI QOLCHIN QFY 46 UY</t>
        </is>
      </c>
      <c r="H158" s="107">
        <v>3.0</v>
      </c>
      <c r="I158" s="107">
        <v>867618.93</v>
      </c>
      <c r="K158" s="106" t="inlineStr">
        <is>
          <t xml:space="preserve">Va'da berdi | seshanba kun to'liman dedi</t>
        </is>
      </c>
    </row>
    <row r="159">
      <c r="A159" s="106" t="inlineStr">
        <is>
          <t xml:space="preserve">КАШКАДАРЁ ВИЛОЯТИ</t>
        </is>
      </c>
      <c r="C159" s="106" t="inlineStr">
        <is>
          <t xml:space="preserve">Дозвон</t>
        </is>
      </c>
      <c r="D159" s="106" t="inlineStr">
        <is>
          <t xml:space="preserve">Кр-99057087-1</t>
        </is>
      </c>
      <c r="E159" s="106" t="inlineStr">
        <is>
          <t xml:space="preserve">XAYITOV ZIKIR SHERKULOVICH</t>
        </is>
      </c>
      <c r="F159" s="106" t="inlineStr">
        <is>
          <t xml:space="preserve">998992669600 SMS OZI, 998934260277 SMS AYOLI, 998932305610 SMS UKASI, 998944826069 OG'LI TULOVCHI SHU,</t>
        </is>
      </c>
      <c r="G159" s="106" t="inlineStr">
        <is>
          <t xml:space="preserve">QASHQADARYO VILOYATI KOSON TUMANI MULALI MFY KORABAYIR KUCHASI 11-UY</t>
        </is>
      </c>
      <c r="H159" s="107">
        <v>10.0</v>
      </c>
      <c r="I159" s="107">
        <v>133373.48</v>
      </c>
      <c r="J159" s="107">
        <v>133373.48</v>
      </c>
      <c r="K159" s="106" t="inlineStr">
        <is>
          <t xml:space="preserve">To'ladi</t>
        </is>
      </c>
    </row>
    <row r="160">
      <c r="A160" s="106" t="inlineStr">
        <is>
          <t xml:space="preserve">КАШКАДАРЁ ВИЛОЯТИ</t>
        </is>
      </c>
      <c r="C160" s="106" t="inlineStr">
        <is>
          <t xml:space="preserve">Дозвон</t>
        </is>
      </c>
      <c r="D160" s="106" t="inlineStr">
        <is>
          <t xml:space="preserve">Кр-99036035-1</t>
        </is>
      </c>
      <c r="E160" s="106" t="inlineStr">
        <is>
          <t xml:space="preserve">NIZOMIDDINOV DOSTON RUSTAM O’G’LI</t>
        </is>
      </c>
      <c r="F160" s="106" t="inlineStr">
        <is>
          <t xml:space="preserve">998939041565 SMS O’ZI, 998904280599 SMS OSHNASI, 998934227104 SMS DADASI, 998934211708 SMS UKASI ,</t>
        </is>
      </c>
      <c r="G160" s="106" t="inlineStr">
        <is>
          <t xml:space="preserve">QASHQADARYO VILOYATI QARSHI SHAHRI MAGZON MFY GULBOG’KUCHASI 24-UY</t>
        </is>
      </c>
      <c r="H160" s="107">
        <v>1.0</v>
      </c>
      <c r="I160" s="107">
        <v>17251.88</v>
      </c>
      <c r="J160" s="107">
        <v>17251.88</v>
      </c>
      <c r="K160" s="106" t="inlineStr">
        <is>
          <t xml:space="preserve">To'ladi</t>
        </is>
      </c>
    </row>
    <row r="161">
      <c r="A161" s="108" t="inlineStr">
        <is>
          <t xml:space="preserve">КОРАКАЛПОГИСТОН РЕСПУБЛИКАСИ</t>
        </is>
      </c>
      <c r="C161" s="108" t="inlineStr">
        <is>
          <t xml:space="preserve">Обещал</t>
        </is>
      </c>
      <c r="D161" s="108" t="inlineStr">
        <is>
          <t xml:space="preserve">Кр-99062886-3</t>
        </is>
      </c>
      <c r="E161" s="108" t="inlineStr">
        <is>
          <t xml:space="preserve">AYTMURATOV BAXIT DJANABAYEVICH</t>
        </is>
      </c>
      <c r="F161" s="108" t="inlineStr">
        <is>
          <t xml:space="preserve">+998933067303 OZI, 998932023938 OGLI, 998996823509 OYALI, 998939677376 OZII NEWWW,</t>
        </is>
      </c>
      <c r="G161" s="108" t="inlineStr">
        <is>
          <t xml:space="preserve">QORAQALPOGISTON RES SHUMBOY TUMANI ORJAP MFY AQ ALTIN KUSHASI 8 UY</t>
        </is>
      </c>
      <c r="H161" s="109">
        <v>73.0</v>
      </c>
      <c r="I161" s="109">
        <v>13643799.98</v>
      </c>
      <c r="K161" s="108" t="inlineStr">
        <is>
          <t xml:space="preserve">Va'da berdi | ALMATIDA AYOLI TO'LAYDI OY OXIRI | 1459</t>
        </is>
      </c>
    </row>
    <row r="162">
      <c r="A162" s="108" t="inlineStr">
        <is>
          <t xml:space="preserve">КОРАКАЛПОГИСТОН РЕСПУБЛИКАСИ</t>
        </is>
      </c>
      <c r="C162" s="108" t="inlineStr">
        <is>
          <t xml:space="preserve">Обещал</t>
        </is>
      </c>
      <c r="D162" s="108" t="inlineStr">
        <is>
          <t xml:space="preserve">Кр-99062730-1</t>
        </is>
      </c>
      <c r="E162" s="108" t="inlineStr">
        <is>
          <t xml:space="preserve">ABATOV ABDIJAMSHIT ABATOVICH</t>
        </is>
      </c>
      <c r="F162" s="108" t="inlineStr">
        <is>
          <t xml:space="preserve">998905940750 SMS ONASI, 998905943727 SMS OZI, 998913740123 SMS OZI 2, 998913919850 SMS AYOLI,</t>
        </is>
      </c>
      <c r="G162" s="108" t="inlineStr">
        <is>
          <t xml:space="preserve">QORAQALPOG’SITON NUKUS  SHAHRI UZUNKO’L MFY TABIS KOCHASI 43 UY</t>
        </is>
      </c>
      <c r="H162" s="109">
        <v>13.0</v>
      </c>
      <c r="I162" s="109">
        <v>11345261.8</v>
      </c>
      <c r="K162" s="108" t="inlineStr">
        <is>
          <t xml:space="preserve">Va'da berdi | SMSDA GAPLASHDEK KECHA PUL TUSHISHI BN YOPAMAN DEGANDLILA | 1428</t>
        </is>
      </c>
    </row>
    <row r="163">
      <c r="A163" s="108" t="inlineStr">
        <is>
          <t xml:space="preserve">КОРАКАЛПОГИСТОН РЕСПУБЛИКАСИ</t>
        </is>
      </c>
      <c r="C163" s="108" t="inlineStr">
        <is>
          <t xml:space="preserve">Обещал</t>
        </is>
      </c>
      <c r="D163" s="108" t="inlineStr">
        <is>
          <t xml:space="preserve">Кр-99056260-1</t>
        </is>
      </c>
      <c r="E163" s="108" t="inlineStr">
        <is>
          <t xml:space="preserve">ABDIKALIKOV DASTAN BOSTANOVICH</t>
        </is>
      </c>
      <c r="F163" s="108" t="inlineStr">
        <is>
          <t xml:space="preserve">998887079454 SMS OZI, 998970010096 SMS AKASI, 998888018881 SMS UKASI,</t>
        </is>
      </c>
      <c r="G163" s="108" t="inlineStr">
        <is>
          <t xml:space="preserve">QARAQALPOGISTON RES NUKUS SHAHAR SHIMBAY SHAYXANA MFY KOKLEMZAR KUSHASI 113 UY 38 KVARTIRA </t>
        </is>
      </c>
      <c r="H163" s="109">
        <v>13.0</v>
      </c>
      <c r="I163" s="109">
        <v>9718527.95</v>
      </c>
      <c r="K163" s="108" t="inlineStr">
        <is>
          <t xml:space="preserve">Va'da berdi | OYLIGIMDAN TO'LEMAN DEDI 20CHIDA | 1253</t>
        </is>
      </c>
    </row>
    <row r="164">
      <c r="A164" s="108" t="inlineStr">
        <is>
          <t xml:space="preserve">КОРАКАЛПОГИСТОН РЕСПУБЛИКАСИ</t>
        </is>
      </c>
      <c r="C164" s="108" t="inlineStr">
        <is>
          <t xml:space="preserve">Обещал</t>
        </is>
      </c>
      <c r="D164" s="108" t="inlineStr">
        <is>
          <t xml:space="preserve">Кр-99060314-1</t>
        </is>
      </c>
      <c r="E164" s="108" t="inlineStr">
        <is>
          <t xml:space="preserve">JUMABEKOV SALAMAT TURGANBAEVICH</t>
        </is>
      </c>
      <c r="F164" s="108" t="inlineStr">
        <is>
          <t xml:space="preserve">998939404748 узи, 998915647717 аели, 998939619771 кизи, 998933029918 угли,</t>
        </is>
      </c>
      <c r="G164" s="108" t="inlineStr">
        <is>
          <t xml:space="preserve">QORAQALPOGISTON RESPUBLIKASI NUKUS SHAHAR JUOAZSHI MFY TASQIRMAN KUSHASI 4 UY  </t>
        </is>
      </c>
      <c r="H164" s="109">
        <v>13.0</v>
      </c>
      <c r="I164" s="109">
        <v>7639209.53</v>
      </c>
      <c r="K164" s="108" t="inlineStr">
        <is>
          <t xml:space="preserve">Va'da berdi | OYLIGIMMI OLSAM TO'LOV QILIB BERAMAN DEYABDILA O'ZI  O'GLI BN GAPLASHDIM AYTIB QO'YAMAN DEDIALA | 1355</t>
        </is>
      </c>
    </row>
    <row r="165">
      <c r="A165" s="108" t="inlineStr">
        <is>
          <t xml:space="preserve">КОРАКАЛПОГИСТОН РЕСПУБЛИКАСИ</t>
        </is>
      </c>
      <c r="C165" s="108" t="inlineStr">
        <is>
          <t xml:space="preserve">Обещал</t>
        </is>
      </c>
      <c r="D165" s="108" t="inlineStr">
        <is>
          <t xml:space="preserve">Кр-99041232-2</t>
        </is>
      </c>
      <c r="E165" s="108" t="inlineStr">
        <is>
          <t xml:space="preserve">SHILMANOV TAXIR BAXTIYAROVICH</t>
        </is>
      </c>
      <c r="F165" s="108" t="inlineStr">
        <is>
          <t xml:space="preserve">998912677077 SMS OZI, 998904224422 SMS DOSTI, 998919277077 SMS DOSTI2, 998912657077 SMS DSTI 3,</t>
        </is>
      </c>
      <c r="G165" s="108" t="inlineStr">
        <is>
          <t xml:space="preserve">QORAQALPOGISTON RESPUBLIKASI NUKUS SHAHAR ALMAZAR MFY XAQIYQATLIQ KUCHASI 7/2</t>
        </is>
      </c>
      <c r="H165" s="109">
        <v>3.0</v>
      </c>
      <c r="I165" s="109">
        <v>6742573.64</v>
      </c>
      <c r="K165" s="108" t="inlineStr">
        <is>
          <t xml:space="preserve">Va'da berdi | TGSIGA YOZDIM | 974</t>
        </is>
      </c>
    </row>
    <row r="166">
      <c r="A166" s="108" t="inlineStr">
        <is>
          <t xml:space="preserve">КОРАКАЛПОГИСТОН РЕСПУБЛИКАСИ</t>
        </is>
      </c>
      <c r="C166" s="108" t="inlineStr">
        <is>
          <t xml:space="preserve">Обещал</t>
        </is>
      </c>
      <c r="D166" s="108" t="inlineStr">
        <is>
          <t xml:space="preserve">Кр-99026306-2</t>
        </is>
      </c>
      <c r="E166" s="108" t="inlineStr">
        <is>
          <t xml:space="preserve">ABDURAXMANOV SANJAR SADULLAYEVICH</t>
        </is>
      </c>
      <c r="F166" s="108" t="inlineStr">
        <is>
          <t xml:space="preserve">99-775-55-05 SMS O'ZI, 91-436-90-03  SMS UKASI begona, 99-348-90-03 SMS tulovchi , 998990247010 SMS ukasi tulovchi,</t>
        </is>
      </c>
      <c r="G166" s="108" t="inlineStr">
        <is>
          <t xml:space="preserve">QORAQALPOG’ISTON RESPUBLIKASI BERUNIY TUMANI BUNYODKOR MAXALLASI N.KUBRO KUCHASI 10 UY</t>
        </is>
      </c>
      <c r="H166" s="109">
        <v>8.0</v>
      </c>
      <c r="I166" s="109">
        <v>5789332.88</v>
      </c>
      <c r="K166" s="108" t="inlineStr">
        <is>
          <t xml:space="preserve">Va'da berdi | BUGUN TO'LOV QILAMAN BUGUN OYLIGIM TUSHADI KARTAMDAN YECHADI DEDI | 154</t>
        </is>
      </c>
    </row>
    <row r="167">
      <c r="A167" s="108" t="inlineStr">
        <is>
          <t xml:space="preserve">КОРАКАЛПОГИСТОН РЕСПУБЛИКАСИ</t>
        </is>
      </c>
      <c r="C167" s="108" t="inlineStr">
        <is>
          <t xml:space="preserve">Обещал</t>
        </is>
      </c>
      <c r="D167" s="108" t="inlineStr">
        <is>
          <t xml:space="preserve">Кр-99062856-1</t>
        </is>
      </c>
      <c r="E167" s="108" t="inlineStr">
        <is>
          <t xml:space="preserve">EGAMBERDIYEVA UMIDA KASIMOVNA</t>
        </is>
      </c>
      <c r="F167" s="108" t="inlineStr">
        <is>
          <t xml:space="preserve">+998883582424 SMS UZI, 998885005655 SMS QAYNONASI, 998996814160 SMS QAYNOPASI,</t>
        </is>
      </c>
      <c r="G167" s="108" t="inlineStr">
        <is>
          <t xml:space="preserve">КОРАКАЛПОГИСТОН РЕСПУБЛИКАСИ ТУРТКУЛ ТУМАНИ ТИНЧЛИК МФЙ, ЭРКИН КЎЧАСИ,  uy:49</t>
        </is>
      </c>
      <c r="H167" s="109">
        <v>10.0</v>
      </c>
      <c r="I167" s="109">
        <v>5734647.5</v>
      </c>
      <c r="K167" s="108" t="inlineStr">
        <is>
          <t xml:space="preserve">Va'da berdi | 5655 QO'SHNISI BN GAPLASHDIM BILMAYMAN DEDILA OZI BN GAPLASHA OLMADIM MAHLLASIGA CHIQDIM ULARAM BILMAYDI FUQARO ROSSIYADA FILIAL VATSABDAN GAPLASHDI OY OXIRIGA DEDILA | 1450</t>
        </is>
      </c>
    </row>
    <row r="168">
      <c r="A168" s="108" t="inlineStr">
        <is>
          <t xml:space="preserve">КОРАКАЛПОГИСТОН РЕСПУБЛИКАСИ</t>
        </is>
      </c>
      <c r="C168" s="108" t="inlineStr">
        <is>
          <t xml:space="preserve">Обещал</t>
        </is>
      </c>
      <c r="D168" s="108" t="inlineStr">
        <is>
          <t xml:space="preserve">Кр-99061501-1</t>
        </is>
      </c>
      <c r="E168" s="108" t="inlineStr">
        <is>
          <t xml:space="preserve">JOLDIBAEV NARTAY TABINBAEVICH</t>
        </is>
      </c>
      <c r="F168" s="108" t="inlineStr">
        <is>
          <t xml:space="preserve">998991188928 узи, 998995849029 аели, 998932002889 кизи, 998997028990 угли,</t>
        </is>
      </c>
      <c r="G168" s="108" t="inlineStr">
        <is>
          <t xml:space="preserve">QORAQALPOGISTON RES KEGIYLI TUMANI JANA BAZAR MFY BAXITLI EL KUSHASI 15 UY </t>
        </is>
      </c>
      <c r="H168" s="109">
        <v>10.0</v>
      </c>
      <c r="I168" s="109">
        <v>5398341.16</v>
      </c>
      <c r="K168" s="108" t="inlineStr">
        <is>
          <t xml:space="preserve">Va'da berdi | BUGUN ERTAGA VRACH QILISH SHARTMAS 20KUNIDA OYLIKDAN | 1377</t>
        </is>
      </c>
    </row>
    <row r="169">
      <c r="A169" s="108" t="inlineStr">
        <is>
          <t xml:space="preserve">КОРАКАЛПОГИСТОН РЕСПУБЛИКАСИ</t>
        </is>
      </c>
      <c r="C169" s="108" t="inlineStr">
        <is>
          <t xml:space="preserve">Обещал</t>
        </is>
      </c>
      <c r="D169" s="108" t="inlineStr">
        <is>
          <t xml:space="preserve">Кр-99049371-1</t>
        </is>
      </c>
      <c r="E169" s="108" t="inlineStr">
        <is>
          <t xml:space="preserve">TOREMURATOVA GULAYIM AYAPBERGENOVNA</t>
        </is>
      </c>
      <c r="F169" s="108" t="inlineStr">
        <is>
          <t xml:space="preserve">998907369948 OZI, 998913007873 OGLI, 998946853336 QIZI, 998913837073 ogli neww,</t>
        </is>
      </c>
      <c r="G169" s="108" t="inlineStr">
        <is>
          <t xml:space="preserve">Qaraqalpogiston Respublikasi Xojayli tumani Kulap OFY Shiraq kushasi 13 uy</t>
        </is>
      </c>
      <c r="H169" s="109">
        <v>43.0</v>
      </c>
      <c r="I169" s="109">
        <v>5370428.96</v>
      </c>
      <c r="K169" s="108" t="inlineStr">
        <is>
          <t xml:space="preserve">Va'da berdi | OZI QOZOQDA TELGRAMDAN GAPLASHDIM OY OXIRIDA OYLIK OLAMAN DEDILA KELINI BN GAPLASHDIM U HAM AYTAMAN DEDILA | 1168</t>
        </is>
      </c>
    </row>
    <row r="170">
      <c r="A170" s="108" t="inlineStr">
        <is>
          <t xml:space="preserve">КОРАКАЛПОГИСТОН РЕСПУБЛИКАСИ</t>
        </is>
      </c>
      <c r="C170" s="108" t="inlineStr">
        <is>
          <t xml:space="preserve">Обещал</t>
        </is>
      </c>
      <c r="D170" s="108" t="inlineStr">
        <is>
          <t xml:space="preserve">Кр-99057450-1</t>
        </is>
      </c>
      <c r="E170" s="108" t="inlineStr">
        <is>
          <t xml:space="preserve">BEKIMOV GULIMBAY YERKABAYEVICH</t>
        </is>
      </c>
      <c r="F170" s="108" t="inlineStr">
        <is>
          <t xml:space="preserve">998996622374 SMS O'ZI, 998912711974 SMS O'ZI 2, 998977965585 SMS AYOLI,</t>
        </is>
      </c>
      <c r="G170" s="108" t="inlineStr">
        <is>
          <t xml:space="preserve">BERUNIY TUMANI</t>
        </is>
      </c>
      <c r="H170" s="109">
        <v>10.0</v>
      </c>
      <c r="I170" s="109">
        <v>5252758.15</v>
      </c>
      <c r="K170" s="108" t="inlineStr">
        <is>
          <t xml:space="preserve">Va'da berdi | 20-25 OYLIKDAN  O'G'LI TO'LAYDI | 1296</t>
        </is>
      </c>
    </row>
    <row r="171">
      <c r="A171" s="108" t="inlineStr">
        <is>
          <t xml:space="preserve">КОРАКАЛПОГИСТОН РЕСПУБЛИКАСИ</t>
        </is>
      </c>
      <c r="C171" s="108" t="inlineStr">
        <is>
          <t xml:space="preserve">Обещал</t>
        </is>
      </c>
      <c r="D171" s="108" t="inlineStr">
        <is>
          <t xml:space="preserve">Кр-99044140-3</t>
        </is>
      </c>
      <c r="E171" s="108" t="inlineStr">
        <is>
          <t xml:space="preserve">BAEKEEV BERIK MUXAMBETKARIMOVICH</t>
        </is>
      </c>
      <c r="F171" s="108" t="inlineStr">
        <is>
          <t xml:space="preserve">998884871988 OZI, 998970008892 OYALI, 998978889288 UKASI,</t>
        </is>
      </c>
      <c r="G171" s="108" t="inlineStr">
        <is>
          <t xml:space="preserve">ХАКИМ-АТА МФЙ, МСГ ХАКИМ-АТА, С,АЛЛАНИЯЗОВ,  uy:Р/З</t>
        </is>
      </c>
      <c r="H171" s="109">
        <v>10.0</v>
      </c>
      <c r="I171" s="109">
        <v>5193400.58</v>
      </c>
      <c r="K171" s="108" t="inlineStr">
        <is>
          <t xml:space="preserve">Va'da berdi | 28DA BANESADA ISHLEDI | 1084</t>
        </is>
      </c>
    </row>
    <row r="172">
      <c r="A172" s="108" t="inlineStr">
        <is>
          <t xml:space="preserve">КОРАКАЛПОГИСТОН РЕСПУБЛИКАСИ</t>
        </is>
      </c>
      <c r="C172" s="108" t="inlineStr">
        <is>
          <t xml:space="preserve">Обещал</t>
        </is>
      </c>
      <c r="D172" s="108" t="inlineStr">
        <is>
          <t xml:space="preserve">Кр-99054583-1</t>
        </is>
      </c>
      <c r="E172" s="108" t="inlineStr">
        <is>
          <t xml:space="preserve">ATABAYEVA JEREN AXMETOVNA</t>
        </is>
      </c>
      <c r="F172" s="108" t="inlineStr">
        <is>
          <t xml:space="preserve">998912601332 SMS OZI, 998953495323 SMS OGLI, 989521723262 SMS OGLI 2, 998941477205 SMS ONASI,</t>
        </is>
      </c>
      <c r="G172" s="108" t="inlineStr">
        <is>
          <t xml:space="preserve">QORAQOLPOG’ISTON RESPUBLIKASI TO’RTKO’L TUMANI BOG’YOP MFY GAGARIN KO’CHASI 101-UY</t>
        </is>
      </c>
      <c r="H172" s="109">
        <v>10.0</v>
      </c>
      <c r="I172" s="109">
        <v>5119933.12</v>
      </c>
      <c r="K172" s="108" t="inlineStr">
        <is>
          <t xml:space="preserve">Va'da berdi | BU BOZORDA ISHLAYDI BO'LIB BO'LIB TO'LYABDI O'G'LI BN GAPLASHDIM | 1238</t>
        </is>
      </c>
    </row>
    <row r="173">
      <c r="A173" s="108" t="inlineStr">
        <is>
          <t xml:space="preserve">КОРАКАЛПОГИСТОН РЕСПУБЛИКАСИ</t>
        </is>
      </c>
      <c r="C173" s="108" t="inlineStr">
        <is>
          <t xml:space="preserve">Обещал</t>
        </is>
      </c>
      <c r="D173" s="108" t="inlineStr">
        <is>
          <t xml:space="preserve">Кр-99042637-1</t>
        </is>
      </c>
      <c r="E173" s="108" t="inlineStr">
        <is>
          <t xml:space="preserve">ASKAROVA ULZADA DJAKSIMURATOVNA</t>
        </is>
      </c>
      <c r="F173" s="108" t="inlineStr">
        <is>
          <t xml:space="preserve">998332704595 KELINI, 998913068791 QIZI, 998913906944 OZI,</t>
        </is>
      </c>
      <c r="G173" s="108" t="inlineStr">
        <is>
          <t xml:space="preserve">Кун нуры МФЙ, Мархамат кучаси, 10-уй</t>
        </is>
      </c>
      <c r="H173" s="109">
        <v>10.0</v>
      </c>
      <c r="I173" s="109">
        <v>5067547.49</v>
      </c>
      <c r="K173" s="108" t="inlineStr">
        <is>
          <t xml:space="preserve">Va'da berdi | MAHALLASIGA CHIQDIM LEKIN U YERDA YASHAMAS EKAN TOSHKENTDA YASHAYDI VA OY OXIRIDA TO'LOV QILADI FERMADA ISHLAYDI FILIAL KARTASIGA TASHAB BERADI EKAN | 1052</t>
        </is>
      </c>
    </row>
    <row r="174">
      <c r="A174" s="108" t="inlineStr">
        <is>
          <t xml:space="preserve">КОРАКАЛПОГИСТОН РЕСПУБЛИКАСИ</t>
        </is>
      </c>
      <c r="C174" s="108" t="inlineStr">
        <is>
          <t xml:space="preserve">Обещал</t>
        </is>
      </c>
      <c r="D174" s="108" t="inlineStr">
        <is>
          <t xml:space="preserve">Кр-99063426-1</t>
        </is>
      </c>
      <c r="E174" s="108" t="inlineStr">
        <is>
          <t xml:space="preserve">YULDASHEVA ZULAYXA TURSUNBOYEVNA</t>
        </is>
      </c>
      <c r="F174" s="108" t="inlineStr">
        <is>
          <t xml:space="preserve">998500178083 OZI, 998995680099 KELINI, 998997450099 OGLI,</t>
        </is>
      </c>
      <c r="G174" s="108" t="inlineStr">
        <is>
          <t xml:space="preserve">QORAQALPOGISTON RES AMUDARYO TUMANI SHAYKOL OFY 7- SHAQSHA 3 UY</t>
        </is>
      </c>
      <c r="H174" s="109">
        <v>10.0</v>
      </c>
      <c r="I174" s="109">
        <v>4773672.54</v>
      </c>
      <c r="K174" s="108" t="inlineStr">
        <is>
          <t xml:space="preserve">Va'da berdi | 20 KUNIGA UKASI  ROSSIYADA ISHLEDI OWA YERDAN TASHAB BERADI | 1556</t>
        </is>
      </c>
    </row>
    <row r="175">
      <c r="A175" s="108" t="inlineStr">
        <is>
          <t xml:space="preserve">КОРАКАЛПОГИСТОН РЕСПУБЛИКАСИ</t>
        </is>
      </c>
      <c r="C175" s="108" t="inlineStr">
        <is>
          <t xml:space="preserve">Обещал</t>
        </is>
      </c>
      <c r="D175" s="108" t="inlineStr">
        <is>
          <t xml:space="preserve">Кр-99042828-1</t>
        </is>
      </c>
      <c r="E175" s="108" t="inlineStr">
        <is>
          <t xml:space="preserve">KALANDAROV MANSUR MAXMUDOVICH</t>
        </is>
      </c>
      <c r="F175" s="108" t="inlineStr">
        <is>
          <t xml:space="preserve">+998912558828 SMS UZI, 998551028828 SMS UYI, 998992628828 SMS UKASI,</t>
        </is>
      </c>
      <c r="G175" s="108" t="inlineStr">
        <is>
          <t xml:space="preserve">КОРАКАЛПОГИСТОН РЕСПУБЛИКАСИ БЕРУНИЙ ТУМАНИ ШИМАМ ҚФЙ, КУК-КУЗ АХОЛИ ПУНКТИ,  uy:Р/С</t>
        </is>
      </c>
      <c r="H175" s="109">
        <v>10.0</v>
      </c>
      <c r="I175" s="109">
        <v>4704859.26</v>
      </c>
      <c r="K175" s="108" t="inlineStr">
        <is>
          <t xml:space="preserve">Va'da berdi | ERTAGA OYISI TO'LOV QILIB BERAMAN DEB VADA VB | 1066</t>
        </is>
      </c>
    </row>
    <row r="176">
      <c r="A176" s="108" t="inlineStr">
        <is>
          <t xml:space="preserve">КОРАКАЛПОГИСТОН РЕСПУБЛИКАСИ</t>
        </is>
      </c>
      <c r="C176" s="108" t="inlineStr">
        <is>
          <t xml:space="preserve">Обещал</t>
        </is>
      </c>
      <c r="D176" s="108" t="inlineStr">
        <is>
          <t xml:space="preserve">Кр-99019952-6</t>
        </is>
      </c>
      <c r="E176" s="108" t="inlineStr">
        <is>
          <t xml:space="preserve">URAZIMBETOVA SHOHISTA GULIMBAYEVNA</t>
        </is>
      </c>
      <c r="F176" s="108" t="inlineStr">
        <is>
          <t xml:space="preserve">99-186-59-19  SMS UZI, 998995033939 SMS ERI, 998940910907 SMS UZI, 998771152010 OGLI,</t>
        </is>
      </c>
      <c r="G176" s="108" t="inlineStr">
        <is>
          <t xml:space="preserve">QORAQALPOG’ISTON RESPUBLIKASI BERUNIY TUMANI BERUNIY OFY GULZOR KO’CHA </t>
        </is>
      </c>
      <c r="H176" s="109">
        <v>15.0</v>
      </c>
      <c r="I176" s="109">
        <v>4483781.88</v>
      </c>
      <c r="K176" s="108" t="inlineStr">
        <is>
          <t xml:space="preserve">Va'da berdi | SMS YOZDIM | 85</t>
        </is>
      </c>
    </row>
    <row r="177">
      <c r="A177" s="108" t="inlineStr">
        <is>
          <t xml:space="preserve">КОРАКАЛПОГИСТОН РЕСПУБЛИКАСИ</t>
        </is>
      </c>
      <c r="C177" s="108" t="inlineStr">
        <is>
          <t xml:space="preserve">Обещал</t>
        </is>
      </c>
      <c r="D177" s="108" t="inlineStr">
        <is>
          <t xml:space="preserve">Кр-99041972-1</t>
        </is>
      </c>
      <c r="E177" s="108" t="inlineStr">
        <is>
          <t xml:space="preserve">TORENIYAZOV IKLASBAY PISHENOVICH</t>
        </is>
      </c>
      <c r="F177" s="108" t="inlineStr">
        <is>
          <t xml:space="preserve">+998907017280 OZI, 998904201880 OYALI, 998992005100 OGLI,</t>
        </is>
      </c>
      <c r="G177" s="108" t="inlineStr">
        <is>
          <t xml:space="preserve">Республика Каракалпакстан, Ходжейлийский район, Бунёдкор МФЙ, ул. Касип-ауыл, дом 34</t>
        </is>
      </c>
      <c r="H177" s="109">
        <v>10.0</v>
      </c>
      <c r="I177" s="109">
        <v>4285570.57</v>
      </c>
      <c r="K177" s="108" t="inlineStr">
        <is>
          <t xml:space="preserve">Va'da berdi | 20KUNI OYLIGIMDAN TO'LEMAN DEDI QISMAN TO'LADILA  XOTINI BN GAPLASHDIM JUDA QO'POL EKAN MOLDE GAPIRDI O'ZIYAM BEZNESMEN EKAN | 1037</t>
        </is>
      </c>
    </row>
    <row r="178">
      <c r="A178" s="108" t="inlineStr">
        <is>
          <t xml:space="preserve">КОРАКАЛПОГИСТОН РЕСПУБЛИКАСИ</t>
        </is>
      </c>
      <c r="C178" s="108" t="inlineStr">
        <is>
          <t xml:space="preserve">Обещал</t>
        </is>
      </c>
      <c r="D178" s="108" t="inlineStr">
        <is>
          <t xml:space="preserve">Кр-99042377-1</t>
        </is>
      </c>
      <c r="E178" s="108" t="inlineStr">
        <is>
          <t xml:space="preserve">DJEKSENBAEVA IRINA DJANBIRAEVNA</t>
        </is>
      </c>
      <c r="F178" s="108" t="inlineStr">
        <is>
          <t xml:space="preserve">998882145959 OZI, 998904244011 OGLI, 998919332729 QIZI,</t>
        </is>
      </c>
      <c r="G178" s="108" t="inlineStr">
        <is>
          <t xml:space="preserve">QARAQALPOGISTON RESPUBLIKASI NUKUS SHAHAR  Nauriz MFY, Minar ko’chasi, 8-uy</t>
        </is>
      </c>
      <c r="H178" s="109">
        <v>10.0</v>
      </c>
      <c r="I178" s="109">
        <v>4229053.59</v>
      </c>
      <c r="K178" s="108" t="inlineStr">
        <is>
          <t xml:space="preserve">Va'da berdi | SMS YOZDIM | 1051</t>
        </is>
      </c>
    </row>
    <row r="179">
      <c r="A179" s="108" t="inlineStr">
        <is>
          <t xml:space="preserve">КОРАКАЛПОГИСТОН РЕСПУБЛИКАСИ</t>
        </is>
      </c>
      <c r="C179" s="108" t="inlineStr">
        <is>
          <t xml:space="preserve">Обещал</t>
        </is>
      </c>
      <c r="D179" s="108" t="inlineStr">
        <is>
          <t xml:space="preserve">Кр-99028629-1</t>
        </is>
      </c>
      <c r="E179" s="108" t="inlineStr">
        <is>
          <t xml:space="preserve">SEYDEMETOVA GULJAXAN XOJAKMETOVNA</t>
        </is>
      </c>
      <c r="F179" s="108" t="inlineStr">
        <is>
          <t xml:space="preserve">91-383-84-00  SMS UZI MOL VAPSHE, 99-505-85-94  SMS MUJ, 90-735-54-61  SMS MAMA, 90-651-63-93  SMS SESTRA, 998885233999 akasi, 998913808594 SMS ERI, 998913808594 OZI 2,</t>
        </is>
      </c>
      <c r="G179" s="108" t="inlineStr">
        <is>
          <t xml:space="preserve">QORAQALPOGISTON RESPUBLIKASI CHIMBOY TUMANI T.SERIMBETOV 112</t>
        </is>
      </c>
      <c r="H179" s="109">
        <v>1.0</v>
      </c>
      <c r="I179" s="109">
        <v>4226278.6</v>
      </c>
      <c r="K179" s="108" t="inlineStr">
        <is>
          <t xml:space="preserve">Va'da berdi | BU BAQIRGAN KECHA BUGUNGA DEB BAQIRGAN TEL QILISHEZAM WARTAMAS DEB | 209</t>
        </is>
      </c>
    </row>
    <row r="180">
      <c r="A180" s="108" t="inlineStr">
        <is>
          <t xml:space="preserve">КОРАКАЛПОГИСТОН РЕСПУБЛИКАСИ</t>
        </is>
      </c>
      <c r="C180" s="108" t="inlineStr">
        <is>
          <t xml:space="preserve">Обещал</t>
        </is>
      </c>
      <c r="D180" s="108" t="inlineStr">
        <is>
          <t xml:space="preserve">Кр-99041208-1</t>
        </is>
      </c>
      <c r="E180" s="108" t="inlineStr">
        <is>
          <t xml:space="preserve">ZARIEVA ZUXIRA NASIROVNA</t>
        </is>
      </c>
      <c r="F180" s="108" t="inlineStr">
        <is>
          <t xml:space="preserve">998905926568 OZI SMS, 998913755131 KELINI, 998991559339 OGLI,</t>
        </is>
      </c>
      <c r="G180" s="108" t="inlineStr">
        <is>
          <t xml:space="preserve">НАВРУЗ МФЙ, НАУРЫЗ МФЙ, МИЗДАКХАН КЎЧАСИ,  uy:56</t>
        </is>
      </c>
      <c r="H180" s="109">
        <v>10.0</v>
      </c>
      <c r="I180" s="109">
        <v>4195138.48</v>
      </c>
      <c r="K180" s="108" t="inlineStr">
        <is>
          <t xml:space="preserve">Va'da berdi | 20KUNI O'G'LI OYLIGIDAN | 972</t>
        </is>
      </c>
    </row>
    <row r="181">
      <c r="A181" s="108" t="inlineStr">
        <is>
          <t xml:space="preserve">КОРАКАЛПОГИСТОН РЕСПУБЛИКАСИ</t>
        </is>
      </c>
      <c r="C181" s="108" t="inlineStr">
        <is>
          <t xml:space="preserve">Обещал</t>
        </is>
      </c>
      <c r="D181" s="108" t="inlineStr">
        <is>
          <t xml:space="preserve">Кр-99062628-1</t>
        </is>
      </c>
      <c r="E181" s="108" t="inlineStr">
        <is>
          <t xml:space="preserve">QALEKEEV QURBANBAY GENJEMURATOVICH</t>
        </is>
      </c>
      <c r="F181" s="108" t="inlineStr">
        <is>
          <t xml:space="preserve">998337368081 OZI, 998912685205 AYOLI, 998996892535 OGLI, 998997573480 OGLI,</t>
        </is>
      </c>
      <c r="G181" s="108" t="inlineStr">
        <is>
          <t xml:space="preserve">QORAQALPOGISTON RES SHUMANAY TUMANI NAWRIZ MFY OZBEKISTAN KUSHASI 14 UY </t>
        </is>
      </c>
      <c r="H181" s="109">
        <v>14.0</v>
      </c>
      <c r="I181" s="109">
        <v>4192360.37</v>
      </c>
      <c r="K181" s="108" t="inlineStr">
        <is>
          <t xml:space="preserve">Va'da berdi | FILIAL BORDI  20KUNI AVANSDAN TASHAB BERAMAN DEDILA | 1411</t>
        </is>
      </c>
    </row>
    <row r="182">
      <c r="A182" s="108" t="inlineStr">
        <is>
          <t xml:space="preserve">КОРАКАЛПОГИСТОН РЕСПУБЛИКАСИ</t>
        </is>
      </c>
      <c r="C182" s="108" t="inlineStr">
        <is>
          <t xml:space="preserve">Обещал</t>
        </is>
      </c>
      <c r="D182" s="108" t="inlineStr">
        <is>
          <t xml:space="preserve">Кр-99040858-1</t>
        </is>
      </c>
      <c r="E182" s="108" t="inlineStr">
        <is>
          <t xml:space="preserve">ZIYAUOV SALAMAT MINAJATDINOVICH</t>
        </is>
      </c>
      <c r="F182" s="108" t="inlineStr">
        <is>
          <t xml:space="preserve">998900954989 sms ozi, 998907280424 sms onasi, 998951650684 sms ayoli, 998944330084 SMS UZI 2,</t>
        </is>
      </c>
      <c r="G182" s="108" t="inlineStr">
        <is>
          <t xml:space="preserve">НАУРЫЗ МФЙ, ЛОЛА КЎЧАСИ,  uy:46</t>
        </is>
      </c>
      <c r="H182" s="109">
        <v>10.0</v>
      </c>
      <c r="I182" s="109">
        <v>3855324.18</v>
      </c>
      <c r="K182" s="108" t="inlineStr">
        <is>
          <t xml:space="preserve">Va'da berdi | ROSSIYADA AYOLI BN GAPLASHDIM TO'LOV QILAMIZ 2KUNDA ERIM PUL OLADILA DEYABDI | 931</t>
        </is>
      </c>
    </row>
    <row r="183">
      <c r="A183" s="108" t="inlineStr">
        <is>
          <t xml:space="preserve">КОРАКАЛПОГИСТОН РЕСПУБЛИКАСИ</t>
        </is>
      </c>
      <c r="C183" s="108" t="inlineStr">
        <is>
          <t xml:space="preserve">Обещал</t>
        </is>
      </c>
      <c r="D183" s="108" t="inlineStr">
        <is>
          <t xml:space="preserve">Кр-99041705-1</t>
        </is>
      </c>
      <c r="E183" s="108" t="inlineStr">
        <is>
          <t xml:space="preserve">UTEBAEV KOMEKBAY TOREBAEVICH</t>
        </is>
      </c>
      <c r="F183" s="108" t="inlineStr">
        <is>
          <t xml:space="preserve">+998913790226 смс ozi, 998777063706 sms qizi, 998913704273 sms ayoli, 998930739701 sms kelini,</t>
        </is>
      </c>
      <c r="G183" s="108" t="inlineStr">
        <is>
          <t xml:space="preserve">НАУПИР МФЙ, НУКУС ШАХАР, КУС ЖОЛЫ,  uy:44</t>
        </is>
      </c>
      <c r="H183" s="109">
        <v>10.0</v>
      </c>
      <c r="I183" s="109">
        <v>3501232.57</v>
      </c>
      <c r="K183" s="108" t="inlineStr">
        <is>
          <t xml:space="preserve">Va'da berdi | FUQARO ROSSIYADA 20KUNIDA YOPADI | 1014</t>
        </is>
      </c>
    </row>
    <row r="184">
      <c r="A184" s="108" t="inlineStr">
        <is>
          <t xml:space="preserve">КОРАКАЛПОГИСТОН РЕСПУБЛИКАСИ</t>
        </is>
      </c>
      <c r="C184" s="108" t="inlineStr">
        <is>
          <t xml:space="preserve">Обещал</t>
        </is>
      </c>
      <c r="D184" s="108" t="inlineStr">
        <is>
          <t xml:space="preserve">Кр-99057361-1</t>
        </is>
      </c>
      <c r="E184" s="108" t="inlineStr">
        <is>
          <t xml:space="preserve">KULUMBETOVA ZIYADA JUMABAYEVNA</t>
        </is>
      </c>
      <c r="F184" s="108" t="inlineStr">
        <is>
          <t xml:space="preserve">998906500325 oZI, 990977988897 o'G'LI, 998551084615 UY, 998972291204 QIZI,</t>
        </is>
      </c>
      <c r="G184" s="108" t="inlineStr">
        <is>
          <t xml:space="preserve">QORAQALPOGISTON RESPUBLIKASI XOJAYLI TUMANI</t>
        </is>
      </c>
      <c r="H184" s="109">
        <v>10.0</v>
      </c>
      <c r="I184" s="109">
        <v>3185495.96</v>
      </c>
      <c r="K184" s="108" t="inlineStr">
        <is>
          <t xml:space="preserve">Va'da berdi | KUYOVI BALNESAGA TUSHIB QOLIBDI 20-25GA TO'LOV QILIB BERAMAN DEDILA | 1277</t>
        </is>
      </c>
    </row>
    <row r="185">
      <c r="A185" s="108" t="inlineStr">
        <is>
          <t xml:space="preserve">КОРАКАЛПОГИСТОН РЕСПУБЛИКАСИ</t>
        </is>
      </c>
      <c r="C185" s="108" t="inlineStr">
        <is>
          <t xml:space="preserve">Обещал</t>
        </is>
      </c>
      <c r="D185" s="108" t="inlineStr">
        <is>
          <t xml:space="preserve">Кр-99041840-1</t>
        </is>
      </c>
      <c r="E185" s="108" t="inlineStr">
        <is>
          <t xml:space="preserve">ABDULLAYEV MUSA XUDAYBERGENOVICH</t>
        </is>
      </c>
      <c r="F185" s="108" t="inlineStr">
        <is>
          <t xml:space="preserve">998907096778 AKASI, 998994583521 OYALI, 998994587888 OZI,</t>
        </is>
      </c>
      <c r="G185" s="108" t="inlineStr">
        <is>
          <t xml:space="preserve">Qaraqalpogiston Respublikasi Xojayli tumani Juzimzar MFY Jenis kushasi 36uy</t>
        </is>
      </c>
      <c r="H185" s="109">
        <v>10.0</v>
      </c>
      <c r="I185" s="109">
        <v>3112268.72</v>
      </c>
      <c r="K185" s="108" t="inlineStr">
        <is>
          <t xml:space="preserve">Va'da berdi | ROSSA JOVRADI PULIM BO'LGANDA TO'LEMAN DEB FOIZELA KO'P DEB BUGUNGA TO'LOV QILIB BERADILA | 1024</t>
        </is>
      </c>
    </row>
    <row r="186">
      <c r="A186" s="108" t="inlineStr">
        <is>
          <t xml:space="preserve">КОРАКАЛПОГИСТОН РЕСПУБЛИКАСИ</t>
        </is>
      </c>
      <c r="C186" s="108" t="inlineStr">
        <is>
          <t xml:space="preserve">Обещал</t>
        </is>
      </c>
      <c r="D186" s="108" t="inlineStr">
        <is>
          <t xml:space="preserve">Кр-99048733-1</t>
        </is>
      </c>
      <c r="E186" s="108" t="inlineStr">
        <is>
          <t xml:space="preserve">MAMBETNAZAROV ILXAMBEK BEKMURZAEVICH</t>
        </is>
      </c>
      <c r="F186" s="108" t="inlineStr">
        <is>
          <t xml:space="preserve">998907070002 SMS UZI, 998912670007 SMS UZI 2 BEGONA , 998907090003 xotini newww,</t>
        </is>
      </c>
      <c r="G186" s="108" t="inlineStr">
        <is>
          <t xml:space="preserve">NUKUS SHAHAR</t>
        </is>
      </c>
      <c r="H186" s="109">
        <v>10.0</v>
      </c>
      <c r="I186" s="109">
        <v>2645923.37</v>
      </c>
      <c r="K186" s="108" t="inlineStr">
        <is>
          <t xml:space="preserve">Va'da berdi | XOTINI BN GAPLASHDIM ERI QOZOQDA TO'LOV QILAMIZ AYATAMAN DEDI BUGUNGAAAA | 1150</t>
        </is>
      </c>
    </row>
    <row r="187">
      <c r="A187" s="108" t="inlineStr">
        <is>
          <t xml:space="preserve">КОРАКАЛПОГИСТОН РЕСПУБЛИКАСИ</t>
        </is>
      </c>
      <c r="C187" s="108" t="inlineStr">
        <is>
          <t xml:space="preserve">Обещал</t>
        </is>
      </c>
      <c r="D187" s="108" t="inlineStr">
        <is>
          <t xml:space="preserve">Кр-99064007-1</t>
        </is>
      </c>
      <c r="E187" s="108" t="inlineStr">
        <is>
          <t xml:space="preserve">BAYMANOV JABBORBERGAN CHARSHAMBAYEVICH</t>
        </is>
      </c>
      <c r="F187" s="108" t="inlineStr">
        <is>
          <t xml:space="preserve">998775502106 OGLI, 998876700430 OGLI, 998887687400 OZI,</t>
        </is>
      </c>
      <c r="G187" s="108" t="inlineStr">
        <is>
          <t xml:space="preserve">QORAQALPOGISTON RES AMUDARYO TUMANI ORTA QALA OFY 12- KITOB KOSHASI 1 UY</t>
        </is>
      </c>
      <c r="H187" s="109">
        <v>10.0</v>
      </c>
      <c r="I187" s="109">
        <v>2571853.44</v>
      </c>
      <c r="K187" s="108" t="inlineStr">
        <is>
          <t xml:space="preserve">Va'da berdi | 20KUNI TO'LOV QILAMAN OYLIGIMMI OVOLEY XUSUSIY TASHKILOTDA ISHLEMAN DEDI | 1631</t>
        </is>
      </c>
    </row>
    <row r="188">
      <c r="A188" s="108" t="inlineStr">
        <is>
          <t xml:space="preserve">КОРАКАЛПОГИСТОН РЕСПУБЛИКАСИ</t>
        </is>
      </c>
      <c r="C188" s="108" t="inlineStr">
        <is>
          <t xml:space="preserve">Обещал</t>
        </is>
      </c>
      <c r="D188" s="108" t="inlineStr">
        <is>
          <t xml:space="preserve">Кр-99047619-1</t>
        </is>
      </c>
      <c r="E188" s="108" t="inlineStr">
        <is>
          <t xml:space="preserve">BEKMURATOV ARAPBAY JUMABAEVICH</t>
        </is>
      </c>
      <c r="F188" s="108" t="inlineStr">
        <is>
          <t xml:space="preserve">998907023971 OZI, 998912717211 OYALI, 998991019597 OGLI, 998771441995 OGLI NEWWW,</t>
        </is>
      </c>
      <c r="G188" s="108" t="inlineStr">
        <is>
          <t xml:space="preserve">Qaraqalpogiston Respublikasi Xojayli tumani Bunyodkor MFY Ramazan kushasi 32 uy</t>
        </is>
      </c>
      <c r="H188" s="109">
        <v>10.0</v>
      </c>
      <c r="I188" s="109">
        <v>2555824.69</v>
      </c>
      <c r="K188" s="108" t="inlineStr">
        <is>
          <t xml:space="preserve">Va'da berdi | BU OYLIGIM TUSHUSHU KERAK TUSHGANI YUUQ O'G'RILIK QILIB TO'LAYMI DEB JAHL QILIB QO'YIB QO'YDI | 1139</t>
        </is>
      </c>
    </row>
    <row r="189">
      <c r="A189" s="108" t="inlineStr">
        <is>
          <t xml:space="preserve">КОРАКАЛПОГИСТОН РЕСПУБЛИКАСИ</t>
        </is>
      </c>
      <c r="C189" s="108" t="inlineStr">
        <is>
          <t xml:space="preserve">Обещал</t>
        </is>
      </c>
      <c r="D189" s="108" t="inlineStr">
        <is>
          <t xml:space="preserve">Кр-99039669-1</t>
        </is>
      </c>
      <c r="E189" s="108" t="inlineStr">
        <is>
          <t xml:space="preserve">SEYILXANOV MUSTAPA KAZAKBAEVICH</t>
        </is>
      </c>
      <c r="F189" s="108" t="inlineStr">
        <is>
          <t xml:space="preserve">998990232960 SMS OZI, 998977890866 SMS AYOLI, 998975006617 SMS QIZI, 998913409124 SMS QIZI,</t>
        </is>
      </c>
      <c r="G189" s="108" t="inlineStr">
        <is>
          <t xml:space="preserve">QARAQALPOGISTON RES KEGIYLI TUMANI IYSHAN KALA SSG IYSHAN QALA KUSHASI 5 UY</t>
        </is>
      </c>
      <c r="H189" s="109">
        <v>1.0</v>
      </c>
      <c r="I189" s="109">
        <v>2544401.82</v>
      </c>
      <c r="K189" s="108" t="inlineStr">
        <is>
          <t xml:space="preserve">Va'da berdi | QOZOQDA ISHLAYDI O'G'LI KASAL EKAN XOTINI BN GAPLASHDIM ERTAGA TASHAB BERAMIZ DEDILA | 823</t>
        </is>
      </c>
    </row>
    <row r="190">
      <c r="A190" s="108" t="inlineStr">
        <is>
          <t xml:space="preserve">КОРАКАЛПОГИСТОН РЕСПУБЛИКАСИ</t>
        </is>
      </c>
      <c r="C190" s="108" t="inlineStr">
        <is>
          <t xml:space="preserve">Обещал</t>
        </is>
      </c>
      <c r="D190" s="108" t="inlineStr">
        <is>
          <t xml:space="preserve">Кр-99032690-1</t>
        </is>
      </c>
      <c r="E190" s="108" t="inlineStr">
        <is>
          <t xml:space="preserve">JIENBAYEV AZAMAT MUYATDINOVICH</t>
        </is>
      </c>
      <c r="F190" s="108" t="inlineStr">
        <is>
          <t xml:space="preserve">998994531103 SMS O’ZI, 998935201103 SMS XOTINI, 998937161103 SMS AKASI, 998995061103 SMS OTASI,</t>
        </is>
      </c>
      <c r="G190" s="108" t="inlineStr">
        <is>
          <t xml:space="preserve">QORAQALPOGISTON RESP TAXTAKOPIR TUMANI BERDAQ 61 UY</t>
        </is>
      </c>
      <c r="H190" s="109">
        <v>2.0</v>
      </c>
      <c r="I190" s="109">
        <v>2511146.75</v>
      </c>
      <c r="K190" s="108" t="inlineStr">
        <is>
          <t xml:space="preserve">Va'da berdi | BUGUNGA DEB VADA BERDILA | 363</t>
        </is>
      </c>
    </row>
    <row r="191">
      <c r="A191" s="108" t="inlineStr">
        <is>
          <t xml:space="preserve">КОРАКАЛПОГИСТОН РЕСПУБЛИКАСИ</t>
        </is>
      </c>
      <c r="C191" s="108" t="inlineStr">
        <is>
          <t xml:space="preserve">Обещал</t>
        </is>
      </c>
      <c r="D191" s="108" t="inlineStr">
        <is>
          <t xml:space="preserve">Кр-99036100-1</t>
        </is>
      </c>
      <c r="E191" s="108" t="inlineStr">
        <is>
          <t xml:space="preserve">ABDULLAYEVA MIRIGUL NURATDINOVNA</t>
        </is>
      </c>
      <c r="F191" s="108" t="inlineStr">
        <is>
          <t xml:space="preserve">998907143236 SMS O’ZI, 998975607788 SMS TO’LOVCHISI, 998991652295 SMS ERI, 998913026364 SMS O’G’LI,</t>
        </is>
      </c>
      <c r="G191" s="108" t="inlineStr">
        <is>
          <t xml:space="preserve">QARAQALPOGISTON RES NUKUS SHAHAR NAWBAHAR MFY AYDAR KOL KUSHASI 52 UY</t>
        </is>
      </c>
      <c r="H191" s="109">
        <v>1.0</v>
      </c>
      <c r="I191" s="109">
        <v>2224853.6</v>
      </c>
      <c r="K191" s="108" t="inlineStr">
        <is>
          <t xml:space="preserve">Va'da berdi | BUGUNGA VADA BERGAN BU FILIALGA BORAMAN DEDILA | 558</t>
        </is>
      </c>
    </row>
    <row r="192">
      <c r="A192" s="108" t="inlineStr">
        <is>
          <t xml:space="preserve">КОРАКАЛПОГИСТОН РЕСПУБЛИКАСИ</t>
        </is>
      </c>
      <c r="C192" s="108" t="inlineStr">
        <is>
          <t xml:space="preserve">Обещал</t>
        </is>
      </c>
      <c r="D192" s="108" t="inlineStr">
        <is>
          <t xml:space="preserve">Кр-99048734-1</t>
        </is>
      </c>
      <c r="E192" s="108" t="inlineStr">
        <is>
          <t xml:space="preserve">BERDIALIEV MURAT KUBEISINOVICH</t>
        </is>
      </c>
      <c r="F192" s="108" t="inlineStr">
        <is>
          <t xml:space="preserve">998904247787 OYALI, 998906633888 OGLI, 998907037787 OZI,</t>
        </is>
      </c>
      <c r="G192" s="108" t="inlineStr">
        <is>
          <t xml:space="preserve">Qaraqalpogiston Respublikasi Nukus shahar Samanbay MFY Toktaw kushasi 25 uy</t>
        </is>
      </c>
      <c r="H192" s="109">
        <v>10.0</v>
      </c>
      <c r="I192" s="109">
        <v>2150554.94</v>
      </c>
      <c r="K192" s="108" t="inlineStr">
        <is>
          <t xml:space="preserve">Va'da berdi | TAKSICHI BU BO'LIB BO'LIB TO'LAYABDILA BUGUN KECHGA YANA TO'LAYDI | 1151</t>
        </is>
      </c>
    </row>
    <row r="193">
      <c r="A193" s="108" t="inlineStr">
        <is>
          <t xml:space="preserve">КОРАКАЛПОГИСТОН РЕСПУБЛИКАСИ</t>
        </is>
      </c>
      <c r="C193" s="108" t="inlineStr">
        <is>
          <t xml:space="preserve">Обещал</t>
        </is>
      </c>
      <c r="D193" s="108" t="inlineStr">
        <is>
          <t xml:space="preserve">Кр-99035767-1</t>
        </is>
      </c>
      <c r="E193" s="108" t="inlineStr">
        <is>
          <t xml:space="preserve">DJUMANIYAZOV XUJAAXMAD BERDIBAYEVICH</t>
        </is>
      </c>
      <c r="F193" s="108" t="inlineStr">
        <is>
          <t xml:space="preserve">998974749400 SMS OZI(Begona), 998336771006 SMS UY, 998975056865 SMS DOSTI(begona), 998331240571 SMS DOSTI,</t>
        </is>
      </c>
      <c r="G193" s="108" t="inlineStr">
        <is>
          <t xml:space="preserve">XORAZM VILOYATI ELLIKQALA TUMANI KASHKURA MAXALLASI YOSH KUCH KUCHASI 2 UY</t>
        </is>
      </c>
      <c r="H193" s="109">
        <v>15.0</v>
      </c>
      <c r="I193" s="109">
        <v>2120990.03</v>
      </c>
      <c r="K193" s="108" t="inlineStr">
        <is>
          <t xml:space="preserve">Va'da berdi | 20KUNIGA TASHAB BERAMAN DEYABDILA OYLIGIM DAN DEB OCHIRDILA | 529</t>
        </is>
      </c>
    </row>
    <row r="194">
      <c r="A194" s="108" t="inlineStr">
        <is>
          <t xml:space="preserve">КОРАКАЛПОГИСТОН РЕСПУБЛИКАСИ</t>
        </is>
      </c>
      <c r="C194" s="108" t="inlineStr">
        <is>
          <t xml:space="preserve">Обещал</t>
        </is>
      </c>
      <c r="D194" s="108" t="inlineStr">
        <is>
          <t xml:space="preserve">Кр-99033360-1</t>
        </is>
      </c>
      <c r="E194" s="108" t="inlineStr">
        <is>
          <t xml:space="preserve">ABDURAHIMOV ALIJON RUSTAM O’G’LI</t>
        </is>
      </c>
      <c r="F194" s="108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94" s="108" t="inlineStr">
        <is>
          <t xml:space="preserve">QARAQALPOGISTON RES AMUDARYO TUMANI TOLQIN OFY MARIFATSHILAR KUSHASI 27 UY</t>
        </is>
      </c>
      <c r="H194" s="109">
        <v>10.0</v>
      </c>
      <c r="I194" s="109">
        <v>1894150.92</v>
      </c>
      <c r="K194" s="108" t="inlineStr">
        <is>
          <t xml:space="preserve">Va'da berdi | TO'LOLMEMAN HOZIR BIT TIYIN PULIM YUQ LEKIN 2-3KUNDA HARAKAT QILIB YOPAMAN DEDI | 388</t>
        </is>
      </c>
    </row>
    <row r="195">
      <c r="A195" s="108" t="inlineStr">
        <is>
          <t xml:space="preserve">КОРАКАЛПОГИСТОН РЕСПУБЛИКАСИ</t>
        </is>
      </c>
      <c r="C195" s="108" t="inlineStr">
        <is>
          <t xml:space="preserve">Обещал</t>
        </is>
      </c>
      <c r="D195" s="108" t="inlineStr">
        <is>
          <t xml:space="preserve">Кр-99063086-1</t>
        </is>
      </c>
      <c r="E195" s="108" t="inlineStr">
        <is>
          <t xml:space="preserve">SHAMURATOV KUTLIMURAT ARZIMURAT ULI</t>
        </is>
      </c>
      <c r="F195" s="108" t="inlineStr">
        <is>
          <t xml:space="preserve">998974749675 OZI, 998885059675 ONASI, 998993425995 SINGLISI, 998973559675 UKASI,</t>
        </is>
      </c>
      <c r="G195" s="108" t="inlineStr">
        <is>
          <t xml:space="preserve">QORAQALPOGISTON RES QARAOZEK TUMANI A.DOSNAZAROV MFY KIZIL KUM KUSHASI 17 UY  </t>
        </is>
      </c>
      <c r="H195" s="109">
        <v>10.0</v>
      </c>
      <c r="I195" s="109">
        <v>1840290.9</v>
      </c>
      <c r="K195" s="108" t="inlineStr">
        <is>
          <t xml:space="preserve">Va'da berdi | MAGAZINDA SOTUVCHI TOSHKENTDA ONASI BN GAPLASHDIM 20KUNI OYLIGIDAN TO'LAYDI DEDI | 1497</t>
        </is>
      </c>
    </row>
    <row r="196">
      <c r="A196" s="108" t="inlineStr">
        <is>
          <t xml:space="preserve">КОРАКАЛПОГИСТОН РЕСПУБЛИКАСИ</t>
        </is>
      </c>
      <c r="C196" s="108" t="inlineStr">
        <is>
          <t xml:space="preserve">Обещал</t>
        </is>
      </c>
      <c r="D196" s="108" t="inlineStr">
        <is>
          <t xml:space="preserve">Кр-99040984-1</t>
        </is>
      </c>
      <c r="E196" s="108" t="inlineStr">
        <is>
          <t xml:space="preserve">UTAROV JAKSILIK DJITESOVICH</t>
        </is>
      </c>
      <c r="F196" s="108" t="inlineStr">
        <is>
          <t xml:space="preserve">998913033891 SMS OZI, 998913917972 SMS AYOLI, 998991941402 SMS OGLI,</t>
        </is>
      </c>
      <c r="G196" s="108" t="inlineStr">
        <is>
          <t xml:space="preserve">NUKUS SHAHRI</t>
        </is>
      </c>
      <c r="H196" s="109">
        <v>13.0</v>
      </c>
      <c r="I196" s="109">
        <v>1683040.14</v>
      </c>
      <c r="K196" s="108" t="inlineStr">
        <is>
          <t xml:space="preserve">Va'da berdi | o'zi ishsiz  20kuni ayoli oylik oladi wundan to'layman deyabdila | 943</t>
        </is>
      </c>
    </row>
    <row r="197">
      <c r="A197" s="108" t="inlineStr">
        <is>
          <t xml:space="preserve">КОРАКАЛПОГИСТОН РЕСПУБЛИКАСИ</t>
        </is>
      </c>
      <c r="C197" s="108" t="inlineStr">
        <is>
          <t xml:space="preserve">Дозвон</t>
        </is>
      </c>
      <c r="D197" s="108" t="inlineStr">
        <is>
          <t xml:space="preserve">Кр-99064050-1</t>
        </is>
      </c>
      <c r="E197" s="108" t="inlineStr">
        <is>
          <t xml:space="preserve">ESHIMBETOV QUDAYBERGEN AYAPBERGENOVICH</t>
        </is>
      </c>
      <c r="F197" s="108" t="inlineStr">
        <is>
          <t xml:space="preserve">998877084162 OGLI, 998994004162 OZI, 998997484162 OYALI,</t>
        </is>
      </c>
      <c r="G197" s="108" t="inlineStr">
        <is>
          <t xml:space="preserve">QORAQLPOGISTON RES NUKUS SHAHAR  Kutli-konis MFY, Uvaysiy ko’chasi, 18-uy</t>
        </is>
      </c>
      <c r="H197" s="109">
        <v>10.0</v>
      </c>
      <c r="I197" s="109">
        <v>1657657.3</v>
      </c>
      <c r="J197" s="109">
        <v>1657657.3</v>
      </c>
      <c r="K197" s="108" t="inlineStr">
        <is>
          <t xml:space="preserve">To'ladi | KECHA GAPLASHGANDIM BUGUN TO'LAVORIBDILA | 1636</t>
        </is>
      </c>
    </row>
    <row r="198">
      <c r="A198" s="108" t="inlineStr">
        <is>
          <t xml:space="preserve">КОРАКАЛПОГИСТОН РЕСПУБЛИКАСИ</t>
        </is>
      </c>
      <c r="C198" s="108" t="inlineStr">
        <is>
          <t xml:space="preserve">Обещал</t>
        </is>
      </c>
      <c r="D198" s="108" t="inlineStr">
        <is>
          <t xml:space="preserve">Кр-99041583-1</t>
        </is>
      </c>
      <c r="E198" s="108" t="inlineStr">
        <is>
          <t xml:space="preserve">ATAMURATOVA ZAURE KENESBAEVNA</t>
        </is>
      </c>
      <c r="F198" s="108" t="inlineStr">
        <is>
          <t xml:space="preserve">+998913926462 OZI,</t>
        </is>
      </c>
      <c r="G198" s="108" t="inlineStr">
        <is>
          <t xml:space="preserve">Моншаклы МФЙ, Улугбек кучаси, 34-уй</t>
        </is>
      </c>
      <c r="H198" s="109">
        <v>10.0</v>
      </c>
      <c r="I198" s="109">
        <v>1439849.98</v>
      </c>
      <c r="K198" s="108" t="inlineStr">
        <is>
          <t xml:space="preserve">Va'da berdi | KO'TARMAYABDI  O'RINBOSAR AKA TANISHI GAPLASHIBDI TO'LAYDI EKAN | 1011</t>
        </is>
      </c>
    </row>
    <row r="199">
      <c r="A199" s="108" t="inlineStr">
        <is>
          <t xml:space="preserve">КОРАКАЛПОГИСТОН РЕСПУБЛИКАСИ</t>
        </is>
      </c>
      <c r="C199" s="108" t="inlineStr">
        <is>
          <t xml:space="preserve">Дозвон</t>
        </is>
      </c>
      <c r="D199" s="108" t="inlineStr">
        <is>
          <t xml:space="preserve">Кр-99041071-1</t>
        </is>
      </c>
      <c r="E199" s="108" t="inlineStr">
        <is>
          <t xml:space="preserve">SABZADAYEV ALLIYAR SMAILOVICH</t>
        </is>
      </c>
      <c r="F199" s="108" t="inlineStr">
        <is>
          <t xml:space="preserve">998933614898 SMS OZI, 998956580267 SMS AYOLI, 998994521515 SMS UGLI,</t>
        </is>
      </c>
      <c r="G199" s="108" t="inlineStr">
        <is>
          <t xml:space="preserve">NUKUS SHAHAR</t>
        </is>
      </c>
      <c r="H199" s="109">
        <v>13.0</v>
      </c>
      <c r="I199" s="109">
        <v>1313001.45</v>
      </c>
      <c r="J199" s="109">
        <v>500000.0</v>
      </c>
      <c r="K199" s="108" t="inlineStr">
        <is>
          <t xml:space="preserve">To'ladi | KECHAA QISMAN TO'LOV QILDI BUGUN 500MING ANORDAN TO'LADI | 956</t>
        </is>
      </c>
    </row>
    <row r="200">
      <c r="A200" s="108" t="inlineStr">
        <is>
          <t xml:space="preserve">КОРАКАЛПОГИСТОН РЕСПУБЛИКАСИ</t>
        </is>
      </c>
      <c r="C200" s="108" t="inlineStr">
        <is>
          <t xml:space="preserve">Обещал</t>
        </is>
      </c>
      <c r="D200" s="108" t="inlineStr">
        <is>
          <t xml:space="preserve">Кр-99032661-1</t>
        </is>
      </c>
      <c r="E200" s="108" t="inlineStr">
        <is>
          <t xml:space="preserve">TLEUMBETOVA DILARAM DUYSENBAYEVNA</t>
        </is>
      </c>
      <c r="F200" s="108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 998917170124 XOTINI TO'LOVCHI ,</t>
        </is>
      </c>
      <c r="G200" s="108" t="inlineStr">
        <is>
          <t xml:space="preserve">NUKUS SHAHAR MATEN SIYTNIYZOZ KUSHASI 152A UY  </t>
        </is>
      </c>
      <c r="H200" s="109">
        <v>65.0</v>
      </c>
      <c r="I200" s="109">
        <v>1278329.23</v>
      </c>
      <c r="K200" s="108" t="inlineStr">
        <is>
          <t xml:space="preserve">Va'da berdi | BU ERTAGA DEB VADA BERDI | 362</t>
        </is>
      </c>
    </row>
    <row r="201">
      <c r="A201" s="108" t="inlineStr">
        <is>
          <t xml:space="preserve">КОРАКАЛПОГИСТОН РЕСПУБЛИКАСИ</t>
        </is>
      </c>
      <c r="C201" s="108" t="inlineStr">
        <is>
          <t xml:space="preserve">Обещал</t>
        </is>
      </c>
      <c r="D201" s="108" t="inlineStr">
        <is>
          <t xml:space="preserve">Кр-99038034-1</t>
        </is>
      </c>
      <c r="E201" s="108" t="inlineStr">
        <is>
          <t xml:space="preserve">BEKIMBETOV SHARAPAT MAXSETOVICH</t>
        </is>
      </c>
      <c r="F201" s="108" t="inlineStr">
        <is>
          <t xml:space="preserve">998933681893 SMS OZI, 998939291895 SMS AYOLI, 998932014951 SMS OTASI(begona), 998990380341 SMS ONASI, 998998932014 SMS Otasi, 998932024961 SMS Onasi,</t>
        </is>
      </c>
      <c r="G201" s="108" t="inlineStr">
        <is>
          <t xml:space="preserve">QARAQALPOGISTON RES NUKUS SHAHAR JANA BAZAR MFY KOS KOL KUSHASI 601 B UY </t>
        </is>
      </c>
      <c r="H201" s="109">
        <v>6.0</v>
      </c>
      <c r="I201" s="109">
        <v>976595.89</v>
      </c>
      <c r="K201" s="108" t="inlineStr">
        <is>
          <t xml:space="preserve">Va'da berdi | BU QISMAN TO'LADI BUGUN YANA TO'LAYDI SMS YOZDIM | 673</t>
        </is>
      </c>
    </row>
    <row r="202">
      <c r="A202" s="108" t="inlineStr">
        <is>
          <t xml:space="preserve">КОРАКАЛПОГИСТОН РЕСПУБЛИКАСИ</t>
        </is>
      </c>
      <c r="C202" s="108" t="inlineStr">
        <is>
          <t xml:space="preserve">Обещал</t>
        </is>
      </c>
      <c r="D202" s="108" t="inlineStr">
        <is>
          <t xml:space="preserve">Кр-99019952-8</t>
        </is>
      </c>
      <c r="E202" s="108" t="inlineStr">
        <is>
          <t xml:space="preserve">URAZIMBETOVA SHOHISTA GULIMBAYEVNA</t>
        </is>
      </c>
      <c r="F202" s="108" t="inlineStr">
        <is>
          <t xml:space="preserve">99-186-59-19  SMS UZI, 998995033939 SMS ERI, 998940910907 SMS UZI, 998771152010 OGLI,</t>
        </is>
      </c>
      <c r="G202" s="108" t="inlineStr">
        <is>
          <t xml:space="preserve">QORAQALPOG’ISTON RESPUBLIKASI BERUNIY TUMANI BERUNIY OFY GULZOR KO’CHA </t>
        </is>
      </c>
      <c r="H202" s="109">
        <v>14.0</v>
      </c>
      <c r="I202" s="109">
        <v>736259.75</v>
      </c>
      <c r="K202" s="108" t="inlineStr">
        <is>
          <t xml:space="preserve">Va'da berdi | SMS YOZDIM | 86</t>
        </is>
      </c>
    </row>
    <row r="203">
      <c r="A203" s="108" t="inlineStr">
        <is>
          <t xml:space="preserve">КОРАКАЛПОГИСТОН РЕСПУБЛИКАСИ</t>
        </is>
      </c>
      <c r="C203" s="108" t="inlineStr">
        <is>
          <t xml:space="preserve">Обещал</t>
        </is>
      </c>
      <c r="D203" s="108" t="inlineStr">
        <is>
          <t xml:space="preserve">Кр-99030419-1</t>
        </is>
      </c>
      <c r="E203" s="108" t="inlineStr">
        <is>
          <t xml:space="preserve">SHERIPBAYEV RO’ZIMBOY JUMANIYOZ O’G’LI</t>
        </is>
      </c>
      <c r="F203" s="108" t="inlineStr">
        <is>
          <t xml:space="preserve">88-306-18-12  SMS O’ZI, 88-507-44-54  SMS ONASI, 91-265-54-59  SMS DUSTI, 99-952-06-66  SMS DUSTI 2 GAPLASHMAYABDI EKAN, 998913051812 SMS O'ZI, 998885001812 SMS UZi new,</t>
        </is>
      </c>
      <c r="G203" s="108" t="inlineStr">
        <is>
          <t xml:space="preserve">QORAQALPOG’ISTON RESPUBLIKASI TO’RTKO’L TUMANI TOZOBOG’YOP MAXALLASI YANGIBOG’ KUCHASI 259 UY</t>
        </is>
      </c>
      <c r="I203" s="109">
        <v>705565.89</v>
      </c>
      <c r="K203" s="108" t="inlineStr">
        <is>
          <t xml:space="preserve">Va'da berdi | TELEGRAMDAN GAPLASHDIM HAFTA OXIRIGA DEDILA BUGUNGA TAWAB BERING DEB YOZDIM | 275</t>
        </is>
      </c>
    </row>
    <row r="204">
      <c r="A204" s="108" t="inlineStr">
        <is>
          <t xml:space="preserve">КОРАКАЛПОГИСТОН РЕСПУБЛИКАСИ</t>
        </is>
      </c>
      <c r="C204" s="108" t="inlineStr">
        <is>
          <t xml:space="preserve">Дозвон</t>
        </is>
      </c>
      <c r="D204" s="108" t="inlineStr">
        <is>
          <t xml:space="preserve">Кр-99039490-1</t>
        </is>
      </c>
      <c r="E204" s="108" t="inlineStr">
        <is>
          <t xml:space="preserve">SAFARBAYEV SUROJ ROZUMBAYEVICH</t>
        </is>
      </c>
      <c r="F204" s="108" t="inlineStr">
        <is>
          <t xml:space="preserve">998970834467 SMS OZI, 998770929111 SMS AYOLI, 998335387575 SMS DOSTI, 998919911936 SMS OZI 2, 998991193691 SMS OZI NEWW, 998935673747 SMS TO'LOVCHI ,</t>
        </is>
      </c>
      <c r="G204" s="108" t="inlineStr">
        <is>
          <t xml:space="preserve">QORAQALPOG’ISTON RESPUBLIKASI AMUDARYO TUMANI QIZILCHOLI MFY,YOSHLAR HIYOBONI 31-UY,32-XONADON</t>
        </is>
      </c>
      <c r="H204" s="109">
        <v>8.0</v>
      </c>
      <c r="I204" s="109">
        <v>613572.75</v>
      </c>
      <c r="J204" s="109">
        <v>613572.75</v>
      </c>
      <c r="K204" s="108" t="inlineStr">
        <is>
          <t xml:space="preserve">To'ladi | TO'LADI | 798</t>
        </is>
      </c>
    </row>
    <row r="205">
      <c r="A205" s="108" t="inlineStr">
        <is>
          <t xml:space="preserve">КОРАКАЛПОГИСТОН РЕСПУБЛИКАСИ</t>
        </is>
      </c>
      <c r="C205" s="108" t="inlineStr">
        <is>
          <t xml:space="preserve">Обещал</t>
        </is>
      </c>
      <c r="D205" s="108" t="inlineStr">
        <is>
          <t xml:space="preserve">Кр-99054971-1</t>
        </is>
      </c>
      <c r="E205" s="108" t="inlineStr">
        <is>
          <t xml:space="preserve">SAPARNIYAZOV ABATBAY AUYEZBAYEVICH</t>
        </is>
      </c>
      <c r="F205" s="108" t="inlineStr">
        <is>
          <t xml:space="preserve">998331346724 SMS  OZI, 998992978025 SMS OYALI, 998936871998 SMS O'G'LI, 998944768865 SMS QIZI, 998912671001 SMS NEW ,</t>
        </is>
      </c>
      <c r="G205" s="108" t="inlineStr">
        <is>
          <t xml:space="preserve">QARAQALPOGISTON RES NUKUS SHADLI AWIL MFY ALTIN TAJ KUSHASI 17 UY </t>
        </is>
      </c>
      <c r="H205" s="109">
        <v>10.0</v>
      </c>
      <c r="I205" s="109">
        <v>603790.2</v>
      </c>
      <c r="K205" s="108" t="inlineStr">
        <is>
          <t xml:space="preserve">Va'da berdi | 1998 BEGONA 8865 XOTINI BN GAPLASHDIM HOZIR ISHDAMAN DEDI BORIB AYTAMAN TO'LAYMIZ DEDI ERI ERTAGA | 1240</t>
        </is>
      </c>
    </row>
    <row r="206">
      <c r="A206" s="108" t="inlineStr">
        <is>
          <t xml:space="preserve">КОРАКАЛПОГИСТОН РЕСПУБЛИКАСИ</t>
        </is>
      </c>
      <c r="C206" s="108" t="inlineStr">
        <is>
          <t xml:space="preserve">Обещал</t>
        </is>
      </c>
      <c r="D206" s="108" t="inlineStr">
        <is>
          <t xml:space="preserve">Кр-99052913-1</t>
        </is>
      </c>
      <c r="E206" s="108" t="inlineStr">
        <is>
          <t xml:space="preserve">SAPARIMBETOVA DILARA ARTIKBAEVNA</t>
        </is>
      </c>
      <c r="F206" s="108" t="inlineStr">
        <is>
          <t xml:space="preserve">998918730764 SMS OZI, 998913750057 SMS OGLI, 998137175772 SMS OGLI 2, 998919289383 SMS QIZI, 998885022001 O'G'LI,</t>
        </is>
      </c>
      <c r="G206" s="108" t="inlineStr">
        <is>
          <t xml:space="preserve">QARAQALPOGISTON RES NUKUS SHAHAR JAYXUN MFY QIZIL UY KUSHASI 50 A UY </t>
        </is>
      </c>
      <c r="H206" s="109">
        <v>10.0</v>
      </c>
      <c r="I206" s="109">
        <v>573746.36</v>
      </c>
      <c r="K206" s="108" t="inlineStr">
        <is>
          <t xml:space="preserve">Va'da berdi | O'G'LIM TO'LEDI HOZIR PULI YUQ EDI BOLISHI BN TO'LAYMIZ DEYABDI | 1212</t>
        </is>
      </c>
    </row>
    <row r="207">
      <c r="A207" s="110" t="inlineStr">
        <is>
          <t xml:space="preserve">НАВОИЙ ВИЛОЯТИ</t>
        </is>
      </c>
      <c r="C207" s="110" t="inlineStr">
        <is>
          <t xml:space="preserve">Дозвон</t>
        </is>
      </c>
      <c r="D207" s="110" t="inlineStr">
        <is>
          <t xml:space="preserve">Кр-99063058-1</t>
        </is>
      </c>
      <c r="E207" s="110" t="inlineStr">
        <is>
          <t xml:space="preserve">TURAYEVA GULZODA G’OFUR QIZI</t>
        </is>
      </c>
      <c r="F207" s="110" t="inlineStr">
        <is>
          <t xml:space="preserve">998951898897 SMS OZI, 998933520329 SMS ERI, 998400352252 SMS ERI 21, 998997590965 SMS ONASI,</t>
        </is>
      </c>
      <c r="G207" s="110" t="inlineStr">
        <is>
          <t xml:space="preserve">NAVOIY VILOYATI, NAVOIY SHAXAR, CHINOR MFY,LOMONOSOV KO'CHASI,14 UY,27 XONADON</t>
        </is>
      </c>
      <c r="H207" s="111">
        <v>13.0</v>
      </c>
      <c r="I207" s="111">
        <v>9908922.24</v>
      </c>
      <c r="K207" s="110" t="inlineStr">
        <is>
          <t xml:space="preserve">Telefon ko'tardi | keyen tel qvoraman dip ochirib qoydi</t>
        </is>
      </c>
    </row>
    <row r="208">
      <c r="A208" s="110" t="inlineStr">
        <is>
          <t xml:space="preserve">НАВОИЙ ВИЛОЯТИ</t>
        </is>
      </c>
      <c r="C208" s="110" t="inlineStr">
        <is>
          <t xml:space="preserve">Обещал</t>
        </is>
      </c>
      <c r="D208" s="110" t="inlineStr">
        <is>
          <t xml:space="preserve">Кр-99063368-1</t>
        </is>
      </c>
      <c r="E208" s="110" t="inlineStr">
        <is>
          <t xml:space="preserve">SHODIYEV G’ULOM BOBOYOROVICH</t>
        </is>
      </c>
      <c r="F208" s="110" t="inlineStr">
        <is>
          <t xml:space="preserve">998501569527 O’G’LI, 998880859593 O’ZI, 998932797793 KICHIK O’G’LI,</t>
        </is>
      </c>
      <c r="G208" s="110" t="inlineStr">
        <is>
          <t xml:space="preserve">NAVOIY VILOYATI,NAVBAHOR TUMANI,XASHMAN MFY,QO’RG’ONTEPA  KOCHASI,70 UY</t>
        </is>
      </c>
      <c r="H208" s="111">
        <v>10.0</v>
      </c>
      <c r="I208" s="111">
        <v>6414130.62</v>
      </c>
      <c r="K208" s="110" t="inlineStr">
        <is>
          <t xml:space="preserve">Va'da berdi | ertaga tolov qiladi kotta ogli</t>
        </is>
      </c>
    </row>
    <row r="209">
      <c r="A209" s="110" t="inlineStr">
        <is>
          <t xml:space="preserve">НАВОИЙ ВИЛОЯТИ</t>
        </is>
      </c>
      <c r="C209" s="110" t="inlineStr">
        <is>
          <t xml:space="preserve">Обещал</t>
        </is>
      </c>
      <c r="D209" s="110" t="inlineStr">
        <is>
          <t xml:space="preserve">Кр-99035137-1</t>
        </is>
      </c>
      <c r="E209" s="110" t="inlineStr">
        <is>
          <t xml:space="preserve">SHARIPOVA SHOXSANAM QULMANOVNA</t>
        </is>
      </c>
      <c r="F209" s="110" t="inlineStr">
        <is>
          <t xml:space="preserve">998913302232 SMS O’ZI alisheraka ozimizzi xodim , 998997919190 SMS XOJAYINI , 998913302232 SMS O’ZI , 998936699696 SMS Alisher aka uzimizni xodim,</t>
        </is>
      </c>
      <c r="G209" s="110" t="inlineStr">
        <is>
          <t xml:space="preserve">NAVOIY VILOYATI KALOVAT MFY</t>
        </is>
      </c>
      <c r="H209" s="111">
        <v>8.0</v>
      </c>
      <c r="I209" s="111">
        <v>5823993.99</v>
      </c>
      <c r="K209" s="110" t="inlineStr">
        <is>
          <t xml:space="preserve">Va'da berdi</t>
        </is>
      </c>
    </row>
    <row r="210">
      <c r="A210" s="110" t="inlineStr">
        <is>
          <t xml:space="preserve">НАВОИЙ ВИЛОЯТИ</t>
        </is>
      </c>
      <c r="C210" s="110" t="inlineStr">
        <is>
          <t xml:space="preserve">Дозвон</t>
        </is>
      </c>
      <c r="D210" s="110" t="inlineStr">
        <is>
          <t xml:space="preserve">Кр-99063170-1</t>
        </is>
      </c>
      <c r="E210" s="110" t="inlineStr">
        <is>
          <t xml:space="preserve">RUZIYEVA LOLA SHAXRIDDINOVNA</t>
        </is>
      </c>
      <c r="F210" s="110" t="inlineStr">
        <is>
          <t xml:space="preserve">998931457672 TURMUSH O’RTOG’I, 998995408730 UKASI, 998999300410 O’ZI,</t>
        </is>
      </c>
      <c r="G210" s="110" t="inlineStr">
        <is>
          <t xml:space="preserve">NAVOIY VILOYATI,NAVBAXOR TUMANI,UCHTUT MFY,YANGIOBOD KO’CHASI,83 UY</t>
        </is>
      </c>
      <c r="H210" s="111">
        <v>10.0</v>
      </c>
      <c r="I210" s="111">
        <v>5481192.83</v>
      </c>
      <c r="K210" s="110" t="inlineStr">
        <is>
          <t xml:space="preserve">Telefon ko'tardi</t>
        </is>
      </c>
    </row>
    <row r="211">
      <c r="A211" s="110" t="inlineStr">
        <is>
          <t xml:space="preserve">НАВОИЙ ВИЛОЯТИ</t>
        </is>
      </c>
      <c r="C211" s="110" t="inlineStr">
        <is>
          <t xml:space="preserve">Обещал</t>
        </is>
      </c>
      <c r="D211" s="110" t="inlineStr">
        <is>
          <t xml:space="preserve">Кр-99043204-3</t>
        </is>
      </c>
      <c r="E211" s="110" t="inlineStr">
        <is>
          <t xml:space="preserve">JUMAYEV ULUGBEK NEGMURODOVICH</t>
        </is>
      </c>
      <c r="F211" s="110" t="inlineStr">
        <is>
          <t xml:space="preserve">+998959603353 SMS UZI, 998700311935 UGLI, 998878397744 UZI 2 NOMERI, 998952281158 AYOLI,</t>
        </is>
      </c>
      <c r="G211" s="110" t="inlineStr">
        <is>
          <t xml:space="preserve">NAVOIY VILOYATI,KARMANA TUMANI,DEGARON MFY,TEPAARIQ KUCHASI,30 UY</t>
        </is>
      </c>
      <c r="H211" s="111">
        <v>10.0</v>
      </c>
      <c r="I211" s="111">
        <v>5097555.73</v>
      </c>
      <c r="K211" s="110" t="inlineStr">
        <is>
          <t xml:space="preserve">Va'da berdi | bugun pulini olim tolavoradi</t>
        </is>
      </c>
    </row>
    <row r="212">
      <c r="A212" s="110" t="inlineStr">
        <is>
          <t xml:space="preserve">НАВОИЙ ВИЛОЯТИ</t>
        </is>
      </c>
      <c r="C212" s="110" t="inlineStr">
        <is>
          <t xml:space="preserve">Дозвон</t>
        </is>
      </c>
      <c r="D212" s="110" t="inlineStr">
        <is>
          <t xml:space="preserve">Кр-99027917-1</t>
        </is>
      </c>
      <c r="E212" s="110" t="inlineStr">
        <is>
          <t xml:space="preserve">IMOMOVA GULNOZ SHAXRIYEVNA</t>
        </is>
      </c>
      <c r="F212" s="110" t="inlineStr">
        <is>
          <t xml:space="preserve">91-991-08-71 SMS O'ZI, 91-308-59-19 SMS O'G'LI, 99-290-49-09 SMS ERI, 94-882-08-71 SMS QIZI,</t>
        </is>
      </c>
      <c r="G212" s="110" t="inlineStr">
        <is>
          <t xml:space="preserve">NAVOIY VILOYATI KARMANA TUMANI ARGUN MFY ARGUNSHOX KO’CHASI 15 UY</t>
        </is>
      </c>
      <c r="H212" s="111">
        <v>1.0</v>
      </c>
      <c r="I212" s="111">
        <v>3981930.43</v>
      </c>
      <c r="K212" s="110" t="inlineStr">
        <is>
          <t xml:space="preserve">Telefon ko'tardi | ertaga tolov qilib qoyaman ddi</t>
        </is>
      </c>
    </row>
    <row r="213">
      <c r="A213" s="110" t="inlineStr">
        <is>
          <t xml:space="preserve">НАВОИЙ ВИЛОЯТИ</t>
        </is>
      </c>
      <c r="C213" s="110" t="inlineStr">
        <is>
          <t xml:space="preserve">Обещал</t>
        </is>
      </c>
      <c r="D213" s="110" t="inlineStr">
        <is>
          <t xml:space="preserve">Кр-99034721-1</t>
        </is>
      </c>
      <c r="E213" s="110" t="inlineStr">
        <is>
          <t xml:space="preserve">CHORIYEV AZIZJON YULDOSHEVICH</t>
        </is>
      </c>
      <c r="F213" s="110" t="inlineStr">
        <is>
          <t xml:space="preserve">998883220044 SMS OZI, 998999510500 SMS OPASI, 998902350505 SMS AKASI, 998939500080 SMS UY,</t>
        </is>
      </c>
      <c r="G213" s="110" t="inlineStr">
        <is>
          <t xml:space="preserve">NAVOIY VILOYATI QIZILTEPA TUMANI ZARMETAN MFY KURGONTEPA QISHLOG’I 4 UY</t>
        </is>
      </c>
      <c r="H213" s="111">
        <v>10.0</v>
      </c>
      <c r="I213" s="111">
        <v>3933875.71</v>
      </c>
      <c r="K213" s="110" t="inlineStr">
        <is>
          <t xml:space="preserve">Va'da berdi | ertaga</t>
        </is>
      </c>
    </row>
    <row r="214">
      <c r="A214" s="110" t="inlineStr">
        <is>
          <t xml:space="preserve">НАВОИЙ ВИЛОЯТИ</t>
        </is>
      </c>
      <c r="C214" s="110" t="inlineStr">
        <is>
          <t xml:space="preserve">Дозвон</t>
        </is>
      </c>
      <c r="D214" s="110" t="inlineStr">
        <is>
          <t xml:space="preserve">Кр-99027225-2</t>
        </is>
      </c>
      <c r="E214" s="110" t="inlineStr">
        <is>
          <t xml:space="preserve">OLIMOVA DILFUZA EGAMBERDIYEVNA</t>
        </is>
      </c>
      <c r="F214" s="110" t="inlineStr">
        <is>
          <t xml:space="preserve">91-254-48-00  SMS UZI, 90-731-04-80  SMS UKASI, 95-190-78-52 SMS tolovchi db berishdi, 95-190-78-52  SMS AKASI, 20-000-39-94 SMS , 91-085-24-00 SMS tolovchini ayoli,</t>
        </is>
      </c>
      <c r="G214" s="110" t="inlineStr">
        <is>
          <t xml:space="preserve">NAVOIY VILOYATI QIZILTEPA TUMANI XO’JA-QO’RG’ON MFY IPAK YO’LI KO’CHASI 13-UY</t>
        </is>
      </c>
      <c r="H214" s="111">
        <v>10.0</v>
      </c>
      <c r="I214" s="111">
        <v>3802035.68</v>
      </c>
      <c r="K214" s="110" t="inlineStr">
        <is>
          <t xml:space="preserve">Telefon ko'tardi | xar kuni telefon qilsam xozr qaytib chiqaman diydide moshinasiga taqiq yasabtashavordim</t>
        </is>
      </c>
    </row>
    <row r="215">
      <c r="A215" s="110" t="inlineStr">
        <is>
          <t xml:space="preserve">НАВОИЙ ВИЛОЯТИ</t>
        </is>
      </c>
      <c r="C215" s="110" t="inlineStr">
        <is>
          <t xml:space="preserve">Дозвон</t>
        </is>
      </c>
      <c r="D215" s="110" t="inlineStr">
        <is>
          <t xml:space="preserve">Кр-99040673-1</t>
        </is>
      </c>
      <c r="E215" s="110" t="inlineStr">
        <is>
          <t xml:space="preserve">AXATOVA DILRABO G’APPOROVNA</t>
        </is>
      </c>
      <c r="F215" s="110" t="inlineStr">
        <is>
          <t xml:space="preserve">998933166008 SMS OZI, 998933090670 SMS ONASI, 998940290992 SMS AKASI, 998061892002 SMS OZI 2,</t>
        </is>
      </c>
      <c r="G215" s="110" t="inlineStr">
        <is>
          <t xml:space="preserve">NAVOIY VILOYATI KARMANA TUMANI,KALOVAT  MFY, QIYOT KO'CHASI,91/B -UY</t>
        </is>
      </c>
      <c r="H215" s="111">
        <v>10.0</v>
      </c>
      <c r="I215" s="111">
        <v>3645746.95</v>
      </c>
      <c r="K215" s="110" t="inlineStr">
        <is>
          <t xml:space="preserve">Telefon ko'tardi | qisman tolov qilib beraman uyimni auksionga chiqarmiy turilar dvotti</t>
        </is>
      </c>
    </row>
    <row r="216">
      <c r="A216" s="110" t="inlineStr">
        <is>
          <t xml:space="preserve">НАВОИЙ ВИЛОЯТИ</t>
        </is>
      </c>
      <c r="C216" s="110" t="inlineStr">
        <is>
          <t xml:space="preserve">Дозвон</t>
        </is>
      </c>
      <c r="D216" s="110" t="inlineStr">
        <is>
          <t xml:space="preserve">Кр-99041260-1</t>
        </is>
      </c>
      <c r="E216" s="110" t="inlineStr">
        <is>
          <t xml:space="preserve">ERMAMATOV MAMADIYAR ALIKULOVICH</t>
        </is>
      </c>
      <c r="F216" s="110" t="inlineStr">
        <is>
          <t xml:space="preserve">998940674371 SMS OZI, 998930829871 SMS ONASI, 998883690021 SMS KELINI, 998934611115 SMS QIZI,</t>
        </is>
      </c>
      <c r="G216" s="110" t="inlineStr">
        <is>
          <t xml:space="preserve">NAVOIY VILOYATI ,KONIMEX TUMANI,GULISTON MFY,QUNG'IROT KO'CHASI 38 UY</t>
        </is>
      </c>
      <c r="H216" s="111">
        <v>10.0</v>
      </c>
      <c r="I216" s="111">
        <v>3049333.28</v>
      </c>
      <c r="J216" s="111">
        <v>3049333.28</v>
      </c>
      <c r="K216" s="110" t="inlineStr">
        <is>
          <t xml:space="preserve">To'ladi</t>
        </is>
      </c>
    </row>
    <row r="217">
      <c r="A217" s="110" t="inlineStr">
        <is>
          <t xml:space="preserve">НАВОИЙ ВИЛОЯТИ</t>
        </is>
      </c>
      <c r="C217" s="110" t="inlineStr">
        <is>
          <t xml:space="preserve">Обещал</t>
        </is>
      </c>
      <c r="D217" s="110" t="inlineStr">
        <is>
          <t xml:space="preserve">Кр-99030758-1</t>
        </is>
      </c>
      <c r="E217" s="110" t="inlineStr">
        <is>
          <t xml:space="preserve">BOBOYEV SAYYOD RAXIMOVICH</t>
        </is>
      </c>
      <c r="F217" s="110" t="inlineStr">
        <is>
          <t xml:space="preserve">99-556-83-44  SMS O’ZI, 99-516-78-86  SMS AYOLI , 99-967-26-24  SMS SIN , 95-132-22-03  SMS SIN 2 , 998995038828 SMS JIYANI TOLOVCHI ,</t>
        </is>
      </c>
      <c r="G217" s="110" t="inlineStr">
        <is>
          <t xml:space="preserve">NAVOIY VILOYATI NUROTA TUMANI SENTOB MFY SENTOB QISHLOG’I </t>
        </is>
      </c>
      <c r="H217" s="111">
        <v>3.0</v>
      </c>
      <c r="I217" s="111">
        <v>2981308.85</v>
      </c>
      <c r="K217" s="110" t="inlineStr">
        <is>
          <t xml:space="preserve">Va'da berdi | ertaga tolov qilib qoyaman ddi</t>
        </is>
      </c>
    </row>
    <row r="218">
      <c r="A218" s="110" t="inlineStr">
        <is>
          <t xml:space="preserve">НАВОИЙ ВИЛОЯТИ</t>
        </is>
      </c>
      <c r="C218" s="110" t="inlineStr">
        <is>
          <t xml:space="preserve">Дозвон</t>
        </is>
      </c>
      <c r="D218" s="110" t="inlineStr">
        <is>
          <t xml:space="preserve">Кр-99063631-1</t>
        </is>
      </c>
      <c r="E218" s="110" t="inlineStr">
        <is>
          <t xml:space="preserve">NAZAROVA MOHLAROYIM ALIQUL QIZI</t>
        </is>
      </c>
      <c r="F218" s="110" t="inlineStr">
        <is>
          <t xml:space="preserve">998939560808 O’ZI, 998944851770 TURMUSH O’RTOGI, 998985605353 O’ZI 2 NOMERI,</t>
        </is>
      </c>
      <c r="G218" s="110" t="inlineStr">
        <is>
          <t xml:space="preserve">M-TOROBIY KUCHASI 85 UY 35 XONADON</t>
        </is>
      </c>
      <c r="H218" s="111">
        <v>10.0</v>
      </c>
      <c r="I218" s="111">
        <v>2818444.87</v>
      </c>
      <c r="K218" s="110" t="inlineStr">
        <is>
          <t xml:space="preserve">Telefon ko'tardi | xozr rostanam bolnitsada yotipti mazasi yo erim bn gaplashin ddi eri kotarmadi</t>
        </is>
      </c>
    </row>
    <row r="219">
      <c r="A219" s="110" t="inlineStr">
        <is>
          <t xml:space="preserve">НАВОИЙ ВИЛОЯТИ</t>
        </is>
      </c>
      <c r="C219" s="110" t="inlineStr">
        <is>
          <t xml:space="preserve">Дозвон</t>
        </is>
      </c>
      <c r="D219" s="110" t="inlineStr">
        <is>
          <t xml:space="preserve">Кр-99057268-3</t>
        </is>
      </c>
      <c r="E219" s="110" t="inlineStr">
        <is>
          <t xml:space="preserve">XAITOV BAXODIR RAXMANOVICH</t>
        </is>
      </c>
      <c r="F219" s="110" t="inlineStr">
        <is>
          <t xml:space="preserve">998912536624 SMS OZI, 998921926620 SMS AYOLI, 998913366700 SMS QIZI, 998912566634 SMS AKASI,</t>
        </is>
      </c>
      <c r="G219" s="110" t="inlineStr">
        <is>
          <t xml:space="preserve">NAVOIY VILOYATI,NAVOIY SHAHAR,ISTIQLOL MFY,NAVBAHOR KO’CHASI, 29 b UY</t>
        </is>
      </c>
      <c r="H219" s="111">
        <v>10.0</v>
      </c>
      <c r="I219" s="111">
        <v>2499503.78</v>
      </c>
      <c r="K219" s="110" t="inlineStr">
        <is>
          <t xml:space="preserve">Telefon ko'tardi | 24 kuniga muxlat soravotti</t>
        </is>
      </c>
    </row>
    <row r="220">
      <c r="A220" s="110" t="inlineStr">
        <is>
          <t xml:space="preserve">НАВОИЙ ВИЛОЯТИ</t>
        </is>
      </c>
      <c r="C220" s="110" t="inlineStr">
        <is>
          <t xml:space="preserve">Дозвон</t>
        </is>
      </c>
      <c r="D220" s="110" t="inlineStr">
        <is>
          <t xml:space="preserve">Кр-99029541-2</t>
        </is>
      </c>
      <c r="E220" s="110" t="inlineStr">
        <is>
          <t xml:space="preserve">ISMOILOV FARRUH ZARIF O’G’LI</t>
        </is>
      </c>
      <c r="F220" s="110" t="inlineStr">
        <is>
          <t xml:space="preserve">90-000-88-04  SMS OZI, 77-085-01-41  SMS XONADONI, 99-548-09-10 SMS HAMKASBI,</t>
        </is>
      </c>
      <c r="G220" s="110" t="inlineStr">
        <is>
          <t xml:space="preserve">NAVOIY VILOYATI KARMANA TUMANI MIR-SAID BAHROM MFY BOBO-DEHQON KO’CHASI 13-UY</t>
        </is>
      </c>
      <c r="H220" s="111">
        <v>10.0</v>
      </c>
      <c r="I220" s="111">
        <v>2346955.95</v>
      </c>
      <c r="J220" s="111">
        <v>2346955.95</v>
      </c>
      <c r="K220" s="110" t="inlineStr">
        <is>
          <t xml:space="preserve">To'ladi</t>
        </is>
      </c>
    </row>
    <row r="221">
      <c r="A221" s="110" t="inlineStr">
        <is>
          <t xml:space="preserve">НАВОИЙ ВИЛОЯТИ</t>
        </is>
      </c>
      <c r="C221" s="110" t="inlineStr">
        <is>
          <t xml:space="preserve">Дозвон</t>
        </is>
      </c>
      <c r="D221" s="110" t="inlineStr">
        <is>
          <t xml:space="preserve">Кр-99036084-1</t>
        </is>
      </c>
      <c r="E221" s="110" t="inlineStr">
        <is>
          <t xml:space="preserve">GOFUROV ZOIR MUXAMADOVICH</t>
        </is>
      </c>
      <c r="F221" s="110" t="inlineStr">
        <is>
          <t xml:space="preserve">998913300303 SMS O’ZI , 998945220003 SMS O’G’LI,</t>
        </is>
      </c>
      <c r="G221" s="110" t="inlineStr">
        <is>
          <t xml:space="preserve">NAVOIY VILOYATI QIZILTEPA TUMANI BASHIR MFY MUG’JIN QFY 117-UY</t>
        </is>
      </c>
      <c r="H221" s="111">
        <v>2.0</v>
      </c>
      <c r="I221" s="111">
        <v>2270857.55</v>
      </c>
      <c r="J221" s="111">
        <v>2270857.55</v>
      </c>
      <c r="K221" s="110" t="inlineStr">
        <is>
          <t xml:space="preserve">To'ladi</t>
        </is>
      </c>
    </row>
    <row r="222">
      <c r="A222" s="110" t="inlineStr">
        <is>
          <t xml:space="preserve">НАВОИЙ ВИЛОЯТИ</t>
        </is>
      </c>
      <c r="C222" s="110" t="inlineStr">
        <is>
          <t xml:space="preserve">Дозвон</t>
        </is>
      </c>
      <c r="D222" s="110" t="inlineStr">
        <is>
          <t xml:space="preserve">Кр-99029982-2</t>
        </is>
      </c>
      <c r="E222" s="110" t="inlineStr">
        <is>
          <t xml:space="preserve">IBROGIMOV BOBIR ISROILOVICH</t>
        </is>
      </c>
      <c r="F222" s="110" t="inlineStr">
        <is>
          <t xml:space="preserve"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222" s="110" t="inlineStr">
        <is>
          <t xml:space="preserve">O’RIKZOR KO’CHASI, 10 UY</t>
        </is>
      </c>
      <c r="H222" s="111">
        <v>10.0</v>
      </c>
      <c r="I222" s="111">
        <v>2192870.13</v>
      </c>
      <c r="J222" s="111">
        <v>2192870.13</v>
      </c>
      <c r="K222" s="110" t="inlineStr">
        <is>
          <t xml:space="preserve">To'ladi</t>
        </is>
      </c>
    </row>
    <row r="223">
      <c r="A223" s="110" t="inlineStr">
        <is>
          <t xml:space="preserve">НАВОИЙ ВИЛОЯТИ</t>
        </is>
      </c>
      <c r="C223" s="110" t="inlineStr">
        <is>
          <t xml:space="preserve">Дозвон</t>
        </is>
      </c>
      <c r="D223" s="110" t="inlineStr">
        <is>
          <t xml:space="preserve">Кр-99033840-2</t>
        </is>
      </c>
      <c r="E223" s="110" t="inlineStr">
        <is>
          <t xml:space="preserve">SAIDOVA NIGORA AZIMOVNA</t>
        </is>
      </c>
      <c r="F223" s="110" t="inlineStr">
        <is>
          <t xml:space="preserve">998934373703 SMS O’ZI, 998934634477 SMS ERI begona , 998930903703 SMS QIZI, 998949192277 SMS eri bic  new ,</t>
        </is>
      </c>
      <c r="G223" s="110" t="inlineStr">
        <is>
          <t xml:space="preserve">NAVOIY VILOYATI ZARAFSHON SHAHAR 11-KICHIK TUMAN 10-UY 7-XONADON</t>
        </is>
      </c>
      <c r="H223" s="111">
        <v>10.0</v>
      </c>
      <c r="I223" s="111">
        <v>2177669.7</v>
      </c>
      <c r="K223" s="110" t="inlineStr">
        <is>
          <t xml:space="preserve">Telefon ko'tardi | ertaga soat 8gacham tolavoradi</t>
        </is>
      </c>
    </row>
    <row r="224">
      <c r="A224" s="110" t="inlineStr">
        <is>
          <t xml:space="preserve">НАВОИЙ ВИЛОЯТИ</t>
        </is>
      </c>
      <c r="C224" s="110" t="inlineStr">
        <is>
          <t xml:space="preserve">Дозвон</t>
        </is>
      </c>
      <c r="D224" s="110" t="inlineStr">
        <is>
          <t xml:space="preserve">Кр-99037388-2</t>
        </is>
      </c>
      <c r="E224" s="110" t="inlineStr">
        <is>
          <t xml:space="preserve">RASULOVA MADINA ABDURASHIT QIZI</t>
        </is>
      </c>
      <c r="F224" s="110" t="inlineStr">
        <is>
          <t xml:space="preserve">998937549991 SMS OZI, 998943478788 SMS ERI, 998906558555 SMS OPASI, 998943124440 SMS ONASI, 998937502343 ERI NEW,</t>
        </is>
      </c>
      <c r="G224" s="110" t="inlineStr">
        <is>
          <t xml:space="preserve">NAVOIY VILOYATI NUROTA TUMANI, G’AFUR G’ULOM MFY, XOLMUROD RAXIMOV KO’CHASI 12-UY</t>
        </is>
      </c>
      <c r="H224" s="111">
        <v>10.0</v>
      </c>
      <c r="I224" s="111">
        <v>1894973.88</v>
      </c>
      <c r="J224" s="111">
        <v>1894973.88</v>
      </c>
      <c r="K224" s="110" t="inlineStr">
        <is>
          <t xml:space="preserve">To'ladi</t>
        </is>
      </c>
    </row>
    <row r="225">
      <c r="A225" s="110" t="inlineStr">
        <is>
          <t xml:space="preserve">НАВОИЙ ВИЛОЯТИ</t>
        </is>
      </c>
      <c r="C225" s="110" t="inlineStr">
        <is>
          <t xml:space="preserve">Обещал</t>
        </is>
      </c>
      <c r="D225" s="110" t="inlineStr">
        <is>
          <t xml:space="preserve">Кр-99027864-1</t>
        </is>
      </c>
      <c r="E225" s="110" t="inlineStr">
        <is>
          <t xml:space="preserve">CHULIYEVA DILDORA NEMATILLO QIZI</t>
        </is>
      </c>
      <c r="F225" s="110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225" s="110" t="inlineStr">
        <is>
          <t xml:space="preserve">NAVOIY VILOYATI NAVBAXOR TUMANI HALOVAT-TEPA MFY ELPARVAR KO’CHASI 77-UY</t>
        </is>
      </c>
      <c r="H225" s="111">
        <v>3.0</v>
      </c>
      <c r="I225" s="111">
        <v>1561417.83</v>
      </c>
      <c r="K225" s="110" t="inlineStr">
        <is>
          <t xml:space="preserve">Va'da berdi | man bilan aloqada telofonini kotarib turipti ogilm bugun yopvorsa kerak ddi</t>
        </is>
      </c>
    </row>
    <row r="226">
      <c r="A226" s="110" t="inlineStr">
        <is>
          <t xml:space="preserve">НАВОИЙ ВИЛОЯТИ</t>
        </is>
      </c>
      <c r="C226" s="110" t="inlineStr">
        <is>
          <t xml:space="preserve">Дозвон</t>
        </is>
      </c>
      <c r="D226" s="110" t="inlineStr">
        <is>
          <t xml:space="preserve">Кр-99029541-3</t>
        </is>
      </c>
      <c r="E226" s="110" t="inlineStr">
        <is>
          <t xml:space="preserve">ISMOILOV FARRUH ZARIF O’G’LI</t>
        </is>
      </c>
      <c r="F226" s="110" t="inlineStr">
        <is>
          <t xml:space="preserve">90-000-88-04  SMS OZI, 77-085-01-41  SMS XONADONI, 99-548-09-10 SMS HAMKASBI,</t>
        </is>
      </c>
      <c r="G226" s="110" t="inlineStr">
        <is>
          <t xml:space="preserve">NAVOIY VILOYATI KARMANA TUMANI MIR-SAID BAHROM MFY BOBO-DEHQON KO’CHASI 13-UY</t>
        </is>
      </c>
      <c r="H226" s="111">
        <v>10.0</v>
      </c>
      <c r="I226" s="111">
        <v>1168529.46</v>
      </c>
      <c r="J226" s="111">
        <v>1168529.46</v>
      </c>
      <c r="K226" s="110" t="inlineStr">
        <is>
          <t xml:space="preserve">To'ladi</t>
        </is>
      </c>
    </row>
    <row r="227">
      <c r="A227" s="110" t="inlineStr">
        <is>
          <t xml:space="preserve">НАВОИЙ ВИЛОЯТИ</t>
        </is>
      </c>
      <c r="C227" s="110" t="inlineStr">
        <is>
          <t xml:space="preserve">Обещал</t>
        </is>
      </c>
      <c r="D227" s="110" t="inlineStr">
        <is>
          <t xml:space="preserve">Кр-99064028-1</t>
        </is>
      </c>
      <c r="E227" s="110" t="inlineStr">
        <is>
          <t xml:space="preserve">BOLTAYEV UKTAMJON IBODILLOYEVICH</t>
        </is>
      </c>
      <c r="F227" s="110" t="inlineStr">
        <is>
          <t xml:space="preserve">998907319493 AYOLI, 998992749373 DADASI, 998995829229 O’ZI,</t>
        </is>
      </c>
      <c r="G227" s="110" t="inlineStr">
        <is>
          <t xml:space="preserve">NAQSHBANDIY 30 A UY</t>
        </is>
      </c>
      <c r="H227" s="111">
        <v>10.0</v>
      </c>
      <c r="I227" s="111">
        <v>983029.76</v>
      </c>
      <c r="K227" s="110" t="inlineStr">
        <is>
          <t xml:space="preserve">Va'da berdi | bugun soat 3-4lada</t>
        </is>
      </c>
    </row>
    <row r="228">
      <c r="A228" s="110" t="inlineStr">
        <is>
          <t xml:space="preserve">НАВОИЙ ВИЛОЯТИ</t>
        </is>
      </c>
      <c r="C228" s="110" t="inlineStr">
        <is>
          <t xml:space="preserve">Дозвон</t>
        </is>
      </c>
      <c r="D228" s="110" t="inlineStr">
        <is>
          <t xml:space="preserve">Кр-99063037-1</t>
        </is>
      </c>
      <c r="E228" s="110" t="inlineStr">
        <is>
          <t xml:space="preserve">SALOMOVA GULSARA ABDIMALIKOVNA</t>
        </is>
      </c>
      <c r="F228" s="110" t="inlineStr">
        <is>
          <t xml:space="preserve">998933190870 TURMUSH URTOGI, 998974912121 O’GLI 2 NOMNERI, 998974913535 O’GLI,</t>
        </is>
      </c>
      <c r="G228" s="110" t="inlineStr">
        <is>
          <t xml:space="preserve">XATIRCHI TUMANI</t>
        </is>
      </c>
      <c r="H228" s="111">
        <v>10.0</v>
      </c>
      <c r="I228" s="111">
        <v>882765.71</v>
      </c>
      <c r="J228" s="111">
        <v>882765.71</v>
      </c>
      <c r="K228" s="110" t="inlineStr">
        <is>
          <t xml:space="preserve">To'ladi</t>
        </is>
      </c>
    </row>
    <row r="229">
      <c r="A229" s="110" t="inlineStr">
        <is>
          <t xml:space="preserve">НАВОИЙ ВИЛОЯТИ</t>
        </is>
      </c>
      <c r="C229" s="110" t="inlineStr">
        <is>
          <t xml:space="preserve">Обещал</t>
        </is>
      </c>
      <c r="D229" s="110" t="inlineStr">
        <is>
          <t xml:space="preserve">Кр-99035085-3</t>
        </is>
      </c>
      <c r="E229" s="110" t="inlineStr">
        <is>
          <t xml:space="preserve">FARMONOV AZIM BAXTIYOROVICH</t>
        </is>
      </c>
      <c r="F229" s="110" t="inlineStr">
        <is>
          <t xml:space="preserve">998932789282 SMS OZI, 998996750553 SMS OTASI, 998931738287 SMS XOTINI,</t>
        </is>
      </c>
      <c r="G229" s="110" t="inlineStr">
        <is>
          <t xml:space="preserve">NAVOIY VILOYATI NAVBAXOR TUMANI SARBOZOR MFY YANGIQO’RG’ON 77-UY</t>
        </is>
      </c>
      <c r="H229" s="111">
        <v>14.0</v>
      </c>
      <c r="I229" s="111">
        <v>457696.79</v>
      </c>
      <c r="K229" s="110" t="inlineStr">
        <is>
          <t xml:space="preserve">Va'da berdi | soat 6 gacham</t>
        </is>
      </c>
    </row>
    <row r="230">
      <c r="A230" s="110" t="inlineStr">
        <is>
          <t xml:space="preserve">НАВОИЙ ВИЛОЯТИ</t>
        </is>
      </c>
      <c r="C230" s="110" t="inlineStr">
        <is>
          <t xml:space="preserve">Дозвон</t>
        </is>
      </c>
      <c r="D230" s="110" t="inlineStr">
        <is>
          <t xml:space="preserve">Кр-99063878-2</t>
        </is>
      </c>
      <c r="E230" s="110" t="inlineStr">
        <is>
          <t xml:space="preserve">SANOQULOV JASUR SUVON O’G’LI</t>
        </is>
      </c>
      <c r="F230" s="110" t="inlineStr">
        <is>
          <t xml:space="preserve">998777612272 O’ZI, 998991642772 AYOLI, 998993753426 O’G’LI,</t>
        </is>
      </c>
      <c r="G230" s="110" t="inlineStr">
        <is>
          <t xml:space="preserve">NAVOIY VILOYATI NAVBAHOR TUMANI ARABXONA MFY ARABXONA SHOX KO’CHASI 200 UY</t>
        </is>
      </c>
      <c r="H230" s="111">
        <v>10.0</v>
      </c>
      <c r="I230" s="111">
        <v>52162.11</v>
      </c>
      <c r="J230" s="111">
        <v>52162.11</v>
      </c>
      <c r="K230" s="110" t="inlineStr">
        <is>
          <t xml:space="preserve">To'ladi | manga keyingi oyga qoshib beraman ddi</t>
        </is>
      </c>
    </row>
    <row r="231">
      <c r="A231" s="112" t="inlineStr">
        <is>
          <t xml:space="preserve">НАМАНГАН ВИЛОЯТИ</t>
        </is>
      </c>
      <c r="C231" s="112" t="inlineStr">
        <is>
          <t xml:space="preserve">Дозвон</t>
        </is>
      </c>
      <c r="D231" s="112" t="inlineStr">
        <is>
          <t xml:space="preserve">Кр-99036518-2</t>
        </is>
      </c>
      <c r="E231" s="112" t="inlineStr">
        <is>
          <t xml:space="preserve">XADJIMIRZAYEVA NAZOKAT MAXMUDOVNA</t>
        </is>
      </c>
      <c r="F231" s="112" t="inlineStr">
        <is>
          <t xml:space="preserve">998902793272 SMS OZI TO’LQIN AKANI SINGLI BU, 998905545758 SMS AKASI, 998880501317 SMS QIZI, 998972503003 SMS AKASI, 998907415736 SMS ERI NAZOKATNI ,</t>
        </is>
      </c>
      <c r="G231" s="112" t="inlineStr">
        <is>
          <t xml:space="preserve">NAMANGAN VILOYATI NAMANGAN SHAHAR TUKUVCHI  MFY AEROPORT KO’CHASI 3 A UY</t>
        </is>
      </c>
      <c r="H231" s="113">
        <v>104.0</v>
      </c>
      <c r="I231" s="113">
        <v>86971791.57</v>
      </c>
      <c r="K231" s="112" t="inlineStr">
        <is>
          <t xml:space="preserve">Telefon ko'tardi | oy oxrgacha yopvorarkan | Плохой</t>
        </is>
      </c>
    </row>
    <row r="232">
      <c r="A232" s="112" t="inlineStr">
        <is>
          <t xml:space="preserve">НАМАНГАН ВИЛОЯТИ</t>
        </is>
      </c>
      <c r="C232" s="112" t="inlineStr">
        <is>
          <t xml:space="preserve">Дозвон</t>
        </is>
      </c>
      <c r="D232" s="112" t="inlineStr">
        <is>
          <t xml:space="preserve">Кр-99026756-1</t>
        </is>
      </c>
      <c r="E232" s="112" t="inlineStr">
        <is>
          <t xml:space="preserve">ABDULLAYEVA MATLUBA MAXAMADJONOVNA</t>
        </is>
      </c>
      <c r="F232" s="112" t="inlineStr">
        <is>
          <t xml:space="preserve">93-499-87-11 SMS OZI, 50-100-80-35 SMS UY BEGONA, 77-777-80-35 SMS OGLI, 99-911-80-35 SMS OZI 2,</t>
        </is>
      </c>
      <c r="G232" s="112" t="inlineStr">
        <is>
          <t xml:space="preserve">NAMANGAN VILOYATI KOSONSOY TUMANI OZOD MFY KOMOLOT KO’CHASI 189 UY</t>
        </is>
      </c>
      <c r="H232" s="113">
        <v>108.0</v>
      </c>
      <c r="I232" s="113">
        <v>50561983.48</v>
      </c>
      <c r="K232" s="112" t="inlineStr">
        <is>
          <t xml:space="preserve">Telefon ko'tardi | zalogini urib tashagan ekan moshina yoq bop ketganakan muammo tolaganman deyabdi | Плохой</t>
        </is>
      </c>
    </row>
    <row r="233">
      <c r="A233" s="112" t="inlineStr">
        <is>
          <t xml:space="preserve">НАМАНГАН ВИЛОЯТИ</t>
        </is>
      </c>
      <c r="C233" s="112" t="inlineStr">
        <is>
          <t xml:space="preserve">Дозвон</t>
        </is>
      </c>
      <c r="D233" s="112" t="inlineStr">
        <is>
          <t xml:space="preserve">Кр-99062055-1</t>
        </is>
      </c>
      <c r="E233" s="112" t="inlineStr">
        <is>
          <t xml:space="preserve">SARIMSAKOV USMANALI ALIYEVICH</t>
        </is>
      </c>
      <c r="F233" s="112" t="inlineStr">
        <is>
          <t xml:space="preserve">998939132424 OZI, 998880365355 O`GLI, 998930642421 KELINI,</t>
        </is>
      </c>
      <c r="G233" s="112" t="inlineStr">
        <is>
          <t xml:space="preserve">NAMANGAN VILOYATI NAMANGAN TUMANI ANJIRZOR MFY 2-BO’STON KO’CHASI 32-UY</t>
        </is>
      </c>
      <c r="H233" s="113">
        <v>43.0</v>
      </c>
      <c r="I233" s="113">
        <v>36192403.47</v>
      </c>
      <c r="K233" s="112" t="inlineStr">
        <is>
          <t xml:space="preserve">Telefon ko'tardi | uyini sotuvga qoyganakan tolayolmasakan  tolab berarkan sotsa | Стандартрый</t>
        </is>
      </c>
    </row>
    <row r="234">
      <c r="A234" s="112" t="inlineStr">
        <is>
          <t xml:space="preserve">НАМАНГАН ВИЛОЯТИ</t>
        </is>
      </c>
      <c r="C234" s="112" t="inlineStr">
        <is>
          <t xml:space="preserve">Дозвон</t>
        </is>
      </c>
      <c r="D234" s="112" t="inlineStr">
        <is>
          <t xml:space="preserve">Кр-99039531-1</t>
        </is>
      </c>
      <c r="E234" s="112" t="inlineStr">
        <is>
          <t xml:space="preserve">BABADJANOVA YOQUT XAKIMJANOVNA</t>
        </is>
      </c>
      <c r="F234" s="112" t="inlineStr">
        <is>
          <t xml:space="preserve">998913637868 SMS OZI, 998944098596 SMS OGLI, 998932721818 SMS KICHIK OGLI, 998944617788 SMS ERI,</t>
        </is>
      </c>
      <c r="G234" s="112" t="inlineStr">
        <is>
          <t xml:space="preserve">NAMANGAN VILOYATI NAMANGAN SHAHAR 3-SHALOLA KO’CHASI 10-UY.  </t>
        </is>
      </c>
      <c r="H234" s="113">
        <v>7.0</v>
      </c>
      <c r="I234" s="113">
        <v>24225762.89</v>
      </c>
      <c r="K234" s="112" t="inlineStr">
        <is>
          <t xml:space="preserve">Telefon ko'tardi | 20chigacha yoki ertaga tolab berarkan | Стандартрый</t>
        </is>
      </c>
    </row>
    <row r="235">
      <c r="A235" s="112" t="inlineStr">
        <is>
          <t xml:space="preserve">НАМАНГАН ВИЛОЯТИ</t>
        </is>
      </c>
      <c r="C235" s="112" t="inlineStr">
        <is>
          <t xml:space="preserve">Дозвон</t>
        </is>
      </c>
      <c r="D235" s="112" t="inlineStr">
        <is>
          <t xml:space="preserve">Кр-99061889-1</t>
        </is>
      </c>
      <c r="E235" s="112" t="inlineStr">
        <is>
          <t xml:space="preserve">BABARAXIMOV TOLIB KURBANALIYEVICH</t>
        </is>
      </c>
      <c r="F235" s="112" t="inlineStr">
        <is>
          <t xml:space="preserve">998931771460 OZI, 998917564104 AYOLI, 998995117772 QIZI,</t>
        </is>
      </c>
      <c r="G235" s="112" t="inlineStr">
        <is>
          <t xml:space="preserve">NAMANGAN VILOYATI NAMANGAN SHAXAR NAVBAXOR MFY 1 KICHIK NOXIYA KO’CHASI 70-UY 16 XONADON</t>
        </is>
      </c>
      <c r="H235" s="113">
        <v>43.0</v>
      </c>
      <c r="I235" s="113">
        <v>18360861.7</v>
      </c>
      <c r="K235" s="112" t="inlineStr">
        <is>
          <t xml:space="preserve">Telefon ko'tardi | filialga tolaganakan avgust oyini /sentabr oyini bir ikki kunda tolab berarkan | Стандартрый</t>
        </is>
      </c>
    </row>
    <row r="236">
      <c r="A236" s="112" t="inlineStr">
        <is>
          <t xml:space="preserve">НАМАНГАН ВИЛОЯТИ</t>
        </is>
      </c>
      <c r="C236" s="112" t="inlineStr">
        <is>
          <t xml:space="preserve">Дозвон</t>
        </is>
      </c>
      <c r="D236" s="112" t="inlineStr">
        <is>
          <t xml:space="preserve">Кр-99059632-1</t>
        </is>
      </c>
      <c r="E236" s="112" t="inlineStr">
        <is>
          <t xml:space="preserve">RAXMANOV OTABEK MAXMUDJONOVICH</t>
        </is>
      </c>
      <c r="F236" s="112" t="inlineStr">
        <is>
          <t xml:space="preserve">998908088300 Узи, 998996937053 отаси, 998997835572 аёли,</t>
        </is>
      </c>
      <c r="G236" s="112" t="inlineStr">
        <is>
          <t xml:space="preserve">Манзил: NAMANGAN VILOYATI NORIN TUMANI KATTA YAYDOQ MFY KO’XNADIYOR KO’CHASI 20 UY</t>
        </is>
      </c>
      <c r="H236" s="113">
        <v>43.0</v>
      </c>
      <c r="I236" s="113">
        <v>13895513.15</v>
      </c>
      <c r="K236" s="112" t="inlineStr">
        <is>
          <t xml:space="preserve">Telefon ko'tardi | ayoli aytib qoyarkan tolab beraman deyabdi ekan | Стандартрый</t>
        </is>
      </c>
    </row>
    <row r="237">
      <c r="A237" s="112" t="inlineStr">
        <is>
          <t xml:space="preserve">НАМАНГАН ВИЛОЯТИ</t>
        </is>
      </c>
      <c r="C237" s="112" t="inlineStr">
        <is>
          <t xml:space="preserve">Дозвон</t>
        </is>
      </c>
      <c r="D237" s="112" t="inlineStr">
        <is>
          <t xml:space="preserve">Кр-99038184-1</t>
        </is>
      </c>
      <c r="E237" s="112" t="inlineStr">
        <is>
          <t xml:space="preserve">SHODMONOVA XABIBA ADXAMOVNA</t>
        </is>
      </c>
      <c r="F237" s="112" t="inlineStr">
        <is>
          <t xml:space="preserve">998943095119 SMS OZI, 998503006036 SMS ERI BEGONA, 998974005119 SMS OGLI, 998943980030 SMS OGLI, 998770505119 eri tolovchi,</t>
        </is>
      </c>
      <c r="G237" s="112" t="inlineStr">
        <is>
          <t xml:space="preserve">NAMANGAN  VILOYATI YANGIQO’RG’N TUMANI XUJASHURKENT MFY YANGI SHAHARCHA KO’CHA 85 UY</t>
        </is>
      </c>
      <c r="H237" s="113">
        <v>94.0</v>
      </c>
      <c r="I237" s="113">
        <v>13452274.6</v>
      </c>
      <c r="K237" s="112" t="inlineStr">
        <is>
          <t xml:space="preserve">Telefon ko'tardi | tulqin aka olganakan | Плохой</t>
        </is>
      </c>
    </row>
    <row r="238">
      <c r="A238" s="112" t="inlineStr">
        <is>
          <t xml:space="preserve">НАМАНГАН ВИЛОЯТИ</t>
        </is>
      </c>
      <c r="C238" s="112" t="inlineStr">
        <is>
          <t xml:space="preserve">Дозвон</t>
        </is>
      </c>
      <c r="D238" s="112" t="inlineStr">
        <is>
          <t xml:space="preserve">Кр-99033562-1</t>
        </is>
      </c>
      <c r="E238" s="112" t="inlineStr">
        <is>
          <t xml:space="preserve">JAKBAROVA G’AZINAXON ABDUMUXTOROVNA</t>
        </is>
      </c>
      <c r="F238" s="112" t="inlineStr">
        <is>
          <t xml:space="preserve">998973764800 SMS O’ZI, 998937022566 SMS ERI, 998994911975 SMS ZALOGODATEL, 998972120518 SMS KELINI,</t>
        </is>
      </c>
      <c r="G238" s="112" t="inlineStr">
        <is>
          <t xml:space="preserve">NAMANGAN VILOYATI NORIN TUMANI NORINKAPA MFY YOSHLAR KO’CHA 76 UY</t>
        </is>
      </c>
      <c r="H238" s="113">
        <v>3.0</v>
      </c>
      <c r="I238" s="113">
        <v>10848414.1</v>
      </c>
      <c r="K238" s="112" t="inlineStr">
        <is>
          <t xml:space="preserve">Telefon ko'tardi | qsman  qsman tolab berarkan 3mln berdi kirim boldi filialga | Стандартрый</t>
        </is>
      </c>
    </row>
    <row r="239">
      <c r="A239" s="112" t="inlineStr">
        <is>
          <t xml:space="preserve">НАМАНГАН ВИЛОЯТИ</t>
        </is>
      </c>
      <c r="C239" s="112" t="inlineStr">
        <is>
          <t xml:space="preserve">Дозвон</t>
        </is>
      </c>
      <c r="D239" s="112" t="inlineStr">
        <is>
          <t xml:space="preserve">Кр-99058282-1</t>
        </is>
      </c>
      <c r="E239" s="112" t="inlineStr">
        <is>
          <t xml:space="preserve">MUYDINOV ZUXRIDIN PAZLIDINOVICH</t>
        </is>
      </c>
      <c r="F239" s="112" t="inlineStr">
        <is>
          <t xml:space="preserve">998954553001 узи, 998939241075 аели, 998934035777 угли Sardor ozimizda ishlid, 998993037941 келини,</t>
        </is>
      </c>
      <c r="G239" s="112" t="inlineStr">
        <is>
          <t xml:space="preserve">NAMANGAN VILOYATI UCHQO’RG’ON TUMANI ISTIQLOL MFY OLMAZOR KO’CHASI 88-UY</t>
        </is>
      </c>
      <c r="H239" s="113">
        <v>13.0</v>
      </c>
      <c r="I239" s="113">
        <v>9603116.27</v>
      </c>
      <c r="K239" s="112" t="inlineStr">
        <is>
          <t xml:space="preserve">Telefon ko'tardi | sardor vidichini krediti | Стандартрый</t>
        </is>
      </c>
    </row>
    <row r="240">
      <c r="A240" s="112" t="inlineStr">
        <is>
          <t xml:space="preserve">НАМАНГАН ВИЛОЯТИ</t>
        </is>
      </c>
      <c r="C240" s="112" t="inlineStr">
        <is>
          <t xml:space="preserve">Дозвон</t>
        </is>
      </c>
      <c r="D240" s="112" t="inlineStr">
        <is>
          <t xml:space="preserve">Кр-99062909-1</t>
        </is>
      </c>
      <c r="E240" s="112" t="inlineStr">
        <is>
          <t xml:space="preserve">AZIZOV ZAKRIYO MUXAMATOVICH</t>
        </is>
      </c>
      <c r="F240" s="112" t="inlineStr">
        <is>
          <t xml:space="preserve">+998999160100 SMS O’ZI, 998911836800 SMS UY,</t>
        </is>
      </c>
      <c r="G240" s="112" t="inlineStr">
        <is>
          <t xml:space="preserve">НАМАНГАН ВИЛОЯТИ ЯНГИ НАМАНГАН ТУМАНИ КЕЛАЖАК ТОНГИ МФЙ 5-КУЗГУ КЎЧАСИ 1-УЙ</t>
        </is>
      </c>
      <c r="H240" s="113">
        <v>10.0</v>
      </c>
      <c r="I240" s="113">
        <v>8414938.87</v>
      </c>
      <c r="K240" s="112" t="inlineStr">
        <is>
          <t xml:space="preserve">Telefon ko'tardi | tolab qoyarkan | Стандартрый</t>
        </is>
      </c>
    </row>
    <row r="241">
      <c r="A241" s="112" t="inlineStr">
        <is>
          <t xml:space="preserve">НАМАНГАН ВИЛОЯТИ</t>
        </is>
      </c>
      <c r="C241" s="112" t="inlineStr">
        <is>
          <t xml:space="preserve">Дозвон</t>
        </is>
      </c>
      <c r="D241" s="112" t="inlineStr">
        <is>
          <t xml:space="preserve">Кр-99063645-2</t>
        </is>
      </c>
      <c r="E241" s="112" t="inlineStr">
        <is>
          <t xml:space="preserve">YULDASHEVA XAMIDA MUXSINOVNA</t>
        </is>
      </c>
      <c r="F241" s="112" t="inlineStr">
        <is>
          <t xml:space="preserve">+998507576741 SMS O’ZI, 998507808086 SMS AYOLI, 998776460424 SMS UKASI,</t>
        </is>
      </c>
      <c r="G241" s="112" t="inlineStr">
        <is>
          <t xml:space="preserve">ЎЗБЕКИСТОН ҚФЙ, КАЙКОВУЗ МФЙ, КАЙКОВУС КЎЧАСИ,  uy:31</t>
        </is>
      </c>
      <c r="H241" s="113">
        <v>10.0</v>
      </c>
      <c r="I241" s="113">
        <v>7755957.77</v>
      </c>
      <c r="K241" s="112" t="inlineStr">
        <is>
          <t xml:space="preserve">Telefon ko'tardi | 5mln puli borakan qolida undruvchi boradi uyiga | Стандартрый</t>
        </is>
      </c>
    </row>
    <row r="242">
      <c r="A242" s="112" t="inlineStr">
        <is>
          <t xml:space="preserve">НАМАНГАН ВИЛОЯТИ</t>
        </is>
      </c>
      <c r="C242" s="112" t="inlineStr">
        <is>
          <t xml:space="preserve">Обещал</t>
        </is>
      </c>
      <c r="D242" s="112" t="inlineStr">
        <is>
          <t xml:space="preserve">Кр-99027270-2</t>
        </is>
      </c>
      <c r="E242" s="112" t="inlineStr">
        <is>
          <t xml:space="preserve">ISLOMOV MAMADALIXON TOLIBXON O’G’LI</t>
        </is>
      </c>
      <c r="F242" s="112" t="inlineStr">
        <is>
          <t xml:space="preserve">95-000-22-92 SMS O'ZI, 99-398-23-92 SMS OZ'I 2, 91-365-08-04 SMS AYOLI, 91-355-24-41 SMS UKASI, 93-490-51-33 ozi ,</t>
        </is>
      </c>
      <c r="G242" s="112" t="inlineStr">
        <is>
          <t xml:space="preserve">NAMANGAN VILOYATI KOSONSOY TUMANI CHINDOVUL QFY ZAMONDOSH MFY 110-UY</t>
        </is>
      </c>
      <c r="H242" s="113">
        <v>38.0</v>
      </c>
      <c r="I242" s="113">
        <v>7644771.11</v>
      </c>
      <c r="K242" s="112" t="inlineStr">
        <is>
          <t xml:space="preserve">Va'da berdi | bugun tolab berarkan | Стандартрый</t>
        </is>
      </c>
    </row>
    <row r="243">
      <c r="A243" s="112" t="inlineStr">
        <is>
          <t xml:space="preserve">НАМАНГАН ВИЛОЯТИ</t>
        </is>
      </c>
      <c r="C243" s="112" t="inlineStr">
        <is>
          <t xml:space="preserve">Дозвон</t>
        </is>
      </c>
      <c r="D243" s="112" t="inlineStr">
        <is>
          <t xml:space="preserve">Кр-99036902-2</t>
        </is>
      </c>
      <c r="E243" s="112" t="inlineStr">
        <is>
          <t xml:space="preserve">YUNUSOV RAVSHANJON ABDURAXMONOVICH</t>
        </is>
      </c>
      <c r="F243" s="112" t="inlineStr">
        <is>
          <t xml:space="preserve">998500540304 SMS OZI, 998939132200 SMS OZI, 998949077385 SMS AYOLI begona, 998500540320 SMS QIZI,</t>
        </is>
      </c>
      <c r="G243" s="112" t="inlineStr">
        <is>
          <t xml:space="preserve">NAMANGAN VILOYATI CHUST TUMANI YANGIYER MFY YOSHLIK KO’CHASI 12 UY</t>
        </is>
      </c>
      <c r="H243" s="113">
        <v>10.0</v>
      </c>
      <c r="I243" s="113">
        <v>7054569.44</v>
      </c>
      <c r="K243" s="112" t="inlineStr">
        <is>
          <t xml:space="preserve">Telefon ko'tardi | yopildi | Стандартрый</t>
        </is>
      </c>
    </row>
    <row r="244">
      <c r="A244" s="112" t="inlineStr">
        <is>
          <t xml:space="preserve">НАМАНГАН ВИЛОЯТИ</t>
        </is>
      </c>
      <c r="C244" s="112" t="inlineStr">
        <is>
          <t xml:space="preserve">Дозвон</t>
        </is>
      </c>
      <c r="D244" s="112" t="inlineStr">
        <is>
          <t xml:space="preserve">Кр-99063806-2</t>
        </is>
      </c>
      <c r="E244" s="112" t="inlineStr">
        <is>
          <t xml:space="preserve">ABDUROXMONOV MAXAMMATSOLI XUDAYBERDIYEVICH</t>
        </is>
      </c>
      <c r="F244" s="112" t="inlineStr">
        <is>
          <t xml:space="preserve">+998701856242 SMS O’ZI, 998941710070 SMS QO’SHNISI, 998951630003 SMS UKASI,</t>
        </is>
      </c>
      <c r="G244" s="112" t="inlineStr">
        <is>
          <t xml:space="preserve">NAMANGAN VILOYATI TO’RAQO’RG’ON TUMANI XO’JAND MFY AHSI KO’CHASI 82 UY</t>
        </is>
      </c>
      <c r="H244" s="113">
        <v>10.0</v>
      </c>
      <c r="I244" s="113">
        <v>6835758.98</v>
      </c>
      <c r="K244" s="112" t="inlineStr">
        <is>
          <t xml:space="preserve">Telefon ko'tardi | qobiljon deganiga tolagan ekan | Стандартрый</t>
        </is>
      </c>
    </row>
    <row r="245">
      <c r="A245" s="112" t="inlineStr">
        <is>
          <t xml:space="preserve">НАМАНГАН ВИЛОЯТИ</t>
        </is>
      </c>
      <c r="C245" s="112" t="inlineStr">
        <is>
          <t xml:space="preserve">Обещал</t>
        </is>
      </c>
      <c r="D245" s="112" t="inlineStr">
        <is>
          <t xml:space="preserve">Кр-99031356-1</t>
        </is>
      </c>
      <c r="E245" s="112" t="inlineStr">
        <is>
          <t xml:space="preserve">NAJMUTDINOV ILXOM ODILXANOVICH</t>
        </is>
      </c>
      <c r="F245" s="112" t="inlineStr">
        <is>
          <t xml:space="preserve">91-052-70-73  SMS OZI, 90-551-31-48  SMS OZI 2, 69-221-50-02  SMS UY, 90-599-89-89  SMS OZI 3, +998776680451 SMS O’ZI, 998957196160 ozi new new,</t>
        </is>
      </c>
      <c r="G245" s="112" t="inlineStr">
        <is>
          <t xml:space="preserve">NAMANGAN VILOYATI NAMANGAN SHAHAR  GULBOG’ MFY GULBOG’ KO’CHA 15 UY</t>
        </is>
      </c>
      <c r="H245" s="113">
        <v>15.0</v>
      </c>
      <c r="I245" s="113">
        <v>6661253.76</v>
      </c>
      <c r="K245" s="112" t="inlineStr">
        <is>
          <t xml:space="preserve">Va'da berdi | ertaga tolab berarkan | Стандартрый</t>
        </is>
      </c>
    </row>
    <row r="246">
      <c r="A246" s="112" t="inlineStr">
        <is>
          <t xml:space="preserve">НАМАНГАН ВИЛОЯТИ</t>
        </is>
      </c>
      <c r="C246" s="112" t="inlineStr">
        <is>
          <t xml:space="preserve">Дозвон</t>
        </is>
      </c>
      <c r="D246" s="112" t="inlineStr">
        <is>
          <t xml:space="preserve">Кр-99042808-2</t>
        </is>
      </c>
      <c r="E246" s="112" t="inlineStr">
        <is>
          <t xml:space="preserve">TURG’UNOV ELYORJON ERKINJON O’G’LI</t>
        </is>
      </c>
      <c r="F246" s="112" t="inlineStr">
        <is>
          <t xml:space="preserve">+998940274720 SMS O’ZI, 998905522332 SMS ONASI, 998993691369 SMS UKASI,</t>
        </is>
      </c>
      <c r="G246" s="112" t="inlineStr">
        <is>
          <t xml:space="preserve">НАМАНГАН ВИЛОЯТИ ЧУСТ ТУМАНИ ЯККАБУЛОҚ МФЙ, ИТТИФОҚ КЎЧАСИ,  68А-УЙ</t>
        </is>
      </c>
      <c r="H246" s="113">
        <v>10.0</v>
      </c>
      <c r="I246" s="113">
        <v>6546697.44</v>
      </c>
      <c r="K246" s="112" t="inlineStr">
        <is>
          <t xml:space="preserve">Telefon ko'tardi | dushanba kuni tolarkan | Стандартрый</t>
        </is>
      </c>
    </row>
    <row r="247">
      <c r="A247" s="112" t="inlineStr">
        <is>
          <t xml:space="preserve">НАМАНГАН ВИЛОЯТИ</t>
        </is>
      </c>
      <c r="C247" s="112" t="inlineStr">
        <is>
          <t xml:space="preserve">Дозвон</t>
        </is>
      </c>
      <c r="D247" s="112" t="inlineStr">
        <is>
          <t xml:space="preserve">Кр-99058282-3</t>
        </is>
      </c>
      <c r="E247" s="112" t="inlineStr">
        <is>
          <t xml:space="preserve">MUYDINOV ZUXRIDIN PAZLIDINOVICH</t>
        </is>
      </c>
      <c r="F247" s="112" t="inlineStr">
        <is>
          <t xml:space="preserve">998954553001 узи, 998939241075 аели, 998934035777 угли Sardor ozimizda ishlid, 998993037941 келини,</t>
        </is>
      </c>
      <c r="G247" s="112" t="inlineStr">
        <is>
          <t xml:space="preserve">NAMANGAN VILOYATI UCHQO’RG’ON TUMANI ISTIQLOL MFY OLMAZOR KO’CHASI 88-UY</t>
        </is>
      </c>
      <c r="H247" s="113">
        <v>10.0</v>
      </c>
      <c r="I247" s="113">
        <v>5752824.78</v>
      </c>
      <c r="K247" s="112" t="inlineStr">
        <is>
          <t xml:space="preserve">Telefon ko'tardi | sardor vidichini krediti | Стандартрый</t>
        </is>
      </c>
    </row>
    <row r="248">
      <c r="A248" s="112" t="inlineStr">
        <is>
          <t xml:space="preserve">НАМАНГАН ВИЛОЯТИ</t>
        </is>
      </c>
      <c r="C248" s="112" t="inlineStr">
        <is>
          <t xml:space="preserve">Дозвон</t>
        </is>
      </c>
      <c r="D248" s="112" t="inlineStr">
        <is>
          <t xml:space="preserve">Кр-99049473-1</t>
        </is>
      </c>
      <c r="E248" s="112" t="inlineStr">
        <is>
          <t xml:space="preserve">KUZIBOYEV ABDIRASUL SOTVOLDIYEVICH</t>
        </is>
      </c>
      <c r="F248" s="112" t="inlineStr">
        <is>
          <t xml:space="preserve">+998942743810 SMS OZI, 998770173339 SMS OGLI, 998942744999 SMS KICHKINA OGLI, 998930491064 new ozi,</t>
        </is>
      </c>
      <c r="G248" s="112" t="inlineStr">
        <is>
          <t xml:space="preserve">NAMANGAN VILOYATI NORIN TUMANI SUZOQOVUL MFY YUQORI SUZOQOVUL KO’CHASI 11-UY</t>
        </is>
      </c>
      <c r="H248" s="113">
        <v>13.0</v>
      </c>
      <c r="I248" s="113">
        <v>5623235.35</v>
      </c>
      <c r="K248" s="112" t="inlineStr">
        <is>
          <t xml:space="preserve">Telefon ko'tardi | tolab berarkan qisman | Стандартрый</t>
        </is>
      </c>
    </row>
    <row r="249">
      <c r="A249" s="112" t="inlineStr">
        <is>
          <t xml:space="preserve">НАМАНГАН ВИЛОЯТИ</t>
        </is>
      </c>
      <c r="C249" s="112" t="inlineStr">
        <is>
          <t xml:space="preserve">Дозвон</t>
        </is>
      </c>
      <c r="D249" s="112" t="inlineStr">
        <is>
          <t xml:space="preserve">Кр-99049241-2</t>
        </is>
      </c>
      <c r="E249" s="112" t="inlineStr">
        <is>
          <t xml:space="preserve">ODILOV RIVOJIDDIN MOXIDJON O’G’LI</t>
        </is>
      </c>
      <c r="F249" s="112" t="inlineStr">
        <is>
          <t xml:space="preserve">998509001151 SMS AKASI  to'lovchi, 998935341698 SMS O’ZI new , 998990174544 SMS AKASI, 998999111698 SMS UKASI,</t>
        </is>
      </c>
      <c r="G249" s="112" t="inlineStr">
        <is>
          <t xml:space="preserve">ОЙҚИРОН ШФЙ, ЯНГИОБОД МФЙ, ОЙБЕК КЎЧАСИ,  uy:14</t>
        </is>
      </c>
      <c r="H249" s="113">
        <v>10.0</v>
      </c>
      <c r="I249" s="113">
        <v>5384818.61</v>
      </c>
      <c r="K249" s="112" t="inlineStr">
        <is>
          <t xml:space="preserve">Telefon ko'tardi | ertaga tolarkan | Стандартрый</t>
        </is>
      </c>
    </row>
    <row r="250">
      <c r="A250" s="112" t="inlineStr">
        <is>
          <t xml:space="preserve">НАМАНГАН ВИЛОЯТИ</t>
        </is>
      </c>
      <c r="C250" s="112" t="inlineStr">
        <is>
          <t xml:space="preserve">Дозвон</t>
        </is>
      </c>
      <c r="D250" s="112" t="inlineStr">
        <is>
          <t xml:space="preserve">Кр-99042104-2</t>
        </is>
      </c>
      <c r="E250" s="112" t="inlineStr">
        <is>
          <t xml:space="preserve">XUSANOVA TURSINOY TURABAYEVNA</t>
        </is>
      </c>
      <c r="F250" s="112" t="inlineStr">
        <is>
          <t xml:space="preserve">+998935045300 SMS OZI, 998930852158 SMS ERI, 998939019353 SMS OZI 2, 998943607752 SMS OGLI to'lovchi,</t>
        </is>
      </c>
      <c r="G250" s="112" t="inlineStr">
        <is>
          <t xml:space="preserve">NAMANGAN VILOYATI UCHQO’RG’ON TUMANI  YANGIXAYOT MFY YANGI DAVR KO’CHASI 8-UY</t>
        </is>
      </c>
      <c r="H250" s="113">
        <v>10.0</v>
      </c>
      <c r="I250" s="113">
        <v>5203244.58</v>
      </c>
      <c r="K250" s="112" t="inlineStr">
        <is>
          <t xml:space="preserve">Telefon ko'tardi | shanba kuni tolab berarkan | Стандартрый</t>
        </is>
      </c>
    </row>
    <row r="251">
      <c r="A251" s="112" t="inlineStr">
        <is>
          <t xml:space="preserve">НАМАНГАН ВИЛОЯТИ</t>
        </is>
      </c>
      <c r="C251" s="112" t="inlineStr">
        <is>
          <t xml:space="preserve">Дозвон</t>
        </is>
      </c>
      <c r="D251" s="112" t="inlineStr">
        <is>
          <t xml:space="preserve">Кр-99025491-1</t>
        </is>
      </c>
      <c r="E251" s="112" t="inlineStr">
        <is>
          <t xml:space="preserve">TURDALIYEV KOMRONBEK JAVLONBEK O’G’LI</t>
        </is>
      </c>
      <c r="F251" s="112" t="inlineStr">
        <is>
          <t xml:space="preserve">998974655825 SMS OZI, 998972618846 SMS DADASI O’ZIMIZDA ISHLARKAN, 998907409893 SMS ONASI , 998887005805 SMS OZI 2,</t>
        </is>
      </c>
      <c r="G251" s="112" t="inlineStr">
        <is>
          <t xml:space="preserve">NAMANGAN VILOYATI YANGI NAMANGAN TUMANI  ISHONCH MFY YONG’OQZOR KO’CHA 21 UY </t>
        </is>
      </c>
      <c r="H251" s="113">
        <v>14.0</v>
      </c>
      <c r="I251" s="113">
        <v>5114833.42</v>
      </c>
      <c r="K251" s="112" t="inlineStr">
        <is>
          <t xml:space="preserve">Telefon ko'tardi | bugun tolab berarkan | Стандартрый</t>
        </is>
      </c>
    </row>
    <row r="252">
      <c r="A252" s="112" t="inlineStr">
        <is>
          <t xml:space="preserve">НАМАНГАН ВИЛОЯТИ</t>
        </is>
      </c>
      <c r="C252" s="112" t="inlineStr">
        <is>
          <t xml:space="preserve">Дозвон</t>
        </is>
      </c>
      <c r="D252" s="112" t="inlineStr">
        <is>
          <t xml:space="preserve">Кр-99036121-2</t>
        </is>
      </c>
      <c r="E252" s="112" t="inlineStr">
        <is>
          <t xml:space="preserve">NURMATOVA SABOXAT SADIKOVNA</t>
        </is>
      </c>
      <c r="F252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252" s="112" t="inlineStr">
        <is>
          <t xml:space="preserve">NAMANGAN VILOYATI CHUST TUMANI BOFANDA MFY UYG’UN KO’CHA 15 UY</t>
        </is>
      </c>
      <c r="H252" s="113">
        <v>1.0</v>
      </c>
      <c r="I252" s="113">
        <v>5078342.42</v>
      </c>
      <c r="K252" s="112" t="inlineStr">
        <is>
          <t xml:space="preserve">Telefon ko'tardi | ozi kotarmadi uyiga borib aytib qoyarkan kelini | Плохой</t>
        </is>
      </c>
    </row>
    <row r="253">
      <c r="A253" s="112" t="inlineStr">
        <is>
          <t xml:space="preserve">НАМАНГАН ВИЛОЯТИ</t>
        </is>
      </c>
      <c r="C253" s="112" t="inlineStr">
        <is>
          <t xml:space="preserve">Дозвон</t>
        </is>
      </c>
      <c r="D253" s="112" t="inlineStr">
        <is>
          <t xml:space="preserve">Кр-99035267-1</t>
        </is>
      </c>
      <c r="E253" s="112" t="inlineStr">
        <is>
          <t xml:space="preserve">YULDASHEVA FERUZA SODIK QIZI</t>
        </is>
      </c>
      <c r="F253" s="112" t="inlineStr">
        <is>
          <t xml:space="preserve">998938937775 SMS O’ZI, 998938932888 SMS AYOLI, 998991551552 SMS O’ZI,</t>
        </is>
      </c>
      <c r="G253" s="112" t="inlineStr">
        <is>
          <t xml:space="preserve">NAMANGAN VILOYATI YANGI NAMANGAN TUMANI SHERBULOQ MFY BINAFSHA KO’CHASI 5 UY</t>
        </is>
      </c>
      <c r="H253" s="113">
        <v>3.0</v>
      </c>
      <c r="I253" s="113">
        <v>4762039.66</v>
      </c>
      <c r="K253" s="112" t="inlineStr">
        <is>
          <t xml:space="preserve">Telefon ko'tardi | filial olgan pulini | Стандартрый</t>
        </is>
      </c>
    </row>
    <row r="254">
      <c r="A254" s="112" t="inlineStr">
        <is>
          <t xml:space="preserve">НАМАНГАН ВИЛОЯТИ</t>
        </is>
      </c>
      <c r="C254" s="112" t="inlineStr">
        <is>
          <t xml:space="preserve">Дозвон</t>
        </is>
      </c>
      <c r="D254" s="112" t="inlineStr">
        <is>
          <t xml:space="preserve">Кр-99035834-1</t>
        </is>
      </c>
      <c r="E254" s="112" t="inlineStr">
        <is>
          <t xml:space="preserve">TURG’UNOV BEHRUZ AZIZBEK O’G’LI</t>
        </is>
      </c>
      <c r="F254" s="112" t="inlineStr">
        <is>
          <t xml:space="preserve">998952600654 SMS TO’LOVCHI , 998931409104 SMS O’ZI BEGONA, 998932841024  SMS begona, 998880800654 SMS ZALOGADATEL,</t>
        </is>
      </c>
      <c r="G254" s="112" t="inlineStr">
        <is>
          <t xml:space="preserve">NAMANGAN VILOYATI NORIN TUMANI SIRMOQ MFY SIRMOQ KO’CHA 34 UY</t>
        </is>
      </c>
      <c r="H254" s="113">
        <v>10.0</v>
      </c>
      <c r="I254" s="113">
        <v>4692674.41</v>
      </c>
      <c r="K254" s="112" t="inlineStr">
        <is>
          <t xml:space="preserve">Telefon ko'tardi | 4mln pulini olgan qolgani klentda | Стандартрый</t>
        </is>
      </c>
    </row>
    <row r="255">
      <c r="A255" s="112" t="inlineStr">
        <is>
          <t xml:space="preserve">НАМАНГАН ВИЛОЯТИ</t>
        </is>
      </c>
      <c r="C255" s="112" t="inlineStr">
        <is>
          <t xml:space="preserve">Обещал</t>
        </is>
      </c>
      <c r="D255" s="112" t="inlineStr">
        <is>
          <t xml:space="preserve">Кр-99038768-1</t>
        </is>
      </c>
      <c r="E255" s="112" t="inlineStr">
        <is>
          <t xml:space="preserve">NIZAMOV KOBIL KOSIMOVICH</t>
        </is>
      </c>
      <c r="F255" s="112" t="inlineStr">
        <is>
          <t xml:space="preserve">998507006187 SMS OZI, 998957077157 SMS UYI, 998905980606 SMS ONASI, 998900500507 SMS UKASI,</t>
        </is>
      </c>
      <c r="G255" s="112" t="inlineStr">
        <is>
          <t xml:space="preserve">NAMANGAN SHAXAR YANGI HAYOT MFY O’RIKZOR KO’CHASI TUPIK-5 13-UY</t>
        </is>
      </c>
      <c r="H255" s="113">
        <v>8.0</v>
      </c>
      <c r="I255" s="113">
        <v>4417662.02</v>
      </c>
      <c r="K255" s="112" t="inlineStr">
        <is>
          <t xml:space="preserve">Va'da berdi | bugun tolab qoyarkan | Стандартрый</t>
        </is>
      </c>
    </row>
    <row r="256">
      <c r="A256" s="112" t="inlineStr">
        <is>
          <t xml:space="preserve">НАМАНГАН ВИЛОЯТИ</t>
        </is>
      </c>
      <c r="C256" s="112" t="inlineStr">
        <is>
          <t xml:space="preserve">Дозвон</t>
        </is>
      </c>
      <c r="D256" s="112" t="inlineStr">
        <is>
          <t xml:space="preserve">Кр-99058282-2</t>
        </is>
      </c>
      <c r="E256" s="112" t="inlineStr">
        <is>
          <t xml:space="preserve">MUYDINOV ZUXRIDIN PAZLIDINOVICH</t>
        </is>
      </c>
      <c r="F256" s="112" t="inlineStr">
        <is>
          <t xml:space="preserve">998954553001 узи, 998939241075 аели, 998934035777 угли Sardor ozimizda ishlid, 998993037941 келини,</t>
        </is>
      </c>
      <c r="G256" s="112" t="inlineStr">
        <is>
          <t xml:space="preserve">NAMANGAN VILOYATI UCHQO’RG’ON TUMANI ISTIQLOL MFY OLMAZOR KO’CHASI 88-UY</t>
        </is>
      </c>
      <c r="H256" s="113">
        <v>10.0</v>
      </c>
      <c r="I256" s="113">
        <v>4268751.22</v>
      </c>
      <c r="K256" s="112" t="inlineStr">
        <is>
          <t xml:space="preserve">Telefon ko'tardi | sardor vidichini krediti | Стандартрый</t>
        </is>
      </c>
    </row>
    <row r="257">
      <c r="A257" s="112" t="inlineStr">
        <is>
          <t xml:space="preserve">НАМАНГАН ВИЛОЯТИ</t>
        </is>
      </c>
      <c r="C257" s="112" t="inlineStr">
        <is>
          <t xml:space="preserve">Дозвон</t>
        </is>
      </c>
      <c r="D257" s="112" t="inlineStr">
        <is>
          <t xml:space="preserve">Кр-99035749-1</t>
        </is>
      </c>
      <c r="E257" s="112" t="inlineStr">
        <is>
          <t xml:space="preserve">KOMILJONOV JAVOXIR RO’ZIMJON O’G’LI</t>
        </is>
      </c>
      <c r="F257" s="112" t="inlineStr">
        <is>
          <t xml:space="preserve">998773849818 SMS OZI, 998930860098 SMS XOLASI, 998974660807 SMS UKASI, 998998104279 SMS KELINOYISI, 998950752556 SMS JAVOHIR, 998998104279 SMS MOMASI,</t>
        </is>
      </c>
      <c r="G257" s="112" t="inlineStr">
        <is>
          <t xml:space="preserve">NAMANGAN VILOYATI NORIN TUMANI TEGIRMONBOSHI MFY GULISTON 1 KO’CHA 18 UY</t>
        </is>
      </c>
      <c r="H257" s="113">
        <v>15.0</v>
      </c>
      <c r="I257" s="113">
        <v>4054006.43</v>
      </c>
      <c r="K257" s="112" t="inlineStr">
        <is>
          <t xml:space="preserve">Telefon ko'tardi | 20sida yopib berarkan | Стандартрый</t>
        </is>
      </c>
    </row>
    <row r="258">
      <c r="A258" s="112" t="inlineStr">
        <is>
          <t xml:space="preserve">НАМАНГАН ВИЛОЯТИ</t>
        </is>
      </c>
      <c r="C258" s="112" t="inlineStr">
        <is>
          <t xml:space="preserve">Обещал</t>
        </is>
      </c>
      <c r="D258" s="112" t="inlineStr">
        <is>
          <t xml:space="preserve">Кр-99036116-1</t>
        </is>
      </c>
      <c r="E258" s="112" t="inlineStr">
        <is>
          <t xml:space="preserve">YOQUBJONOV BUNYODBEK MO’YDINJON O’G’LI</t>
        </is>
      </c>
      <c r="F258" s="112" t="inlineStr">
        <is>
          <t xml:space="preserve">998972301115 SMS O’ZI, 998954512000 SMS ZALOGADATEL 1, 998972300801 SMS ZALOGADATEL 2 TO'LOVCHI SHOXRUX, 998954511404 SMS , 998973713530 SMS ozi yengi nomer,</t>
        </is>
      </c>
      <c r="G258" s="112" t="inlineStr">
        <is>
          <t xml:space="preserve">NAMANGAN VILOYATI TO’RAQO’RG’ON TUMANIYAKKATOM MFY OQIBAT KO’CHA 10 UY</t>
        </is>
      </c>
      <c r="H258" s="113">
        <v>1.0</v>
      </c>
      <c r="I258" s="113">
        <v>3884525.2</v>
      </c>
      <c r="K258" s="112" t="inlineStr">
        <is>
          <t xml:space="preserve">Va'da berdi | ertaga ertalab tolab berarkan | Стандартрый</t>
        </is>
      </c>
    </row>
    <row r="259">
      <c r="A259" s="112" t="inlineStr">
        <is>
          <t xml:space="preserve">НАМАНГАН ВИЛОЯТИ</t>
        </is>
      </c>
      <c r="C259" s="112" t="inlineStr">
        <is>
          <t xml:space="preserve">Дозвон</t>
        </is>
      </c>
      <c r="D259" s="112" t="inlineStr">
        <is>
          <t xml:space="preserve">Кр-99041430-1</t>
        </is>
      </c>
      <c r="E259" s="112" t="inlineStr">
        <is>
          <t xml:space="preserve">UZAKOV ILXOMJON XUSAYNOVICH</t>
        </is>
      </c>
      <c r="F259" s="112" t="inlineStr">
        <is>
          <t xml:space="preserve">998999786307 SMS OZI, 998770887976 SMS AYOLI, 998941315158 SMS SINGLISI, 998790573390 SMS JIYANI,</t>
        </is>
      </c>
      <c r="G259" s="112" t="inlineStr">
        <is>
          <t xml:space="preserve">NAMANGAN VILOYATI YANGIQO’RG’ON TUMANI MASHAL MFY MASHAL-3 KO’CHASI 19-UY</t>
        </is>
      </c>
      <c r="H259" s="113">
        <v>10.0</v>
      </c>
      <c r="I259" s="113">
        <v>3730727.62</v>
      </c>
      <c r="K259" s="112" t="inlineStr">
        <is>
          <t xml:space="preserve">Telefon ko'tardi | sardorga tolaganakan | Стандартрый</t>
        </is>
      </c>
    </row>
    <row r="260">
      <c r="A260" s="112" t="inlineStr">
        <is>
          <t xml:space="preserve">НАМАНГАН ВИЛОЯТИ</t>
        </is>
      </c>
      <c r="C260" s="112" t="inlineStr">
        <is>
          <t xml:space="preserve">Дозвон</t>
        </is>
      </c>
      <c r="D260" s="112" t="inlineStr">
        <is>
          <t xml:space="preserve">Кр-99050863-1</t>
        </is>
      </c>
      <c r="E260" s="112" t="inlineStr">
        <is>
          <t xml:space="preserve">XAMRABAYEV LATIFJON YAKUBJANOVICH</t>
        </is>
      </c>
      <c r="F260" s="112" t="inlineStr">
        <is>
          <t xml:space="preserve">+998937234743 SMS OZI, 998939935963 SMS OZI 2, 998943275050 SMS JIYANI,</t>
        </is>
      </c>
      <c r="G260" s="112" t="inlineStr">
        <is>
          <t xml:space="preserve">NAMANGAN VILOYATI NAMANGAN TUMANI KOL BO’YI MFY IJODKORLAR KO’CHASI 6-UY</t>
        </is>
      </c>
      <c r="H260" s="113">
        <v>43.0</v>
      </c>
      <c r="I260" s="113">
        <v>3637038.63</v>
      </c>
      <c r="K260" s="112" t="inlineStr">
        <is>
          <t xml:space="preserve">Telefon ko'tardi | abrorga tolaganakan | Стандартрый</t>
        </is>
      </c>
    </row>
    <row r="261">
      <c r="A261" s="112" t="inlineStr">
        <is>
          <t xml:space="preserve">НАМАНГАН ВИЛОЯТИ</t>
        </is>
      </c>
      <c r="C261" s="112" t="inlineStr">
        <is>
          <t xml:space="preserve">Дозвон</t>
        </is>
      </c>
      <c r="D261" s="112" t="inlineStr">
        <is>
          <t xml:space="preserve">Кр-99038651-1</t>
        </is>
      </c>
      <c r="E261" s="112" t="inlineStr">
        <is>
          <t xml:space="preserve">UMARALIYEVA DILSHODA INOMJON QIZI</t>
        </is>
      </c>
      <c r="F261" s="112" t="inlineStr">
        <is>
          <t xml:space="preserve">905540172 SMS OZI, 998905540172 SMS ONASI, 998200030432 SMS UYI, 998507553071 SMS UYI 2 BEGONA, 998931986077 SMS O'ZI NEW,</t>
        </is>
      </c>
      <c r="G261" s="112" t="inlineStr">
        <is>
          <t xml:space="preserve">NAMANGAN VILOYATI KOSONSOY TUMANI SOYCHA MFY MANTIPAZ KO’CHA 48 UY</t>
        </is>
      </c>
      <c r="H261" s="113">
        <v>13.0</v>
      </c>
      <c r="I261" s="113">
        <v>3570511.63</v>
      </c>
      <c r="K261" s="112" t="inlineStr">
        <is>
          <t xml:space="preserve">Telefon ko'tardi | tolab berarkan oyligini olishi bilan | Стандартрый</t>
        </is>
      </c>
    </row>
    <row r="262">
      <c r="A262" s="112" t="inlineStr">
        <is>
          <t xml:space="preserve">НАМАНГАН ВИЛОЯТИ</t>
        </is>
      </c>
      <c r="C262" s="112" t="inlineStr">
        <is>
          <t xml:space="preserve">Дозвон</t>
        </is>
      </c>
      <c r="D262" s="112" t="inlineStr">
        <is>
          <t xml:space="preserve">Кр-99050642-1</t>
        </is>
      </c>
      <c r="E262" s="112" t="inlineStr">
        <is>
          <t xml:space="preserve">BUVAXO’JAYEV DONIYOR XAMROXO’JA O’G’LI</t>
        </is>
      </c>
      <c r="F262" s="112" t="inlineStr">
        <is>
          <t xml:space="preserve">998880030600 SMS AYOLI, 998882160600 SMS OZI, 998942760600 SMS OZI 2,</t>
        </is>
      </c>
      <c r="G262" s="112" t="inlineStr">
        <is>
          <t xml:space="preserve">NAMANGAN VILOYATI CHORTOQ TUMANI BALIQ KO’L MFY HUSHNUD KO’CHASI 1-UY</t>
        </is>
      </c>
      <c r="H262" s="113">
        <v>10.0</v>
      </c>
      <c r="I262" s="113">
        <v>3427148.89</v>
      </c>
      <c r="K262" s="112" t="inlineStr">
        <is>
          <t xml:space="preserve">Telefon ko'tardi | oyligi tushishini kutib turganakan tolab qoyarkan | Стандартрый</t>
        </is>
      </c>
    </row>
    <row r="263">
      <c r="A263" s="112" t="inlineStr">
        <is>
          <t xml:space="preserve">НАМАНГАН ВИЛОЯТИ</t>
        </is>
      </c>
      <c r="C263" s="112" t="inlineStr">
        <is>
          <t xml:space="preserve">Дозвон</t>
        </is>
      </c>
      <c r="D263" s="112" t="inlineStr">
        <is>
          <t xml:space="preserve">Кр-99063714-1</t>
        </is>
      </c>
      <c r="E263" s="112" t="inlineStr">
        <is>
          <t xml:space="preserve">TURSUNOVA GULXAYO ULUG’BEK QIZI</t>
        </is>
      </c>
      <c r="F263" s="112" t="inlineStr">
        <is>
          <t xml:space="preserve">+998951687575 SMS O’ZI, 998772061515 SMS ONASI, 998772117575 SMS ERI,</t>
        </is>
      </c>
      <c r="G263" s="112" t="inlineStr">
        <is>
          <t xml:space="preserve">НАМАНГАН ВИЛОЯТИ ЯНГИ НАМАНГАН ТУМАНИ ЯНГИ ЗАМИН МФЙ УРТА БАХОРИСТОН 6 ТОР КЎЧАСИ 12-УЙ</t>
        </is>
      </c>
      <c r="H263" s="113">
        <v>10.0</v>
      </c>
      <c r="I263" s="113">
        <v>3377583.18</v>
      </c>
      <c r="K263" s="112" t="inlineStr">
        <is>
          <t xml:space="preserve">Telefon ko'tardi | ertaga yopib berarkan | Стандартрый</t>
        </is>
      </c>
    </row>
    <row r="264">
      <c r="A264" s="112" t="inlineStr">
        <is>
          <t xml:space="preserve">НАМАНГАН ВИЛОЯТИ</t>
        </is>
      </c>
      <c r="C264" s="112" t="inlineStr">
        <is>
          <t xml:space="preserve">Дозвон</t>
        </is>
      </c>
      <c r="D264" s="112" t="inlineStr">
        <is>
          <t xml:space="preserve">Кр-99041305-1</t>
        </is>
      </c>
      <c r="E264" s="112" t="inlineStr">
        <is>
          <t xml:space="preserve">URAIMJONOV MURODJON MAXMUDJON O’G’LI</t>
        </is>
      </c>
      <c r="F264" s="112" t="inlineStr">
        <is>
          <t xml:space="preserve">+998905020089 SMS OZI, 998938739287 SMS OPASI, 998939439265 SMS DADSI, 998942728763 SMS UKASI,</t>
        </is>
      </c>
      <c r="G264" s="112" t="inlineStr">
        <is>
          <t xml:space="preserve">Наманганская область, Учкурганский район, Кугай ГСГ, Нуробод МСГ, ул. Тинчлик, дом 48</t>
        </is>
      </c>
      <c r="H264" s="113">
        <v>10.0</v>
      </c>
      <c r="I264" s="113">
        <v>3289905.0</v>
      </c>
      <c r="K264" s="112" t="inlineStr">
        <is>
          <t xml:space="preserve">Telefon ko'tardi | 20chida tolab berarkan oyligi tusharkan kiber xafsizlikda ishlidi | Стандартрый</t>
        </is>
      </c>
    </row>
    <row r="265">
      <c r="A265" s="112" t="inlineStr">
        <is>
          <t xml:space="preserve">НАМАНГАН ВИЛОЯТИ</t>
        </is>
      </c>
      <c r="C265" s="112" t="inlineStr">
        <is>
          <t xml:space="preserve">Дозвон</t>
        </is>
      </c>
      <c r="D265" s="112" t="inlineStr">
        <is>
          <t xml:space="preserve">Кр-99039593-1</t>
        </is>
      </c>
      <c r="E265" s="112" t="inlineStr">
        <is>
          <t xml:space="preserve">IMAMNAZAROVA NORPOSHA KUCHQAROVA</t>
        </is>
      </c>
      <c r="F265" s="112" t="inlineStr">
        <is>
          <t xml:space="preserve">998507217757 SMS OZI, 998998184996 SMS ERI, 998998534996 SMS DADSI, 998917574770 SMS ONASI,</t>
        </is>
      </c>
      <c r="G265" s="112" t="inlineStr">
        <is>
          <t xml:space="preserve">NAMANGAN VILOYATI  YANGIQO’RG’ON TUMANI YUQORI QOLPOVON MFY, UCHQORG’ON  KO’CHASI 21-UY</t>
        </is>
      </c>
      <c r="H265" s="113">
        <v>3.0</v>
      </c>
      <c r="I265" s="113">
        <v>3099170.46</v>
      </c>
      <c r="K265" s="112" t="inlineStr">
        <is>
          <t xml:space="preserve">Telefon ko'tardi | tolab berarkan bir ikki kunda | Стандартрый</t>
        </is>
      </c>
    </row>
    <row r="266">
      <c r="A266" s="112" t="inlineStr">
        <is>
          <t xml:space="preserve">НАМАНГАН ВИЛОЯТИ</t>
        </is>
      </c>
      <c r="C266" s="112" t="inlineStr">
        <is>
          <t xml:space="preserve">Дозвон</t>
        </is>
      </c>
      <c r="D266" s="112" t="inlineStr">
        <is>
          <t xml:space="preserve">Кр-99040065-1</t>
        </is>
      </c>
      <c r="E266" s="112" t="inlineStr">
        <is>
          <t xml:space="preserve">KAXXOROVA SEVARAXON XOSHIMJANOVNA</t>
        </is>
      </c>
      <c r="F266" s="112" t="inlineStr">
        <is>
          <t xml:space="preserve">998948620378 SMS OZI, 998936435220 SMS UKASI  TO'LOVCHI, 998507068998 SMS OGLI, 998948997875 SMS ERI begona,</t>
        </is>
      </c>
      <c r="G266" s="112" t="inlineStr">
        <is>
          <t xml:space="preserve">NAMANGAN VILOYAT YANGIQO'RG'ON TUMANI SUTLIBULOQ MFY, SADOQAT KO'CHASI 52 UY</t>
        </is>
      </c>
      <c r="H266" s="113">
        <v>14.0</v>
      </c>
      <c r="I266" s="113">
        <v>3044535.89</v>
      </c>
      <c r="K266" s="112" t="inlineStr">
        <is>
          <t xml:space="preserve">Telefon ko'tardi | tolab qoyarkan | Стандартрый</t>
        </is>
      </c>
    </row>
    <row r="267">
      <c r="A267" s="112" t="inlineStr">
        <is>
          <t xml:space="preserve">НАМАНГАН ВИЛОЯТИ</t>
        </is>
      </c>
      <c r="C267" s="112" t="inlineStr">
        <is>
          <t xml:space="preserve">Дозвон</t>
        </is>
      </c>
      <c r="D267" s="112" t="inlineStr">
        <is>
          <t xml:space="preserve">Кр-99063798-1</t>
        </is>
      </c>
      <c r="E267" s="112" t="inlineStr">
        <is>
          <t xml:space="preserve">ABDUG’ANIYEVA GULBAXOR MIRZARAXIMOVNA</t>
        </is>
      </c>
      <c r="F267" s="112" t="inlineStr">
        <is>
          <t xml:space="preserve">+998944756131 SMS O’ZI, 998948747573 SMS ERI, 998949413934 SMS O’G’LI,</t>
        </is>
      </c>
      <c r="G267" s="112" t="inlineStr">
        <is>
          <t xml:space="preserve">НАМАНГАН ВИЛОЯТИ ЯНГИҚЎРҒОН ТУМАНИ ГАЗНОН МФЙ ТИНЧЛИК КЎЧАСИ 13 УЙ</t>
        </is>
      </c>
      <c r="H267" s="113">
        <v>10.0</v>
      </c>
      <c r="I267" s="113">
        <v>3006125.28</v>
      </c>
      <c r="K267" s="112" t="inlineStr">
        <is>
          <t xml:space="preserve">Telefon ko'tardi | qobiljon deganiga tolagan ekan | Стандартрый</t>
        </is>
      </c>
    </row>
    <row r="268">
      <c r="A268" s="112" t="inlineStr">
        <is>
          <t xml:space="preserve">НАМАНГАН ВИЛОЯТИ</t>
        </is>
      </c>
      <c r="C268" s="112" t="inlineStr">
        <is>
          <t xml:space="preserve">Дозвон</t>
        </is>
      </c>
      <c r="D268" s="112" t="inlineStr">
        <is>
          <t xml:space="preserve">Кр-99040215-1</t>
        </is>
      </c>
      <c r="E268" s="112" t="inlineStr">
        <is>
          <t xml:space="preserve">TURSINOV ISROIL IBRAXIMOVICH</t>
        </is>
      </c>
      <c r="F268" s="112" t="inlineStr">
        <is>
          <t xml:space="preserve">998946169088 SMS OZI, 998931272590 SMS AYOLI, 998943002955 SMS DADASI, 998333633339 SMS Orifjon begona,</t>
        </is>
      </c>
      <c r="G268" s="112" t="inlineStr">
        <is>
          <t xml:space="preserve">NAMANGAN VILOYATI KOSONSOY TUMANI CHAK MFY MO'YNOQ KO'CHASI </t>
        </is>
      </c>
      <c r="H268" s="113">
        <v>10.0</v>
      </c>
      <c r="I268" s="113">
        <v>2955003.66</v>
      </c>
      <c r="K268" s="112" t="inlineStr">
        <is>
          <t xml:space="preserve">Telefon ko'tardi | qobiljonga bergan | Стандартрый</t>
        </is>
      </c>
    </row>
    <row r="269">
      <c r="A269" s="112" t="inlineStr">
        <is>
          <t xml:space="preserve">НАМАНГАН ВИЛОЯТИ</t>
        </is>
      </c>
      <c r="C269" s="112" t="inlineStr">
        <is>
          <t xml:space="preserve">Дозвон</t>
        </is>
      </c>
      <c r="D269" s="112" t="inlineStr">
        <is>
          <t xml:space="preserve">Кр-99062634-1</t>
        </is>
      </c>
      <c r="E269" s="112" t="inlineStr">
        <is>
          <t xml:space="preserve">ADASHEVA RA’NOXON DEXKANBOYEVNA</t>
        </is>
      </c>
      <c r="F269" s="112" t="inlineStr">
        <is>
          <t xml:space="preserve">998940038020 узи TO'LOVCHI  FAQAT SHUNGA QILINSIN, 998978774040 угли begona, 998934405252 угли begona, 998994444039 эри, 998935598898 SMS AYOLI,</t>
        </is>
      </c>
      <c r="G269" s="112" t="inlineStr">
        <is>
          <t xml:space="preserve">NAMANGAN VILOYATI UCHQO’RG’ON TUMANI NORIN MFY NORIN KO’CHASI 17 UY</t>
        </is>
      </c>
      <c r="H269" s="113">
        <v>10.0</v>
      </c>
      <c r="I269" s="113">
        <v>2952924.8</v>
      </c>
      <c r="K269" s="112" t="inlineStr">
        <is>
          <t xml:space="preserve">Telefon ko'tardi | yopildi | Стандартрый</t>
        </is>
      </c>
    </row>
    <row r="270">
      <c r="A270" s="112" t="inlineStr">
        <is>
          <t xml:space="preserve">НАМАНГАН ВИЛОЯТИ</t>
        </is>
      </c>
      <c r="C270" s="112" t="inlineStr">
        <is>
          <t xml:space="preserve">Обещал</t>
        </is>
      </c>
      <c r="D270" s="112" t="inlineStr">
        <is>
          <t xml:space="preserve">Кр-99021267-4</t>
        </is>
      </c>
      <c r="E270" s="112" t="inlineStr">
        <is>
          <t xml:space="preserve">TOXIROV AZIZBEK AVAZBEK O’G’LI</t>
        </is>
      </c>
      <c r="F270" s="112" t="inlineStr">
        <is>
          <t xml:space="preserve">97-758-02-02 SMS BEGONA EKAN, 94-611-46-45 SMS OZI, 99-879-56-56 SMS ADASI, 88-700-75-74 SMS UKASI, 998772100909 SMS TOLOV QILISH BO,</t>
        </is>
      </c>
      <c r="G270" s="112" t="inlineStr">
        <is>
          <t xml:space="preserve">NAMANGAN VILOYATI NORIN TUMANI YANGI FARG’NA KO’CHASI 3 UY</t>
        </is>
      </c>
      <c r="H270" s="113">
        <v>10.0</v>
      </c>
      <c r="I270" s="113">
        <v>2946315.14</v>
      </c>
      <c r="K270" s="112" t="inlineStr">
        <is>
          <t xml:space="preserve">Va'da berdi | bugun kechroq tolab berarkan | Стандартрый</t>
        </is>
      </c>
    </row>
    <row r="271">
      <c r="A271" s="112" t="inlineStr">
        <is>
          <t xml:space="preserve">НАМАНГАН ВИЛОЯТИ</t>
        </is>
      </c>
      <c r="C271" s="112" t="inlineStr">
        <is>
          <t xml:space="preserve">Дозвон</t>
        </is>
      </c>
      <c r="D271" s="112" t="inlineStr">
        <is>
          <t xml:space="preserve">Кр-99029487-1</t>
        </is>
      </c>
      <c r="E271" s="112" t="inlineStr">
        <is>
          <t xml:space="preserve">ABDULLAYEV NOZIMJON FOZILJONOVICH</t>
        </is>
      </c>
      <c r="F271" s="112" t="inlineStr">
        <is>
          <t xml:space="preserve">88-373-22-83  SMS OZI, 97-594-83-85  SMS AYOLI, 97-755-16-44  BEGONA, 50-054-83-86  SMS OSHNASI, +998883732283 SMS O’ZI,</t>
        </is>
      </c>
      <c r="G271" s="112" t="inlineStr">
        <is>
          <t xml:space="preserve">NAMANGAN VILOYATI UCHQO’RG’ON TUMANI FAYZIOBOD MFY YANGI AVLOD KO’CHASI 61 UY</t>
        </is>
      </c>
      <c r="H271" s="113">
        <v>3.0</v>
      </c>
      <c r="I271" s="113">
        <v>2882505.26</v>
      </c>
      <c r="K271" s="112" t="inlineStr">
        <is>
          <t xml:space="preserve">Telefon ko'tardi | ertaga tolab berarkan | Стандартрый</t>
        </is>
      </c>
    </row>
    <row r="272">
      <c r="A272" s="112" t="inlineStr">
        <is>
          <t xml:space="preserve">НАМАНГАН ВИЛОЯТИ</t>
        </is>
      </c>
      <c r="C272" s="112" t="inlineStr">
        <is>
          <t xml:space="preserve">Дозвон</t>
        </is>
      </c>
      <c r="D272" s="112" t="inlineStr">
        <is>
          <t xml:space="preserve">Кр-99032457-1</t>
        </is>
      </c>
      <c r="E272" s="112" t="inlineStr">
        <is>
          <t xml:space="preserve">ATAJANOVA MA’MURA DAVLATALIYEVNA</t>
        </is>
      </c>
      <c r="F272" s="112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72" s="112" t="inlineStr">
        <is>
          <t xml:space="preserve">NAMANGAN VILOYATI POP TUMANI ISTIQBOL MFY ISTIQLOL KO’CHA 12 A UY 1 KORPUS 8-XONADON</t>
        </is>
      </c>
      <c r="H272" s="113">
        <v>8.0</v>
      </c>
      <c r="I272" s="113">
        <v>2613863.03</v>
      </c>
      <c r="K272" s="112" t="inlineStr">
        <is>
          <t xml:space="preserve">Telefon ko'tardi | onasi aytib qoyarkan tolab berarkan | Стандартрый</t>
        </is>
      </c>
    </row>
    <row r="273">
      <c r="A273" s="112" t="inlineStr">
        <is>
          <t xml:space="preserve">НАМАНГАН ВИЛОЯТИ</t>
        </is>
      </c>
      <c r="C273" s="112" t="inlineStr">
        <is>
          <t xml:space="preserve">Дозвон</t>
        </is>
      </c>
      <c r="D273" s="112" t="inlineStr">
        <is>
          <t xml:space="preserve">Кр-99037174-1</t>
        </is>
      </c>
      <c r="E273" s="112" t="inlineStr">
        <is>
          <t xml:space="preserve">VAXOBOV AZIZBEK VOXIDJON O’G’LI</t>
        </is>
      </c>
      <c r="F273" s="112" t="inlineStr">
        <is>
          <t xml:space="preserve">998330919599 SMS OZI qozogistinda, 998880368678 SMS AMMASI, 998936662067 SMS DADASI, 998975712323 SMS OSHNASI 2 yildan beri gaplashmagan,</t>
        </is>
      </c>
      <c r="G273" s="112" t="inlineStr">
        <is>
          <t xml:space="preserve">NAMANGAN VILOYATI NORIN TUMANI NORINKAPA MFY ISLOMOBOD KO’CHA 15 UY</t>
        </is>
      </c>
      <c r="H273" s="113">
        <v>13.0</v>
      </c>
      <c r="I273" s="113">
        <v>2577971.31</v>
      </c>
      <c r="K273" s="112" t="inlineStr">
        <is>
          <t xml:space="preserve">Telefon ko'tardi | tulqin akaga berganakan | Стандартрый</t>
        </is>
      </c>
    </row>
    <row r="274">
      <c r="A274" s="112" t="inlineStr">
        <is>
          <t xml:space="preserve">НАМАНГАН ВИЛОЯТИ</t>
        </is>
      </c>
      <c r="C274" s="112" t="inlineStr">
        <is>
          <t xml:space="preserve">Дозвон</t>
        </is>
      </c>
      <c r="D274" s="112" t="inlineStr">
        <is>
          <t xml:space="preserve">Кр-99041537-1</t>
        </is>
      </c>
      <c r="E274" s="112" t="inlineStr">
        <is>
          <t xml:space="preserve">OLIMJONOV AZIZBEK XAYRULLO O’G’LI</t>
        </is>
      </c>
      <c r="F274" s="112" t="inlineStr">
        <is>
          <t xml:space="preserve">+998940046575 sms ozi, 998770116576 sms onasi, 998933616575 sms ozi 2, 998944011123 sms opasi tolovchi,</t>
        </is>
      </c>
      <c r="G274" s="112" t="inlineStr">
        <is>
          <t xml:space="preserve">Наманганская область, Чартакский район, Чорток ГСГ, Навбахор МСГ, ул. Ёш оила, дом 133</t>
        </is>
      </c>
      <c r="H274" s="113">
        <v>10.0</v>
      </c>
      <c r="I274" s="113">
        <v>2460563.49</v>
      </c>
      <c r="K274" s="112" t="inlineStr">
        <is>
          <t xml:space="preserve">Telefon ko'tardi | qobiljonga berganman deyabdi  qobiljon omaganman deyabdi sentyabr oygi tolovini | Стандартрый</t>
        </is>
      </c>
    </row>
    <row r="275">
      <c r="A275" s="112" t="inlineStr">
        <is>
          <t xml:space="preserve">НАМАНГАН ВИЛОЯТИ</t>
        </is>
      </c>
      <c r="C275" s="112" t="inlineStr">
        <is>
          <t xml:space="preserve">Дозвон</t>
        </is>
      </c>
      <c r="D275" s="112" t="inlineStr">
        <is>
          <t xml:space="preserve">Кр-99033091-1</t>
        </is>
      </c>
      <c r="E275" s="112" t="inlineStr">
        <is>
          <t xml:space="preserve">YULDASHEVA NAIMA RAXMONXUJAYEVNA</t>
        </is>
      </c>
      <c r="F275" s="112" t="inlineStr">
        <is>
          <t xml:space="preserve">998902311111 SMS ERI, 998027934022 SMS ERI 2, 998917575145 SMS TO’LOVCHI, 998026039072 SMS TO’LOVCHI 2, 998911860606 sms ozi shunga qilinsin,</t>
        </is>
      </c>
      <c r="G275" s="112" t="inlineStr">
        <is>
          <t xml:space="preserve">NAMANGAN VILOYATI NAMANGAN SHAHRI XALQLAR DO’STLIGI MFY 4-KICHIK MAVZE 46-XONADON 42-UY</t>
        </is>
      </c>
      <c r="H275" s="113">
        <v>23.0</v>
      </c>
      <c r="I275" s="113">
        <v>2399166.02</v>
      </c>
      <c r="K275" s="112" t="inlineStr">
        <is>
          <t xml:space="preserve">Telefon ko'tardi | filial olgan pulni | Стандартрый</t>
        </is>
      </c>
    </row>
    <row r="276">
      <c r="A276" s="112" t="inlineStr">
        <is>
          <t xml:space="preserve">НАМАНГАН ВИЛОЯТИ</t>
        </is>
      </c>
      <c r="C276" s="112" t="inlineStr">
        <is>
          <t xml:space="preserve">Дозвон</t>
        </is>
      </c>
      <c r="D276" s="112" t="inlineStr">
        <is>
          <t xml:space="preserve">Кр-99033482-1</t>
        </is>
      </c>
      <c r="E276" s="112" t="inlineStr">
        <is>
          <t xml:space="preserve">QAMBAROV ISMOILJON MIRZAKARIMOVICH</t>
        </is>
      </c>
      <c r="F276" s="112" t="inlineStr">
        <is>
          <t xml:space="preserve">998934922462 SMS O’ZI, 998945510440 SMS AYOLI, 998507508886 SMS O’G’LI, 998507795775 SMS O’G’LI,</t>
        </is>
      </c>
      <c r="G276" s="112" t="inlineStr">
        <is>
          <t xml:space="preserve">NAMANGAN VILOYATI YANGIQO’RG’ON TUMANI BIRLASHGAN MFY CHAMANZOR KO’CHA 44 UY</t>
        </is>
      </c>
      <c r="H276" s="113">
        <v>6.0</v>
      </c>
      <c r="I276" s="113">
        <v>2327288.68</v>
      </c>
      <c r="K276" s="112" t="inlineStr">
        <is>
          <t xml:space="preserve">Telefon ko'tardi | bir ikki kunda tolab berarkan | Стандартрый</t>
        </is>
      </c>
    </row>
    <row r="277">
      <c r="A277" s="112" t="inlineStr">
        <is>
          <t xml:space="preserve">НАМАНГАН ВИЛОЯТИ</t>
        </is>
      </c>
      <c r="C277" s="112" t="inlineStr">
        <is>
          <t xml:space="preserve">Дозвон</t>
        </is>
      </c>
      <c r="D277" s="112" t="inlineStr">
        <is>
          <t xml:space="preserve">Кр-99039474-1</t>
        </is>
      </c>
      <c r="E277" s="112" t="inlineStr">
        <is>
          <t xml:space="preserve">ISMANOV AXMADALI MADAMINJONOVICH</t>
        </is>
      </c>
      <c r="F277" s="112" t="inlineStr">
        <is>
          <t xml:space="preserve">998941554021 SMS OZI, 998946008312 SMS JIYANI, 998944248183 SMS AYOLI, 998945131983 SMS TOLOVCHI JIYANI, 998505117100 tolovchi new,</t>
        </is>
      </c>
      <c r="G277" s="112" t="inlineStr">
        <is>
          <t xml:space="preserve">NAMANGAN VILOYATI CHORTOQ TUMANI BALIQKO’L MFY YANGIOBOD KO’CHA 36 UY</t>
        </is>
      </c>
      <c r="H277" s="113">
        <v>8.0</v>
      </c>
      <c r="I277" s="113">
        <v>2289410.42</v>
      </c>
      <c r="K277" s="112" t="inlineStr">
        <is>
          <t xml:space="preserve">Telefon ko'tardi | umidjon degan undruvchiga berganakan | Стандартрый</t>
        </is>
      </c>
    </row>
    <row r="278">
      <c r="A278" s="112" t="inlineStr">
        <is>
          <t xml:space="preserve">НАМАНГАН ВИЛОЯТИ</t>
        </is>
      </c>
      <c r="C278" s="112" t="inlineStr">
        <is>
          <t xml:space="preserve">Дозвон</t>
        </is>
      </c>
      <c r="D278" s="112" t="inlineStr">
        <is>
          <t xml:space="preserve">Кр-99062959-1</t>
        </is>
      </c>
      <c r="E278" s="112" t="inlineStr">
        <is>
          <t xml:space="preserve">TESHABOYEV JALOLLIDIN ALIJON O’G’LI</t>
        </is>
      </c>
      <c r="F278" s="112" t="inlineStr">
        <is>
          <t xml:space="preserve">998884415393 SMS UKASI, 998911822221 SMS OZI, 998947505574 SMS TOLOVCHI,</t>
        </is>
      </c>
      <c r="G278" s="112" t="inlineStr">
        <is>
          <t xml:space="preserve">CHUST TUMANI KARNON 7-UY</t>
        </is>
      </c>
      <c r="H278" s="113">
        <v>10.0</v>
      </c>
      <c r="I278" s="113">
        <v>2189980.24</v>
      </c>
      <c r="K278" s="112" t="inlineStr">
        <is>
          <t xml:space="preserve">Telefon ko'tardi | dushanba kuni tolarkan | Стандартрый</t>
        </is>
      </c>
    </row>
    <row r="279">
      <c r="A279" s="112" t="inlineStr">
        <is>
          <t xml:space="preserve">НАМАНГАН ВИЛОЯТИ</t>
        </is>
      </c>
      <c r="C279" s="112" t="inlineStr">
        <is>
          <t xml:space="preserve">Дозвон</t>
        </is>
      </c>
      <c r="D279" s="112" t="inlineStr">
        <is>
          <t xml:space="preserve">Кр-99039722-2</t>
        </is>
      </c>
      <c r="E279" s="112" t="inlineStr">
        <is>
          <t xml:space="preserve">SULTANOV UMID IKROMOVICH</t>
        </is>
      </c>
      <c r="F279" s="112" t="inlineStr">
        <is>
          <t xml:space="preserve">998902780405 SMS OZI, 998934027767 SMS AYOLI, 998954634420 SMS DADASI, 998911820002 SMS ONASI, 998934010666 SMS TO’LOVCHI SHERIGI, +998902780405 SMS O’ZI,</t>
        </is>
      </c>
      <c r="G279" s="112" t="inlineStr">
        <is>
          <t xml:space="preserve">НАМАНГАН ВИЛОЯТИ ЯНГИ НАМАНГАН ТУМАНИ КЕЛАЖАК ТОНГИ МФЙ НАЗАР КЎЧАСИ 61 УЙ</t>
        </is>
      </c>
      <c r="H279" s="113">
        <v>10.0</v>
      </c>
      <c r="I279" s="113">
        <v>2123038.8</v>
      </c>
      <c r="K279" s="112" t="inlineStr">
        <is>
          <t xml:space="preserve">Telefon ko'tardi | 20sigacha yopib berarkan | Стандартрый</t>
        </is>
      </c>
    </row>
    <row r="280">
      <c r="A280" s="112" t="inlineStr">
        <is>
          <t xml:space="preserve">НАМАНГАН ВИЛОЯТИ</t>
        </is>
      </c>
      <c r="C280" s="112" t="inlineStr">
        <is>
          <t xml:space="preserve">Дозвон</t>
        </is>
      </c>
      <c r="D280" s="112" t="inlineStr">
        <is>
          <t xml:space="preserve">Кр-99042661-1</t>
        </is>
      </c>
      <c r="E280" s="112" t="inlineStr">
        <is>
          <t xml:space="preserve">KARABOYEV ATXAM DAVLATOVICH</t>
        </is>
      </c>
      <c r="F280" s="112" t="inlineStr">
        <is>
          <t xml:space="preserve">+998886888847 SMS O’ZI, 998884888875 SMS OTASI, 998972555510 SMS O’ZI 2, 998990076489 SMS AYOLI,</t>
        </is>
      </c>
      <c r="G280" s="112" t="inlineStr">
        <is>
          <t xml:space="preserve">NAMANGAN VILOYATI CHUST TUMANI YANGI XAYOT MFY MUSTAQILLIK KO’CHASI 14-UY</t>
        </is>
      </c>
      <c r="H280" s="113">
        <v>10.0</v>
      </c>
      <c r="I280" s="113">
        <v>1899078.03</v>
      </c>
      <c r="K280" s="112" t="inlineStr">
        <is>
          <t xml:space="preserve">Telefon ko'tardi | ayoli aytib qoyarkan lekin tolaganman deyabdi filialga eri aytibdi shunday deb ayoliga | Стандартрый</t>
        </is>
      </c>
    </row>
    <row r="281">
      <c r="A281" s="112" t="inlineStr">
        <is>
          <t xml:space="preserve">НАМАНГАН ВИЛОЯТИ</t>
        </is>
      </c>
      <c r="C281" s="112" t="inlineStr">
        <is>
          <t xml:space="preserve">Дозвон</t>
        </is>
      </c>
      <c r="D281" s="112" t="inlineStr">
        <is>
          <t xml:space="preserve">Кр-99047221-1</t>
        </is>
      </c>
      <c r="E281" s="112" t="inlineStr">
        <is>
          <t xml:space="preserve">SATTAROVA SOJIDAXON RASHIDBEKOVNA</t>
        </is>
      </c>
      <c r="F281" s="112" t="inlineStr">
        <is>
          <t xml:space="preserve">+998884411967 SMS O’ZI, 998888271212 SMS O’G’LI 2, 998888285452 SMS O’G’LI,</t>
        </is>
      </c>
      <c r="G281" s="112" t="inlineStr">
        <is>
          <t xml:space="preserve">NAMANGAN  VILOYATI NAMANGAN SHAXAR YANGI NAMANGAN TUMANI SOXIL MFY ZIYOLI KO’CHASI 59 UY</t>
        </is>
      </c>
      <c r="H281" s="113">
        <v>10.0</v>
      </c>
      <c r="I281" s="113">
        <v>1895482.56</v>
      </c>
      <c r="K281" s="112" t="inlineStr">
        <is>
          <t xml:space="preserve">Telefon ko'tardi | qsman tolov qildi qogani kechgacha | Стандартрый</t>
        </is>
      </c>
    </row>
    <row r="282">
      <c r="A282" s="112" t="inlineStr">
        <is>
          <t xml:space="preserve">НАМАНГАН ВИЛОЯТИ</t>
        </is>
      </c>
      <c r="C282" s="112" t="inlineStr">
        <is>
          <t xml:space="preserve">Дозвон</t>
        </is>
      </c>
      <c r="D282" s="112" t="inlineStr">
        <is>
          <t xml:space="preserve">Кр-99033811-1</t>
        </is>
      </c>
      <c r="E282" s="112" t="inlineStr">
        <is>
          <t xml:space="preserve">MAXMUDOV ZUXRIDDIN OBIDXUJA O’G’LI</t>
        </is>
      </c>
      <c r="F282" s="112" t="inlineStr">
        <is>
          <t xml:space="preserve">998972126665 SMS O’ZI, 998976206665 SMS TO’LOVCHI, 998934426665 SMS TO’LOVCHI begona,</t>
        </is>
      </c>
      <c r="G282" s="112" t="inlineStr">
        <is>
          <t xml:space="preserve">NAMANGAN VILOYATI UCHQO’RG’ON TUMANI BOG’ KO’CHA MFY  BOG’ KO’CHA 44 UY</t>
        </is>
      </c>
      <c r="H282" s="113">
        <v>28.0</v>
      </c>
      <c r="I282" s="113">
        <v>1869965.65</v>
      </c>
      <c r="K282" s="112" t="inlineStr">
        <is>
          <t xml:space="preserve">Telefon ko'tardi | filial olgan pulni | Стандартрый</t>
        </is>
      </c>
    </row>
    <row r="283">
      <c r="A283" s="112" t="inlineStr">
        <is>
          <t xml:space="preserve">НАМАНГАН ВИЛОЯТИ</t>
        </is>
      </c>
      <c r="C283" s="112" t="inlineStr">
        <is>
          <t xml:space="preserve">Дозвон</t>
        </is>
      </c>
      <c r="D283" s="112" t="inlineStr">
        <is>
          <t xml:space="preserve">Кр-99029040-3</t>
        </is>
      </c>
      <c r="E283" s="112" t="inlineStr">
        <is>
          <t xml:space="preserve">IKRAMOV MA’RUFXON AYUBXON O’G’LI</t>
        </is>
      </c>
      <c r="F283" s="112" t="inlineStr">
        <is>
          <t xml:space="preserve">91-369-67-69  SMS O'ZI, 91-266-66-61  SMS OSHNASI, 93-497-65-72  SMS DEDASI, 93-675-41-81 SMS  ISH XONA,</t>
        </is>
      </c>
      <c r="G283" s="112" t="inlineStr">
        <is>
          <t xml:space="preserve">NAMANGAN VILOYATI NAMANGAN SHAHAR BUNYODKOR MFY USTALAR KO’CHASI 40-UY</t>
        </is>
      </c>
      <c r="H283" s="113">
        <v>10.0</v>
      </c>
      <c r="I283" s="113">
        <v>1726676.45</v>
      </c>
      <c r="K283" s="112" t="inlineStr">
        <is>
          <t xml:space="preserve">Telefon ko'tardi | aytib qoyarkan ishxonasidagilar | Стандартрый</t>
        </is>
      </c>
    </row>
    <row r="284">
      <c r="A284" s="112" t="inlineStr">
        <is>
          <t xml:space="preserve">НАМАНГАН ВИЛОЯТИ</t>
        </is>
      </c>
      <c r="C284" s="112" t="inlineStr">
        <is>
          <t xml:space="preserve">Дозвон</t>
        </is>
      </c>
      <c r="D284" s="112" t="inlineStr">
        <is>
          <t xml:space="preserve">Кр-99036049-1</t>
        </is>
      </c>
      <c r="E284" s="112" t="inlineStr">
        <is>
          <t xml:space="preserve">XAMIDJONOV BOBUR MUMINJON O’G’LI</t>
        </is>
      </c>
      <c r="F284" s="112" t="inlineStr">
        <is>
          <t xml:space="preserve">998935299602 SMS OZI, 998942771083 SMS AKASI tolovchi, 998943048390 SMS OPASI, 998940015061 SMS AMAKISI,</t>
        </is>
      </c>
      <c r="G284" s="112" t="inlineStr">
        <is>
          <t xml:space="preserve">NAMANGAN VILOYATI UCHQO’RG’ON TUMANI ATLAS MFY USMON BAXSHI KO’CHA 2 UY</t>
        </is>
      </c>
      <c r="H284" s="113">
        <v>34.0</v>
      </c>
      <c r="I284" s="113">
        <v>1681903.28</v>
      </c>
      <c r="K284" s="112" t="inlineStr">
        <is>
          <t xml:space="preserve">Telefon ko'tardi | kotardi tolovchisi shu xafta tolab beraman deyabdi | Стандартрый</t>
        </is>
      </c>
    </row>
    <row r="285">
      <c r="A285" s="112" t="inlineStr">
        <is>
          <t xml:space="preserve">НАМАНГАН ВИЛОЯТИ</t>
        </is>
      </c>
      <c r="C285" s="112" t="inlineStr">
        <is>
          <t xml:space="preserve">Обещал</t>
        </is>
      </c>
      <c r="D285" s="112" t="inlineStr">
        <is>
          <t xml:space="preserve">Кр-99036051-1</t>
        </is>
      </c>
      <c r="E285" s="112" t="inlineStr">
        <is>
          <t xml:space="preserve">SHARIPOVA MUNOJATXON ABDUXAMID QIZI</t>
        </is>
      </c>
      <c r="F285" s="112" t="inlineStr">
        <is>
          <t xml:space="preserve">998932726710 SMS OZI, 998994796363 SMS ERI, 998975552551 SMS SHERIGI, 998937788883 SMS SHERIGI,</t>
        </is>
      </c>
      <c r="G285" s="112" t="inlineStr">
        <is>
          <t xml:space="preserve">NAMANGAN VILOYATI NAMANGAN SHAHAR TADBIRKOR MFY YOSHLIK KO’CHA 45 UY 39 XONADON</t>
        </is>
      </c>
      <c r="H285" s="113">
        <v>3.0</v>
      </c>
      <c r="I285" s="113">
        <v>1655372.67</v>
      </c>
      <c r="K285" s="112" t="inlineStr">
        <is>
          <t xml:space="preserve">Va'da berdi | bugun tolarkan | Хороший</t>
        </is>
      </c>
    </row>
    <row r="286">
      <c r="A286" s="112" t="inlineStr">
        <is>
          <t xml:space="preserve">НАМАНГАН ВИЛОЯТИ</t>
        </is>
      </c>
      <c r="C286" s="112" t="inlineStr">
        <is>
          <t xml:space="preserve">Дозвон</t>
        </is>
      </c>
      <c r="D286" s="112" t="inlineStr">
        <is>
          <t xml:space="preserve">Кр-99032457-4</t>
        </is>
      </c>
      <c r="E286" s="112" t="inlineStr">
        <is>
          <t xml:space="preserve">ATAJANOVA MA’MURA DAVLATALIYEVNA</t>
        </is>
      </c>
      <c r="F286" s="112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86" s="112" t="inlineStr">
        <is>
          <t xml:space="preserve">NAMANGAN VILOYATI POP TUMANI ISTIQBOL MFY ISTIQLOL KO’CHA 12 A UY 1 KORPUS 8-XONADON</t>
        </is>
      </c>
      <c r="H286" s="113">
        <v>10.0</v>
      </c>
      <c r="I286" s="113">
        <v>1613345.24</v>
      </c>
      <c r="K286" s="112" t="inlineStr">
        <is>
          <t xml:space="preserve">Telefon ko'tardi | onasi aytib qoyarkan tolab berarkan | Стандартрый</t>
        </is>
      </c>
    </row>
    <row r="287">
      <c r="A287" s="112" t="inlineStr">
        <is>
          <t xml:space="preserve">НАМАНГАН ВИЛОЯТИ</t>
        </is>
      </c>
      <c r="C287" s="112" t="inlineStr">
        <is>
          <t xml:space="preserve">Дозвон</t>
        </is>
      </c>
      <c r="D287" s="112" t="inlineStr">
        <is>
          <t xml:space="preserve">Кр-99019501-3</t>
        </is>
      </c>
      <c r="E287" s="112" t="inlineStr">
        <is>
          <t xml:space="preserve">TULANBOYEV BOTIRJON ABDUMUTALOVICH</t>
        </is>
      </c>
      <c r="F287" s="112" t="inlineStr">
        <is>
          <t xml:space="preserve">93-948-79-07  SMS OZI DEHQON MEVACHI, 93-467-89-85  SMS ZALOGADATEL,  93-943-69-88   SMS OSHNASI,    ,</t>
        </is>
      </c>
      <c r="G287" s="112" t="inlineStr">
        <is>
          <t xml:space="preserve">NAMANGAN VILOYATI YANGIQO‘RG‘ON TUMANI NANAY QFY QIZILYOZI MFY MINGTERAK KO‘CHASI 15-UY </t>
        </is>
      </c>
      <c r="H287" s="113">
        <v>10.0</v>
      </c>
      <c r="I287" s="113">
        <v>1589626.26</v>
      </c>
      <c r="K287" s="112" t="inlineStr">
        <is>
          <t xml:space="preserve">Telefon ko'tardi | ukasi aytib qoyaman deyabdi | Стандартрый</t>
        </is>
      </c>
    </row>
    <row r="288">
      <c r="A288" s="112" t="inlineStr">
        <is>
          <t xml:space="preserve">НАМАНГАН ВИЛОЯТИ</t>
        </is>
      </c>
      <c r="C288" s="112" t="inlineStr">
        <is>
          <t xml:space="preserve">Дозвон</t>
        </is>
      </c>
      <c r="D288" s="112" t="inlineStr">
        <is>
          <t xml:space="preserve">Кр-99040214-1</t>
        </is>
      </c>
      <c r="E288" s="112" t="inlineStr">
        <is>
          <t xml:space="preserve">O’LMASOV BARKAMOL BAXODIR O’G’LI</t>
        </is>
      </c>
      <c r="F288" s="112" t="inlineStr">
        <is>
          <t xml:space="preserve">998880708060 SMS OZI, 998901547476 SMS AYOLI, 998933636893 SMS AKASI,</t>
        </is>
      </c>
      <c r="G288" s="112" t="inlineStr">
        <is>
          <t xml:space="preserve">NAMANGAN VILOYATI NAMANGAN TUMANI OLAXAMAK MFY ZIYOKOR KO'CHASI 35 UY</t>
        </is>
      </c>
      <c r="H288" s="113">
        <v>10.0</v>
      </c>
      <c r="I288" s="113">
        <v>1563348.33</v>
      </c>
      <c r="K288" s="112" t="inlineStr">
        <is>
          <t xml:space="preserve">Telefon ko'tardi | shanba kuni tolab berarkan | Стандартрый</t>
        </is>
      </c>
    </row>
    <row r="289">
      <c r="A289" s="112" t="inlineStr">
        <is>
          <t xml:space="preserve">НАМАНГАН ВИЛОЯТИ</t>
        </is>
      </c>
      <c r="C289" s="112" t="inlineStr">
        <is>
          <t xml:space="preserve">Дозвон</t>
        </is>
      </c>
      <c r="D289" s="112" t="inlineStr">
        <is>
          <t xml:space="preserve">Кр-99063421-3</t>
        </is>
      </c>
      <c r="E289" s="112" t="inlineStr">
        <is>
          <t xml:space="preserve">XABIBULLAYEV RAXMATULLO ABDULLO  O’G’LI</t>
        </is>
      </c>
      <c r="F289" s="112" t="inlineStr">
        <is>
          <t xml:space="preserve">+998774134043 SMS O’ZI, 998777074039 SMS AYOLI, 998994444039 SMS AKASI,</t>
        </is>
      </c>
      <c r="G289" s="112" t="inlineStr">
        <is>
          <t xml:space="preserve">НАМАНГАН ВИЛОЯТИ УЧҚЎРҒОН ТУМАНИ ШОЛДИРАМА МФЙ НАМУНА КЎЧАСИ 50 УЙ</t>
        </is>
      </c>
      <c r="H289" s="113">
        <v>10.0</v>
      </c>
      <c r="I289" s="113">
        <v>1438195.45</v>
      </c>
      <c r="K289" s="112" t="inlineStr">
        <is>
          <t xml:space="preserve">Telefon ko'tardi | ozimizda ishlidi oy oxrgacha yopib berarkan | Стандартрый</t>
        </is>
      </c>
    </row>
    <row r="290">
      <c r="A290" s="112" t="inlineStr">
        <is>
          <t xml:space="preserve">НАМАНГАН ВИЛОЯТИ</t>
        </is>
      </c>
      <c r="C290" s="112" t="inlineStr">
        <is>
          <t xml:space="preserve">Дозвон</t>
        </is>
      </c>
      <c r="D290" s="112" t="inlineStr">
        <is>
          <t xml:space="preserve">Кр-99040468-3</t>
        </is>
      </c>
      <c r="E290" s="112" t="inlineStr">
        <is>
          <t xml:space="preserve">SOLIYEVA MALIKAXON ALIMJONOVNA</t>
        </is>
      </c>
      <c r="F290" s="112" t="inlineStr">
        <is>
          <t xml:space="preserve">998777290109 SMS OZI, 998950065809 SMS OZI 2, 998903003001 SARVAR AKA HAL QILADI, 998771490700 sms uzi new sarvarni opasi,</t>
        </is>
      </c>
      <c r="G290" s="112" t="inlineStr">
        <is>
          <t xml:space="preserve">NAMANGAN VILOYATI NORIN TUMANI BUSTON MFY UVAYSIY KO’CHASI 206 UY</t>
        </is>
      </c>
      <c r="I290" s="113">
        <v>1402001.24</v>
      </c>
      <c r="K290" s="112" t="inlineStr">
        <is>
          <t xml:space="preserve">Telefon ko'tardi | klent xitoyda ekan oglini oyligi tushishi bilan tolab berarkan | Хороший</t>
        </is>
      </c>
    </row>
    <row r="291">
      <c r="A291" s="112" t="inlineStr">
        <is>
          <t xml:space="preserve">НАМАНГАН ВИЛОЯТИ</t>
        </is>
      </c>
      <c r="C291" s="112" t="inlineStr">
        <is>
          <t xml:space="preserve">Дозвон</t>
        </is>
      </c>
      <c r="D291" s="112" t="inlineStr">
        <is>
          <t xml:space="preserve">Кр-99036121-3</t>
        </is>
      </c>
      <c r="E291" s="112" t="inlineStr">
        <is>
          <t xml:space="preserve">NURMATOVA SABOXAT SADIKOVNA</t>
        </is>
      </c>
      <c r="F291" s="112" t="inlineStr">
        <is>
          <t xml:space="preserve">998949090002 SMS O’ZI , 998333700000 SMS O’G’LI , 998945007000 SMS O’G’LI, 998500405566 SMS O’G’LI  BEGONA, 998947102552 SMS KELINI, 998913599253 SMS O'ZI ,</t>
        </is>
      </c>
      <c r="G291" s="112" t="inlineStr">
        <is>
          <t xml:space="preserve">NAMANGAN VILOYATI CHUST TUMANI BOFANDA MFY UYG’UN KO’CHA 15 UY</t>
        </is>
      </c>
      <c r="H291" s="113">
        <v>10.0</v>
      </c>
      <c r="I291" s="113">
        <v>1336247.78</v>
      </c>
      <c r="K291" s="112" t="inlineStr">
        <is>
          <t xml:space="preserve">Telefon ko'tardi | ozi kotarmadi uyiga borib aytib qoyarkan kelini | Стандартрый</t>
        </is>
      </c>
    </row>
    <row r="292">
      <c r="A292" s="112" t="inlineStr">
        <is>
          <t xml:space="preserve">НАМАНГАН ВИЛОЯТИ</t>
        </is>
      </c>
      <c r="C292" s="112" t="inlineStr">
        <is>
          <t xml:space="preserve">Дозвон</t>
        </is>
      </c>
      <c r="D292" s="112" t="inlineStr">
        <is>
          <t xml:space="preserve">Кр-99063889-1</t>
        </is>
      </c>
      <c r="E292" s="112" t="inlineStr">
        <is>
          <t xml:space="preserve">XAKIMOV ILXOMBOY SHARIFJANOVICH</t>
        </is>
      </c>
      <c r="F292" s="112" t="inlineStr">
        <is>
          <t xml:space="preserve">+998935914670 SMS O’G’LI, 998949243434 SMS O’G’LI, 998992995660 SMS AYOLI,</t>
        </is>
      </c>
      <c r="G292" s="112" t="inlineStr">
        <is>
          <t xml:space="preserve">НАМАНГАН ВИЛОЯТИ УЧҚЎРҒОН ТУМАНИ КУМТЎҒОН МФЙ ҒАЙРАТ КЎЧАСИ 5 УЙ</t>
        </is>
      </c>
      <c r="H292" s="113">
        <v>10.0</v>
      </c>
      <c r="I292" s="113">
        <v>1245829.4</v>
      </c>
      <c r="K292" s="112" t="inlineStr">
        <is>
          <t xml:space="preserve">Telefon ko'tardi | tulqin akaga berganakan | Стандартрый</t>
        </is>
      </c>
    </row>
    <row r="293">
      <c r="A293" s="112" t="inlineStr">
        <is>
          <t xml:space="preserve">НАМАНГАН ВИЛОЯТИ</t>
        </is>
      </c>
      <c r="C293" s="112" t="inlineStr">
        <is>
          <t xml:space="preserve">Дозвон</t>
        </is>
      </c>
      <c r="D293" s="112" t="inlineStr">
        <is>
          <t xml:space="preserve">Кр-99038844-1</t>
        </is>
      </c>
      <c r="E293" s="112" t="inlineStr">
        <is>
          <t xml:space="preserve">SAYDIKRAMOV XABIBULLA JO’RAYEVICH</t>
        </is>
      </c>
      <c r="F293" s="112" t="inlineStr">
        <is>
          <t xml:space="preserve">998934925822 SMS OZI, 998931601106 SMS ZALOGTEL, 998948741970 SMS AYOLI,</t>
        </is>
      </c>
      <c r="G293" s="112" t="inlineStr">
        <is>
          <t xml:space="preserve">NAMANGAN SHAHAR</t>
        </is>
      </c>
      <c r="H293" s="113">
        <v>3.0</v>
      </c>
      <c r="I293" s="113">
        <v>1230247.25</v>
      </c>
      <c r="K293" s="112" t="inlineStr">
        <is>
          <t xml:space="preserve">Telefon ko'tardi | yopildi | Хороший</t>
        </is>
      </c>
    </row>
    <row r="294">
      <c r="A294" s="112" t="inlineStr">
        <is>
          <t xml:space="preserve">НАМАНГАН ВИЛОЯТИ</t>
        </is>
      </c>
      <c r="C294" s="112" t="inlineStr">
        <is>
          <t xml:space="preserve">Дозвон</t>
        </is>
      </c>
      <c r="D294" s="112" t="inlineStr">
        <is>
          <t xml:space="preserve">Кр-99040468-2</t>
        </is>
      </c>
      <c r="E294" s="112" t="inlineStr">
        <is>
          <t xml:space="preserve">SOLIYEVA MALIKAXON ALIMJONOVNA</t>
        </is>
      </c>
      <c r="F294" s="112" t="inlineStr">
        <is>
          <t xml:space="preserve">998777290109 SMS OZI, 998950065809 SMS OZI 2, 998903003001 SARVAR AKA HAL QILADI, 998771490700 sms uzi new sarvarni opasi,</t>
        </is>
      </c>
      <c r="G294" s="112" t="inlineStr">
        <is>
          <t xml:space="preserve">NAMANGAN VILOYATI NORIN TUMANI BUSTON MFY UVAYSIY KO’CHASI 206 UY</t>
        </is>
      </c>
      <c r="I294" s="113">
        <v>1213995.99</v>
      </c>
      <c r="K294" s="112" t="inlineStr">
        <is>
          <t xml:space="preserve">Telefon ko'tardi | klent xitoyda ekan oglini oyligi tushishi bilan tolab berarkan | Стандартрый</t>
        </is>
      </c>
    </row>
    <row r="295">
      <c r="A295" s="112" t="inlineStr">
        <is>
          <t xml:space="preserve">НАМАНГАН ВИЛОЯТИ</t>
        </is>
      </c>
      <c r="C295" s="112" t="inlineStr">
        <is>
          <t xml:space="preserve">Дозвон</t>
        </is>
      </c>
      <c r="D295" s="112" t="inlineStr">
        <is>
          <t xml:space="preserve">Кр-99029378-3</t>
        </is>
      </c>
      <c r="E295" s="112" t="inlineStr">
        <is>
          <t xml:space="preserve">ASRALXANOV OTABEK KAXRAMONOVICH</t>
        </is>
      </c>
      <c r="F295" s="112" t="inlineStr">
        <is>
          <t xml:space="preserve">998911820002 SMS O’ZI, 998934010666 SMS O’ZI, 998932710666 SMS OGLI,</t>
        </is>
      </c>
      <c r="G295" s="112" t="inlineStr">
        <is>
          <t xml:space="preserve">NAMANGAN VILOYATI YANGI NAMANGAN TUMANI ISTIQBOL MFY CHORTOQ YO’LI KO’CHASI 2 UY</t>
        </is>
      </c>
      <c r="H295" s="113">
        <v>10.0</v>
      </c>
      <c r="I295" s="113">
        <v>1197935.27</v>
      </c>
      <c r="K295" s="112" t="inlineStr">
        <is>
          <t xml:space="preserve">Telefon ko'tardi | 20sida yopib berarkan | Стандартрый</t>
        </is>
      </c>
    </row>
    <row r="296">
      <c r="A296" s="112" t="inlineStr">
        <is>
          <t xml:space="preserve">НАМАНГАН ВИЛОЯТИ</t>
        </is>
      </c>
      <c r="C296" s="112" t="inlineStr">
        <is>
          <t xml:space="preserve">Дозвон</t>
        </is>
      </c>
      <c r="D296" s="112" t="inlineStr">
        <is>
          <t xml:space="preserve">Кр-99035749-2</t>
        </is>
      </c>
      <c r="E296" s="112" t="inlineStr">
        <is>
          <t xml:space="preserve">KOMILJONOV JAVOXIR RO’ZIMJON O’G’LI</t>
        </is>
      </c>
      <c r="F296" s="112" t="inlineStr">
        <is>
          <t xml:space="preserve">998773849818 SMS OZI, 998930860098 SMS XOLASI, 998974660807 SMS UKASI, 998998104279 SMS KELINOYISI, 998950752556 SMS JAVOHIR, 998998104279 SMS MOMASI,</t>
        </is>
      </c>
      <c r="G296" s="112" t="inlineStr">
        <is>
          <t xml:space="preserve">NAMANGAN VILOYATI NORIN TUMANI TEGIRMONBOSHI MFY GULISTON 1 KO’CHA 18 UY</t>
        </is>
      </c>
      <c r="H296" s="113">
        <v>10.0</v>
      </c>
      <c r="I296" s="113">
        <v>1109615.47</v>
      </c>
      <c r="K296" s="112" t="inlineStr">
        <is>
          <t xml:space="preserve">Telefon ko'tardi | 20 sida yopib berarkan | Стандартрый</t>
        </is>
      </c>
    </row>
    <row r="297">
      <c r="A297" s="112" t="inlineStr">
        <is>
          <t xml:space="preserve">НАМАНГАН ВИЛОЯТИ</t>
        </is>
      </c>
      <c r="C297" s="112" t="inlineStr">
        <is>
          <t xml:space="preserve">Дозвон</t>
        </is>
      </c>
      <c r="D297" s="112" t="inlineStr">
        <is>
          <t xml:space="preserve">Кр-99038184-2</t>
        </is>
      </c>
      <c r="E297" s="112" t="inlineStr">
        <is>
          <t xml:space="preserve">SHODMONOVA XABIBA ADXAMOVNA</t>
        </is>
      </c>
      <c r="F297" s="112" t="inlineStr">
        <is>
          <t xml:space="preserve">998943095119 SMS OZI, 998503006036 SMS ERI BEGONA, 998974005119 SMS OGLI, 998943980030 SMS OGLI, 998770505119 eri tolovchi,</t>
        </is>
      </c>
      <c r="G297" s="112" t="inlineStr">
        <is>
          <t xml:space="preserve">NAMANGAN  VILOYATI YANGIQO’RG’N TUMANI XUJASHURKENT MFY YANGI SHAHARCHA KO’CHA 85 UY</t>
        </is>
      </c>
      <c r="H297" s="113">
        <v>10.0</v>
      </c>
      <c r="I297" s="113">
        <v>1071886.2</v>
      </c>
      <c r="K297" s="112" t="inlineStr">
        <is>
          <t xml:space="preserve">Telefon ko'tardi | tolab qoyarkan | Стандартрый</t>
        </is>
      </c>
    </row>
    <row r="298">
      <c r="A298" s="112" t="inlineStr">
        <is>
          <t xml:space="preserve">НАМАНГАН ВИЛОЯТИ</t>
        </is>
      </c>
      <c r="C298" s="112" t="inlineStr">
        <is>
          <t xml:space="preserve">Дозвон</t>
        </is>
      </c>
      <c r="D298" s="112" t="inlineStr">
        <is>
          <t xml:space="preserve">Кр-99064125-1</t>
        </is>
      </c>
      <c r="E298" s="112" t="inlineStr">
        <is>
          <t xml:space="preserve">O’TANOV MUXIDDIN TURSUNOVICH</t>
        </is>
      </c>
      <c r="F298" s="112" t="inlineStr">
        <is>
          <t xml:space="preserve">+998882053232 SMS O’ZI, 998888267475 SMS JIYANI, 998942783839 SMS AYOLI,</t>
        </is>
      </c>
      <c r="G298" s="112" t="inlineStr">
        <is>
          <t xml:space="preserve">НАМАНГАН ВИЛОЯТИ НОРИН ТУМАНИ МАРҒИЗОР МФЙ НАВО КЎЧАСИ 14 УЙ</t>
        </is>
      </c>
      <c r="H298" s="113">
        <v>10.0</v>
      </c>
      <c r="I298" s="113">
        <v>1065315.74</v>
      </c>
      <c r="K298" s="112" t="inlineStr">
        <is>
          <t xml:space="preserve">Telefon ko'tardi | tolab qoyarkan | Стандартрый</t>
        </is>
      </c>
    </row>
    <row r="299">
      <c r="A299" s="112" t="inlineStr">
        <is>
          <t xml:space="preserve">НАМАНГАН ВИЛОЯТИ</t>
        </is>
      </c>
      <c r="C299" s="112" t="inlineStr">
        <is>
          <t xml:space="preserve">Обещал</t>
        </is>
      </c>
      <c r="D299" s="112" t="inlineStr">
        <is>
          <t xml:space="preserve">Кр-99031356-2</t>
        </is>
      </c>
      <c r="E299" s="112" t="inlineStr">
        <is>
          <t xml:space="preserve">NAJMUTDINOV ILXOM ODILXANOVICH</t>
        </is>
      </c>
      <c r="F299" s="112" t="inlineStr">
        <is>
          <t xml:space="preserve">91-052-70-73  SMS OZI, 90-551-31-48  SMS OZI 2, 69-221-50-02  SMS UY, 90-599-89-89  SMS OZI 3, +998776680451 SMS O’ZI, 998957196160 ozi new new,</t>
        </is>
      </c>
      <c r="G299" s="112" t="inlineStr">
        <is>
          <t xml:space="preserve">NAMANGAN VILOYATI NAMANGAN SHAHAR  GULBOG’ MFY GULBOG’ KO’CHA 15 UY</t>
        </is>
      </c>
      <c r="H299" s="113">
        <v>10.0</v>
      </c>
      <c r="I299" s="113">
        <v>1048802.55</v>
      </c>
      <c r="K299" s="112" t="inlineStr">
        <is>
          <t xml:space="preserve">Va'da berdi | ertaga tolab berarkan | Стандартрый</t>
        </is>
      </c>
    </row>
    <row r="300">
      <c r="A300" s="112" t="inlineStr">
        <is>
          <t xml:space="preserve">НАМАНГАН ВИЛОЯТИ</t>
        </is>
      </c>
      <c r="C300" s="112" t="inlineStr">
        <is>
          <t xml:space="preserve">Обещал</t>
        </is>
      </c>
      <c r="D300" s="112" t="inlineStr">
        <is>
          <t xml:space="preserve">Кр-99046371-1</t>
        </is>
      </c>
      <c r="E300" s="112" t="inlineStr">
        <is>
          <t xml:space="preserve">ABDUXALILOV ASADBEK OYBEK O’G’LI</t>
        </is>
      </c>
      <c r="F300" s="112" t="inlineStr">
        <is>
          <t xml:space="preserve">+998932675161 SMS OZI, 998942776656 SMS OTASI, 998943079979 SMS UKASI,</t>
        </is>
      </c>
      <c r="G300" s="112" t="inlineStr">
        <is>
          <t xml:space="preserve">NAMANGAN VILOYATI UYCHI TUMANI XURRIYAT MFY S.MAMADALIYEVA KO’CHASI 29-UY</t>
        </is>
      </c>
      <c r="H300" s="113">
        <v>10.0</v>
      </c>
      <c r="I300" s="113">
        <v>1048771.73</v>
      </c>
      <c r="K300" s="112" t="inlineStr">
        <is>
          <t xml:space="preserve">Va'da berdi | yopildi | Стандартрый</t>
        </is>
      </c>
    </row>
    <row r="301">
      <c r="A301" s="112" t="inlineStr">
        <is>
          <t xml:space="preserve">НАМАНГАН ВИЛОЯТИ</t>
        </is>
      </c>
      <c r="C301" s="112" t="inlineStr">
        <is>
          <t xml:space="preserve">Обещал</t>
        </is>
      </c>
      <c r="D301" s="112" t="inlineStr">
        <is>
          <t xml:space="preserve">Кр-99062909-2</t>
        </is>
      </c>
      <c r="E301" s="112" t="inlineStr">
        <is>
          <t xml:space="preserve">AZIZOV ZAKRIYO MUXAMATOVICH</t>
        </is>
      </c>
      <c r="F301" s="112" t="inlineStr">
        <is>
          <t xml:space="preserve">+998999160100 SMS O’ZI, 998911836800 SMS UY,</t>
        </is>
      </c>
      <c r="G301" s="112" t="inlineStr">
        <is>
          <t xml:space="preserve">НАМАНГАН ВИЛОЯТИ ЯНГИ НАМАНГАН ТУМАНИ КЕЛАЖАК ТОНГИ МФЙ 5-КУЗГУ КЎЧАСИ 1-УЙ</t>
        </is>
      </c>
      <c r="H301" s="113">
        <v>10.0</v>
      </c>
      <c r="I301" s="113">
        <v>813351.66</v>
      </c>
      <c r="K301" s="112" t="inlineStr">
        <is>
          <t xml:space="preserve">Va'da berdi | yopildi | Стандартрый</t>
        </is>
      </c>
    </row>
    <row r="302">
      <c r="A302" s="112" t="inlineStr">
        <is>
          <t xml:space="preserve">НАМАНГАН ВИЛОЯТИ</t>
        </is>
      </c>
      <c r="C302" s="112" t="inlineStr">
        <is>
          <t xml:space="preserve">Дозвон</t>
        </is>
      </c>
      <c r="D302" s="112" t="inlineStr">
        <is>
          <t xml:space="preserve">Кр-99030239-1</t>
        </is>
      </c>
      <c r="E302" s="112" t="inlineStr">
        <is>
          <t xml:space="preserve">URALOV ABDUNABI ABDUMUMINOVICH</t>
        </is>
      </c>
      <c r="F302" s="112" t="inlineStr">
        <is>
          <t xml:space="preserve">94-543-89-00  SMS O’ZI  KLENT QOZOGISTONDA ISHLIDI, 998500744992 SMS AYOLI, 93-583-68-00  SMS ONASI, 93-211-89-00  SMS O’ZI 2,</t>
        </is>
      </c>
      <c r="G302" s="112" t="inlineStr">
        <is>
          <t xml:space="preserve">NAMANGAN VILOYATI CHORTOQ TUMANI OQTERAK MFY OBI XAYOT KO’CHASI 74 UY</t>
        </is>
      </c>
      <c r="H302" s="113">
        <v>15.0</v>
      </c>
      <c r="I302" s="113">
        <v>513344.24</v>
      </c>
      <c r="K302" s="112" t="inlineStr">
        <is>
          <t xml:space="preserve">Telefon ko'tardi | 20sida yopib berarkan | Стандартрый</t>
        </is>
      </c>
    </row>
    <row r="303">
      <c r="A303" s="112" t="inlineStr">
        <is>
          <t xml:space="preserve">НАМАНГАН ВИЛОЯТИ</t>
        </is>
      </c>
      <c r="C303" s="112" t="inlineStr">
        <is>
          <t xml:space="preserve">Дозвон</t>
        </is>
      </c>
      <c r="D303" s="112" t="inlineStr">
        <is>
          <t xml:space="preserve">Кр-99038355-2</t>
        </is>
      </c>
      <c r="E303" s="112" t="inlineStr">
        <is>
          <t xml:space="preserve">QURBANOV RAXIMBERDI PARPIYEVICH</t>
        </is>
      </c>
      <c r="F303" s="112" t="inlineStr">
        <is>
          <t xml:space="preserve">998941371520 SMS OZI, 998505102412 SMS KELINI begona, 998946757303 SMS BEGONA BU BOLA QIMELA, 998882641114 SMS O’G’LI,</t>
        </is>
      </c>
      <c r="G303" s="112" t="inlineStr">
        <is>
          <t xml:space="preserve">NAMANGAN VILOYATI UYCHI TUMANI XURRIYAT MFY RAVNAQ KO’CHASI  64 UY</t>
        </is>
      </c>
      <c r="H303" s="113">
        <v>10.0</v>
      </c>
      <c r="I303" s="113">
        <v>510217.4</v>
      </c>
      <c r="K303" s="112" t="inlineStr">
        <is>
          <t xml:space="preserve">Telefon ko'tardi | yban gnida bola bu tolaydi undruvchiga bomasam gazini beramiz | Стандартрый</t>
        </is>
      </c>
    </row>
    <row r="304">
      <c r="A304" s="114" t="inlineStr">
        <is>
          <t xml:space="preserve">САМАРКАНД ВИЛОЯТИ</t>
        </is>
      </c>
      <c r="C304" s="114" t="inlineStr">
        <is>
          <t xml:space="preserve">Обещал</t>
        </is>
      </c>
      <c r="D304" s="114" t="inlineStr">
        <is>
          <t xml:space="preserve">Кр-99035549-1</t>
        </is>
      </c>
      <c r="E304" s="114" t="inlineStr">
        <is>
          <t xml:space="preserve">EBODULLAYEVA DURDONA SHAHRIDINOVNA</t>
        </is>
      </c>
      <c r="F304" s="114" t="inlineStr">
        <is>
          <t xml:space="preserve">998770287773 SMS OZI, 998936166662 SMS AYOLI, 998947566565 SMStulovchi , 998940037948 SMS ERI,</t>
        </is>
      </c>
      <c r="G304" s="114" t="inlineStr">
        <is>
          <t xml:space="preserve">SAMARQAND VILOYATI SAMARQAND SHAHAR QQORASUV-2 MASSIVI BAHODIR YALANGTUSH MFY 168 UY 32-XONADON</t>
        </is>
      </c>
      <c r="H304" s="115">
        <v>147.0</v>
      </c>
      <c r="I304" s="115">
        <v>40957087.9</v>
      </c>
      <c r="K304" s="114" t="inlineStr">
        <is>
          <t xml:space="preserve">Va'da berdi | muamoli klkent</t>
        </is>
      </c>
    </row>
    <row r="305">
      <c r="A305" s="114" t="inlineStr">
        <is>
          <t xml:space="preserve">САМАРКАНД ВИЛОЯТИ</t>
        </is>
      </c>
      <c r="C305" s="114" t="inlineStr">
        <is>
          <t xml:space="preserve">Обещал</t>
        </is>
      </c>
      <c r="D305" s="114" t="inlineStr">
        <is>
          <t xml:space="preserve">Кр-99035656-3</t>
        </is>
      </c>
      <c r="E305" s="114" t="inlineStr">
        <is>
          <t xml:space="preserve">BO’LTAKOV SHUXRAT ACHILBAYEVICH</t>
        </is>
      </c>
      <c r="F305" s="114" t="inlineStr">
        <is>
          <t xml:space="preserve">998953970709 SMS OZI, 998902821188 SMS AKASI, 998533320702 SMS OZI, 998947670902 SMS UYI, 998953109692 УЗИ ШУНГА КЛИЛАР ,</t>
        </is>
      </c>
      <c r="G305" s="114" t="inlineStr">
        <is>
          <t xml:space="preserve">SAMARQAND VILOYATI JOMBOY TUMANI SHIRINKENT MFY ELATON QISHLOG'I 1-TOR KUCHA 1-UY JOMBOY TUMANI</t>
        </is>
      </c>
      <c r="H305" s="115">
        <v>13.0</v>
      </c>
      <c r="I305" s="115">
        <v>15461643.8</v>
      </c>
      <c r="K305" s="114" t="inlineStr">
        <is>
          <t xml:space="preserve">Va'da berdi | dushanba atolid 2 ta krediti yopilad</t>
        </is>
      </c>
    </row>
    <row r="306">
      <c r="A306" s="114" t="inlineStr">
        <is>
          <t xml:space="preserve">САМАРКАНД ВИЛОЯТИ</t>
        </is>
      </c>
      <c r="C306" s="114" t="inlineStr">
        <is>
          <t xml:space="preserve">Дозвон</t>
        </is>
      </c>
      <c r="D306" s="114" t="inlineStr">
        <is>
          <t xml:space="preserve">Кр-99024819-8</t>
        </is>
      </c>
      <c r="E306" s="114" t="inlineStr">
        <is>
          <t xml:space="preserve">GULYAMOV IMRON BAXODIROVICH</t>
        </is>
      </c>
      <c r="F306" s="114" t="inlineStr">
        <is>
          <t xml:space="preserve">90-503-44-22 SMS AKASI SHU HAL QILADI, 91-520-43-44 SMS UZI, 66-234-44-63 SMS UYI, 97-927-25-11 SMS UKASI,</t>
        </is>
      </c>
      <c r="G306" s="114" t="inlineStr">
        <is>
          <t xml:space="preserve">SAMARQAND VILOYATI SAMARQAND SHAHRI BOG’I SHIFO MFY  MASKOVSKIY KUCHASI 12-UY</t>
        </is>
      </c>
      <c r="H306" s="115">
        <v>10.0</v>
      </c>
      <c r="I306" s="115">
        <v>10752171.91</v>
      </c>
      <c r="J306" s="115">
        <v>10752171.91</v>
      </c>
      <c r="K306" s="114" t="inlineStr">
        <is>
          <t xml:space="preserve">To'ladi | yopildi</t>
        </is>
      </c>
    </row>
    <row r="307">
      <c r="A307" s="114" t="inlineStr">
        <is>
          <t xml:space="preserve">САМАРКАНД ВИЛОЯТИ</t>
        </is>
      </c>
      <c r="C307" s="114" t="inlineStr">
        <is>
          <t xml:space="preserve">Обещал</t>
        </is>
      </c>
      <c r="D307" s="114" t="inlineStr">
        <is>
          <t xml:space="preserve">Кр-99049145-1</t>
        </is>
      </c>
      <c r="E307" s="114" t="inlineStr">
        <is>
          <t xml:space="preserve">NURIMOVA SHAXLO IBADULLAYEVNA</t>
        </is>
      </c>
      <c r="F307" s="114" t="inlineStr">
        <is>
          <t xml:space="preserve">+998953109692 SMS OZI, 998955792070 SMS UYI, 998972858189 SMS ERI,</t>
        </is>
      </c>
      <c r="G307" s="114" t="inlineStr">
        <is>
          <t xml:space="preserve">SAMARQAND VILOYATI PASTDARG’OM TUMANI QATORTERAK MFY QATORTERAK QISHLOG’I 64-UY</t>
        </is>
      </c>
      <c r="H307" s="115">
        <v>10.0</v>
      </c>
      <c r="I307" s="115">
        <v>9380958.75</v>
      </c>
      <c r="K307" s="114" t="inlineStr">
        <is>
          <t xml:space="preserve">Va'da berdi | 2 chi krediti bu dushanba yopad ikkalasiniyam</t>
        </is>
      </c>
    </row>
    <row r="308">
      <c r="A308" s="114" t="inlineStr">
        <is>
          <t xml:space="preserve">САМАРКАНД ВИЛОЯТИ</t>
        </is>
      </c>
      <c r="C308" s="114" t="inlineStr">
        <is>
          <t xml:space="preserve">Обещал</t>
        </is>
      </c>
      <c r="D308" s="114" t="inlineStr">
        <is>
          <t xml:space="preserve">Кр-99006415-2</t>
        </is>
      </c>
      <c r="E308" s="114" t="inlineStr">
        <is>
          <t xml:space="preserve">BOLIYEV ORIP XATAMOVICH</t>
        </is>
      </c>
      <c r="F308" s="114" t="inlineStr">
        <is>
          <t xml:space="preserve">99-202-58-88 SMS UKASI, sindor jovob SMS QIZI , 998938136568 SMS TULOVCHI, 998974055213 SMS OZI, 998991475888 SMS UKASI,</t>
        </is>
      </c>
      <c r="G308" s="114" t="inlineStr">
        <is>
          <t xml:space="preserve">SAMARQAND VILOYATI PASTDARG’OM TUMANI QUSHQUDUQ MFY ISTIQLOL KO’CHASI 76-UY</t>
        </is>
      </c>
      <c r="H308" s="115">
        <v>10.0</v>
      </c>
      <c r="I308" s="115">
        <v>6240709.37</v>
      </c>
      <c r="K308" s="114" t="inlineStr">
        <is>
          <t xml:space="preserve">Va'da berdi | filial bollari yopadi</t>
        </is>
      </c>
    </row>
    <row r="309">
      <c r="A309" s="114" t="inlineStr">
        <is>
          <t xml:space="preserve">САМАРКАНД ВИЛОЯТИ</t>
        </is>
      </c>
      <c r="C309" s="114" t="inlineStr">
        <is>
          <t xml:space="preserve">Обещал</t>
        </is>
      </c>
      <c r="D309" s="114" t="inlineStr">
        <is>
          <t xml:space="preserve">Кр-99060719-2</t>
        </is>
      </c>
      <c r="E309" s="114" t="inlineStr">
        <is>
          <t xml:space="preserve">SADINOV JAMOLIDDIN SHAVKATOVICH</t>
        </is>
      </c>
      <c r="F309" s="114" t="inlineStr">
        <is>
          <t xml:space="preserve">+998870107789 SMS OZI, 998885773077 SMS AYOLI, 998940770186 SMS AKASI,</t>
        </is>
      </c>
      <c r="G309" s="114" t="inlineStr">
        <is>
          <t xml:space="preserve">SAMQARQAND VILOYATI PASTDARG’OM TUMANI TEMIRXUJA MFY BAGBONLAR KUCHASI 357-UY</t>
        </is>
      </c>
      <c r="H309" s="115">
        <v>10.0</v>
      </c>
      <c r="I309" s="115">
        <v>4277485.0</v>
      </c>
      <c r="K309" s="114" t="inlineStr">
        <is>
          <t xml:space="preserve">Va'da berdi | avariya bolgan bu klent oydan oyga otmey yopaman</t>
        </is>
      </c>
    </row>
    <row r="310">
      <c r="A310" s="114" t="inlineStr">
        <is>
          <t xml:space="preserve">САМАРКАНД ВИЛОЯТИ</t>
        </is>
      </c>
      <c r="C310" s="114" t="inlineStr">
        <is>
          <t xml:space="preserve">Обещал</t>
        </is>
      </c>
      <c r="D310" s="114" t="inlineStr">
        <is>
          <t xml:space="preserve">Кр-99036138-1</t>
        </is>
      </c>
      <c r="E310" s="114" t="inlineStr">
        <is>
          <t xml:space="preserve">XATOMOV SAIDUSMAN XOLSAITOVICH</t>
        </is>
      </c>
      <c r="F310" s="114" t="inlineStr">
        <is>
          <t xml:space="preserve">998942435937 SMS OZI, 998947882991 SMS OGLI, 998945314577 SMS AYOLI, 998930033909 SMS OGLI KICHIK,</t>
        </is>
      </c>
      <c r="G310" s="114" t="inlineStr">
        <is>
          <t xml:space="preserve">SAMARQAND VILOYATI JOMBOY TUMANI BESH BOLA MFY BEKBO'TA QYF </t>
        </is>
      </c>
      <c r="H310" s="115">
        <v>1.0</v>
      </c>
      <c r="I310" s="115">
        <v>4223778.78</v>
      </c>
      <c r="K310" s="114" t="inlineStr">
        <is>
          <t xml:space="preserve">Va'da berdi | 2 kunda tolid tuya sotib</t>
        </is>
      </c>
    </row>
    <row r="311">
      <c r="A311" s="114" t="inlineStr">
        <is>
          <t xml:space="preserve">САМАРКАНД ВИЛОЯТИ</t>
        </is>
      </c>
      <c r="C311" s="114" t="inlineStr">
        <is>
          <t xml:space="preserve">Обещал</t>
        </is>
      </c>
      <c r="D311" s="114" t="inlineStr">
        <is>
          <t xml:space="preserve">Кр-99063322-2</t>
        </is>
      </c>
      <c r="E311" s="114" t="inlineStr">
        <is>
          <t xml:space="preserve">UTABAYEV JONIBEK ILXOMOVICH</t>
        </is>
      </c>
      <c r="F311" s="114" t="inlineStr">
        <is>
          <t xml:space="preserve">998901922133 SMS OPASI, 998910394407 SMS, 998915214468 SMM UYI, 998995267774 SMS OZI,</t>
        </is>
      </c>
      <c r="G311" s="114" t="inlineStr">
        <is>
          <t xml:space="preserve">SAMARQAND VILOYATI KATTAQO’RG’ON SHAHAR YERMSCHIT MFY BUNYODKOR KUCHASI 6 A DOM 1 KORPUS 1 KVARTERA</t>
        </is>
      </c>
      <c r="H311" s="115">
        <v>10.0</v>
      </c>
      <c r="I311" s="115">
        <v>4159401.88</v>
      </c>
      <c r="K311" s="114" t="inlineStr">
        <is>
          <t xml:space="preserve">Va'da berdi | ertaga toliq tolov</t>
        </is>
      </c>
    </row>
    <row r="312">
      <c r="A312" s="114" t="inlineStr">
        <is>
          <t xml:space="preserve">САМАРКАНД ВИЛОЯТИ</t>
        </is>
      </c>
      <c r="C312" s="114" t="inlineStr">
        <is>
          <t xml:space="preserve">Обещал</t>
        </is>
      </c>
      <c r="D312" s="114" t="inlineStr">
        <is>
          <t xml:space="preserve">Кр-99046120-1</t>
        </is>
      </c>
      <c r="E312" s="114" t="inlineStr">
        <is>
          <t xml:space="preserve">KARIMOV NURJON ADHAM O’G’LI</t>
        </is>
      </c>
      <c r="F312" s="114" t="inlineStr">
        <is>
          <t xml:space="preserve">+998979360722 SMS OZI, 998500048835 SMS UYI, 998930364525 SMS AKASI, 998944111279 SMS DADASI,</t>
        </is>
      </c>
      <c r="G312" s="114" t="inlineStr">
        <is>
          <t xml:space="preserve">SAMARQAND VILOYATI QO’SHRABOD TUMANI XONNAZAR MFY</t>
        </is>
      </c>
      <c r="H312" s="115">
        <v>13.0</v>
      </c>
      <c r="I312" s="115">
        <v>3442946.22</v>
      </c>
      <c r="K312" s="114" t="inlineStr">
        <is>
          <t xml:space="preserve">Va'da berdi | ertadan 1 kun ham otmid vada berdi</t>
        </is>
      </c>
    </row>
    <row r="313">
      <c r="A313" s="114" t="inlineStr">
        <is>
          <t xml:space="preserve">САМАРКАНД ВИЛОЯТИ</t>
        </is>
      </c>
      <c r="C313" s="114" t="inlineStr">
        <is>
          <t xml:space="preserve">Обещал</t>
        </is>
      </c>
      <c r="D313" s="114" t="inlineStr">
        <is>
          <t xml:space="preserve">Кр-99027786-1</t>
        </is>
      </c>
      <c r="E313" s="114" t="inlineStr">
        <is>
          <t xml:space="preserve">TEMIROV OLIMSHER JAXONGIR O’G’LI</t>
        </is>
      </c>
      <c r="F313" s="114" t="inlineStr">
        <is>
          <t xml:space="preserve">998947420451 SMS OZI кариндоши, 998905021015 SMS AYOLI, 998901951510 SMS O'ZI 2, 998907420451 SMS ISHXONASI, 998949977497 узи ,</t>
        </is>
      </c>
      <c r="G313" s="114" t="inlineStr">
        <is>
          <t xml:space="preserve">SAMARQAND VILOYATI PASTDARG’OM TUMANI PULATCHI QFY OLMAZOR MFY XALOVAT KO’CHASI 80-UY</t>
        </is>
      </c>
      <c r="H313" s="115">
        <v>8.0</v>
      </c>
      <c r="I313" s="115">
        <v>3047606.77</v>
      </c>
      <c r="K313" s="114" t="inlineStr">
        <is>
          <t xml:space="preserve">Va'da berdi | ruldaman db narmalni gaplashmayapti</t>
        </is>
      </c>
    </row>
    <row r="314">
      <c r="A314" s="114" t="inlineStr">
        <is>
          <t xml:space="preserve">САМАРКАНД ВИЛОЯТИ</t>
        </is>
      </c>
      <c r="C314" s="114" t="inlineStr">
        <is>
          <t xml:space="preserve">Дозвон</t>
        </is>
      </c>
      <c r="D314" s="114" t="inlineStr">
        <is>
          <t xml:space="preserve">Кр-99036486-1</t>
        </is>
      </c>
      <c r="E314" s="114" t="inlineStr">
        <is>
          <t xml:space="preserve">QODIROV BOBURJON TEMUR O’G’LI</t>
        </is>
      </c>
      <c r="F314" s="114" t="inlineStr">
        <is>
          <t xml:space="preserve">998944700095 SMS OZI, 998954290607 SMS UKASI , 998933440395 SMS AYOLI, 998990919186 SMS UKASI ,</t>
        </is>
      </c>
      <c r="G314" s="114" t="inlineStr">
        <is>
          <t xml:space="preserve">SAMARQAND VILOYATI JOMBOY TUMANI BESH BOLA MFY BESH BOLA 11-UY</t>
        </is>
      </c>
      <c r="H314" s="115">
        <v>14.0</v>
      </c>
      <c r="I314" s="115">
        <v>2907706.29</v>
      </c>
      <c r="J314" s="115">
        <v>2907706.29</v>
      </c>
      <c r="K314" s="114" t="inlineStr">
        <is>
          <t xml:space="preserve">To'ladi | yopildi</t>
        </is>
      </c>
    </row>
    <row r="315">
      <c r="A315" s="114" t="inlineStr">
        <is>
          <t xml:space="preserve">САМАРКАНД ВИЛОЯТИ</t>
        </is>
      </c>
      <c r="C315" s="114" t="inlineStr">
        <is>
          <t xml:space="preserve">Обещал</t>
        </is>
      </c>
      <c r="D315" s="114" t="inlineStr">
        <is>
          <t xml:space="preserve">Кр-99040360-1</t>
        </is>
      </c>
      <c r="E315" s="114" t="inlineStr">
        <is>
          <t xml:space="preserve">KUSHMURODOV RASHID XUROZOVICH</t>
        </is>
      </c>
      <c r="F315" s="114" t="inlineStr">
        <is>
          <t xml:space="preserve">+998936002584 SMS O’ZI, 998505003878 SMS AKASI 2, 998935692069 SMS AKASI, 998501202552 SMS TULOVCHI, 998889007404 SMS AYOLI, 998919650304 SMS AKASI,</t>
        </is>
      </c>
      <c r="G315" s="114" t="inlineStr">
        <is>
          <t xml:space="preserve">SAMARQAND VILOYATI PAYARIQ TUMANI BAXRIN MFY SARXOUS KUCHASI 71-UY</t>
        </is>
      </c>
      <c r="H315" s="115">
        <v>10.0</v>
      </c>
      <c r="I315" s="115">
        <v>2705220.05</v>
      </c>
      <c r="K315" s="114" t="inlineStr">
        <is>
          <t xml:space="preserve">Va'da berdi</t>
        </is>
      </c>
    </row>
    <row r="316">
      <c r="A316" s="114" t="inlineStr">
        <is>
          <t xml:space="preserve">САМАРКАНД ВИЛОЯТИ</t>
        </is>
      </c>
      <c r="C316" s="114" t="inlineStr">
        <is>
          <t xml:space="preserve">Дозвон</t>
        </is>
      </c>
      <c r="D316" s="114" t="inlineStr">
        <is>
          <t xml:space="preserve">Кр-99042245-1</t>
        </is>
      </c>
      <c r="E316" s="114" t="inlineStr">
        <is>
          <t xml:space="preserve">NORMURADOV ELYOR RASULOVICH</t>
        </is>
      </c>
      <c r="F316" s="114" t="inlineStr">
        <is>
          <t xml:space="preserve">+998941882897 SMS OZI, 998904480702 SMS UKASI, 998931882987 SMS AYOLI, 998990693739 SMS UYI,</t>
        </is>
      </c>
      <c r="G316" s="114" t="inlineStr">
        <is>
          <t xml:space="preserve">SAMARQAND VILOYATI JONBOY TUMANI QANGLI MFY KURKAM DIYOR KUCHASI</t>
        </is>
      </c>
      <c r="I316" s="115">
        <v>2367581.67</v>
      </c>
      <c r="J316" s="115">
        <v>2367581.67</v>
      </c>
      <c r="K316" s="114" t="inlineStr">
        <is>
          <t xml:space="preserve">To'ladi | yopildi</t>
        </is>
      </c>
    </row>
    <row r="317">
      <c r="A317" s="114" t="inlineStr">
        <is>
          <t xml:space="preserve">САМАРКАНД ВИЛОЯТИ</t>
        </is>
      </c>
      <c r="C317" s="114" t="inlineStr">
        <is>
          <t xml:space="preserve">Дозвон</t>
        </is>
      </c>
      <c r="D317" s="114" t="inlineStr">
        <is>
          <t xml:space="preserve">Кр-99036483-1</t>
        </is>
      </c>
      <c r="E317" s="114" t="inlineStr">
        <is>
          <t xml:space="preserve">HASANOV XURSHID ABDURASHIDOVICH</t>
        </is>
      </c>
      <c r="F317" s="114" t="inlineStr">
        <is>
          <t xml:space="preserve">998881911012 SMS OZI, 998995111012 SMS AYOLI, 998995711037 SMS ONASI , 998992767791 SMS UKASI ,</t>
        </is>
      </c>
      <c r="G317" s="114" t="inlineStr">
        <is>
          <t xml:space="preserve">SAMARQAND VILOYATI ISHTIXON TUMANI QAYIRMA MFY TUYABOY OVUL QISHLOG`I 75-UY</t>
        </is>
      </c>
      <c r="H317" s="115">
        <v>14.0</v>
      </c>
      <c r="I317" s="115">
        <v>2321551.88</v>
      </c>
      <c r="J317" s="115">
        <v>2321551.88</v>
      </c>
      <c r="K317" s="114" t="inlineStr">
        <is>
          <t xml:space="preserve">To'ladi | yopildi</t>
        </is>
      </c>
    </row>
    <row r="318">
      <c r="A318" s="114" t="inlineStr">
        <is>
          <t xml:space="preserve">САМАРКАНД ВИЛОЯТИ</t>
        </is>
      </c>
      <c r="C318" s="114" t="inlineStr">
        <is>
          <t xml:space="preserve">Дозвон</t>
        </is>
      </c>
      <c r="D318" s="114" t="inlineStr">
        <is>
          <t xml:space="preserve">Кр-99033491-1</t>
        </is>
      </c>
      <c r="E318" s="114" t="inlineStr">
        <is>
          <t xml:space="preserve">XAYDAROV G’AYRATJON ABDUSAIDOVICH</t>
        </is>
      </c>
      <c r="F318" s="114" t="inlineStr">
        <is>
          <t xml:space="preserve">998509986314 SMS O’ZI, 998932214141 SMS TO’LOVCHISI, 998946797965 SMS UKASI, 998399874554 SMS UY, 998773437901 oilasi,</t>
        </is>
      </c>
      <c r="G318" s="114" t="inlineStr">
        <is>
          <t xml:space="preserve">SAMARQAND VILOYATI NARPAY TUMANI KUK OTA MFY KUK OTA QISHLOG’I 119-UY</t>
        </is>
      </c>
      <c r="H318" s="115">
        <v>6.0</v>
      </c>
      <c r="I318" s="115">
        <v>2288572.87</v>
      </c>
      <c r="J318" s="115">
        <v>2288572.87</v>
      </c>
      <c r="K318" s="114" t="inlineStr">
        <is>
          <t xml:space="preserve">To'ladi | toladi jaxon akani kartasiga</t>
        </is>
      </c>
    </row>
    <row r="319">
      <c r="A319" s="114" t="inlineStr">
        <is>
          <t xml:space="preserve">САМАРКАНД ВИЛОЯТИ</t>
        </is>
      </c>
      <c r="C319" s="114" t="inlineStr">
        <is>
          <t xml:space="preserve">Обещал</t>
        </is>
      </c>
      <c r="D319" s="114" t="inlineStr">
        <is>
          <t xml:space="preserve">Кр-99034407-1</t>
        </is>
      </c>
      <c r="E319" s="114" t="inlineStr">
        <is>
          <t xml:space="preserve">SHODIYEV YUNUS ZIYOYEVICH</t>
        </is>
      </c>
      <c r="F319" s="114" t="inlineStr">
        <is>
          <t xml:space="preserve">998937673633 SMS O’ZI, 998939967812 SMS AYOLI, 998904649211 SMS O’G’LI,</t>
        </is>
      </c>
      <c r="G319" s="114" t="inlineStr">
        <is>
          <t xml:space="preserve">SAMARQAND VILOYATI TAYLOQ TUMANI XITOYUZ MFY XITOYUZ QISHLOG’I GULOBOD KO’CHASI 41-UY</t>
        </is>
      </c>
      <c r="H319" s="115">
        <v>3.0</v>
      </c>
      <c r="I319" s="115">
        <v>2006353.77</v>
      </c>
      <c r="K319" s="114" t="inlineStr">
        <is>
          <t xml:space="preserve">Va'da berdi | yakshanba kuni tolov boladi</t>
        </is>
      </c>
    </row>
    <row r="320">
      <c r="A320" s="114" t="inlineStr">
        <is>
          <t xml:space="preserve">САМАРКАНД ВИЛОЯТИ</t>
        </is>
      </c>
      <c r="C320" s="114" t="inlineStr">
        <is>
          <t xml:space="preserve">Обещал</t>
        </is>
      </c>
      <c r="D320" s="114" t="inlineStr">
        <is>
          <t xml:space="preserve">Кр-99036059-1</t>
        </is>
      </c>
      <c r="E320" s="114" t="inlineStr">
        <is>
          <t xml:space="preserve">SINDAROVA SHAXRINISO ANVAROVNA</t>
        </is>
      </c>
      <c r="F320" s="114" t="inlineStr">
        <is>
          <t xml:space="preserve">998951923051 SMS O’ZI, 998932380012 SMS XAMKASBI, 998903314201 SMS XAMKASBI 2, 998972020301 SMS QARINDOSHI,</t>
        </is>
      </c>
      <c r="G320" s="114" t="inlineStr">
        <is>
          <t xml:space="preserve">SAMARQAND VILOYATI PAYARIQ TUMANI BO’STON O’YMOVUT Q/Q</t>
        </is>
      </c>
      <c r="H320" s="115">
        <v>3.0</v>
      </c>
      <c r="I320" s="115">
        <v>1916997.24</v>
      </c>
      <c r="K320" s="114" t="inlineStr">
        <is>
          <t xml:space="preserve">Va'da berdi | 20 lun oyligi tushadi srazu tolid</t>
        </is>
      </c>
    </row>
    <row r="321">
      <c r="A321" s="114" t="inlineStr">
        <is>
          <t xml:space="preserve">САМАРКАНД ВИЛОЯТИ</t>
        </is>
      </c>
      <c r="C321" s="114" t="inlineStr">
        <is>
          <t xml:space="preserve">Обещал</t>
        </is>
      </c>
      <c r="D321" s="114" t="inlineStr">
        <is>
          <t xml:space="preserve">Кр-99005214-4</t>
        </is>
      </c>
      <c r="E321" s="114" t="inlineStr">
        <is>
          <t xml:space="preserve">KARIMOV JAMSHID BAXROM-O’G’LI</t>
        </is>
      </c>
      <c r="F321" s="114" t="inlineStr">
        <is>
          <t xml:space="preserve">99-839-30-90 SMS UZI, 99-057-89-82 SMS mama, 90-808-05-53 SMS jena, 97-724-50-50 SMS TOLOVCHI HUMOYUN ,</t>
        </is>
      </c>
      <c r="G321" s="114" t="inlineStr">
        <is>
          <t xml:space="preserve">SAMARQAND VILOYATI KATTAQO’RG’ON SHAHAR O’ZBEKISTON KO’CHASI 174 UY</t>
        </is>
      </c>
      <c r="H321" s="115">
        <v>10.0</v>
      </c>
      <c r="I321" s="115">
        <v>1858166.56</v>
      </c>
      <c r="K321" s="114" t="inlineStr">
        <is>
          <t xml:space="preserve">Va'da berdi | yopad</t>
        </is>
      </c>
    </row>
    <row r="322">
      <c r="A322" s="114" t="inlineStr">
        <is>
          <t xml:space="preserve">САМАРКАНД ВИЛОЯТИ</t>
        </is>
      </c>
      <c r="C322" s="114" t="inlineStr">
        <is>
          <t xml:space="preserve">Обещал</t>
        </is>
      </c>
      <c r="D322" s="114" t="inlineStr">
        <is>
          <t xml:space="preserve">Кр-99025772-8</t>
        </is>
      </c>
      <c r="E322" s="114" t="inlineStr">
        <is>
          <t xml:space="preserve">SHAROPOV SHERZOD O’RUNOVICH</t>
        </is>
      </c>
      <c r="F322" s="114" t="inlineStr">
        <is>
          <t xml:space="preserve">99-193-84-84  SMS UZI, 90-600-66-78 SMS ZALOGADATEL, 90-600-66-78 SMS UYI, 99-161-66-78  SMS UKASI 2, +998991938484 SMS OZI,</t>
        </is>
      </c>
      <c r="G322" s="114" t="inlineStr">
        <is>
          <t xml:space="preserve">SAMARQAND VILOYATI URGUT TUMANI DUSTLIK MFY A.TEMUR KUCHASI 83-UY</t>
        </is>
      </c>
      <c r="H322" s="115">
        <v>13.0</v>
      </c>
      <c r="I322" s="115">
        <v>1726116.9</v>
      </c>
      <c r="K322" s="114" t="inlineStr">
        <is>
          <t xml:space="preserve">Va'da berdi</t>
        </is>
      </c>
    </row>
    <row r="323">
      <c r="A323" s="114" t="inlineStr">
        <is>
          <t xml:space="preserve">САМАРКАНД ВИЛОЯТИ</t>
        </is>
      </c>
      <c r="C323" s="114" t="inlineStr">
        <is>
          <t xml:space="preserve">Обещал</t>
        </is>
      </c>
      <c r="D323" s="114" t="inlineStr">
        <is>
          <t xml:space="preserve">Кр-99027716-2</t>
        </is>
      </c>
      <c r="E323" s="114" t="inlineStr">
        <is>
          <t xml:space="preserve">SHAVAYEV XAFIZ ILIMDAR O’G’LI</t>
        </is>
      </c>
      <c r="F323" s="114" t="inlineStr">
        <is>
          <t xml:space="preserve">97-926-88-84 SMS AMAKISI FILIAR, 90-224-13-24 SMS OZI, 91-529-11-88 SMS DADASI, 99-949-11-88 SMS AYASI, 998915492288 мирза туловчи , 998771861177 mirza bc,</t>
        </is>
      </c>
      <c r="G323" s="114" t="inlineStr">
        <is>
          <t xml:space="preserve">SAMARQAND VILOYATI SAMARQAND SHAHRI XUNARMANDLAR MFY SPITAMENSHOX KUCHASI 14-UY</t>
        </is>
      </c>
      <c r="H323" s="115">
        <v>14.0</v>
      </c>
      <c r="I323" s="115">
        <v>1577670.55</v>
      </c>
      <c r="K323" s="114" t="inlineStr">
        <is>
          <t xml:space="preserve">Va'da berdi | ertaga tolab beradi</t>
        </is>
      </c>
    </row>
    <row r="324">
      <c r="A324" s="114" t="inlineStr">
        <is>
          <t xml:space="preserve">САМАРКАНД ВИЛОЯТИ</t>
        </is>
      </c>
      <c r="C324" s="114" t="inlineStr">
        <is>
          <t xml:space="preserve">Обещал</t>
        </is>
      </c>
      <c r="D324" s="114" t="inlineStr">
        <is>
          <t xml:space="preserve">Кр-99022843-2</t>
        </is>
      </c>
      <c r="E324" s="114" t="inlineStr">
        <is>
          <t xml:space="preserve">RAHMONOV FARHOD ALISHER O’G’LI</t>
        </is>
      </c>
      <c r="F324" s="114" t="inlineStr">
        <is>
          <t xml:space="preserve">97-565-35-59  SMS UZI, 93-339-02-80  SMS UZI 2, 93-035-39-25  SMS AKASI, 97-283-73-16  SMS ONASI,</t>
        </is>
      </c>
      <c r="G324" s="114" t="inlineStr">
        <is>
          <t xml:space="preserve">SAMARQAND VILOYATI NARPAY TUMANI TOSHRABOD QFY ISTIQLOL MFY 352-UY</t>
        </is>
      </c>
      <c r="H324" s="115">
        <v>2.0</v>
      </c>
      <c r="I324" s="115">
        <v>1435478.39</v>
      </c>
      <c r="K324" s="114" t="inlineStr">
        <is>
          <t xml:space="preserve">Va'da berdi | bugun tolov qiladi akasi vada berdi</t>
        </is>
      </c>
    </row>
    <row r="325">
      <c r="A325" s="114" t="inlineStr">
        <is>
          <t xml:space="preserve">САМАРКАНД ВИЛОЯТИ</t>
        </is>
      </c>
      <c r="C325" s="114" t="inlineStr">
        <is>
          <t xml:space="preserve">Обещал</t>
        </is>
      </c>
      <c r="D325" s="114" t="inlineStr">
        <is>
          <t xml:space="preserve">Кр-99045552-2</t>
        </is>
      </c>
      <c r="E325" s="114" t="inlineStr">
        <is>
          <t xml:space="preserve">SODIQOV SAIDUMAR FURQAT O’G’LI</t>
        </is>
      </c>
      <c r="F325" s="114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25" s="114" t="inlineStr">
        <is>
          <t xml:space="preserve">SAMARQAND VILOYATI NUROBOD TUMANI MASHAL MFY DALABOG’ KUCHASI 126-UY</t>
        </is>
      </c>
      <c r="H325" s="115">
        <v>10.0</v>
      </c>
      <c r="I325" s="115">
        <v>1250884.28</v>
      </c>
      <c r="K325" s="114" t="inlineStr">
        <is>
          <t xml:space="preserve">Va'da berdi | filialga borib ruxsat ob keldi kin ro tolashga</t>
        </is>
      </c>
    </row>
    <row r="326">
      <c r="A326" s="114" t="inlineStr">
        <is>
          <t xml:space="preserve">САМАРКАНД ВИЛОЯТИ</t>
        </is>
      </c>
      <c r="C326" s="114" t="inlineStr">
        <is>
          <t xml:space="preserve">Обещал</t>
        </is>
      </c>
      <c r="D326" s="114" t="inlineStr">
        <is>
          <t xml:space="preserve">Кр-99025772-7</t>
        </is>
      </c>
      <c r="E326" s="114" t="inlineStr">
        <is>
          <t xml:space="preserve">SHAROPOV SHERZOD O’RUNOVICH</t>
        </is>
      </c>
      <c r="F326" s="114" t="inlineStr">
        <is>
          <t xml:space="preserve">99-193-84-84  SMS UZI, 90-600-66-78 SMS ZALOGADATEL, 90-600-66-78 SMS UYI, 99-161-66-78  SMS UKASI 2, +998991938484 SMS OZI,</t>
        </is>
      </c>
      <c r="G326" s="114" t="inlineStr">
        <is>
          <t xml:space="preserve">SAMARQAND VILOYATI URGUT TUMANI DUSTLIK MFY A.TEMUR KUCHASI 83-UY</t>
        </is>
      </c>
      <c r="I326" s="115">
        <v>1247329.17</v>
      </c>
      <c r="K326" s="114" t="inlineStr">
        <is>
          <t xml:space="preserve">Va'da berdi | 2 kundan kinga</t>
        </is>
      </c>
    </row>
    <row r="327">
      <c r="A327" s="114" t="inlineStr">
        <is>
          <t xml:space="preserve">САМАРКАНД ВИЛОЯТИ</t>
        </is>
      </c>
      <c r="C327" s="114" t="inlineStr">
        <is>
          <t xml:space="preserve">Обещал</t>
        </is>
      </c>
      <c r="D327" s="114" t="inlineStr">
        <is>
          <t xml:space="preserve">Кр-99030240-4</t>
        </is>
      </c>
      <c r="E327" s="114" t="inlineStr">
        <is>
          <t xml:space="preserve">BABAJONOV MASHIROB OLMASOVICH</t>
        </is>
      </c>
      <c r="F327" s="114" t="inlineStr">
        <is>
          <t xml:space="preserve">50-552-16-74  SMS O’ZI, 93-045-82-83  SMS UKASI JASUR TULOVCHI , 93-037-26-83  SMS AYOLI, 93-990-90-27 SMS UYI, 998949032282 SMS ukasi tulovchi,</t>
        </is>
      </c>
      <c r="G327" s="114" t="inlineStr">
        <is>
          <t xml:space="preserve">SAMARQAND VIL PASTDARG'OM TUM P.BOG'ANALI QISHLOG'I YANGI UZBEKISTON koch</t>
        </is>
      </c>
      <c r="H327" s="115">
        <v>10.0</v>
      </c>
      <c r="I327" s="115">
        <v>1175899.73</v>
      </c>
      <c r="K327" s="114" t="inlineStr">
        <is>
          <t xml:space="preserve">Va'da berdi | ertaga toliq yopad</t>
        </is>
      </c>
    </row>
    <row r="328">
      <c r="A328" s="114" t="inlineStr">
        <is>
          <t xml:space="preserve">САМАРКАНД ВИЛОЯТИ</t>
        </is>
      </c>
      <c r="C328" s="114" t="inlineStr">
        <is>
          <t xml:space="preserve">Дозвон</t>
        </is>
      </c>
      <c r="D328" s="114" t="inlineStr">
        <is>
          <t xml:space="preserve">Кр-99063189-1</t>
        </is>
      </c>
      <c r="E328" s="114" t="inlineStr">
        <is>
          <t xml:space="preserve">BURONOV BUNYOD KAMOLIDDIN O’G’LI</t>
        </is>
      </c>
      <c r="F328" s="114" t="inlineStr">
        <is>
          <t xml:space="preserve">998941864114 OZI, 998944894114 AYOLI, 998937236606 UKASI, 998946815515 UYI,</t>
        </is>
      </c>
      <c r="G328" s="114" t="inlineStr">
        <is>
          <t xml:space="preserve">SAMARQAND VILOYATI NARPAY TUMANI TINCHLIK MFY PULKAN SHOIR KUCHASI 26-UY</t>
        </is>
      </c>
      <c r="H328" s="115">
        <v>10.0</v>
      </c>
      <c r="I328" s="115">
        <v>1079412.75</v>
      </c>
      <c r="J328" s="115">
        <v>1079412.75</v>
      </c>
      <c r="K328" s="114" t="inlineStr">
        <is>
          <t xml:space="preserve">To'ladi | yopildi</t>
        </is>
      </c>
    </row>
    <row r="329">
      <c r="A329" s="114" t="inlineStr">
        <is>
          <t xml:space="preserve">САМАРКАНД ВИЛОЯТИ</t>
        </is>
      </c>
      <c r="C329" s="114" t="inlineStr">
        <is>
          <t xml:space="preserve">Обещал</t>
        </is>
      </c>
      <c r="D329" s="114" t="inlineStr">
        <is>
          <t xml:space="preserve">Кр-99033239-3</t>
        </is>
      </c>
      <c r="E329" s="114" t="inlineStr">
        <is>
          <t xml:space="preserve">KOBILOV XURSHED SHUXRATOVICH</t>
        </is>
      </c>
      <c r="F329" s="114" t="inlineStr">
        <is>
          <t xml:space="preserve">998941333868 SMS O’ZI, 998942822026 SMS AKASI TO’LOVCHI, 998991364741 SMS UY, 998933388883 SMS AYOLI,</t>
        </is>
      </c>
      <c r="G329" s="114" t="inlineStr">
        <is>
          <t xml:space="preserve">SAMARQAND VILOYATI SAMARQAND SHAHRI PARRANDACHILIK MFY </t>
        </is>
      </c>
      <c r="H329" s="115">
        <v>10.0</v>
      </c>
      <c r="I329" s="115">
        <v>1007206.5</v>
      </c>
      <c r="K329" s="114" t="inlineStr">
        <is>
          <t xml:space="preserve">Va'da berdi | ertaga 5 gacha tolov qiladi tolovchi ayolini nomerini ishlatyapti</t>
        </is>
      </c>
    </row>
    <row r="330">
      <c r="A330" s="114" t="inlineStr">
        <is>
          <t xml:space="preserve">САМАРКАНД ВИЛОЯТИ</t>
        </is>
      </c>
      <c r="C330" s="114" t="inlineStr">
        <is>
          <t xml:space="preserve">Обещал</t>
        </is>
      </c>
      <c r="D330" s="114" t="inlineStr">
        <is>
          <t xml:space="preserve">Кр-99035569-2</t>
        </is>
      </c>
      <c r="E330" s="114" t="inlineStr">
        <is>
          <t xml:space="preserve">MANSUROV NODIRBEK SIROJITDINOVICH</t>
        </is>
      </c>
      <c r="F330" s="114" t="inlineStr">
        <is>
          <t xml:space="preserve">998992365131 SMS OZI, 998942265131 SMS AYOLI, 998992984910 SMS OPASI, 998423551312 SMS OZI,</t>
        </is>
      </c>
      <c r="G330" s="114" t="inlineStr">
        <is>
          <t xml:space="preserve">SAMARQAND VILOYATI NARPAY TUMANI KOZIKENT MFY DAMCHA KUCHASI 139-UY</t>
        </is>
      </c>
      <c r="H330" s="115">
        <v>14.0</v>
      </c>
      <c r="I330" s="115">
        <v>818162.24</v>
      </c>
      <c r="K330" s="114" t="inlineStr">
        <is>
          <t xml:space="preserve">Va'da berdi | 4 gacha tolov</t>
        </is>
      </c>
    </row>
    <row r="331">
      <c r="A331" s="114" t="inlineStr">
        <is>
          <t xml:space="preserve">САМАРКАНД ВИЛОЯТИ</t>
        </is>
      </c>
      <c r="C331" s="114" t="inlineStr">
        <is>
          <t xml:space="preserve">Обещал</t>
        </is>
      </c>
      <c r="D331" s="114" t="inlineStr">
        <is>
          <t xml:space="preserve">Кр-99055726-1</t>
        </is>
      </c>
      <c r="E331" s="114" t="inlineStr">
        <is>
          <t xml:space="preserve">TO’RAYEVA ZUMRAD JO’RABEK QIZI</t>
        </is>
      </c>
      <c r="F331" s="114" t="inlineStr">
        <is>
          <t xml:space="preserve">998997767207 SMS  ERI , 998995857802 SMS OZI , 998979180228 SMS UYI, 998904638777 SMS UKASI,</t>
        </is>
      </c>
      <c r="G331" s="114" t="inlineStr">
        <is>
          <t xml:space="preserve">SAMARQAND VILOYATI PASTDARG'OM TUMANI IIB томонидан 09.03.2017 йилда берилган</t>
        </is>
      </c>
      <c r="H331" s="115">
        <v>10.0</v>
      </c>
      <c r="I331" s="115">
        <v>659613.96</v>
      </c>
      <c r="K331" s="114" t="inlineStr">
        <is>
          <t xml:space="preserve">Va'da berdi | ukasi bn gaplashilindi bugun tolov qiladi aytad</t>
        </is>
      </c>
    </row>
    <row r="332">
      <c r="A332" s="114" t="inlineStr">
        <is>
          <t xml:space="preserve">САМАРКАНД ВИЛОЯТИ</t>
        </is>
      </c>
      <c r="C332" s="114" t="inlineStr">
        <is>
          <t xml:space="preserve">Обещал</t>
        </is>
      </c>
      <c r="D332" s="114" t="inlineStr">
        <is>
          <t xml:space="preserve">Кр-99057434-1</t>
        </is>
      </c>
      <c r="E332" s="114" t="inlineStr">
        <is>
          <t xml:space="preserve">AKRAMOV KOMIL MAVLONOVICH</t>
        </is>
      </c>
      <c r="F332" s="114" t="inlineStr">
        <is>
          <t xml:space="preserve">998996215271 SMS UZI, 998994131573 SMS AYOLI, 998993114953 SMS UGLI, 998953469498 SMS UYI,</t>
        </is>
      </c>
      <c r="G332" s="114" t="inlineStr">
        <is>
          <t xml:space="preserve">SAMARQAND VILOYATI OQDARYO TUMANI DO'STLIK MFY YANGI QISHLOQ QISHLOG'I</t>
        </is>
      </c>
      <c r="H332" s="115">
        <v>10.0</v>
      </c>
      <c r="I332" s="115">
        <v>647118.83</v>
      </c>
      <c r="K332" s="114" t="inlineStr">
        <is>
          <t xml:space="preserve">Va'da berdi | bugun tolid</t>
        </is>
      </c>
    </row>
    <row r="333">
      <c r="A333" s="114" t="inlineStr">
        <is>
          <t xml:space="preserve">САМАРКАНД ВИЛОЯТИ</t>
        </is>
      </c>
      <c r="C333" s="114" t="inlineStr">
        <is>
          <t xml:space="preserve">Обещал</t>
        </is>
      </c>
      <c r="D333" s="114" t="inlineStr">
        <is>
          <t xml:space="preserve">Кр-99040360-2</t>
        </is>
      </c>
      <c r="E333" s="114" t="inlineStr">
        <is>
          <t xml:space="preserve">KUSHMURODOV RASHID XUROZOVICH</t>
        </is>
      </c>
      <c r="F333" s="114" t="inlineStr">
        <is>
          <t xml:space="preserve">+998936002584 SMS O’ZI, 998505003878 SMS AKASI 2, 998935692069 SMS AKASI, 998501202552 SMS TULOVCHI, 998889007404 SMS AYOLI, 998919650304 SMS AKASI,</t>
        </is>
      </c>
      <c r="G333" s="114" t="inlineStr">
        <is>
          <t xml:space="preserve">SAMARQAND VILOYATI PAYARIQ TUMANI BAXRIN MFY SARXOUS KUCHASI 71-UY</t>
        </is>
      </c>
      <c r="H333" s="115">
        <v>10.0</v>
      </c>
      <c r="I333" s="115">
        <v>575789.3</v>
      </c>
      <c r="K333" s="114" t="inlineStr">
        <is>
          <t xml:space="preserve">Va'da berdi</t>
        </is>
      </c>
    </row>
    <row r="334">
      <c r="A334" s="114" t="inlineStr">
        <is>
          <t xml:space="preserve">САМАРКАНД ВИЛОЯТИ</t>
        </is>
      </c>
      <c r="C334" s="114" t="inlineStr">
        <is>
          <t xml:space="preserve">Дозвон</t>
        </is>
      </c>
      <c r="D334" s="114" t="inlineStr">
        <is>
          <t xml:space="preserve">Кр-99031289-3</t>
        </is>
      </c>
      <c r="E334" s="114" t="inlineStr">
        <is>
          <t xml:space="preserve">GAFUROV SUXROB SATTTAROVICH</t>
        </is>
      </c>
      <c r="F334" s="114" t="inlineStr">
        <is>
          <t xml:space="preserve">94-283-06-62 SMS O’ZI, 88-409-37-37  SMS O'G'LI  wu tolovchi bich , 95-217-27-63  SMS AYOLI, 99-116-68-87  SMS UYI,</t>
        </is>
      </c>
      <c r="G334" s="114" t="inlineStr">
        <is>
          <t xml:space="preserve">SAMARQAND VILOYATI SAMARQAND SHAHAR ISTIKBOL MFY 39-UY</t>
        </is>
      </c>
      <c r="H334" s="115">
        <v>10.0</v>
      </c>
      <c r="I334" s="115">
        <v>508663.91</v>
      </c>
      <c r="J334" s="115">
        <v>508663.91</v>
      </c>
      <c r="K334" s="114" t="inlineStr">
        <is>
          <t xml:space="preserve">To'ladi | yopildi filial tolid bugu</t>
        </is>
      </c>
    </row>
    <row r="335">
      <c r="A335" s="114" t="inlineStr">
        <is>
          <t xml:space="preserve">САМАРКАНД ВИЛОЯТИ</t>
        </is>
      </c>
      <c r="C335" s="114" t="inlineStr">
        <is>
          <t xml:space="preserve">Обещал</t>
        </is>
      </c>
      <c r="D335" s="114" t="inlineStr">
        <is>
          <t xml:space="preserve">Кр-99004885-4</t>
        </is>
      </c>
      <c r="E335" s="114" t="inlineStr">
        <is>
          <t xml:space="preserve">USMONOVA GULJAXON ABDIJABBOROVNA</t>
        </is>
      </c>
      <c r="F335" s="114" t="inlineStr">
        <is>
          <t xml:space="preserve">99-038-39-85 SMS UZI, 99-131-46-67 SMS HO’JAYINI, 99-448-74-56 SMS DADASI SHU ODAMGA TEL QILINMASIN 2 GURIPPA NOGIRON MAZZASI BOMIY QOVOTI, 99-413-90-93 SMS UKASI TANIMASIKAN , 99-131-46-67 SMS eri,</t>
        </is>
      </c>
      <c r="G335" s="114" t="inlineStr">
        <is>
          <t xml:space="preserve">SAMARQAND VILOYATI ISHTIHON TUMANI O’RTA QISHLOQ Q.F.Y QO’RSHIQ QISHLOG’I 33-UY</t>
        </is>
      </c>
      <c r="H335" s="115">
        <v>1.0</v>
      </c>
      <c r="I335" s="115">
        <v>294493.61</v>
      </c>
      <c r="K335" s="114" t="inlineStr">
        <is>
          <t xml:space="preserve">Va'da berdi | bugun tolavorad</t>
        </is>
      </c>
    </row>
    <row r="336">
      <c r="A336" s="114" t="inlineStr">
        <is>
          <t xml:space="preserve">САМАРКАНД ВИЛОЯТИ</t>
        </is>
      </c>
      <c r="C336" s="114" t="inlineStr">
        <is>
          <t xml:space="preserve">Обещал</t>
        </is>
      </c>
      <c r="D336" s="114" t="inlineStr">
        <is>
          <t xml:space="preserve">Кр-99040012-1</t>
        </is>
      </c>
      <c r="E336" s="114" t="inlineStr">
        <is>
          <t xml:space="preserve">QURBONOVA MOXIGUL MELIQULOVNA</t>
        </is>
      </c>
      <c r="F336" s="114" t="inlineStr">
        <is>
          <t xml:space="preserve">999895870313 SMS OZI, 998889384114 SMS ERI, 998883670313 SMS OGLI, 998993764700 SMS UYI,</t>
        </is>
      </c>
      <c r="G336" s="114" t="inlineStr">
        <is>
          <t xml:space="preserve">SAMARQAND VILOYATI URGUT TUMANI QORATEPA MFY QUZICHI QISHLOG'I </t>
        </is>
      </c>
      <c r="I336" s="115">
        <v>49577.2</v>
      </c>
      <c r="K336" s="114" t="inlineStr">
        <is>
          <t xml:space="preserve">Va'da berdi | abetdan kin tolid</t>
        </is>
      </c>
    </row>
    <row r="337">
      <c r="A337" s="114" t="inlineStr">
        <is>
          <t xml:space="preserve">САМАРКАНД ВИЛОЯТИ</t>
        </is>
      </c>
      <c r="C337" s="114" t="inlineStr">
        <is>
          <t xml:space="preserve">Дозвон</t>
        </is>
      </c>
      <c r="D337" s="114" t="inlineStr">
        <is>
          <t xml:space="preserve">Кр-99028632-1</t>
        </is>
      </c>
      <c r="E337" s="114" t="inlineStr">
        <is>
          <t xml:space="preserve">ELMURODOV SUNNATILLO BOBOKANOVICH</t>
        </is>
      </c>
      <c r="F337" s="114" t="inlineStr">
        <is>
          <t xml:space="preserve">99-335-21-54  SMS UZI, 94-896-12-60  SMS ONASI, 93-431-70-29  SMS OTASI, 93-272-69-89  SMS AKASI,</t>
        </is>
      </c>
      <c r="G337" s="114" t="inlineStr">
        <is>
          <t xml:space="preserve">SAMARQAND VILOYATI PAXTACHI TUMANI  QORATEPA MFY BOG’IRAVON KO’CHASI 83-UY</t>
        </is>
      </c>
      <c r="H337" s="115">
        <v>1.0</v>
      </c>
      <c r="I337" s="115">
        <v>14105.49</v>
      </c>
      <c r="J337" s="115">
        <v>14105.49</v>
      </c>
      <c r="K337" s="114" t="inlineStr">
        <is>
          <t xml:space="preserve">To'ladi | yopildi</t>
        </is>
      </c>
    </row>
    <row r="338">
      <c r="A338" s="114" t="inlineStr">
        <is>
          <t xml:space="preserve">САМАРКАНД ВИЛОЯТИ</t>
        </is>
      </c>
      <c r="C338" s="114" t="inlineStr">
        <is>
          <t xml:space="preserve">Дозвон</t>
        </is>
      </c>
      <c r="D338" s="114" t="inlineStr">
        <is>
          <t xml:space="preserve">Кр-99038885-1</t>
        </is>
      </c>
      <c r="E338" s="114" t="inlineStr">
        <is>
          <t xml:space="preserve">ILXOMOV SARDORBEK SOLEJONOVICH</t>
        </is>
      </c>
      <c r="F338" s="114" t="inlineStr">
        <is>
          <t xml:space="preserve">998957772001 SMS O’ZI, 998994054504 SMS UKASI, 998700100130 SMS AKASI, 998997134102 SMS UYI,</t>
        </is>
      </c>
      <c r="G338" s="114" t="inlineStr">
        <is>
          <t xml:space="preserve">SAMARQAND VILOYATI SAMARQAND TUMAN</t>
        </is>
      </c>
      <c r="I338" s="115">
        <v>10158.54</v>
      </c>
      <c r="J338" s="115">
        <v>10158.54</v>
      </c>
      <c r="K338" s="114" t="inlineStr">
        <is>
          <t xml:space="preserve">To'ladi | yopildi</t>
        </is>
      </c>
    </row>
    <row r="339">
      <c r="A339" s="116" t="inlineStr">
        <is>
          <t xml:space="preserve">СУРХОНДАРЁ ВИЛОЯТИ</t>
        </is>
      </c>
      <c r="C339" s="116" t="inlineStr">
        <is>
          <t xml:space="preserve">Обещал</t>
        </is>
      </c>
      <c r="D339" s="116" t="inlineStr">
        <is>
          <t xml:space="preserve">Кр-99031106-8</t>
        </is>
      </c>
      <c r="E339" s="116" t="inlineStr">
        <is>
          <t xml:space="preserve">ESHONQULOVA MALOXAT DONIYOROVNA</t>
        </is>
      </c>
      <c r="F339" s="116" t="inlineStr">
        <is>
          <t xml:space="preserve">998994258000 SMS O’ZI TULOVCHI, 998998278000 SMS OZI, 97-076-99-01  SMS SINGLISI, 998770889901 SMS uzi new raqami, 998996799892 SMS UKASI, 998997113009 SMS O’ZI,</t>
        </is>
      </c>
      <c r="G339" s="116" t="inlineStr">
        <is>
          <t xml:space="preserve">SH.RASHIDOV 186-UY 7-XONADON</t>
        </is>
      </c>
      <c r="H339" s="117">
        <v>104.0</v>
      </c>
      <c r="I339" s="117">
        <v>74884300.73</v>
      </c>
      <c r="K339" s="116" t="inlineStr">
        <is>
          <t xml:space="preserve">Va'da berdi | abror ogan | 305</t>
        </is>
      </c>
    </row>
    <row r="340">
      <c r="A340" s="116" t="inlineStr">
        <is>
          <t xml:space="preserve">СУРХОНДАРЁ ВИЛОЯТИ</t>
        </is>
      </c>
      <c r="C340" s="116" t="inlineStr">
        <is>
          <t xml:space="preserve">Обещал</t>
        </is>
      </c>
      <c r="D340" s="116" t="inlineStr">
        <is>
          <t xml:space="preserve">Кр-99062062-1</t>
        </is>
      </c>
      <c r="E340" s="116" t="inlineStr">
        <is>
          <t xml:space="preserve">QAMBAROV ZUXRUDDIN IKROMIDDIN O’G’LI</t>
        </is>
      </c>
      <c r="F340" s="116" t="inlineStr">
        <is>
          <t xml:space="preserve">998997113009 SMS Шахноз тўловчи,</t>
        </is>
      </c>
      <c r="G340" s="116" t="inlineStr">
        <is>
          <t xml:space="preserve">SURXONDARYO VILOYATI DENOV SHAHRI NURLI MANZIL MFY MADANIYAT 152-UY 27-XONADON</t>
        </is>
      </c>
      <c r="H340" s="117">
        <v>104.0</v>
      </c>
      <c r="I340" s="117">
        <v>65116938.63</v>
      </c>
      <c r="K340" s="116" t="inlineStr">
        <is>
          <t xml:space="preserve">Va'da berdi | wahnoz tolidi | 1396</t>
        </is>
      </c>
    </row>
    <row r="341">
      <c r="A341" s="116" t="inlineStr">
        <is>
          <t xml:space="preserve">СУРХОНДАРЁ ВИЛОЯТИ</t>
        </is>
      </c>
      <c r="C341" s="116" t="inlineStr">
        <is>
          <t xml:space="preserve">Обещал</t>
        </is>
      </c>
      <c r="D341" s="116" t="inlineStr">
        <is>
          <t xml:space="preserve">Кр-99035360-1</t>
        </is>
      </c>
      <c r="E341" s="116" t="inlineStr">
        <is>
          <t xml:space="preserve">JO’RAYEV ILYOS SHAXRIYOROVICH</t>
        </is>
      </c>
      <c r="F341" s="116" t="inlineStr">
        <is>
          <t xml:space="preserve">998973507711 SMS O’ZI, 999880757000 SMS UY, 998771073599 SMS OILASI, 998919095500 SMS AKASI, 998500088102 SMS UZI 2,</t>
        </is>
      </c>
      <c r="G341" s="116" t="inlineStr">
        <is>
          <t xml:space="preserve">SURXONDARYO VILOYATI DENOV TUMANI FARG’ONA QFY OLOVUDDIN MFY SHAXROBOD 27-UY</t>
        </is>
      </c>
      <c r="H341" s="117">
        <v>93.0</v>
      </c>
      <c r="I341" s="117">
        <v>46898956.53</v>
      </c>
      <c r="K341" s="116" t="inlineStr">
        <is>
          <t xml:space="preserve">Va'da berdi | abror olgan | 508</t>
        </is>
      </c>
    </row>
    <row r="342">
      <c r="A342" s="116" t="inlineStr">
        <is>
          <t xml:space="preserve">СУРХОНДАРЁ ВИЛОЯТИ</t>
        </is>
      </c>
      <c r="C342" s="116" t="inlineStr">
        <is>
          <t xml:space="preserve">Обещал</t>
        </is>
      </c>
      <c r="D342" s="116" t="inlineStr">
        <is>
          <t xml:space="preserve">Кр-99038710-1</t>
        </is>
      </c>
      <c r="E342" s="116" t="inlineStr">
        <is>
          <t xml:space="preserve">MURATOV JALOLIDDIN FAZLIDDIN O’G’LI</t>
        </is>
      </c>
      <c r="F342" s="116" t="inlineStr">
        <is>
          <t xml:space="preserve">998330007577 SMS OZI, 998997577136 SMS OZI , 998777779397 SMS OTASI,</t>
        </is>
      </c>
      <c r="G342" s="116" t="inlineStr">
        <is>
          <t xml:space="preserve">SURAXNDARYO VILOYATI DENOV TUMANI OLAYURT KO’CHASI 29-UY</t>
        </is>
      </c>
      <c r="H342" s="117">
        <v>162.0</v>
      </c>
      <c r="I342" s="117">
        <v>43817088.18</v>
      </c>
      <c r="K342" s="116" t="inlineStr">
        <is>
          <t xml:space="preserve">Va'da berdi | shaxnoz ogan | 718</t>
        </is>
      </c>
    </row>
    <row r="343">
      <c r="A343" s="116" t="inlineStr">
        <is>
          <t xml:space="preserve">СУРХОНДАРЁ ВИЛОЯТИ</t>
        </is>
      </c>
      <c r="C343" s="116" t="inlineStr">
        <is>
          <t xml:space="preserve">Обещал</t>
        </is>
      </c>
      <c r="D343" s="116" t="inlineStr">
        <is>
          <t xml:space="preserve">Кр-99028747-1</t>
        </is>
      </c>
      <c r="E343" s="116" t="inlineStr">
        <is>
          <t xml:space="preserve">PIRMATOV SHOMUROD EGAMBERDI O’G’LI</t>
        </is>
      </c>
      <c r="F343" s="116" t="inlineStr">
        <is>
          <t xml:space="preserve">99-169-60-68 SMS uzi, 95-257-44-05 SMS akasi, 91-991-09-67 SMS uy, 77-173-73-89 SMS oilasi,</t>
        </is>
      </c>
      <c r="G343" s="116" t="inlineStr">
        <is>
          <t xml:space="preserve">SURXONDARYO VILOYATI DENOV TUMANI</t>
        </is>
      </c>
      <c r="H343" s="117">
        <v>182.0</v>
      </c>
      <c r="I343" s="117">
        <v>28020402.5</v>
      </c>
      <c r="K343" s="116" t="inlineStr">
        <is>
          <t xml:space="preserve">Va'da berdi | abror tolo qlad | 212</t>
        </is>
      </c>
    </row>
    <row r="344">
      <c r="A344" s="116" t="inlineStr">
        <is>
          <t xml:space="preserve">СУРХОНДАРЁ ВИЛОЯТИ</t>
        </is>
      </c>
      <c r="C344" s="116" t="inlineStr">
        <is>
          <t xml:space="preserve">Обещал</t>
        </is>
      </c>
      <c r="D344" s="116" t="inlineStr">
        <is>
          <t xml:space="preserve">Кр-99047243-1</t>
        </is>
      </c>
      <c r="E344" s="116" t="inlineStr">
        <is>
          <t xml:space="preserve">XOLMO’MINOV ZAFARBEK ILHOM O’G’LI</t>
        </is>
      </c>
      <c r="F344" s="116" t="inlineStr">
        <is>
          <t xml:space="preserve">+998931295565 SMS O’ZI, 998774107913 SMS ONASI, 998935993630 SMS TO'LOVCHI,</t>
        </is>
      </c>
      <c r="G344" s="116" t="inlineStr">
        <is>
          <t xml:space="preserve">ТОРЗОР КУЧАСИ 13А УЙ</t>
        </is>
      </c>
      <c r="H344" s="117">
        <v>164.0</v>
      </c>
      <c r="I344" s="117">
        <v>26394832.44</v>
      </c>
      <c r="K344" s="116" t="inlineStr">
        <is>
          <t xml:space="preserve">Va'da berdi | abror tolaga | 1128</t>
        </is>
      </c>
    </row>
    <row r="345">
      <c r="A345" s="116" t="inlineStr">
        <is>
          <t xml:space="preserve">СУРХОНДАРЁ ВИЛОЯТИ</t>
        </is>
      </c>
      <c r="C345" s="116" t="inlineStr">
        <is>
          <t xml:space="preserve">Обещал</t>
        </is>
      </c>
      <c r="D345" s="116" t="inlineStr">
        <is>
          <t xml:space="preserve">Кр-99024295-1</t>
        </is>
      </c>
      <c r="E345" s="116" t="inlineStr">
        <is>
          <t xml:space="preserve">QAHHOROVA MA’RIFAT AMONOVNA</t>
        </is>
      </c>
      <c r="F345" s="116" t="inlineStr">
        <is>
          <t xml:space="preserve">+998937270186 SMS O’ZI, 998947131008 SMS QIZI, 998990866375 SMS O’ZI,</t>
        </is>
      </c>
      <c r="G345" s="116" t="inlineStr">
        <is>
          <t xml:space="preserve">ШЕРОБОД ТУМАН САРИҚАМИШ ҚФЙ, МЕХРОБОД МФЙ, СЕПЛОН КУЧ uy:51А</t>
        </is>
      </c>
      <c r="H345" s="117">
        <v>164.0</v>
      </c>
      <c r="I345" s="117">
        <v>25469078.54</v>
      </c>
      <c r="K345" s="116" t="inlineStr">
        <is>
          <t xml:space="preserve">Va'da berdi | oy oxrgaca yopaman dd | 127</t>
        </is>
      </c>
    </row>
    <row r="346">
      <c r="A346" s="116" t="inlineStr">
        <is>
          <t xml:space="preserve">СУРХОНДАРЁ ВИЛОЯТИ</t>
        </is>
      </c>
      <c r="C346" s="116" t="inlineStr">
        <is>
          <t xml:space="preserve">Обещал</t>
        </is>
      </c>
      <c r="D346" s="116" t="inlineStr">
        <is>
          <t xml:space="preserve">Кр-99032943-1</t>
        </is>
      </c>
      <c r="E346" s="116" t="inlineStr">
        <is>
          <t xml:space="preserve">RAXIMBADALOV ALISHER NAMAZALIYEVICH</t>
        </is>
      </c>
      <c r="F346" s="116" t="inlineStr">
        <is>
          <t xml:space="preserve">998978490308 SMS O’ZI, 998995767713 SMS OTASI, 998904101090 SMS ONASI, 998950442969 SMS AMAKISI,</t>
        </is>
      </c>
      <c r="G346" s="116" t="inlineStr">
        <is>
          <t xml:space="preserve">SURXONDARYO VILOYATI UZUN TUMANI ITTIFOQ MFY SHODLIK KO’CHASI 98-UY</t>
        </is>
      </c>
      <c r="H346" s="117">
        <v>148.0</v>
      </c>
      <c r="I346" s="117">
        <v>20532398.33</v>
      </c>
      <c r="K346" s="116" t="inlineStr">
        <is>
          <t xml:space="preserve">Va'da berdi | abrorga tolaga | 371</t>
        </is>
      </c>
    </row>
    <row r="347">
      <c r="A347" s="116" t="inlineStr">
        <is>
          <t xml:space="preserve">СУРХОНДАРЁ ВИЛОЯТИ</t>
        </is>
      </c>
      <c r="C347" s="116" t="inlineStr">
        <is>
          <t xml:space="preserve">Обещал</t>
        </is>
      </c>
      <c r="D347" s="116" t="inlineStr">
        <is>
          <t xml:space="preserve">Кр-99037217-1</t>
        </is>
      </c>
      <c r="E347" s="116" t="inlineStr">
        <is>
          <t xml:space="preserve">XUDOYBERDIYEV RUSTAM ASHIROVICH</t>
        </is>
      </c>
      <c r="F347" s="116" t="inlineStr">
        <is>
          <t xml:space="preserve">998888080583 SMS OZI, 998952608388 SMS UKASI, 998952688984 SMS AKASI, 998990619488 SMS UY,</t>
        </is>
      </c>
      <c r="G347" s="116" t="inlineStr">
        <is>
          <t xml:space="preserve">SURXONDARYO VILOYATI DENOV TUMANI SH.RASHIDOV  SIU OQQO’RG’ON MFY TONYULDUZU  112-UY</t>
        </is>
      </c>
      <c r="H347" s="117">
        <v>133.0</v>
      </c>
      <c r="I347" s="117">
        <v>20054550.4</v>
      </c>
      <c r="K347" s="116" t="inlineStr">
        <is>
          <t xml:space="preserve">Va'da berdi | Shaxnoz olgan | 623</t>
        </is>
      </c>
    </row>
    <row r="348">
      <c r="A348" s="116" t="inlineStr">
        <is>
          <t xml:space="preserve">СУРХОНДАРЁ ВИЛОЯТИ</t>
        </is>
      </c>
      <c r="C348" s="116" t="inlineStr">
        <is>
          <t xml:space="preserve">Обещал</t>
        </is>
      </c>
      <c r="D348" s="116" t="inlineStr">
        <is>
          <t xml:space="preserve">Кр-99029760-1</t>
        </is>
      </c>
      <c r="E348" s="116" t="inlineStr">
        <is>
          <t xml:space="preserve">MENGNAROV ERKIN DJABBAROVICH</t>
        </is>
      </c>
      <c r="F348" s="116" t="inlineStr">
        <is>
          <t xml:space="preserve">90-294-46-11 uzi, 97-331-00-95 UY, 88-617-09-99 OILASI, 998959405510 SMS OGLI ,</t>
        </is>
      </c>
      <c r="G348" s="116" t="inlineStr">
        <is>
          <t xml:space="preserve">SURXANDARYO VILOYATI DENOV TUMANI CHUQURQISHLOQ MFY SURXONOBOD KO’CHASI 58-UY</t>
        </is>
      </c>
      <c r="H348" s="117">
        <v>122.0</v>
      </c>
      <c r="I348" s="117">
        <v>19463413.93</v>
      </c>
      <c r="K348" s="116" t="inlineStr">
        <is>
          <t xml:space="preserve">Va'da berdi | abror ogan | 255</t>
        </is>
      </c>
    </row>
    <row r="349">
      <c r="A349" s="116" t="inlineStr">
        <is>
          <t xml:space="preserve">СУРХОНДАРЁ ВИЛОЯТИ</t>
        </is>
      </c>
      <c r="C349" s="116" t="inlineStr">
        <is>
          <t xml:space="preserve">Обещал</t>
        </is>
      </c>
      <c r="D349" s="116" t="inlineStr">
        <is>
          <t xml:space="preserve">Кр-99044052-1</t>
        </is>
      </c>
      <c r="E349" s="116" t="inlineStr">
        <is>
          <t xml:space="preserve">DJABBOROVA NODIRA MELIQULOVNA</t>
        </is>
      </c>
      <c r="F349" s="116" t="inlineStr">
        <is>
          <t xml:space="preserve">+998887191000 SMS O’ZI, 998902493639 SMS UY, 998910791549 SMS ONASI,</t>
        </is>
      </c>
      <c r="G349" s="116" t="inlineStr">
        <is>
          <t xml:space="preserve">СУРХОНДАРЁ ВИЛОЯТИ ДЕНОВ ТУМАНИ И.ТУРАЕВ СИУ, НАМУНА МФЙ,  uy:48</t>
        </is>
      </c>
      <c r="H349" s="117">
        <v>104.0</v>
      </c>
      <c r="I349" s="117">
        <v>19454322.85</v>
      </c>
      <c r="K349" s="116" t="inlineStr">
        <is>
          <t xml:space="preserve">Va'da berdi | abror ogan | 1080</t>
        </is>
      </c>
    </row>
    <row r="350">
      <c r="A350" s="116" t="inlineStr">
        <is>
          <t xml:space="preserve">СУРХОНДАРЁ ВИЛОЯТИ</t>
        </is>
      </c>
      <c r="C350" s="116" t="inlineStr">
        <is>
          <t xml:space="preserve">Обещал</t>
        </is>
      </c>
      <c r="D350" s="116" t="inlineStr">
        <is>
          <t xml:space="preserve">Кр-99030594-1</t>
        </is>
      </c>
      <c r="E350" s="116" t="inlineStr">
        <is>
          <t xml:space="preserve">SHAIMOV NODIRBEK ISMOILOVICH</t>
        </is>
      </c>
      <c r="F350" s="116" t="inlineStr">
        <is>
          <t xml:space="preserve">97-076-89-99 SMS O’ZI, 97-194-39-99  SMS UKASI, 99-599-99-43  SMS UKASI 2 begona tel qimanglar, 50-071-10-03  SMS UY begona,</t>
        </is>
      </c>
      <c r="G350" s="116" t="inlineStr">
        <is>
          <t xml:space="preserve">SURXONDARYO VILOYATI DENOV TUMANI XAZARBOG QFY CHORGUL MFY TARQULAT KO’CHASI 12-UY</t>
        </is>
      </c>
      <c r="H350" s="117">
        <v>157.0</v>
      </c>
      <c r="I350" s="117">
        <v>18273642.98</v>
      </c>
      <c r="K350" s="116" t="inlineStr">
        <is>
          <t xml:space="preserve">Va'da berdi | abrorga tolaga | 281</t>
        </is>
      </c>
    </row>
    <row r="351">
      <c r="A351" s="116" t="inlineStr">
        <is>
          <t xml:space="preserve">СУРХОНДАРЁ ВИЛОЯТИ</t>
        </is>
      </c>
      <c r="C351" s="116" t="inlineStr">
        <is>
          <t xml:space="preserve">Обещал</t>
        </is>
      </c>
      <c r="D351" s="116" t="inlineStr">
        <is>
          <t xml:space="preserve">Кр-99034176-1</t>
        </is>
      </c>
      <c r="E351" s="116" t="inlineStr">
        <is>
          <t xml:space="preserve">QIYOMOV NAJMIDDIN ZAYNIDDINOVICH</t>
        </is>
      </c>
      <c r="F351" s="116" t="inlineStr">
        <is>
          <t xml:space="preserve">998992936777 SMS O’ZI BEGONA, 998339537475 SMS AYOLI BEGONA, 998947642040 SMS UKASI, 998772030192 SMS O’G’LI, 998944670661 SMS AYOLI, 998700536767 SMS uzi new,</t>
        </is>
      </c>
      <c r="G351" s="116" t="inlineStr">
        <is>
          <t xml:space="preserve">SURXON DARYO VILOYATI SHEROBOD TUMANI GURJAK-1 MFY QORI NIYOZIY KO’CHASI 52-UY</t>
        </is>
      </c>
      <c r="H351" s="117">
        <v>105.0</v>
      </c>
      <c r="I351" s="117">
        <v>16842124.17</v>
      </c>
      <c r="K351" s="116" t="inlineStr">
        <is>
          <t xml:space="preserve">Va'da berdi | qisman qisman tolo qvot | 437</t>
        </is>
      </c>
    </row>
    <row r="352">
      <c r="A352" s="116" t="inlineStr">
        <is>
          <t xml:space="preserve">СУРХОНДАРЁ ВИЛОЯТИ</t>
        </is>
      </c>
      <c r="C352" s="116" t="inlineStr">
        <is>
          <t xml:space="preserve">Обещал</t>
        </is>
      </c>
      <c r="D352" s="116" t="inlineStr">
        <is>
          <t xml:space="preserve">Кр-99038067-1</t>
        </is>
      </c>
      <c r="E352" s="116" t="inlineStr">
        <is>
          <t xml:space="preserve">MURODOVA ZULFINA MIRZOQUL QIZI</t>
        </is>
      </c>
      <c r="F352" s="116" t="inlineStr">
        <is>
          <t xml:space="preserve">998910788393 SMS OZI, 998903783727 SMS QAYNONBASI, 998907497870 SMS SINGLISI,</t>
        </is>
      </c>
      <c r="G352" s="116" t="inlineStr">
        <is>
          <t xml:space="preserve">SURXONDARYO VILOYATI SARIOSIYO TUMANI AIRABORT MFY OQYO'L KUCHASI 1/1-UY 25-XONADON</t>
        </is>
      </c>
      <c r="H352" s="117">
        <v>98.0</v>
      </c>
      <c r="I352" s="117">
        <v>16541520.04</v>
      </c>
      <c r="K352" s="116" t="inlineStr">
        <is>
          <t xml:space="preserve">Va'da berdi | shanba kuniga tolov | 679</t>
        </is>
      </c>
    </row>
    <row r="353">
      <c r="A353" s="116" t="inlineStr">
        <is>
          <t xml:space="preserve">СУРХОНДАРЁ ВИЛОЯТИ</t>
        </is>
      </c>
      <c r="C353" s="116" t="inlineStr">
        <is>
          <t xml:space="preserve">Обещал</t>
        </is>
      </c>
      <c r="D353" s="116" t="inlineStr">
        <is>
          <t xml:space="preserve">Кр-99031556-1</t>
        </is>
      </c>
      <c r="E353" s="116" t="inlineStr">
        <is>
          <t xml:space="preserve">NAMOZOV SHAXOBIDDIN NORMO’MIN O’G’LI</t>
        </is>
      </c>
      <c r="F353" s="116" t="inlineStr">
        <is>
          <t xml:space="preserve">998500060437 SMS O’ZI, 998915137425 SMS DADASI, 998972389298 SMS AKASI, 998970752889 SMS UKASI,</t>
        </is>
      </c>
      <c r="G353" s="116" t="inlineStr">
        <is>
          <t xml:space="preserve">SURXONDARYO VILOYATI UZUN  TUMANI O’ZBEKISTON MFY N.JABOROV KO’CHASI 1-UY  </t>
        </is>
      </c>
      <c r="H353" s="117">
        <v>73.0</v>
      </c>
      <c r="I353" s="117">
        <v>15314377.28</v>
      </c>
      <c r="K353" s="116" t="inlineStr">
        <is>
          <t xml:space="preserve">Va'da berdi | abror ogan | 321</t>
        </is>
      </c>
    </row>
    <row r="354">
      <c r="A354" s="116" t="inlineStr">
        <is>
          <t xml:space="preserve">СУРХОНДАРЁ ВИЛОЯТИ</t>
        </is>
      </c>
      <c r="C354" s="116" t="inlineStr">
        <is>
          <t xml:space="preserve">Обещал</t>
        </is>
      </c>
      <c r="D354" s="116" t="inlineStr">
        <is>
          <t xml:space="preserve">Кр-99028836-1</t>
        </is>
      </c>
      <c r="E354" s="116" t="inlineStr">
        <is>
          <t xml:space="preserve">SALOHOV ABDULQODIR MUHIDDIN O’G’LI</t>
        </is>
      </c>
      <c r="F354" s="116" t="inlineStr">
        <is>
          <t xml:space="preserve">998995394343 SMS OZI, 88-176-56-61   SMS DADASI, 97-863-08-02  SMS ONASI, 77-097-54-97  SMS OSHNOSI,</t>
        </is>
      </c>
      <c r="G354" s="116" t="inlineStr">
        <is>
          <t xml:space="preserve">SURXONDARYO VILOYATI DENOV  TUMANI TOTUVLIK MFY XAYOT  KO’CHASI   40-UY</t>
        </is>
      </c>
      <c r="H354" s="117">
        <v>115.0</v>
      </c>
      <c r="I354" s="117">
        <v>15218949.12</v>
      </c>
      <c r="K354" s="116" t="inlineStr">
        <is>
          <t xml:space="preserve">Va'da berdi | abror tolo qlad | 215</t>
        </is>
      </c>
    </row>
    <row r="355">
      <c r="A355" s="116" t="inlineStr">
        <is>
          <t xml:space="preserve">СУРХОНДАРЁ ВИЛОЯТИ</t>
        </is>
      </c>
      <c r="C355" s="116" t="inlineStr">
        <is>
          <t xml:space="preserve">Обещал</t>
        </is>
      </c>
      <c r="D355" s="116" t="inlineStr">
        <is>
          <t xml:space="preserve">Кр-99032770-1</t>
        </is>
      </c>
      <c r="E355" s="116" t="inlineStr">
        <is>
          <t xml:space="preserve">ZIYAYEVA ZAMIRA ERDONOVNA</t>
        </is>
      </c>
      <c r="F355" s="116" t="inlineStr">
        <is>
          <t xml:space="preserve">998992021978 SMS OZI, 998979719601 SMS OGLI, 998952364545 SMS AZAMAT AKASI, 998952673434 SMS AKSI TOLOVCHI,</t>
        </is>
      </c>
      <c r="G355" s="116" t="inlineStr">
        <is>
          <t xml:space="preserve">SURXONDARYO VILOYATI DENOV TUMANI DENOV SHAHAR JOMIY MFY, MIRXOND 1-UY</t>
        </is>
      </c>
      <c r="H355" s="117">
        <v>164.0</v>
      </c>
      <c r="I355" s="117">
        <v>14891585.04</v>
      </c>
      <c r="K355" s="116" t="inlineStr">
        <is>
          <t xml:space="preserve">Va'da berdi | musurmonni krediti | 366</t>
        </is>
      </c>
    </row>
    <row r="356">
      <c r="A356" s="116" t="inlineStr">
        <is>
          <t xml:space="preserve">СУРХОНДАРЁ ВИЛОЯТИ</t>
        </is>
      </c>
      <c r="C356" s="116" t="inlineStr">
        <is>
          <t xml:space="preserve">Обещал</t>
        </is>
      </c>
      <c r="D356" s="116" t="inlineStr">
        <is>
          <t xml:space="preserve">Кр-99039034-2</t>
        </is>
      </c>
      <c r="E356" s="116" t="inlineStr">
        <is>
          <t xml:space="preserve">MUSURMONOV TOXIR TUYCHU O'G'LI</t>
        </is>
      </c>
      <c r="F356" s="116" t="inlineStr">
        <is>
          <t xml:space="preserve">998978415005 SMS OZI, 998880171892 SMS OZI 2, 998880932593 SMS POCHCHASI, 998885367472 SMS UYI,</t>
        </is>
      </c>
      <c r="G356" s="116" t="inlineStr">
        <is>
          <t xml:space="preserve">SURXONDARYO VILOYATI DENOV TUMANI VODIY MFY SHIFOKORLAR KO’CHASI  87-UY</t>
        </is>
      </c>
      <c r="H356" s="117">
        <v>73.0</v>
      </c>
      <c r="I356" s="117">
        <v>14682691.32</v>
      </c>
      <c r="K356" s="116" t="inlineStr">
        <is>
          <t xml:space="preserve">Va'da berdi | shaxnoz olgan | 749</t>
        </is>
      </c>
    </row>
    <row r="357">
      <c r="A357" s="116" t="inlineStr">
        <is>
          <t xml:space="preserve">СУРХОНДАРЁ ВИЛОЯТИ</t>
        </is>
      </c>
      <c r="C357" s="116" t="inlineStr">
        <is>
          <t xml:space="preserve">Обещал</t>
        </is>
      </c>
      <c r="D357" s="116" t="inlineStr">
        <is>
          <t xml:space="preserve">Кр-99032282-1</t>
        </is>
      </c>
      <c r="E357" s="116" t="inlineStr">
        <is>
          <t xml:space="preserve">NORMINGLIYEV ABDUMALIK ABDULLAYEVICH</t>
        </is>
      </c>
      <c r="F357" s="116" t="inlineStr">
        <is>
          <t xml:space="preserve">998330105393 SMS O’ZI, 998955554493 SMS UKASI zokir tulovchi, 998991759555 SMS AKASI BEGONA, 998775773093 SMS UY,</t>
        </is>
      </c>
      <c r="G357" s="116" t="inlineStr">
        <is>
          <t xml:space="preserve">SURXONDARYO VILOYATI DENOV TUMANI NONOZOR  MFY GULBOG KO’CHASI 121-UY</t>
        </is>
      </c>
      <c r="H357" s="117">
        <v>164.0</v>
      </c>
      <c r="I357" s="117">
        <v>13890453.35</v>
      </c>
      <c r="K357" s="116" t="inlineStr">
        <is>
          <t xml:space="preserve">Va'da berdi | abror ogan | 344</t>
        </is>
      </c>
    </row>
    <row r="358">
      <c r="A358" s="116" t="inlineStr">
        <is>
          <t xml:space="preserve">СУРХОНДАРЁ ВИЛОЯТИ</t>
        </is>
      </c>
      <c r="C358" s="116" t="inlineStr">
        <is>
          <t xml:space="preserve">Обещал</t>
        </is>
      </c>
      <c r="D358" s="116" t="inlineStr">
        <is>
          <t xml:space="preserve">Кр-99026971-2</t>
        </is>
      </c>
      <c r="E358" s="116" t="inlineStr">
        <is>
          <t xml:space="preserve">YANGIBAYEV RUSLAN ABDUNABIYEVICH</t>
        </is>
      </c>
      <c r="F358" s="116" t="inlineStr">
        <is>
          <t xml:space="preserve">91-716-26-70  OZI begona, 91-573-42-11   UY begona, 90-955-49-49  SMS ISHXONA, 95-779-34-34  SMS O’ZI, 998990269712 SMS ISH JOYI RAXBARI , 917162670997 SMS OZI,</t>
        </is>
      </c>
      <c r="G358" s="116" t="inlineStr">
        <is>
          <t xml:space="preserve">SURXONDARYO VILOYATI DENOV TUMANI XAZARBOG’ QFY OBOD TASMASOY MFY TORTUVLIK KO’CHASI 4-UY</t>
        </is>
      </c>
      <c r="H358" s="117">
        <v>73.0</v>
      </c>
      <c r="I358" s="117">
        <v>13844029.57</v>
      </c>
      <c r="K358" s="116" t="inlineStr">
        <is>
          <t xml:space="preserve">Va'da berdi | iskandar ogan | 164</t>
        </is>
      </c>
    </row>
    <row r="359">
      <c r="A359" s="116" t="inlineStr">
        <is>
          <t xml:space="preserve">СУРХОНДАРЁ ВИЛОЯТИ</t>
        </is>
      </c>
      <c r="C359" s="116" t="inlineStr">
        <is>
          <t xml:space="preserve">Обещал</t>
        </is>
      </c>
      <c r="D359" s="116" t="inlineStr">
        <is>
          <t xml:space="preserve">Кр-99031931-1</t>
        </is>
      </c>
      <c r="E359" s="116" t="inlineStr">
        <is>
          <t xml:space="preserve">KASIMOVA IZZAT USANOVNA</t>
        </is>
      </c>
      <c r="F359" s="116" t="inlineStr">
        <is>
          <t xml:space="preserve">998912285230 SMS O’ZI, 998997782862 SMS KELINI, 998996722862 SMS O’G’LI, 998903156993 SMS begona, 998996722862 SMS ERI,</t>
        </is>
      </c>
      <c r="G359" s="116" t="inlineStr">
        <is>
          <t xml:space="preserve">SURXONDARYO VILOYATI QUMQO’RG’ON TUMANI TO’G’ON MFY PARDA USANOV 37-UY</t>
        </is>
      </c>
      <c r="H359" s="117">
        <v>122.0</v>
      </c>
      <c r="I359" s="117">
        <v>12424186.11</v>
      </c>
      <c r="K359" s="116" t="inlineStr">
        <is>
          <t xml:space="preserve">Va'da berdi | abror ogan | 336</t>
        </is>
      </c>
    </row>
    <row r="360">
      <c r="A360" s="116" t="inlineStr">
        <is>
          <t xml:space="preserve">СУРХОНДАРЁ ВИЛОЯТИ</t>
        </is>
      </c>
      <c r="C360" s="116" t="inlineStr">
        <is>
          <t xml:space="preserve">Обещал</t>
        </is>
      </c>
      <c r="D360" s="116" t="inlineStr">
        <is>
          <t xml:space="preserve">Кр-99022570-7</t>
        </is>
      </c>
      <c r="E360" s="116" t="inlineStr">
        <is>
          <t xml:space="preserve">MAXAMADIYEVA SHAHNOZA RAXMATULLEVNA</t>
        </is>
      </c>
      <c r="F360" s="116" t="inlineStr">
        <is>
          <t xml:space="preserve">998997113009 SMS OZI SHAXNOZA OPANI KREDITI, 99-575-30-09 SMS OPASI, 91-734-30-09 SMS UY,</t>
        </is>
      </c>
      <c r="G360" s="116" t="inlineStr">
        <is>
          <t xml:space="preserve">SURXONDARYO VILOYATI DENOV SHSHAR GULISTON  4-UY</t>
        </is>
      </c>
      <c r="H360" s="117">
        <v>43.0</v>
      </c>
      <c r="I360" s="117">
        <v>12288430.72</v>
      </c>
      <c r="K360" s="116" t="inlineStr">
        <is>
          <t xml:space="preserve">Va'da berdi | oy oxrgaca | 116</t>
        </is>
      </c>
    </row>
    <row r="361">
      <c r="A361" s="116" t="inlineStr">
        <is>
          <t xml:space="preserve">СУРХОНДАРЁ ВИЛОЯТИ</t>
        </is>
      </c>
      <c r="C361" s="116" t="inlineStr">
        <is>
          <t xml:space="preserve">Обещал</t>
        </is>
      </c>
      <c r="D361" s="116" t="inlineStr">
        <is>
          <t xml:space="preserve">Кр-99030613-1</t>
        </is>
      </c>
      <c r="E361" s="116" t="inlineStr">
        <is>
          <t xml:space="preserve">QURBONOV NURSULTON BEGALIYEVICH</t>
        </is>
      </c>
      <c r="F361" s="116" t="inlineStr">
        <is>
          <t xml:space="preserve">998905232918 SMS UY, 998916339707 SMS UKASI ERALI, 998941624149 SMS AYOLI, 998771091897 SMS OZI TOLOVCHI,</t>
        </is>
      </c>
      <c r="G361" s="116" t="inlineStr">
        <is>
          <t xml:space="preserve">SURXONDARYO VILOYATI DENOV  TUMANI XAZARBOG’ QFY QOVUNLI SOY MFY QOVUNLISOY KUCHASI  11-UY</t>
        </is>
      </c>
      <c r="H361" s="117">
        <v>128.0</v>
      </c>
      <c r="I361" s="117">
        <v>11697357.56</v>
      </c>
      <c r="K361" s="116" t="inlineStr">
        <is>
          <t xml:space="preserve">Va'da berdi | abrorga tolaga | 285</t>
        </is>
      </c>
    </row>
    <row r="362">
      <c r="A362" s="116" t="inlineStr">
        <is>
          <t xml:space="preserve">СУРХОНДАРЁ ВИЛОЯТИ</t>
        </is>
      </c>
      <c r="C362" s="116" t="inlineStr">
        <is>
          <t xml:space="preserve">Обещал</t>
        </is>
      </c>
      <c r="D362" s="116" t="inlineStr">
        <is>
          <t xml:space="preserve">Кр-99020863-2</t>
        </is>
      </c>
      <c r="E362" s="116" t="inlineStr">
        <is>
          <t xml:space="preserve">CHORIYEV ZAYNIDDIN XOLIYAROVICH</t>
        </is>
      </c>
      <c r="F362" s="116" t="inlineStr">
        <is>
          <t xml:space="preserve">998919023049 SMS, 998900696865 SMS, 998917170982 SMS UZI begona tel qmela, 998917247993 SMS UY, 998919031981 SMS OILASI, 998919031980 SMS uzi new,</t>
        </is>
      </c>
      <c r="G362" s="116" t="inlineStr">
        <is>
          <t xml:space="preserve">SURXONDARYO VILOYATI QUMQO’RG’ON TUMANI MEXRABOT MFY TEGIRMON ARIQ KO’CHASI 170-UY</t>
        </is>
      </c>
      <c r="H362" s="117">
        <v>73.0</v>
      </c>
      <c r="I362" s="117">
        <v>10015237.55</v>
      </c>
      <c r="K362" s="116" t="inlineStr">
        <is>
          <t xml:space="preserve">Va'da berdi | wahnozga tolaga wahnoz erte db vada bergan ekan | 97</t>
        </is>
      </c>
    </row>
    <row r="363">
      <c r="A363" s="116" t="inlineStr">
        <is>
          <t xml:space="preserve">СУРХОНДАРЁ ВИЛОЯТИ</t>
        </is>
      </c>
      <c r="C363" s="116" t="inlineStr">
        <is>
          <t xml:space="preserve">Обещал</t>
        </is>
      </c>
      <c r="D363" s="116" t="inlineStr">
        <is>
          <t xml:space="preserve">Кр-99035010-1</t>
        </is>
      </c>
      <c r="E363" s="116" t="inlineStr">
        <is>
          <t xml:space="preserve">MALLAYEV MUZAFFAR TOSHNIYAZOVICH</t>
        </is>
      </c>
      <c r="F363" s="116" t="inlineStr">
        <is>
          <t xml:space="preserve">998930038079 SMS OZI, 998941793332 SMS OSHNASI, 998936763332 SMS OSHNASI, 998937972425 SMS NEVARASI,</t>
        </is>
      </c>
      <c r="G363" s="116" t="inlineStr">
        <is>
          <t xml:space="preserve">SURXONDARYO VILOYATI MUZRABOT TUMANI OLMOZOR MFY O’ZBEKISTON KO’CHASI 117-UY</t>
        </is>
      </c>
      <c r="H363" s="117">
        <v>44.0</v>
      </c>
      <c r="I363" s="117">
        <v>8805269.27</v>
      </c>
      <c r="K363" s="116" t="inlineStr">
        <is>
          <t xml:space="preserve">Va'da berdi | 20 siga tolov qlad | 477</t>
        </is>
      </c>
    </row>
    <row r="364">
      <c r="A364" s="116" t="inlineStr">
        <is>
          <t xml:space="preserve">СУРХОНДАРЁ ВИЛОЯТИ</t>
        </is>
      </c>
      <c r="C364" s="116" t="inlineStr">
        <is>
          <t xml:space="preserve">Обещал</t>
        </is>
      </c>
      <c r="D364" s="116" t="inlineStr">
        <is>
          <t xml:space="preserve">Кр-99030658-1</t>
        </is>
      </c>
      <c r="E364" s="116" t="inlineStr">
        <is>
          <t xml:space="preserve">ERGASHOV NURJAHON YORMUXAMMAD O’G’LI</t>
        </is>
      </c>
      <c r="F364" s="116" t="inlineStr">
        <is>
          <t xml:space="preserve">97-656-62-22 SMS, 88-214-29-01  SMS ONASI, 95-969-62-22  SMS DADASI, 99-592-29-01  SMS UY,</t>
        </is>
      </c>
      <c r="G364" s="116" t="inlineStr">
        <is>
          <t xml:space="preserve">SURXONDARYO VILOYATI UZUN TUMANI SERXARAKAT MFY SERXARAKAT  KO’CHASI 9-UY</t>
        </is>
      </c>
      <c r="H364" s="117">
        <v>66.0</v>
      </c>
      <c r="I364" s="117">
        <v>8377928.39</v>
      </c>
      <c r="K364" s="116" t="inlineStr">
        <is>
          <t xml:space="preserve">Va'da berdi | abror ogan | 291</t>
        </is>
      </c>
    </row>
    <row r="365">
      <c r="A365" s="116" t="inlineStr">
        <is>
          <t xml:space="preserve">СУРХОНДАРЁ ВИЛОЯТИ</t>
        </is>
      </c>
      <c r="C365" s="116" t="inlineStr">
        <is>
          <t xml:space="preserve">Обещал</t>
        </is>
      </c>
      <c r="D365" s="116" t="inlineStr">
        <is>
          <t xml:space="preserve">Кр-99038514-1</t>
        </is>
      </c>
      <c r="E365" s="116" t="inlineStr">
        <is>
          <t xml:space="preserve">NORMO‘MINOV FAYZULLA PARDANAZAR O‘G‘LI</t>
        </is>
      </c>
      <c r="F365" s="116" t="inlineStr">
        <is>
          <t xml:space="preserve">998946043889 SMS OZI, 998946103889 SMS AKALARI, 998946613241 SMS AKALARI 2, 998998019181 SMS DADASI, +998946043889 Primary phone from road24,</t>
        </is>
      </c>
      <c r="G365" s="116" t="inlineStr">
        <is>
          <t xml:space="preserve">СУРХОНДАРЁ ВИЛОЯТИ МУЗРАБОТ ТУМАНИ ШАРК ЮЛДУЗИ ҚФЙ, НУРЛИ ХАЁТ МФЙ,  uy:00</t>
        </is>
      </c>
      <c r="H365" s="117">
        <v>45.0</v>
      </c>
      <c r="I365" s="117">
        <v>8149350.52</v>
      </c>
      <c r="K365" s="116" t="inlineStr">
        <is>
          <t xml:space="preserve">Va'da berdi | bugun yopad | 706</t>
        </is>
      </c>
    </row>
    <row r="366">
      <c r="A366" s="116" t="inlineStr">
        <is>
          <t xml:space="preserve">СУРХОНДАРЁ ВИЛОЯТИ</t>
        </is>
      </c>
      <c r="C366" s="116" t="inlineStr">
        <is>
          <t xml:space="preserve">Обещал</t>
        </is>
      </c>
      <c r="D366" s="116" t="inlineStr">
        <is>
          <t xml:space="preserve">Кр-99033334-3</t>
        </is>
      </c>
      <c r="E366" s="116" t="inlineStr">
        <is>
          <t xml:space="preserve">JUMAYEV FAXRIDDIN TOHIR O’G’LI</t>
        </is>
      </c>
      <c r="F366" s="116" t="inlineStr">
        <is>
          <t xml:space="preserve">998771679997 SMS O’ZI, 998917147071 SMS AYOLI, 998917327512 SMS ONASI, 998915817170 SMS QAYNONASI,</t>
        </is>
      </c>
      <c r="G366" s="116" t="inlineStr">
        <is>
          <t xml:space="preserve">SURXONDARYO VILOYATI DENOV SHAHRI SANOATCHILIK MFY BIBIXONIM KO'CHASI 25B-UY</t>
        </is>
      </c>
      <c r="H366" s="117">
        <v>43.0</v>
      </c>
      <c r="I366" s="117">
        <v>7922105.6</v>
      </c>
      <c r="K366" s="116" t="inlineStr">
        <is>
          <t xml:space="preserve">Va'da berdi | duwanb kuni tolo qlad | 387</t>
        </is>
      </c>
    </row>
    <row r="367">
      <c r="A367" s="116" t="inlineStr">
        <is>
          <t xml:space="preserve">СУРХОНДАРЁ ВИЛОЯТИ</t>
        </is>
      </c>
      <c r="C367" s="116" t="inlineStr">
        <is>
          <t xml:space="preserve">Обещал</t>
        </is>
      </c>
      <c r="D367" s="116" t="inlineStr">
        <is>
          <t xml:space="preserve">Кр-99026966-1</t>
        </is>
      </c>
      <c r="E367" s="116" t="inlineStr">
        <is>
          <t xml:space="preserve">KABILOVA ANORXOL XOLIYAROVNA</t>
        </is>
      </c>
      <c r="F367" s="116" t="inlineStr">
        <is>
          <t xml:space="preserve">90-075-05-51 SMS UY, 93-719-05-51  SMS OGLI, 93-919-05-51  SMS OILASI, 998948538586 SMS tulovchi,</t>
        </is>
      </c>
      <c r="G367" s="116" t="inlineStr">
        <is>
          <t xml:space="preserve">SURXONDARYO VILOYATI DENOV TUMANI XAZARBOG’ QFY DUNYO TEPA MFY CHORGUL 47-UY </t>
        </is>
      </c>
      <c r="H367" s="117">
        <v>161.0</v>
      </c>
      <c r="I367" s="117">
        <v>7692558.97</v>
      </c>
      <c r="K367" s="116" t="inlineStr">
        <is>
          <t xml:space="preserve">Va'da berdi | abror ogan | 163</t>
        </is>
      </c>
    </row>
    <row r="368">
      <c r="A368" s="116" t="inlineStr">
        <is>
          <t xml:space="preserve">СУРХОНДАРЁ ВИЛОЯТИ</t>
        </is>
      </c>
      <c r="C368" s="116" t="inlineStr">
        <is>
          <t xml:space="preserve">Обещал</t>
        </is>
      </c>
      <c r="D368" s="116" t="inlineStr">
        <is>
          <t xml:space="preserve">Кр-99031100-2</t>
        </is>
      </c>
      <c r="E368" s="116" t="inlineStr">
        <is>
          <t xml:space="preserve">DO’STQOBILOV BOTIRJON ZOKIRJONOVICH</t>
        </is>
      </c>
      <c r="F368" s="116" t="inlineStr">
        <is>
          <t xml:space="preserve">99-062-17-51 SMS O’ZI, 95-770-09-98  SMS UKASI, 99-258-74-42  SMS ONASI, 88-531-55-47  SMS UY, 998957723696 SMS OZI SHUNGA QILINSIN ,</t>
        </is>
      </c>
      <c r="G368" s="116" t="inlineStr">
        <is>
          <t xml:space="preserve">SURXONDARYO VILOYATI DENOV TUMANI TORTUVLI QFY NAVBAXOR MFY BUXRODINBOLVANI KO’CHASI 53-UY </t>
        </is>
      </c>
      <c r="H368" s="117">
        <v>71.0</v>
      </c>
      <c r="I368" s="117">
        <v>7382880.04</v>
      </c>
      <c r="K368" s="116" t="inlineStr">
        <is>
          <t xml:space="preserve">Va'da berdi | abror ogan | 304</t>
        </is>
      </c>
    </row>
    <row r="369">
      <c r="A369" s="116" t="inlineStr">
        <is>
          <t xml:space="preserve">СУРХОНДАРЁ ВИЛОЯТИ</t>
        </is>
      </c>
      <c r="C369" s="116" t="inlineStr">
        <is>
          <t xml:space="preserve">Обещал</t>
        </is>
      </c>
      <c r="D369" s="116" t="inlineStr">
        <is>
          <t xml:space="preserve">Кр-99024454-4</t>
        </is>
      </c>
      <c r="E369" s="116" t="inlineStr">
        <is>
          <t xml:space="preserve">MADJITOV SUNATULLA ABDIFATTOVICH</t>
        </is>
      </c>
      <c r="F369" s="116" t="inlineStr">
        <is>
          <t xml:space="preserve">998954917979 SMS O'ZI, 50-008-01-09  SMS UY, 93-186-77-79  SMS TURMUSH O’RTOG’I, 99-422-42-88  SMS SHERIGI SUNNAT, 99-598-92-88 SMS SUNNAT 2CHI NOMERI,</t>
        </is>
      </c>
      <c r="G369" s="116" t="inlineStr">
        <is>
          <t xml:space="preserve">SURXONDARYO VILOYATI SARIOSIYO SHAHAR GULZOR  KO’CHASI 4-UY 10-XONADON</t>
        </is>
      </c>
      <c r="H369" s="117">
        <v>164.0</v>
      </c>
      <c r="I369" s="117">
        <v>7260011.41</v>
      </c>
      <c r="K369" s="116" t="inlineStr">
        <is>
          <t xml:space="preserve">Va'da berdi | wahnoz ogan | 128</t>
        </is>
      </c>
    </row>
    <row r="370">
      <c r="A370" s="116" t="inlineStr">
        <is>
          <t xml:space="preserve">СУРХОНДАРЁ ВИЛОЯТИ</t>
        </is>
      </c>
      <c r="C370" s="116" t="inlineStr">
        <is>
          <t xml:space="preserve">Обещал</t>
        </is>
      </c>
      <c r="D370" s="116" t="inlineStr">
        <is>
          <t xml:space="preserve">Кр-99040880-1</t>
        </is>
      </c>
      <c r="E370" s="116" t="inlineStr">
        <is>
          <t xml:space="preserve">USANOV ANARBOY XXX</t>
        </is>
      </c>
      <c r="F370" s="116" t="inlineStr">
        <is>
          <t xml:space="preserve">998919824959 SMS OZI, 998930952477 SMS UYI, 998915816615 SMS OILASI,</t>
        </is>
      </c>
      <c r="G370" s="116" t="inlineStr">
        <is>
          <t xml:space="preserve">SURXONDARYO VILOYATI OLTINSOY TUMANI SHODLIK MAXALLASI YANGI HAYOT KO'CHASI 142-UY</t>
        </is>
      </c>
      <c r="H370" s="117">
        <v>43.0</v>
      </c>
      <c r="I370" s="117">
        <v>7093377.26</v>
      </c>
      <c r="K370" s="116" t="inlineStr">
        <is>
          <t xml:space="preserve">Va'da berdi | ertaga tolov | 934</t>
        </is>
      </c>
    </row>
    <row r="371">
      <c r="A371" s="116" t="inlineStr">
        <is>
          <t xml:space="preserve">СУРХОНДАРЁ ВИЛОЯТИ</t>
        </is>
      </c>
      <c r="C371" s="116" t="inlineStr">
        <is>
          <t xml:space="preserve">Обещал</t>
        </is>
      </c>
      <c r="D371" s="116" t="inlineStr">
        <is>
          <t xml:space="preserve">Кр-99019548-2</t>
        </is>
      </c>
      <c r="E371" s="116" t="inlineStr">
        <is>
          <t xml:space="preserve">BO’RONOV XABIBULLO XUDOYNAZAROVICH</t>
        </is>
      </c>
      <c r="F371" s="116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371" s="116" t="inlineStr">
        <is>
          <t xml:space="preserve">SURXONDARYO VILOYATI DENOV SHAHAR TORTUVLI MFY OYBEK 120 UY</t>
        </is>
      </c>
      <c r="H371" s="117">
        <v>3.0</v>
      </c>
      <c r="I371" s="117">
        <v>7044345.26</v>
      </c>
      <c r="K371" s="116" t="inlineStr">
        <is>
          <t xml:space="preserve">Va'da berdi | kyngi xafta tolo qlad | 74</t>
        </is>
      </c>
    </row>
    <row r="372">
      <c r="A372" s="116" t="inlineStr">
        <is>
          <t xml:space="preserve">СУРХОНДАРЁ ВИЛОЯТИ</t>
        </is>
      </c>
      <c r="C372" s="116" t="inlineStr">
        <is>
          <t xml:space="preserve">Обещал</t>
        </is>
      </c>
      <c r="D372" s="116" t="inlineStr">
        <is>
          <t xml:space="preserve">Кр-99035575-1</t>
        </is>
      </c>
      <c r="E372" s="116" t="inlineStr">
        <is>
          <t xml:space="preserve">AMANOV CHORSHANBI O’ROLOVICH</t>
        </is>
      </c>
      <c r="F372" s="116" t="inlineStr">
        <is>
          <t xml:space="preserve">998770669985 SMS OZI akasi, 998951811145 SMS UKASI, 998771006785 SMS AYOLI, 998888085588 SMS UKASI ozi ,</t>
        </is>
      </c>
      <c r="G372" s="116" t="inlineStr">
        <is>
          <t xml:space="preserve">SURXONDARYO VILOYATI QUMQO’RG’ON  TUMANI QUMQO’RG’ON  QFY CHAYONTEPA MFY X.XOLBAYEV  KO’CHASI 18-UY</t>
        </is>
      </c>
      <c r="H372" s="117">
        <v>56.0</v>
      </c>
      <c r="I372" s="117">
        <v>6986934.52</v>
      </c>
      <c r="K372" s="116" t="inlineStr">
        <is>
          <t xml:space="preserve">Va'da berdi | abror olgan | 515</t>
        </is>
      </c>
    </row>
    <row r="373">
      <c r="A373" s="116" t="inlineStr">
        <is>
          <t xml:space="preserve">СУРХОНДАРЁ ВИЛОЯТИ</t>
        </is>
      </c>
      <c r="C373" s="116" t="inlineStr">
        <is>
          <t xml:space="preserve">Обещал</t>
        </is>
      </c>
      <c r="D373" s="116" t="inlineStr">
        <is>
          <t xml:space="preserve">Кр-99033544-1</t>
        </is>
      </c>
      <c r="E373" s="116" t="inlineStr">
        <is>
          <t xml:space="preserve">KENJAYEV KAMOLIDDIN ZIYADULLAYEVICH</t>
        </is>
      </c>
      <c r="F373" s="116" t="inlineStr">
        <is>
          <t xml:space="preserve">998912337745 SMS O’ZI, 998919085879 SMS ELDOR, 998910083231 SMS ELBEK, 998975342203 SMS AYOLI,</t>
        </is>
      </c>
      <c r="G373" s="116" t="inlineStr">
        <is>
          <t xml:space="preserve">SURXONDARYO VILOYATI DENOV SHAXAR JOMI  MFY PAXTAKOR KO’CHASI 7-UY</t>
        </is>
      </c>
      <c r="H373" s="117">
        <v>66.0</v>
      </c>
      <c r="I373" s="117">
        <v>6918871.83</v>
      </c>
      <c r="K373" s="116" t="inlineStr">
        <is>
          <t xml:space="preserve">Va'da berdi | abrorga tolaga | 407</t>
        </is>
      </c>
    </row>
    <row r="374">
      <c r="A374" s="116" t="inlineStr">
        <is>
          <t xml:space="preserve">СУРХОНДАРЁ ВИЛОЯТИ</t>
        </is>
      </c>
      <c r="C374" s="116" t="inlineStr">
        <is>
          <t xml:space="preserve">Обещал</t>
        </is>
      </c>
      <c r="D374" s="116" t="inlineStr">
        <is>
          <t xml:space="preserve">Кр-99036107-1</t>
        </is>
      </c>
      <c r="E374" s="116" t="inlineStr">
        <is>
          <t xml:space="preserve">ZIKIROV ALISHER KUDRATOVICH</t>
        </is>
      </c>
      <c r="F374" s="116" t="inlineStr">
        <is>
          <t xml:space="preserve">998957668603 SMS O’ZI, 998991970555 SMS JIYANI , 998882444737 AKASI, 998990380351 SMS AYOLI ,</t>
        </is>
      </c>
      <c r="G374" s="116" t="inlineStr">
        <is>
          <t xml:space="preserve">SURXONDARYO VILOYATI DENOV TUMANI ISTIQBOL MFY SATTOR YODGOROV 35-UY </t>
        </is>
      </c>
      <c r="H374" s="117">
        <v>31.0</v>
      </c>
      <c r="I374" s="117">
        <v>6801619.6</v>
      </c>
      <c r="K374" s="116" t="inlineStr">
        <is>
          <t xml:space="preserve">Va'da berdi | 20sanaga tolov | 559</t>
        </is>
      </c>
    </row>
    <row r="375">
      <c r="A375" s="116" t="inlineStr">
        <is>
          <t xml:space="preserve">СУРХОНДАРЁ ВИЛОЯТИ</t>
        </is>
      </c>
      <c r="C375" s="116" t="inlineStr">
        <is>
          <t xml:space="preserve">Обещал</t>
        </is>
      </c>
      <c r="D375" s="116" t="inlineStr">
        <is>
          <t xml:space="preserve">Кр-99019784-3</t>
        </is>
      </c>
      <c r="E375" s="116" t="inlineStr">
        <is>
          <t xml:space="preserve">IBRAGIMOV IKROM TOSHMAMAT O’G’LI</t>
        </is>
      </c>
      <c r="F375" s="116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375" s="116" t="inlineStr">
        <is>
          <t xml:space="preserve">SURXONDARYO VILOYATI UZUN TUMANI CHAQAR MFY CHINOR KO’CHASI  4-UY</t>
        </is>
      </c>
      <c r="H375" s="117">
        <v>10.0</v>
      </c>
      <c r="I375" s="117">
        <v>6759890.03</v>
      </c>
      <c r="K375" s="116" t="inlineStr">
        <is>
          <t xml:space="preserve">Va'da berdi | tgdan gaplawdm wu xafta yopaman dd | 80</t>
        </is>
      </c>
    </row>
    <row r="376">
      <c r="A376" s="116" t="inlineStr">
        <is>
          <t xml:space="preserve">СУРХОНДАРЁ ВИЛОЯТИ</t>
        </is>
      </c>
      <c r="C376" s="116" t="inlineStr">
        <is>
          <t xml:space="preserve">Обещал</t>
        </is>
      </c>
      <c r="D376" s="116" t="inlineStr">
        <is>
          <t xml:space="preserve">Кр-99039689-1</t>
        </is>
      </c>
      <c r="E376" s="116" t="inlineStr">
        <is>
          <t xml:space="preserve">TOGOYMURADOV FARXOD TO’LQINOVICH</t>
        </is>
      </c>
      <c r="F376" s="116" t="inlineStr">
        <is>
          <t xml:space="preserve">998999457409 SMS OZI, 998950787747 SMS OGLI, 998990130098 SMS OGLI,</t>
        </is>
      </c>
      <c r="G376" s="116" t="inlineStr">
        <is>
          <t xml:space="preserve">SURXONDARYO VILOYAT, ANGOR TUMAN FAROVON MFY 20W/200-UY</t>
        </is>
      </c>
      <c r="H376" s="117">
        <v>1.0</v>
      </c>
      <c r="I376" s="117">
        <v>5849855.79</v>
      </c>
      <c r="K376" s="116" t="inlineStr">
        <is>
          <t xml:space="preserve">Va'da berdi | qisman 1 900 000 tolo qld | 826</t>
        </is>
      </c>
    </row>
    <row r="377">
      <c r="A377" s="116" t="inlineStr">
        <is>
          <t xml:space="preserve">СУРХОНДАРЁ ВИЛОЯТИ</t>
        </is>
      </c>
      <c r="C377" s="116" t="inlineStr">
        <is>
          <t xml:space="preserve">Обещал</t>
        </is>
      </c>
      <c r="D377" s="116" t="inlineStr">
        <is>
          <t xml:space="preserve">Кр-99061891-2</t>
        </is>
      </c>
      <c r="E377" s="116" t="inlineStr">
        <is>
          <t xml:space="preserve">NAVRUZOVA ADOLAT MELIKULOVNA</t>
        </is>
      </c>
      <c r="F377" s="116" t="inlineStr">
        <is>
          <t xml:space="preserve">998880439898 SMS QIZI, 998915153070 SMS O’ZI, 998919820709 SMS O’G’LI,</t>
        </is>
      </c>
      <c r="G377" s="116" t="inlineStr">
        <is>
          <t xml:space="preserve">EZGULIK KO’CHASI 38-UY</t>
        </is>
      </c>
      <c r="H377" s="117">
        <v>10.0</v>
      </c>
      <c r="I377" s="117">
        <v>5807223.26</v>
      </c>
      <c r="K377" s="116" t="inlineStr">
        <is>
          <t xml:space="preserve">Va'da berdi | 20 cisidan kyn tolo qlad | 1391</t>
        </is>
      </c>
    </row>
    <row r="378">
      <c r="A378" s="116" t="inlineStr">
        <is>
          <t xml:space="preserve">СУРХОНДАРЁ ВИЛОЯТИ</t>
        </is>
      </c>
      <c r="C378" s="116" t="inlineStr">
        <is>
          <t xml:space="preserve">Обещал</t>
        </is>
      </c>
      <c r="D378" s="116" t="inlineStr">
        <is>
          <t xml:space="preserve">Кр-99037123-1</t>
        </is>
      </c>
      <c r="E378" s="116" t="inlineStr">
        <is>
          <t xml:space="preserve">UMAROV ISROYILJON MAMAJONOVICH</t>
        </is>
      </c>
      <c r="F378" s="116" t="inlineStr">
        <is>
          <t xml:space="preserve">998993451982 SMS OZI, 998885311221 SMS UY, 998900400044 SMS OGLI BEGONA, 998882479680 SMS AKASI, 998975351151 SMS O'ZI , 998772751151 ozi new,</t>
        </is>
      </c>
      <c r="G378" s="116" t="inlineStr">
        <is>
          <t xml:space="preserve">SURXONDARYO VILOYATI DENOV TUMANI TOTUVLI MFY GULBAHOR K’OCHASI 78-UY</t>
        </is>
      </c>
      <c r="H378" s="117">
        <v>45.0</v>
      </c>
      <c r="I378" s="117">
        <v>5798449.86</v>
      </c>
      <c r="K378" s="116" t="inlineStr">
        <is>
          <t xml:space="preserve">Va'da berdi | 19sanaga tolov | 612</t>
        </is>
      </c>
    </row>
    <row r="379">
      <c r="A379" s="116" t="inlineStr">
        <is>
          <t xml:space="preserve">СУРХОНДАРЁ ВИЛОЯТИ</t>
        </is>
      </c>
      <c r="C379" s="116" t="inlineStr">
        <is>
          <t xml:space="preserve">Обещал</t>
        </is>
      </c>
      <c r="D379" s="116" t="inlineStr">
        <is>
          <t xml:space="preserve">Кр-99009967-4</t>
        </is>
      </c>
      <c r="E379" s="116" t="inlineStr">
        <is>
          <t xml:space="preserve">SANGILOVA MOXIRA RAXIMOVNA</t>
        </is>
      </c>
      <c r="F379" s="116" t="inlineStr">
        <is>
          <t xml:space="preserve">97-807-77-97 SMS, 99-678-23-45  SMS O’ZI, 99-360-50-13  SMS JIYANI MIRVALI, 88-808-97-02 SMS UY, 998915163497 SMS UY,</t>
        </is>
      </c>
      <c r="G379" s="116" t="inlineStr">
        <is>
          <t xml:space="preserve">ҚИЗИЛЖАР ҚФЙ, БУЮК ИПАК ЙЎЛИ МФЙ, ҚИЗИЛЖАР ҚФЙ, БУЮК ИПАК ЙЎЛИ МФЙ, БУЮК ИПАК ЙЎЛИ,  uy:Б/Н</t>
        </is>
      </c>
      <c r="H379" s="117">
        <v>43.0</v>
      </c>
      <c r="I379" s="117">
        <v>5626142.7</v>
      </c>
      <c r="K379" s="116" t="inlineStr">
        <is>
          <t xml:space="preserve">Va'da berdi | 20sanaga tolov | 30</t>
        </is>
      </c>
    </row>
    <row r="380">
      <c r="A380" s="116" t="inlineStr">
        <is>
          <t xml:space="preserve">СУРХОНДАРЁ ВИЛОЯТИ</t>
        </is>
      </c>
      <c r="C380" s="116" t="inlineStr">
        <is>
          <t xml:space="preserve">Обещал</t>
        </is>
      </c>
      <c r="D380" s="116" t="inlineStr">
        <is>
          <t xml:space="preserve">Кр-99039423-3</t>
        </is>
      </c>
      <c r="E380" s="116" t="inlineStr">
        <is>
          <t xml:space="preserve">BOZOROVA DILOROM PARDAYEVNA</t>
        </is>
      </c>
      <c r="F380" s="116" t="inlineStr">
        <is>
          <t xml:space="preserve">998975336110 SMS OZI, 998976934380 SMS ERI, 998200102496 SMS QIZI, 998879070696 SMS QIZI2, 998772328206 SMS QIZI TOLOVCHI ,</t>
        </is>
      </c>
      <c r="G380" s="116" t="inlineStr">
        <is>
          <t xml:space="preserve">SURXONDARYO VILOYAT, MUZRABOT TUMAN FIDOKOR MFY AL-FARG’ONIY KO’CHASI 11-UY</t>
        </is>
      </c>
      <c r="H380" s="117">
        <v>10.0</v>
      </c>
      <c r="I380" s="117">
        <v>5610634.62</v>
      </c>
      <c r="K380" s="116" t="inlineStr">
        <is>
          <t xml:space="preserve">Va'da berdi | oyni oxiriga | 786</t>
        </is>
      </c>
    </row>
    <row r="381">
      <c r="A381" s="116" t="inlineStr">
        <is>
          <t xml:space="preserve">СУРХОНДАРЁ ВИЛОЯТИ</t>
        </is>
      </c>
      <c r="C381" s="116" t="inlineStr">
        <is>
          <t xml:space="preserve">Обещал</t>
        </is>
      </c>
      <c r="D381" s="116" t="inlineStr">
        <is>
          <t xml:space="preserve">Кр-99021935-6</t>
        </is>
      </c>
      <c r="E381" s="116" t="inlineStr">
        <is>
          <t xml:space="preserve">AZIMOV UMIDILLA XUDOYBERDIYEVICH</t>
        </is>
      </c>
      <c r="F381" s="116" t="inlineStr">
        <is>
          <t xml:space="preserve">91-573-47-31 SMS, 90-114-11-38  SMS UY, 97-244-63-39 SMS, 91-573-47-31 SMS,</t>
        </is>
      </c>
      <c r="G381" s="116" t="inlineStr">
        <is>
          <t xml:space="preserve">QASHQADARYO VILOYATI DEHQONOBOD TUMANI OQITMA MFY</t>
        </is>
      </c>
      <c r="H381" s="117">
        <v>14.0</v>
      </c>
      <c r="I381" s="117">
        <v>5441826.61</v>
      </c>
      <c r="K381" s="116" t="inlineStr">
        <is>
          <t xml:space="preserve">Va'da berdi | 25 dan kyn toleman dd aslida abror bunga bldrmasdan kredt ogan | 109</t>
        </is>
      </c>
    </row>
    <row r="382">
      <c r="A382" s="116" t="inlineStr">
        <is>
          <t xml:space="preserve">СУРХОНДАРЁ ВИЛОЯТИ</t>
        </is>
      </c>
      <c r="C382" s="116" t="inlineStr">
        <is>
          <t xml:space="preserve">Обещал</t>
        </is>
      </c>
      <c r="D382" s="116" t="inlineStr">
        <is>
          <t xml:space="preserve">Кр-99034990-1</t>
        </is>
      </c>
      <c r="E382" s="116" t="inlineStr">
        <is>
          <t xml:space="preserve">PAYG’AMOV SAMANDAR BAXROM O’G’LI</t>
        </is>
      </c>
      <c r="F382" s="116" t="inlineStr">
        <is>
          <t xml:space="preserve">998930038079 SMS OZI, 998941793332 SMS OTASI, 998936763332 SMS OTASI, 998937972425 SMS UKASI,</t>
        </is>
      </c>
      <c r="G382" s="116" t="inlineStr">
        <is>
          <t xml:space="preserve">SURXONDARYO VILOYATI MUZRABOT TUMANI OLMOZOR MFY O’ZBEKISTON KO’CHASI 44-UY</t>
        </is>
      </c>
      <c r="H382" s="117">
        <v>44.0</v>
      </c>
      <c r="I382" s="117">
        <v>5419738.6</v>
      </c>
      <c r="K382" s="116" t="inlineStr">
        <is>
          <t xml:space="preserve">Va'da berdi | 20 siga tolov qlad | 475</t>
        </is>
      </c>
    </row>
    <row r="383">
      <c r="A383" s="116" t="inlineStr">
        <is>
          <t xml:space="preserve">СУРХОНДАРЁ ВИЛОЯТИ</t>
        </is>
      </c>
      <c r="C383" s="116" t="inlineStr">
        <is>
          <t xml:space="preserve">Обещал</t>
        </is>
      </c>
      <c r="D383" s="116" t="inlineStr">
        <is>
          <t xml:space="preserve">Кр-99031487-1</t>
        </is>
      </c>
      <c r="E383" s="116" t="inlineStr">
        <is>
          <t xml:space="preserve">POYANOV XIMOIDDIN AMIRJONOVICH</t>
        </is>
      </c>
      <c r="F383" s="116" t="inlineStr">
        <is>
          <t xml:space="preserve">998995707222 SMS O’ZI, 998953137053 SMS AYOLI, 998952237022 SMS AKASI, 998770527022 SMS ONASI,</t>
        </is>
      </c>
      <c r="G383" s="116" t="inlineStr">
        <is>
          <t xml:space="preserve">SURXONDARYO VILOYATI DENOV  TUMANI ANBARSOY  QFY O’RTAQISHLOQ  MFY DO’STLIK KO’CHASI 117-UY</t>
        </is>
      </c>
      <c r="H383" s="117">
        <v>59.0</v>
      </c>
      <c r="I383" s="117">
        <v>5155268.53</v>
      </c>
      <c r="K383" s="116" t="inlineStr">
        <is>
          <t xml:space="preserve">Va'da berdi | abror ogan | 320</t>
        </is>
      </c>
    </row>
    <row r="384">
      <c r="A384" s="116" t="inlineStr">
        <is>
          <t xml:space="preserve">СУРХОНДАРЁ ВИЛОЯТИ</t>
        </is>
      </c>
      <c r="C384" s="116" t="inlineStr">
        <is>
          <t xml:space="preserve">Обещал</t>
        </is>
      </c>
      <c r="D384" s="116" t="inlineStr">
        <is>
          <t xml:space="preserve">Кр-99039907-1</t>
        </is>
      </c>
      <c r="E384" s="116" t="inlineStr">
        <is>
          <t xml:space="preserve">MURATALIYEV RUZI ERGASHEVICH</t>
        </is>
      </c>
      <c r="F384" s="116" t="inlineStr">
        <is>
          <t xml:space="preserve">998938885958 SMS OZI, 998938840370 SMS ORTOGI, 998938880370 SMS OGLI, 998944081995 SMS OGLI,</t>
        </is>
      </c>
      <c r="G384" s="116" t="inlineStr">
        <is>
          <t xml:space="preserve">SURXONDARYO VILOYATI, JARQO’RG’ON TUMANI ,NURLIDIYOR MFY, CH. TOSHBOLTAYEV KO’CHASI ,10-UY</t>
        </is>
      </c>
      <c r="H384" s="117">
        <v>10.0</v>
      </c>
      <c r="I384" s="117">
        <v>5086794.92</v>
      </c>
      <c r="K384" s="116" t="inlineStr">
        <is>
          <t xml:space="preserve">Va'da berdi | 24 ciga | 844</t>
        </is>
      </c>
    </row>
    <row r="385">
      <c r="A385" s="116" t="inlineStr">
        <is>
          <t xml:space="preserve">СУРХОНДАРЁ ВИЛОЯТИ</t>
        </is>
      </c>
      <c r="C385" s="116" t="inlineStr">
        <is>
          <t xml:space="preserve">Обещал</t>
        </is>
      </c>
      <c r="D385" s="116" t="inlineStr">
        <is>
          <t xml:space="preserve">Кр-99040217-1</t>
        </is>
      </c>
      <c r="E385" s="116" t="inlineStr">
        <is>
          <t xml:space="preserve">YUSUPOVA ULJON MAMATOVNA</t>
        </is>
      </c>
      <c r="F385" s="116" t="inlineStr">
        <is>
          <t xml:space="preserve">998902252061 SMS OZI, 998995222242 SMS OGLI SHU TULOVCHI FAQAT SHUNGA TEL QILINSIN, 998911913914 SMS JIYANI,</t>
        </is>
      </c>
      <c r="G385" s="116" t="inlineStr">
        <is>
          <t xml:space="preserve">SURXONDARYO VILOYATI OLTINSOY TUMANI XIDIRSHO MFY SOKIN HAYOT KO'CHASI 6-UY</t>
        </is>
      </c>
      <c r="H385" s="117">
        <v>10.0</v>
      </c>
      <c r="I385" s="117">
        <v>4928474.47</v>
      </c>
      <c r="K385" s="116" t="inlineStr">
        <is>
          <t xml:space="preserve">Va'da berdi | 18 ga vada berdi | 873</t>
        </is>
      </c>
    </row>
    <row r="386">
      <c r="A386" s="116" t="inlineStr">
        <is>
          <t xml:space="preserve">СУРХОНДАРЁ ВИЛОЯТИ</t>
        </is>
      </c>
      <c r="C386" s="116" t="inlineStr">
        <is>
          <t xml:space="preserve">Обещал</t>
        </is>
      </c>
      <c r="D386" s="116" t="inlineStr">
        <is>
          <t xml:space="preserve">Кр-99033434-2</t>
        </is>
      </c>
      <c r="E386" s="116" t="inlineStr">
        <is>
          <t xml:space="preserve">KARAYEVA UMIDA SHAMSIDDINOVNA</t>
        </is>
      </c>
      <c r="F386" s="116" t="inlineStr">
        <is>
          <t xml:space="preserve">998953102200 SMS O’ZI, 998996144777 SMS ERI, 998952260624 SMS UKASI, 998995522016 SMS TELEGRAM NOMER,</t>
        </is>
      </c>
      <c r="G386" s="116" t="inlineStr">
        <is>
          <t xml:space="preserve">SURXONDARYO VILOYATI DENOV TUMANI PISTAMOZOR  MFY LOCHIN DEKONCHLIK  51-UY</t>
        </is>
      </c>
      <c r="H386" s="117">
        <v>10.0</v>
      </c>
      <c r="I386" s="117">
        <v>4526968.72</v>
      </c>
      <c r="K386" s="116" t="inlineStr">
        <is>
          <t xml:space="preserve">Va'da berdi | oy oxrgaca yopad yandex taxi qlad mayda mayda yigad | 394</t>
        </is>
      </c>
    </row>
    <row r="387">
      <c r="A387" s="116" t="inlineStr">
        <is>
          <t xml:space="preserve">СУРХОНДАРЁ ВИЛОЯТИ</t>
        </is>
      </c>
      <c r="C387" s="116" t="inlineStr">
        <is>
          <t xml:space="preserve">Обещал</t>
        </is>
      </c>
      <c r="D387" s="116" t="inlineStr">
        <is>
          <t xml:space="preserve">Кр-99032627-1</t>
        </is>
      </c>
      <c r="E387" s="116" t="inlineStr">
        <is>
          <t xml:space="preserve">XAKBERDIYEVA XALIMA XUDAYBERDIYEVNA</t>
        </is>
      </c>
      <c r="F387" s="116" t="inlineStr">
        <is>
          <t xml:space="preserve">998941025191 SMS ONASI, 998941442601 SMS O’ZI, 998880437679 SMS TOG’ASI, 998336731123 SMS YANGASI,</t>
        </is>
      </c>
      <c r="G387" s="116" t="inlineStr">
        <is>
          <t xml:space="preserve">SURXONDARYO VILOYATI SARIOSIYO TUMANI DASHNOBOD KELAJAK SARI MFY KO’CHASI 19-UY</t>
        </is>
      </c>
      <c r="H387" s="117">
        <v>34.0</v>
      </c>
      <c r="I387" s="117">
        <v>4511878.59</v>
      </c>
      <c r="K387" s="116" t="inlineStr">
        <is>
          <t xml:space="preserve">Va'da berdi | wahnoz ogan | 360</t>
        </is>
      </c>
    </row>
    <row r="388">
      <c r="A388" s="116" t="inlineStr">
        <is>
          <t xml:space="preserve">СУРХОНДАРЁ ВИЛОЯТИ</t>
        </is>
      </c>
      <c r="C388" s="116" t="inlineStr">
        <is>
          <t xml:space="preserve">Обещал</t>
        </is>
      </c>
      <c r="D388" s="116" t="inlineStr">
        <is>
          <t xml:space="preserve">Кр-99026309-2</t>
        </is>
      </c>
      <c r="E388" s="116" t="inlineStr">
        <is>
          <t xml:space="preserve">TOJIYEV KAXRAMON BAXTIYAROVICH</t>
        </is>
      </c>
      <c r="F388" s="116" t="inlineStr">
        <is>
          <t xml:space="preserve">98-279-27-00 SMS O'ZI, 998978452200 SMS UY, 94-203-22-00  SMS begona, 91-510-01-93 SMS, 998942032700 WATSAP BOR GERMANIYADA OZI ,</t>
        </is>
      </c>
      <c r="G388" s="116" t="inlineStr">
        <is>
          <t xml:space="preserve">SURXONDARYO VILOYATI DENOV SHAHAR ISTIQLOL  21-UY </t>
        </is>
      </c>
      <c r="H388" s="117">
        <v>77.0</v>
      </c>
      <c r="I388" s="117">
        <v>4466044.06</v>
      </c>
      <c r="K388" s="116" t="inlineStr">
        <is>
          <t xml:space="preserve">Va'da berdi | abror ogan | 155</t>
        </is>
      </c>
    </row>
    <row r="389">
      <c r="A389" s="116" t="inlineStr">
        <is>
          <t xml:space="preserve">СУРХОНДАРЁ ВИЛОЯТИ</t>
        </is>
      </c>
      <c r="C389" s="116" t="inlineStr">
        <is>
          <t xml:space="preserve">Обещал</t>
        </is>
      </c>
      <c r="D389" s="116" t="inlineStr">
        <is>
          <t xml:space="preserve">Кр-99042205-2</t>
        </is>
      </c>
      <c r="E389" s="116" t="inlineStr">
        <is>
          <t xml:space="preserve">ERGASHOVA GULCHEHRA HASANOVNA</t>
        </is>
      </c>
      <c r="F389" s="116" t="inlineStr">
        <is>
          <t xml:space="preserve">998915100210 SMS UY, 998915742909 SMS AYOLI, 998919080869 SMS O’ZI,</t>
        </is>
      </c>
      <c r="G389" s="116" t="inlineStr">
        <is>
          <t xml:space="preserve">СУРХОНДАРЁ ВИЛОЯТИ ШУРЧИ ТУМАНИ ҚЎЛДОШ ҚФЙ, ГУЛИСТОН МФЙ,  uy:68</t>
        </is>
      </c>
      <c r="H389" s="117">
        <v>10.0</v>
      </c>
      <c r="I389" s="117">
        <v>4457775.14</v>
      </c>
      <c r="K389" s="116" t="inlineStr">
        <is>
          <t xml:space="preserve">Va'da berdi | tgdan gaplawebman duwanb kuni tolo qlad ucaskasini sotebdi | 1044</t>
        </is>
      </c>
    </row>
    <row r="390">
      <c r="A390" s="116" t="inlineStr">
        <is>
          <t xml:space="preserve">СУРХОНДАРЁ ВИЛОЯТИ</t>
        </is>
      </c>
      <c r="C390" s="116" t="inlineStr">
        <is>
          <t xml:space="preserve">Обещал</t>
        </is>
      </c>
      <c r="D390" s="116" t="inlineStr">
        <is>
          <t xml:space="preserve">Кр-99017725-6</t>
        </is>
      </c>
      <c r="E390" s="116" t="inlineStr">
        <is>
          <t xml:space="preserve">ALIMOV BEKZOD ERGASHALIYEVICH</t>
        </is>
      </c>
      <c r="F390" s="116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390" s="116" t="inlineStr">
        <is>
          <t xml:space="preserve">SURXONDARYO VILOYATI DENOV TUMANI MINGBULOQ MFY  ABUXOYAT  K’OCHASI  12-UY</t>
        </is>
      </c>
      <c r="H390" s="117">
        <v>10.0</v>
      </c>
      <c r="I390" s="117">
        <v>4439459.35</v>
      </c>
      <c r="K390" s="116" t="inlineStr">
        <is>
          <t xml:space="preserve">Va'da berdi | 20sanaga tolov | 62</t>
        </is>
      </c>
    </row>
    <row r="391">
      <c r="A391" s="116" t="inlineStr">
        <is>
          <t xml:space="preserve">СУРХОНДАРЁ ВИЛОЯТИ</t>
        </is>
      </c>
      <c r="C391" s="116" t="inlineStr">
        <is>
          <t xml:space="preserve">Обещал</t>
        </is>
      </c>
      <c r="D391" s="116" t="inlineStr">
        <is>
          <t xml:space="preserve">Кр-99030616-1</t>
        </is>
      </c>
      <c r="E391" s="116" t="inlineStr">
        <is>
          <t xml:space="preserve">XAMRAYEV SHERZOD AXMADOVICH</t>
        </is>
      </c>
      <c r="F391" s="116" t="inlineStr">
        <is>
          <t xml:space="preserve">93-833-06-96 SMS , 91-576-87-78  SMS UY, 97-808-03-25  SMS UKASI, 50-800-43-81  SMS UKASI 2, 94-553-21-13  SMS OILASI, 998919047851 SMS OZI,</t>
        </is>
      </c>
      <c r="G391" s="116" t="inlineStr">
        <is>
          <t xml:space="preserve">SURXONDARYO VILOYATI SHURCHI TUMANI NAVRUZ MFY 8-MART KO’CHASI 10-UY</t>
        </is>
      </c>
      <c r="H391" s="117">
        <v>6.0</v>
      </c>
      <c r="I391" s="117">
        <v>4136020.85</v>
      </c>
      <c r="K391" s="116" t="inlineStr">
        <is>
          <t xml:space="preserve">Va'da berdi | bugun erte tolo qlad | 288</t>
        </is>
      </c>
    </row>
    <row r="392">
      <c r="A392" s="116" t="inlineStr">
        <is>
          <t xml:space="preserve">СУРХОНДАРЁ ВИЛОЯТИ</t>
        </is>
      </c>
      <c r="C392" s="116" t="inlineStr">
        <is>
          <t xml:space="preserve">Дозвон</t>
        </is>
      </c>
      <c r="D392" s="116" t="inlineStr">
        <is>
          <t xml:space="preserve">Кр-99012050-5</t>
        </is>
      </c>
      <c r="E392" s="116" t="inlineStr">
        <is>
          <t xml:space="preserve">CHARIYEV ABDUMUROD SAFAROVICH</t>
        </is>
      </c>
      <c r="F392" s="116" t="inlineStr">
        <is>
          <t xml:space="preserve">99-959-11-12 SMS OZI, 90-267-67-12 SMS UY, 95-525-89-85 SMS ZALOGODATEL, 99-240-98-85 SMS ZALOGODATEL (NOMERI бегона), 95-525-89-83  SMS BEGONA,</t>
        </is>
      </c>
      <c r="G392" s="116" t="inlineStr">
        <is>
          <t xml:space="preserve">SURXONDARYO VILOYATI DENOV TUMANI NAVBAHOR MFY QUSHBULOQ KO’CHASI 34-UY</t>
        </is>
      </c>
      <c r="H392" s="117">
        <v>31.0</v>
      </c>
      <c r="I392" s="117">
        <v>4131036.06</v>
      </c>
      <c r="J392" s="117">
        <v>4131036.06</v>
      </c>
      <c r="K392" s="116" t="inlineStr">
        <is>
          <t xml:space="preserve">To'ladi | oylik tolovi yopild | 39</t>
        </is>
      </c>
    </row>
    <row r="393">
      <c r="A393" s="116" t="inlineStr">
        <is>
          <t xml:space="preserve">СУРХОНДАРЁ ВИЛОЯТИ</t>
        </is>
      </c>
      <c r="C393" s="116" t="inlineStr">
        <is>
          <t xml:space="preserve">Обещал</t>
        </is>
      </c>
      <c r="D393" s="116" t="inlineStr">
        <is>
          <t xml:space="preserve">Кр-99037147-1</t>
        </is>
      </c>
      <c r="E393" s="116" t="inlineStr">
        <is>
          <t xml:space="preserve">BURIYEV DAVRON RAVUTOVICH</t>
        </is>
      </c>
      <c r="F393" s="116" t="inlineStr">
        <is>
          <t xml:space="preserve">998772024402 SMS OZI, 998771244402 SMS UYI, 998996641381 SMS  AKASI, 998915183009 SMS UKASI, 998774124402 SMS AYOLI ,</t>
        </is>
      </c>
      <c r="G393" s="116" t="inlineStr">
        <is>
          <t xml:space="preserve">SURXONDARYO VILOYATI DENOV SHAHAR TOTUVLI OLIY QADIRYAT 47-UY</t>
        </is>
      </c>
      <c r="H393" s="117">
        <v>14.0</v>
      </c>
      <c r="I393" s="117">
        <v>4130862.59</v>
      </c>
      <c r="K393" s="116" t="inlineStr">
        <is>
          <t xml:space="preserve">Va'da berdi | ertaga tolov | 614</t>
        </is>
      </c>
    </row>
    <row r="394">
      <c r="A394" s="116" t="inlineStr">
        <is>
          <t xml:space="preserve">СУРХОНДАРЁ ВИЛОЯТИ</t>
        </is>
      </c>
      <c r="C394" s="116" t="inlineStr">
        <is>
          <t xml:space="preserve">Обещал</t>
        </is>
      </c>
      <c r="D394" s="116" t="inlineStr">
        <is>
          <t xml:space="preserve">Кр-99058385-1</t>
        </is>
      </c>
      <c r="E394" s="116" t="inlineStr">
        <is>
          <t xml:space="preserve">RAXMATOVA MAFTUNA AXMADOVNA</t>
        </is>
      </c>
      <c r="F394" s="116" t="inlineStr">
        <is>
          <t xml:space="preserve">998942349989 SMS ukasi, 998932508896 SMS uzi , 998932735262 SMS dadasi,</t>
        </is>
      </c>
      <c r="G394" s="116" t="inlineStr">
        <is>
          <t xml:space="preserve">DENOV TUMANI</t>
        </is>
      </c>
      <c r="H394" s="117">
        <v>10.0</v>
      </c>
      <c r="I394" s="117">
        <v>4126322.49</v>
      </c>
      <c r="K394" s="116" t="inlineStr">
        <is>
          <t xml:space="preserve">Va'da berdi | kyngi hafta tolo qlad | 1322</t>
        </is>
      </c>
    </row>
    <row r="395">
      <c r="A395" s="116" t="inlineStr">
        <is>
          <t xml:space="preserve">СУРХОНДАРЁ ВИЛОЯТИ</t>
        </is>
      </c>
      <c r="C395" s="116" t="inlineStr">
        <is>
          <t xml:space="preserve">Обещал</t>
        </is>
      </c>
      <c r="D395" s="116" t="inlineStr">
        <is>
          <t xml:space="preserve">Кр-99037453-1</t>
        </is>
      </c>
      <c r="E395" s="116" t="inlineStr">
        <is>
          <t xml:space="preserve">KENJAYEVA FERUZA ISMATOVNA</t>
        </is>
      </c>
      <c r="F395" s="116" t="inlineStr">
        <is>
          <t xml:space="preserve">998991366283 SMS OZI, 998996737181 SMS TOLOVCHI , 998991678777 SMS O’G’LI, 998997725811 SMS O’G’LI,</t>
        </is>
      </c>
      <c r="G395" s="116" t="inlineStr">
        <is>
          <t xml:space="preserve">SURXONDARYO VILOYATI UZUN  TUMANI TOLTO’GAY  MFY IBNISINON 2-UY</t>
        </is>
      </c>
      <c r="H395" s="117">
        <v>1.0</v>
      </c>
      <c r="I395" s="117">
        <v>4092257.26</v>
      </c>
      <c r="K395" s="116" t="inlineStr">
        <is>
          <t xml:space="preserve">Va'da berdi | 20sanaga tolov | 647</t>
        </is>
      </c>
    </row>
    <row r="396">
      <c r="A396" s="116" t="inlineStr">
        <is>
          <t xml:space="preserve">СУРХОНДАРЁ ВИЛОЯТИ</t>
        </is>
      </c>
      <c r="C396" s="116" t="inlineStr">
        <is>
          <t xml:space="preserve">Обещал</t>
        </is>
      </c>
      <c r="D396" s="116" t="inlineStr">
        <is>
          <t xml:space="preserve">Кр-99038817-1</t>
        </is>
      </c>
      <c r="E396" s="116" t="inlineStr">
        <is>
          <t xml:space="preserve">SHAMSUDDINOV JASUR JALOLIDDIN O’G’LI</t>
        </is>
      </c>
      <c r="F396" s="116" t="inlineStr">
        <is>
          <t xml:space="preserve">998905686688 SMS OZI, 998909959607 SMS OZI 2, 998915178817 SMS DADASI, 998500407141 SMS UYI,</t>
        </is>
      </c>
      <c r="G396" s="116" t="inlineStr">
        <is>
          <t xml:space="preserve">SURXONDARYO VILOYATI OLTINSOY TUMANI JOBU MFY NAVRUZ 78-UY</t>
        </is>
      </c>
      <c r="H396" s="117">
        <v>6.0</v>
      </c>
      <c r="I396" s="117">
        <v>3971049.48</v>
      </c>
      <c r="K396" s="116" t="inlineStr">
        <is>
          <t xml:space="preserve">Va'da berdi | 3-4 kunda tolo qlad | 730</t>
        </is>
      </c>
    </row>
    <row r="397">
      <c r="A397" s="116" t="inlineStr">
        <is>
          <t xml:space="preserve">СУРХОНДАРЁ ВИЛОЯТИ</t>
        </is>
      </c>
      <c r="C397" s="116" t="inlineStr">
        <is>
          <t xml:space="preserve">Обещал</t>
        </is>
      </c>
      <c r="D397" s="116" t="inlineStr">
        <is>
          <t xml:space="preserve">Кр-99029033-1</t>
        </is>
      </c>
      <c r="E397" s="116" t="inlineStr">
        <is>
          <t xml:space="preserve">ABDIYEV OYBEK PARDAYEVICH</t>
        </is>
      </c>
      <c r="F397" s="116" t="inlineStr">
        <is>
          <t xml:space="preserve">998993774798 SMS, 998952688798 SMS UY, 998993483065 SMS AKASI, 998904196065 SMS OILASI,</t>
        </is>
      </c>
      <c r="G397" s="116" t="inlineStr">
        <is>
          <t xml:space="preserve">SURXONDARYO VILOYAT SHO’RCHI TUMAN OLIYHIMMAT MFY KATTATEPA 142-UY</t>
        </is>
      </c>
      <c r="H397" s="117">
        <v>77.0</v>
      </c>
      <c r="I397" s="117">
        <v>3909675.17</v>
      </c>
      <c r="K397" s="116" t="inlineStr">
        <is>
          <t xml:space="preserve">Va'da berdi | abror tolo qlad | 219</t>
        </is>
      </c>
    </row>
    <row r="398">
      <c r="A398" s="116" t="inlineStr">
        <is>
          <t xml:space="preserve">СУРХОНДАРЁ ВИЛОЯТИ</t>
        </is>
      </c>
      <c r="C398" s="116" t="inlineStr">
        <is>
          <t xml:space="preserve">Обещал</t>
        </is>
      </c>
      <c r="D398" s="116" t="inlineStr">
        <is>
          <t xml:space="preserve">Кр-99042695-1</t>
        </is>
      </c>
      <c r="E398" s="116" t="inlineStr">
        <is>
          <t xml:space="preserve">XO’JAMUROTOV BEKZOD XO’SHBOQOVICH</t>
        </is>
      </c>
      <c r="F398" s="116" t="inlineStr">
        <is>
          <t xml:space="preserve">+998997210188 SMS O’ZI, 998953138603 SMS O’G’LI, 998995299486 SMS AYOLI,</t>
        </is>
      </c>
      <c r="G398" s="116" t="inlineStr">
        <is>
          <t xml:space="preserve">Сурхандарьинская область, Шерабадский район, Шеробод МСГ, ул. Узбекистан, уч. 102</t>
        </is>
      </c>
      <c r="H398" s="117">
        <v>10.0</v>
      </c>
      <c r="I398" s="117">
        <v>3878858.67</v>
      </c>
      <c r="K398" s="116" t="inlineStr">
        <is>
          <t xml:space="preserve">Va'da berdi | tgdan yozdm rusda ekan 20 cisidan  kyn toledi | 1059</t>
        </is>
      </c>
    </row>
    <row r="399">
      <c r="A399" s="116" t="inlineStr">
        <is>
          <t xml:space="preserve">СУРХОНДАРЁ ВИЛОЯТИ</t>
        </is>
      </c>
      <c r="C399" s="116" t="inlineStr">
        <is>
          <t xml:space="preserve">Обещал</t>
        </is>
      </c>
      <c r="D399" s="116" t="inlineStr">
        <is>
          <t xml:space="preserve">Кр-99028191-1</t>
        </is>
      </c>
      <c r="E399" s="116" t="inlineStr">
        <is>
          <t xml:space="preserve">MUSAYEVA OLIYA TODJIDINOVNA</t>
        </is>
      </c>
      <c r="F399" s="116" t="inlineStr">
        <is>
          <t xml:space="preserve">88-506-09-68 SMS OZI , 99-065-48-66 SMS UY , 33-051-00-20  SMS OGLI , 91-731-46-46 SMS OGLI ,</t>
        </is>
      </c>
      <c r="G399" s="116" t="inlineStr">
        <is>
          <t xml:space="preserve">SURXONDARYO VILOYATI DENOV TUMANI QORAXON QFY NAMUNA MFY TARAKUAT K’OCHASI 49-UY </t>
        </is>
      </c>
      <c r="H399" s="117">
        <v>23.0</v>
      </c>
      <c r="I399" s="117">
        <v>3864426.85</v>
      </c>
      <c r="K399" s="116" t="inlineStr">
        <is>
          <t xml:space="preserve">Va'da berdi | iskandar ogan | 195</t>
        </is>
      </c>
    </row>
    <row r="400">
      <c r="A400" s="116" t="inlineStr">
        <is>
          <t xml:space="preserve">СУРХОНДАРЁ ВИЛОЯТИ</t>
        </is>
      </c>
      <c r="C400" s="116" t="inlineStr">
        <is>
          <t xml:space="preserve">Обещал</t>
        </is>
      </c>
      <c r="D400" s="116" t="inlineStr">
        <is>
          <t xml:space="preserve">Кр-99016214-6</t>
        </is>
      </c>
      <c r="E400" s="116" t="inlineStr">
        <is>
          <t xml:space="preserve">QAYUMOV BOBOXON JUMAYEVICH</t>
        </is>
      </c>
      <c r="F400" s="116" t="inlineStr">
        <is>
          <t xml:space="preserve">97-793-15-12 SMS UZI, 95-501-40-42 SMS UZI , 99-168-92-80 SMS UYI Begona, 998975300046 SMS ONASI,</t>
        </is>
      </c>
      <c r="G400" s="116" t="inlineStr">
        <is>
          <t xml:space="preserve">SOXIBKOR QFY EZGULIK MFY MUSTAQILLIK KO’CHASI 28-UY</t>
        </is>
      </c>
      <c r="H400" s="117">
        <v>10.0</v>
      </c>
      <c r="I400" s="117">
        <v>3582672.44</v>
      </c>
      <c r="K400" s="116" t="inlineStr">
        <is>
          <t xml:space="preserve">Va'da berdi | 20sanaga tolov | 54</t>
        </is>
      </c>
    </row>
    <row r="401">
      <c r="A401" s="116" t="inlineStr">
        <is>
          <t xml:space="preserve">СУРХОНДАРЁ ВИЛОЯТИ</t>
        </is>
      </c>
      <c r="C401" s="116" t="inlineStr">
        <is>
          <t xml:space="preserve">Обещал</t>
        </is>
      </c>
      <c r="D401" s="116" t="inlineStr">
        <is>
          <t xml:space="preserve">Кр-99040377-1</t>
        </is>
      </c>
      <c r="E401" s="116" t="inlineStr">
        <is>
          <t xml:space="preserve">RADJABOV JO’RABEK MAXMUTOVICH</t>
        </is>
      </c>
      <c r="F401" s="116" t="inlineStr">
        <is>
          <t xml:space="preserve">998507795666 SMS OZI, 998992118496 SMS UKASI, 998507218995 SMS AYOLI, 998999484972 SMS QAYTNONASI,</t>
        </is>
      </c>
      <c r="G401" s="116" t="inlineStr">
        <is>
          <t xml:space="preserve">SURXONDARYO VILOYATI DENOV TUMANI ISLOM TO'RAYEV MFY ASRLAR SADOSI  KO'CHASI</t>
        </is>
      </c>
      <c r="H401" s="117">
        <v>10.0</v>
      </c>
      <c r="I401" s="117">
        <v>3580415.5</v>
      </c>
      <c r="K401" s="116" t="inlineStr">
        <is>
          <t xml:space="preserve">Va'da berdi | ertan 11 ga tolo tel qlw kk | 888</t>
        </is>
      </c>
    </row>
    <row r="402">
      <c r="A402" s="116" t="inlineStr">
        <is>
          <t xml:space="preserve">СУРХОНДАРЁ ВИЛОЯТИ</t>
        </is>
      </c>
      <c r="C402" s="116" t="inlineStr">
        <is>
          <t xml:space="preserve">Обещал</t>
        </is>
      </c>
      <c r="D402" s="116" t="inlineStr">
        <is>
          <t xml:space="preserve">Кр-99053658-1</t>
        </is>
      </c>
      <c r="E402" s="116" t="inlineStr">
        <is>
          <t xml:space="preserve">MUROTALIV BEKMUROD XAITMUROT O’G’LI</t>
        </is>
      </c>
      <c r="F402" s="116" t="inlineStr">
        <is>
          <t xml:space="preserve">998773737223 SMS OZI, 998200295964 SMS OZI, 998954405859 SMS OANSI, 998915833844 SMS AKASI, 998950199165 SMS ozi yangisi,</t>
        </is>
      </c>
      <c r="G402" s="116" t="inlineStr">
        <is>
          <t xml:space="preserve">SURXONDARYO VILOYAT QUMQURG’ON TUMAN GULTEPA MFY BOYQISHLOQ KO’CHASI 252-UY</t>
        </is>
      </c>
      <c r="H402" s="117">
        <v>10.0</v>
      </c>
      <c r="I402" s="117">
        <v>3463568.24</v>
      </c>
      <c r="K402" s="116" t="inlineStr">
        <is>
          <t xml:space="preserve">Va'da berdi | 20 dan kyn tolo qlad owa vohti oganma kredtni oyligmga moljallab dd | 1232</t>
        </is>
      </c>
    </row>
    <row r="403">
      <c r="A403" s="116" t="inlineStr">
        <is>
          <t xml:space="preserve">СУРХОНДАРЁ ВИЛОЯТИ</t>
        </is>
      </c>
      <c r="C403" s="116" t="inlineStr">
        <is>
          <t xml:space="preserve">Обещал</t>
        </is>
      </c>
      <c r="D403" s="116" t="inlineStr">
        <is>
          <t xml:space="preserve">Кр-99011713-3</t>
        </is>
      </c>
      <c r="E403" s="116" t="inlineStr">
        <is>
          <t xml:space="preserve">SHOBERDIYEV AKBAR KOMILJON O’G’LI</t>
        </is>
      </c>
      <c r="F403" s="116" t="inlineStr">
        <is>
          <t xml:space="preserve">998902475708 SMS, 998910757408 SMS ISLOM JIYANI , 998900741017 SMS  AXMAD JIYANI, 998880077858 SMS GULCHEXRA AYOLI,</t>
        </is>
      </c>
      <c r="G403" s="116" t="inlineStr">
        <is>
          <t xml:space="preserve">SURXONDARYO VILOYATI QUMQO’RG’ON TUMANI YANGI YER MFY MUSTAQILLIK KO’CHASI 153-UY</t>
        </is>
      </c>
      <c r="H403" s="117">
        <v>28.0</v>
      </c>
      <c r="I403" s="117">
        <v>3456443.15</v>
      </c>
      <c r="K403" s="116" t="inlineStr">
        <is>
          <t xml:space="preserve">Va'da berdi | 18sanaga tolov | 38</t>
        </is>
      </c>
    </row>
    <row r="404">
      <c r="A404" s="116" t="inlineStr">
        <is>
          <t xml:space="preserve">СУРХОНДАРЁ ВИЛОЯТИ</t>
        </is>
      </c>
      <c r="C404" s="116" t="inlineStr">
        <is>
          <t xml:space="preserve">Обещал</t>
        </is>
      </c>
      <c r="D404" s="116" t="inlineStr">
        <is>
          <t xml:space="preserve">Кр-99012058-4</t>
        </is>
      </c>
      <c r="E404" s="116" t="inlineStr">
        <is>
          <t xml:space="preserve">XAITOV KAXRAMON ERGASHOVICH</t>
        </is>
      </c>
      <c r="F404" s="116" t="inlineStr">
        <is>
          <t xml:space="preserve">99-336-87-80 SMS OZI, 99-948-40-81 SMS SHERIGI ERKIN, 99-959-11-12 SMS AKASI ABDUMUROD, 99-595-26-02 SMS UY, +7 921 108 9959 SMS OZI TGSI BOR ,</t>
        </is>
      </c>
      <c r="G404" s="116" t="inlineStr">
        <is>
          <t xml:space="preserve">SURXONDARYO VILOYATI DENOV TUMANI NAVBAHOR MFY G’UZOROBOD KO’CHASI 36-UY</t>
        </is>
      </c>
      <c r="H404" s="117">
        <v>29.0</v>
      </c>
      <c r="I404" s="117">
        <v>3266069.04</v>
      </c>
      <c r="K404" s="116" t="inlineStr">
        <is>
          <t xml:space="preserve">Va'da berdi | dushanba kuniga | 40</t>
        </is>
      </c>
    </row>
    <row r="405">
      <c r="A405" s="116" t="inlineStr">
        <is>
          <t xml:space="preserve">СУРХОНДАРЁ ВИЛОЯТИ</t>
        </is>
      </c>
      <c r="C405" s="116" t="inlineStr">
        <is>
          <t xml:space="preserve">Обещал</t>
        </is>
      </c>
      <c r="D405" s="116" t="inlineStr">
        <is>
          <t xml:space="preserve">Кр-99033460-1</t>
        </is>
      </c>
      <c r="E405" s="116" t="inlineStr">
        <is>
          <t xml:space="preserve">CHORIYEVA NASIBA ABDUSALIM QIZI</t>
        </is>
      </c>
      <c r="F405" s="116" t="inlineStr">
        <is>
          <t xml:space="preserve">998992315902 SMS O’ZI, 998994226734 SMS XUJAYINI, 998995625902 SMS QAYNONASI, 998500990706 SMS QAYNI UKASI,</t>
        </is>
      </c>
      <c r="G405" s="116" t="inlineStr">
        <is>
          <t xml:space="preserve">SURXONDARYO VILOYATI ANGOR TUMAN DEXQONITTIFOQ MFY  USTA-QISHLOQ KO’CHASI 10-UY</t>
        </is>
      </c>
      <c r="H405" s="117">
        <v>7.0</v>
      </c>
      <c r="I405" s="117">
        <v>3016264.89</v>
      </c>
      <c r="K405" s="116" t="inlineStr">
        <is>
          <t xml:space="preserve">Va'da berdi | bugun tolo qlad | 396</t>
        </is>
      </c>
    </row>
    <row r="406">
      <c r="A406" s="116" t="inlineStr">
        <is>
          <t xml:space="preserve">СУРХОНДАРЁ ВИЛОЯТИ</t>
        </is>
      </c>
      <c r="C406" s="116" t="inlineStr">
        <is>
          <t xml:space="preserve">Дозвон</t>
        </is>
      </c>
      <c r="D406" s="116" t="inlineStr">
        <is>
          <t xml:space="preserve">Кр-99030725-1</t>
        </is>
      </c>
      <c r="E406" s="116" t="inlineStr">
        <is>
          <t xml:space="preserve">XAMROYEV MAXSUDBEK BAXODIROVICH</t>
        </is>
      </c>
      <c r="F406" s="116" t="inlineStr">
        <is>
          <t xml:space="preserve">97-535-78-88 SMS O’ZI BEGONA , 97-193-78-88  SMS UY, 88-848-22-99  SMS OILASI, 88-839-19-89  SMS JIYANI,</t>
        </is>
      </c>
      <c r="G406" s="116" t="inlineStr">
        <is>
          <t xml:space="preserve">SURXONDARYO VILOYATI DENOV TUMANI GAXANA M.F.Y KO’RKAM 33-UY</t>
        </is>
      </c>
      <c r="H406" s="117">
        <v>3.0</v>
      </c>
      <c r="I406" s="117">
        <v>2969871.37</v>
      </c>
      <c r="J406" s="117">
        <v>2969871.37</v>
      </c>
      <c r="K406" s="116" t="inlineStr">
        <is>
          <t xml:space="preserve">To'ladi | oylik tolovi yopild | 295</t>
        </is>
      </c>
    </row>
    <row r="407">
      <c r="A407" s="116" t="inlineStr">
        <is>
          <t xml:space="preserve">СУРХОНДАРЁ ВИЛОЯТИ</t>
        </is>
      </c>
      <c r="C407" s="116" t="inlineStr">
        <is>
          <t xml:space="preserve">Обещал</t>
        </is>
      </c>
      <c r="D407" s="116" t="inlineStr">
        <is>
          <t xml:space="preserve">Кр-99035581-2</t>
        </is>
      </c>
      <c r="E407" s="116" t="inlineStr">
        <is>
          <t xml:space="preserve">SAYDALIYEV BAXTINUR BAXRIDDIN O’G’LI</t>
        </is>
      </c>
      <c r="F407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07" s="116" t="inlineStr">
        <is>
          <t xml:space="preserve">Сурхондарё вилояти Кизирик Тумани Работак МФЙ, Абдулла Қаххор 1 кучаси, 21...-уй</t>
        </is>
      </c>
      <c r="H407" s="117">
        <v>10.0</v>
      </c>
      <c r="I407" s="117">
        <v>2934343.73</v>
      </c>
      <c r="K407" s="116" t="inlineStr">
        <is>
          <t xml:space="preserve">Va'da berdi | 20 dan kyn tolo qlad | 516</t>
        </is>
      </c>
    </row>
    <row r="408">
      <c r="A408" s="116" t="inlineStr">
        <is>
          <t xml:space="preserve">СУРХОНДАРЁ ВИЛОЯТИ</t>
        </is>
      </c>
      <c r="C408" s="116" t="inlineStr">
        <is>
          <t xml:space="preserve">Обещал</t>
        </is>
      </c>
      <c r="D408" s="116" t="inlineStr">
        <is>
          <t xml:space="preserve">Кр-99057441-1</t>
        </is>
      </c>
      <c r="E408" s="116" t="inlineStr">
        <is>
          <t xml:space="preserve">ISMATULLAYEV SALOXIDDIN SHERALI O’G’LI</t>
        </is>
      </c>
      <c r="F408" s="116" t="inlineStr">
        <is>
          <t xml:space="preserve">998971544440 SMS UZI, 998700137737 SMS UKASI, 998917333337 SMS UY, 998903799208 SMS UY 2,</t>
        </is>
      </c>
      <c r="G408" s="116" t="inlineStr">
        <is>
          <t xml:space="preserve">SURXONDARYO VILOYATI UZUN TUMANI QARASHIQ MFY SHODLIK KO’CHASI  153-UY </t>
        </is>
      </c>
      <c r="H408" s="117">
        <v>10.0</v>
      </c>
      <c r="I408" s="117">
        <v>2849944.14</v>
      </c>
      <c r="K408" s="116" t="inlineStr">
        <is>
          <t xml:space="preserve">Va'da berdi | bugun yo erte tolo qlad | 1295</t>
        </is>
      </c>
    </row>
    <row r="409">
      <c r="A409" s="116" t="inlineStr">
        <is>
          <t xml:space="preserve">СУРХОНДАРЁ ВИЛОЯТИ</t>
        </is>
      </c>
      <c r="C409" s="116" t="inlineStr">
        <is>
          <t xml:space="preserve">Обещал</t>
        </is>
      </c>
      <c r="D409" s="116" t="inlineStr">
        <is>
          <t xml:space="preserve">Кр-99037348-1</t>
        </is>
      </c>
      <c r="E409" s="116" t="inlineStr">
        <is>
          <t xml:space="preserve">OLIMOV UMIDJON XUMOYIDDIN O’G’LI</t>
        </is>
      </c>
      <c r="F409" s="116" t="inlineStr">
        <is>
          <t xml:space="preserve">998942029997 SMS OZI, 998943059997 SMS UY, 998774143444 SMS AKASI, 998932072484 SMS AKASI,</t>
        </is>
      </c>
      <c r="G409" s="116" t="inlineStr">
        <is>
          <t xml:space="preserve">SURXONDARYO VILOYATI QUMQO’RG’ON TUMANI YANGIQISHLOQ  MFY NAFASAD   37-UY</t>
        </is>
      </c>
      <c r="H409" s="117">
        <v>3.0</v>
      </c>
      <c r="I409" s="117">
        <v>2823681.2</v>
      </c>
      <c r="K409" s="116" t="inlineStr">
        <is>
          <t xml:space="preserve">Va'da berdi | jumaga tolov 18 | 633</t>
        </is>
      </c>
    </row>
    <row r="410">
      <c r="A410" s="116" t="inlineStr">
        <is>
          <t xml:space="preserve">СУРХОНДАРЁ ВИЛОЯТИ</t>
        </is>
      </c>
      <c r="C410" s="116" t="inlineStr">
        <is>
          <t xml:space="preserve">Обещал</t>
        </is>
      </c>
      <c r="D410" s="116" t="inlineStr">
        <is>
          <t xml:space="preserve">Кр-99010264-3</t>
        </is>
      </c>
      <c r="E410" s="116" t="inlineStr">
        <is>
          <t xml:space="preserve">RO’ZIYEV XOLIYOR ALLANAZAROVICH</t>
        </is>
      </c>
      <c r="F410" s="116" t="inlineStr">
        <is>
          <t xml:space="preserve">91-582-85-90 SMS, 91-512-64-92  SMS O’G’LI NOMOZ, 91-228-85-09  SMS KELINI MUBORAK, 91-234-52-59 SMS UY,</t>
        </is>
      </c>
      <c r="G410" s="116" t="inlineStr">
        <is>
          <t xml:space="preserve">SURXONDARYO VILOYATI SHO’RCHI TUMANI ALPIMISH QFY TAMADDUM MFY 471-UY</t>
        </is>
      </c>
      <c r="H410" s="117">
        <v>10.0</v>
      </c>
      <c r="I410" s="117">
        <v>2808144.91</v>
      </c>
      <c r="K410" s="116" t="inlineStr">
        <is>
          <t xml:space="preserve">Va'da berdi | kelini kotardi abrorga polni tolaganmiz dd | 31</t>
        </is>
      </c>
    </row>
    <row r="411">
      <c r="A411" s="116" t="inlineStr">
        <is>
          <t xml:space="preserve">СУРХОНДАРЁ ВИЛОЯТИ</t>
        </is>
      </c>
      <c r="C411" s="116" t="inlineStr">
        <is>
          <t xml:space="preserve">Обещал</t>
        </is>
      </c>
      <c r="D411" s="116" t="inlineStr">
        <is>
          <t xml:space="preserve">Кр-99037985-1</t>
        </is>
      </c>
      <c r="E411" s="116" t="inlineStr">
        <is>
          <t xml:space="preserve">RAXMATOV SANJAR SIROJIDDIN O’G’LI</t>
        </is>
      </c>
      <c r="F411" s="116" t="inlineStr">
        <is>
          <t xml:space="preserve">998200079666 SMS OZI, 998770979222 SMS UYI, 998934087282 SMS UKASI, 998990379858 SMS UYI, 998770979222 SMS TOLOVCHI MOSHINANI SHU SOTIB OLGAN ,</t>
        </is>
      </c>
      <c r="G411" s="116" t="inlineStr">
        <is>
          <t xml:space="preserve">SURXONDARYO VILOYATI BOYSUN TUMANI GAZA MFY BIDORKOM 79-UY</t>
        </is>
      </c>
      <c r="H411" s="117">
        <v>10.0</v>
      </c>
      <c r="I411" s="117">
        <v>2738184.04</v>
      </c>
      <c r="K411" s="116" t="inlineStr">
        <is>
          <t xml:space="preserve">Va'da berdi | 20 cisida tolo qlad | 668</t>
        </is>
      </c>
    </row>
    <row r="412">
      <c r="A412" s="116" t="inlineStr">
        <is>
          <t xml:space="preserve">СУРХОНДАРЁ ВИЛОЯТИ</t>
        </is>
      </c>
      <c r="C412" s="116" t="inlineStr">
        <is>
          <t xml:space="preserve">Обещал</t>
        </is>
      </c>
      <c r="D412" s="116" t="inlineStr">
        <is>
          <t xml:space="preserve">Кр-99034309-2</t>
        </is>
      </c>
      <c r="E412" s="116" t="inlineStr">
        <is>
          <t xml:space="preserve">KAMBAROV NIZOMIDDIN IKROMIDDINOVICH</t>
        </is>
      </c>
      <c r="F412" s="116" t="inlineStr">
        <is>
          <t xml:space="preserve">998883310406 SMS OZI, 998885350803 SMS UY, 998882661198 SMS AKASI, 998990157293 SMS UKASI,</t>
        </is>
      </c>
      <c r="G412" s="116" t="inlineStr">
        <is>
          <t xml:space="preserve">Сурхандарьинская область, Денауский район, Фарғона ҚФЙ,  Водий МФЙ, дом 6, кв. 15</t>
        </is>
      </c>
      <c r="H412" s="117">
        <v>10.0</v>
      </c>
      <c r="I412" s="117">
        <v>2716566.4</v>
      </c>
      <c r="K412" s="116" t="inlineStr">
        <is>
          <t xml:space="preserve">Va'da berdi | 20 sidan kyn tolo qlad | 448</t>
        </is>
      </c>
    </row>
    <row r="413">
      <c r="A413" s="116" t="inlineStr">
        <is>
          <t xml:space="preserve">СУРХОНДАРЁ ВИЛОЯТИ</t>
        </is>
      </c>
      <c r="C413" s="116" t="inlineStr">
        <is>
          <t xml:space="preserve">Обещал</t>
        </is>
      </c>
      <c r="D413" s="116" t="inlineStr">
        <is>
          <t xml:space="preserve">Кр-99041348-1</t>
        </is>
      </c>
      <c r="E413" s="116" t="inlineStr">
        <is>
          <t xml:space="preserve">AZIZOV GAFUR MUSAFAROVICH</t>
        </is>
      </c>
      <c r="F413" s="116" t="inlineStr">
        <is>
          <t xml:space="preserve">998915159698 SMS O’ZI, 998919711331 SMS UY, 998995455223 SMS O’G’LI begona,</t>
        </is>
      </c>
      <c r="G413" s="116" t="inlineStr">
        <is>
          <t xml:space="preserve">СУРХОНДАРЁ ВИЛОЯТИ ДЕНОВ ШАХАР, СУФИ ОЛЛОЁР ШФЙ,  uy:74</t>
        </is>
      </c>
      <c r="H413" s="117">
        <v>10.0</v>
      </c>
      <c r="I413" s="117">
        <v>2709221.92</v>
      </c>
      <c r="K413" s="116" t="inlineStr">
        <is>
          <t xml:space="preserve">Va'da berdi | wahnoz tolidi | 988</t>
        </is>
      </c>
    </row>
    <row r="414">
      <c r="A414" s="116" t="inlineStr">
        <is>
          <t xml:space="preserve">СУРХОНДАРЁ ВИЛОЯТИ</t>
        </is>
      </c>
      <c r="C414" s="116" t="inlineStr">
        <is>
          <t xml:space="preserve">Обещал</t>
        </is>
      </c>
      <c r="D414" s="116" t="inlineStr">
        <is>
          <t xml:space="preserve">Кр-99040482-2</t>
        </is>
      </c>
      <c r="E414" s="116" t="inlineStr">
        <is>
          <t xml:space="preserve">XUDAYBERDIYEV MUXAMMADJON KURBANMURATOVICH</t>
        </is>
      </c>
      <c r="F414" s="116" t="inlineStr">
        <is>
          <t xml:space="preserve">998502227177 SMS JIYANI, 998880698118 SMS O’ZI, 998948041917 SMS ONASINI,</t>
        </is>
      </c>
      <c r="G414" s="116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414" s="117">
        <v>10.0</v>
      </c>
      <c r="I414" s="117">
        <v>2706452.4</v>
      </c>
      <c r="K414" s="116" t="inlineStr">
        <is>
          <t xml:space="preserve">Va'da berdi | 2 soatda qisman tolo qlad | 901</t>
        </is>
      </c>
    </row>
    <row r="415">
      <c r="A415" s="116" t="inlineStr">
        <is>
          <t xml:space="preserve">СУРХОНДАРЁ ВИЛОЯТИ</t>
        </is>
      </c>
      <c r="C415" s="116" t="inlineStr">
        <is>
          <t xml:space="preserve">Обещал</t>
        </is>
      </c>
      <c r="D415" s="116" t="inlineStr">
        <is>
          <t xml:space="preserve">Кр-99037169-1</t>
        </is>
      </c>
      <c r="E415" s="116" t="inlineStr">
        <is>
          <t xml:space="preserve">GAYDAROVA SHOIRA YUSUPOVNA</t>
        </is>
      </c>
      <c r="F415" s="116" t="inlineStr">
        <is>
          <t xml:space="preserve">998915185292 SMS OZI, 796268919057 SMS ROSSIYA TELEGRAMI, 998950992302 SMS QIZI, 998970994990 SMS UYI,</t>
        </is>
      </c>
      <c r="G415" s="116" t="inlineStr">
        <is>
          <t xml:space="preserve">SURXONDARYO VILOYATI DENOV TUMANI MEXR OQIBAT MFY SH.RASHIDOV 4-DOM 17-KVARTERA</t>
        </is>
      </c>
      <c r="H415" s="117">
        <v>13.0</v>
      </c>
      <c r="I415" s="117">
        <v>2587583.75</v>
      </c>
      <c r="K415" s="116" t="inlineStr">
        <is>
          <t xml:space="preserve">Va'da berdi | abror olgan | 616</t>
        </is>
      </c>
    </row>
    <row r="416">
      <c r="A416" s="116" t="inlineStr">
        <is>
          <t xml:space="preserve">СУРХОНДАРЁ ВИЛОЯТИ</t>
        </is>
      </c>
      <c r="C416" s="116" t="inlineStr">
        <is>
          <t xml:space="preserve">Обещал</t>
        </is>
      </c>
      <c r="D416" s="116" t="inlineStr">
        <is>
          <t xml:space="preserve">Кр-99022239-5</t>
        </is>
      </c>
      <c r="E416" s="116" t="inlineStr">
        <is>
          <t xml:space="preserve">MAXMUDOV AZAMAT ABDUXALIMOVICH</t>
        </is>
      </c>
      <c r="F416" s="116" t="inlineStr">
        <is>
          <t xml:space="preserve">99-428-85-81 SMS, 93-838-85-01  SMS UY, 91-581-86-56  SMS ZALOGADATEL, 998947851179 shu raqamdan tel qildi azamat ,</t>
        </is>
      </c>
      <c r="G416" s="116" t="inlineStr">
        <is>
          <t xml:space="preserve">SURXONDARYO VILOYATI SARIOSIYO TUMANI SUFIYON QFY NIHOLZOR MFY TINCHLIK K’OCHASI 46-UY</t>
        </is>
      </c>
      <c r="H416" s="117">
        <v>10.0</v>
      </c>
      <c r="I416" s="117">
        <v>2581446.92</v>
      </c>
      <c r="K416" s="116" t="inlineStr">
        <is>
          <t xml:space="preserve">Va'da berdi | 20 cisidan kyn  tolov qlad | 114</t>
        </is>
      </c>
    </row>
    <row r="417">
      <c r="A417" s="116" t="inlineStr">
        <is>
          <t xml:space="preserve">СУРХОНДАРЁ ВИЛОЯТИ</t>
        </is>
      </c>
      <c r="C417" s="116" t="inlineStr">
        <is>
          <t xml:space="preserve">Обещал</t>
        </is>
      </c>
      <c r="D417" s="116" t="inlineStr">
        <is>
          <t xml:space="preserve">Кр-99035839-1</t>
        </is>
      </c>
      <c r="E417" s="116" t="inlineStr">
        <is>
          <t xml:space="preserve">NAZAROV SOATMUROT BOBONAZAROVICH</t>
        </is>
      </c>
      <c r="F417" s="116" t="inlineStr">
        <is>
          <t xml:space="preserve">998904112878 SMS tulovchi quruvchi, 998915861956 SMS OZI, 998915103380 SMS UY, 998952790593 SMS OGLI,</t>
        </is>
      </c>
      <c r="G417" s="116" t="inlineStr">
        <is>
          <t xml:space="preserve">SURXONDARYO VILOYATI DENOV TUMANI XAYRABOD QFY PAXTAKURASH MFY SURXONDARYO KO'CHASI 22-UY</t>
        </is>
      </c>
      <c r="H417" s="117">
        <v>10.0</v>
      </c>
      <c r="I417" s="117">
        <v>2561442.29</v>
      </c>
      <c r="K417" s="116" t="inlineStr">
        <is>
          <t xml:space="preserve">Va'da berdi | soatmuroti ozi bn gaplawdm oglim toledi 3-4 kunda dd | 536</t>
        </is>
      </c>
    </row>
    <row r="418">
      <c r="A418" s="116" t="inlineStr">
        <is>
          <t xml:space="preserve">СУРХОНДАРЁ ВИЛОЯТИ</t>
        </is>
      </c>
      <c r="C418" s="116" t="inlineStr">
        <is>
          <t xml:space="preserve">Обещал</t>
        </is>
      </c>
      <c r="D418" s="116" t="inlineStr">
        <is>
          <t xml:space="preserve">Кр-99035581-5</t>
        </is>
      </c>
      <c r="E418" s="116" t="inlineStr">
        <is>
          <t xml:space="preserve">SAYDALIYEV BAXTINUR BAXRIDDIN O’G’LI</t>
        </is>
      </c>
      <c r="F418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18" s="116" t="inlineStr">
        <is>
          <t xml:space="preserve">Сурхондарё вилояти Кизирик Тумани Работак МФЙ, Абдулла Қаххор 1 кучаси, 21...-уй</t>
        </is>
      </c>
      <c r="H418" s="117">
        <v>10.0</v>
      </c>
      <c r="I418" s="117">
        <v>2457778.99</v>
      </c>
      <c r="K418" s="116" t="inlineStr">
        <is>
          <t xml:space="preserve">Va'da berdi | 20 dan kyn tolo qlad | 518</t>
        </is>
      </c>
    </row>
    <row r="419">
      <c r="A419" s="116" t="inlineStr">
        <is>
          <t xml:space="preserve">СУРХОНДАРЁ ВИЛОЯТИ</t>
        </is>
      </c>
      <c r="C419" s="116" t="inlineStr">
        <is>
          <t xml:space="preserve">Обещал</t>
        </is>
      </c>
      <c r="D419" s="116" t="inlineStr">
        <is>
          <t xml:space="preserve">Кр-99036477-1</t>
        </is>
      </c>
      <c r="E419" s="116" t="inlineStr">
        <is>
          <t xml:space="preserve">MALIKOVA DILFUZA FARXODOVNA</t>
        </is>
      </c>
      <c r="F419" s="116" t="inlineStr">
        <is>
          <t xml:space="preserve">998942626009 SMS OZI, 998888100600 SMS DOSTI, 998919000061 SMS ERI, 998947086666 SMS ERI,</t>
        </is>
      </c>
      <c r="G419" s="116" t="inlineStr">
        <is>
          <t xml:space="preserve">SURXANDARYO VILOYATI SHEROBOD TUMANI HO’JGI MAXALLASI SH.SHOBERDIYEV KUCHASI 59 UY</t>
        </is>
      </c>
      <c r="H419" s="117">
        <v>13.0</v>
      </c>
      <c r="I419" s="117">
        <v>2448258.1</v>
      </c>
      <c r="K419" s="116" t="inlineStr">
        <is>
          <t xml:space="preserve">Va'da berdi | 25 sanaga eri rusda pul tawed | 579</t>
        </is>
      </c>
    </row>
    <row r="420">
      <c r="A420" s="116" t="inlineStr">
        <is>
          <t xml:space="preserve">СУРХОНДАРЁ ВИЛОЯТИ</t>
        </is>
      </c>
      <c r="C420" s="116" t="inlineStr">
        <is>
          <t xml:space="preserve">Обещал</t>
        </is>
      </c>
      <c r="D420" s="116" t="inlineStr">
        <is>
          <t xml:space="preserve">Кр-99028191-2</t>
        </is>
      </c>
      <c r="E420" s="116" t="inlineStr">
        <is>
          <t xml:space="preserve">MUSAYEVA OLIYA TODJIDINOVNA</t>
        </is>
      </c>
      <c r="F420" s="116" t="inlineStr">
        <is>
          <t xml:space="preserve">88-506-09-68 SMS OZI , 99-065-48-66 SMS UY , 33-051-00-20  SMS OGLI , 91-731-46-46 SMS OGLI ,</t>
        </is>
      </c>
      <c r="G420" s="116" t="inlineStr">
        <is>
          <t xml:space="preserve">SURXONDARYO VILOYATI DENOV TUMANI QORAXON QFY NAMUNA MFY TARAKUAT K’OCHASI 49-UY </t>
        </is>
      </c>
      <c r="H420" s="117">
        <v>28.0</v>
      </c>
      <c r="I420" s="117">
        <v>2441517.29</v>
      </c>
      <c r="K420" s="116" t="inlineStr">
        <is>
          <t xml:space="preserve">Va'da berdi | wahnoz ogan | 196</t>
        </is>
      </c>
    </row>
    <row r="421">
      <c r="A421" s="116" t="inlineStr">
        <is>
          <t xml:space="preserve">СУРХОНДАРЁ ВИЛОЯТИ</t>
        </is>
      </c>
      <c r="C421" s="116" t="inlineStr">
        <is>
          <t xml:space="preserve">Обещал</t>
        </is>
      </c>
      <c r="D421" s="116" t="inlineStr">
        <is>
          <t xml:space="preserve">Кр-99033472-1</t>
        </is>
      </c>
      <c r="E421" s="116" t="inlineStr">
        <is>
          <t xml:space="preserve">G’AFUROVA NASIBA XOLTURAYEVNA</t>
        </is>
      </c>
      <c r="F421" s="116" t="inlineStr">
        <is>
          <t xml:space="preserve">998996774455 SMS O’ZI, 998953338683 SMS AYOLI, 998910060804 SMS O’G’LI,</t>
        </is>
      </c>
      <c r="G421" s="116" t="inlineStr">
        <is>
          <t xml:space="preserve">SURXONDARYO VILOYATI DENOV TUMANI QIZILJAR QFY NAMUNA MFY OSIYO  KO’CHASI 114-UY </t>
        </is>
      </c>
      <c r="H421" s="117">
        <v>7.0</v>
      </c>
      <c r="I421" s="117">
        <v>2435903.17</v>
      </c>
      <c r="K421" s="116" t="inlineStr">
        <is>
          <t xml:space="preserve">Va'da berdi | kyng xafta tolo qlad | 398</t>
        </is>
      </c>
    </row>
    <row r="422">
      <c r="A422" s="116" t="inlineStr">
        <is>
          <t xml:space="preserve">СУРХОНДАРЁ ВИЛОЯТИ</t>
        </is>
      </c>
      <c r="C422" s="116" t="inlineStr">
        <is>
          <t xml:space="preserve">Обещал</t>
        </is>
      </c>
      <c r="D422" s="116" t="inlineStr">
        <is>
          <t xml:space="preserve">Кр-99016242-5</t>
        </is>
      </c>
      <c r="E422" s="116" t="inlineStr">
        <is>
          <t xml:space="preserve">XUDAYBERDIYEV AKMAL RUSTAMOVICH</t>
        </is>
      </c>
      <c r="F422" s="11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422" s="116" t="inlineStr">
        <is>
          <t xml:space="preserve">GUZALLIK MFY FARAVONM KO’CHASI 6-UY</t>
        </is>
      </c>
      <c r="H422" s="117">
        <v>3.0</v>
      </c>
      <c r="I422" s="117">
        <v>2424817.22</v>
      </c>
      <c r="K422" s="116" t="inlineStr">
        <is>
          <t xml:space="preserve">Va'da berdi | seshanba kuniga +998882360545 shu nomerdan rassiyadan kelibti | 55</t>
        </is>
      </c>
    </row>
    <row r="423">
      <c r="A423" s="116" t="inlineStr">
        <is>
          <t xml:space="preserve">СУРХОНДАРЁ ВИЛОЯТИ</t>
        </is>
      </c>
      <c r="C423" s="116" t="inlineStr">
        <is>
          <t xml:space="preserve">Обещал</t>
        </is>
      </c>
      <c r="D423" s="116" t="inlineStr">
        <is>
          <t xml:space="preserve">Кр-99038880-1</t>
        </is>
      </c>
      <c r="E423" s="116" t="inlineStr">
        <is>
          <t xml:space="preserve">ULUG’BERDIYEVA SEVARA ESHDAVLATOVNA</t>
        </is>
      </c>
      <c r="F423" s="116" t="inlineStr">
        <is>
          <t xml:space="preserve">998977398486 SMS OZI, 998979078486 SMS UY, 998907472609 SMS AKASI, 998915878454 SMS NAZIR AKA ,</t>
        </is>
      </c>
      <c r="G423" s="116" t="inlineStr">
        <is>
          <t xml:space="preserve">SHO’RCHI TUMANI</t>
        </is>
      </c>
      <c r="H423" s="117">
        <v>2.0</v>
      </c>
      <c r="I423" s="117">
        <v>2373739.1</v>
      </c>
      <c r="K423" s="116" t="inlineStr">
        <is>
          <t xml:space="preserve">Va'da berdi | abror olgan | 740</t>
        </is>
      </c>
    </row>
    <row r="424">
      <c r="A424" s="116" t="inlineStr">
        <is>
          <t xml:space="preserve">СУРХОНДАРЁ ВИЛОЯТИ</t>
        </is>
      </c>
      <c r="C424" s="116" t="inlineStr">
        <is>
          <t xml:space="preserve">Обещал</t>
        </is>
      </c>
      <c r="D424" s="116" t="inlineStr">
        <is>
          <t xml:space="preserve">Кр-99032902-1</t>
        </is>
      </c>
      <c r="E424" s="116" t="inlineStr">
        <is>
          <t xml:space="preserve">ESANOV YODGOR QARSHIYEVICH</t>
        </is>
      </c>
      <c r="F424" s="116" t="inlineStr">
        <is>
          <t xml:space="preserve">998991672595 SMS O’ZI TAKSIST , 998978488808 SMS AKASI, 998932439888 SMS UY, 998997117776 SMS, 998947283030 SMS AKASI,</t>
        </is>
      </c>
      <c r="G424" s="116" t="inlineStr">
        <is>
          <t xml:space="preserve">SURXONDARYO VILOYATI DENOV  OBODON MFY TURON 334-UY</t>
        </is>
      </c>
      <c r="H424" s="117">
        <v>10.0</v>
      </c>
      <c r="I424" s="117">
        <v>2350653.28</v>
      </c>
      <c r="K424" s="116" t="inlineStr">
        <is>
          <t xml:space="preserve">Va'da berdi | mowinga taqiq qoyb qoyilgan bow ofsga kelb xal qlad | 370</t>
        </is>
      </c>
    </row>
    <row r="425">
      <c r="A425" s="116" t="inlineStr">
        <is>
          <t xml:space="preserve">СУРХОНДАРЁ ВИЛОЯТИ</t>
        </is>
      </c>
      <c r="C425" s="116" t="inlineStr">
        <is>
          <t xml:space="preserve">Обещал</t>
        </is>
      </c>
      <c r="D425" s="116" t="inlineStr">
        <is>
          <t xml:space="preserve">Кр-99034163-2</t>
        </is>
      </c>
      <c r="E425" s="116" t="inlineStr">
        <is>
          <t xml:space="preserve">XOLMATOV BEKZOD NORTOJIYEVICH</t>
        </is>
      </c>
      <c r="F425" s="116" t="inlineStr">
        <is>
          <t xml:space="preserve">998910790909 SMS O’ZI, 998951755754 SMS UY, 998919012266 SMS DADASI, 998952757552 SMS UKASI,</t>
        </is>
      </c>
      <c r="G425" s="116" t="inlineStr">
        <is>
          <t xml:space="preserve">SURXONDARYO VILOYATI DENOV TUMANI ZARAFSHON  MFY FIDOKAR K’OCHASI 6- UY</t>
        </is>
      </c>
      <c r="H425" s="117">
        <v>15.0</v>
      </c>
      <c r="I425" s="117">
        <v>2331209.46</v>
      </c>
      <c r="K425" s="116" t="inlineStr">
        <is>
          <t xml:space="preserve">Va'da berdi | bugun filialga borad | 435</t>
        </is>
      </c>
    </row>
    <row r="426">
      <c r="A426" s="116" t="inlineStr">
        <is>
          <t xml:space="preserve">СУРХОНДАРЁ ВИЛОЯТИ</t>
        </is>
      </c>
      <c r="C426" s="116" t="inlineStr">
        <is>
          <t xml:space="preserve">Обещал</t>
        </is>
      </c>
      <c r="D426" s="116" t="inlineStr">
        <is>
          <t xml:space="preserve">Кр-99029526-1</t>
        </is>
      </c>
      <c r="E426" s="116" t="inlineStr">
        <is>
          <t xml:space="preserve">QAYUMOV XASAN XAYRULLAYEVICH</t>
        </is>
      </c>
      <c r="F426" s="116" t="inlineStr">
        <is>
          <t xml:space="preserve">97-693-95-55 SMS , 90-266-26-26  SMS AKASI, 90-266-32-66  SMS ONASI, 77-023-72-32  SMS UY, 998996726826 SMS TOLOVCHI ,</t>
        </is>
      </c>
      <c r="G426" s="116" t="inlineStr">
        <is>
          <t xml:space="preserve">SURXONDARYO VILOYATI DENOV TUMANI  BOBIR MFY  BOBUR 25-UY</t>
        </is>
      </c>
      <c r="H426" s="117">
        <v>3.0</v>
      </c>
      <c r="I426" s="117">
        <v>2325641.03</v>
      </c>
      <c r="K426" s="116" t="inlineStr">
        <is>
          <t xml:space="preserve">Va'da berdi | oy oxrgaca yopad | 242</t>
        </is>
      </c>
    </row>
    <row r="427">
      <c r="A427" s="116" t="inlineStr">
        <is>
          <t xml:space="preserve">СУРХОНДАРЁ ВИЛОЯТИ</t>
        </is>
      </c>
      <c r="C427" s="116" t="inlineStr">
        <is>
          <t xml:space="preserve">Обещал</t>
        </is>
      </c>
      <c r="D427" s="116" t="inlineStr">
        <is>
          <t xml:space="preserve">Кр-99037272-1</t>
        </is>
      </c>
      <c r="E427" s="116" t="inlineStr">
        <is>
          <t xml:space="preserve">YULDOSHEV ULUG’BEK XUDOYBERDI O’G’LI</t>
        </is>
      </c>
      <c r="F427" s="116" t="inlineStr">
        <is>
          <t xml:space="preserve">998885502426 SMS OZI, 998919781202 SMS AKASI , 998919020667 SMS ONASI , 998975348496 SMS OSHNASI ,</t>
        </is>
      </c>
      <c r="G427" s="116" t="inlineStr">
        <is>
          <t xml:space="preserve">SURXONDARYO VILOYATI DENOV TUMANI OZOD MFY OZOD KO’CHASI  6/12-UY  </t>
        </is>
      </c>
      <c r="H427" s="117">
        <v>7.0</v>
      </c>
      <c r="I427" s="117">
        <v>2079460.51</v>
      </c>
      <c r="K427" s="116" t="inlineStr">
        <is>
          <t xml:space="preserve">Va'da berdi | iskandar mowini ogan | 625</t>
        </is>
      </c>
    </row>
    <row r="428">
      <c r="A428" s="116" t="inlineStr">
        <is>
          <t xml:space="preserve">СУРХОНДАРЁ ВИЛОЯТИ</t>
        </is>
      </c>
      <c r="C428" s="116" t="inlineStr">
        <is>
          <t xml:space="preserve">Обещал</t>
        </is>
      </c>
      <c r="D428" s="116" t="inlineStr">
        <is>
          <t xml:space="preserve">Кр-99062762-2</t>
        </is>
      </c>
      <c r="E428" s="116" t="inlineStr">
        <is>
          <t xml:space="preserve">BO’RIYEVA DILFUZA RO’ZIBOYEVNA</t>
        </is>
      </c>
      <c r="F428" s="116" t="inlineStr">
        <is>
          <t xml:space="preserve">+998919107277 SMS O’ZI, 998947994446 SMS ERI,</t>
        </is>
      </c>
      <c r="G428" s="116" t="inlineStr">
        <is>
          <t xml:space="preserve">ТЕРМИЗ ТУМАНИ НУРАФШОН МФЙ, БУНЁДКОР КУЧА  uy:53</t>
        </is>
      </c>
      <c r="H428" s="117">
        <v>10.0</v>
      </c>
      <c r="I428" s="117">
        <v>2051714.79</v>
      </c>
      <c r="K428" s="116" t="inlineStr">
        <is>
          <t xml:space="preserve">Va'da berdi | xojayini cetda iwda ekan pul oliwi bn tawab berad yopad | 1432</t>
        </is>
      </c>
    </row>
    <row r="429">
      <c r="A429" s="116" t="inlineStr">
        <is>
          <t xml:space="preserve">СУРХОНДАРЁ ВИЛОЯТИ</t>
        </is>
      </c>
      <c r="C429" s="116" t="inlineStr">
        <is>
          <t xml:space="preserve">Обещал</t>
        </is>
      </c>
      <c r="D429" s="116" t="inlineStr">
        <is>
          <t xml:space="preserve">Кр-99043043-1</t>
        </is>
      </c>
      <c r="E429" s="116" t="inlineStr">
        <is>
          <t xml:space="preserve">BOYQULOV FIRDAVS ABDUVOXID O’G’LI</t>
        </is>
      </c>
      <c r="F429" s="116" t="inlineStr">
        <is>
          <t xml:space="preserve">998944361003 SMS O’ZI, 998991351177 SMS UY, 998996660094 SMS AKASI,</t>
        </is>
      </c>
      <c r="G429" s="116" t="inlineStr">
        <is>
          <t xml:space="preserve">Сурхандарьинская область, Денауский район, Хазарбоғ СИУ, Чим МСГ, ул. Гулистон, дом 6</t>
        </is>
      </c>
      <c r="H429" s="117">
        <v>10.0</v>
      </c>
      <c r="I429" s="117">
        <v>2027247.44</v>
      </c>
      <c r="K429" s="116" t="inlineStr">
        <is>
          <t xml:space="preserve">Va'da berdi | mowinasn urvogan oy oxrgaca yopad | 1073</t>
        </is>
      </c>
    </row>
    <row r="430">
      <c r="A430" s="116" t="inlineStr">
        <is>
          <t xml:space="preserve">СУРХОНДАРЁ ВИЛОЯТИ</t>
        </is>
      </c>
      <c r="C430" s="116" t="inlineStr">
        <is>
          <t xml:space="preserve">Обещал</t>
        </is>
      </c>
      <c r="D430" s="116" t="inlineStr">
        <is>
          <t xml:space="preserve">Кр-99040374-1</t>
        </is>
      </c>
      <c r="E430" s="116" t="inlineStr">
        <is>
          <t xml:space="preserve">KARSHIYEV TAJIMURAT PRIMOVICH</t>
        </is>
      </c>
      <c r="F430" s="116" t="inlineStr">
        <is>
          <t xml:space="preserve">998993876160 SMS OZI, 998997284700 SMS OGLI, 998991496886 SMS OGLI,</t>
        </is>
      </c>
      <c r="G430" s="116" t="inlineStr">
        <is>
          <t xml:space="preserve">SURXONDARYO VILOYATI QUMQO'RG'ON TUMANI DAVLATSOY MAXALLASI USTALAR KO'CHASI 26-UY</t>
        </is>
      </c>
      <c r="I430" s="117">
        <v>1996808.61</v>
      </c>
      <c r="K430" s="116" t="inlineStr">
        <is>
          <t xml:space="preserve">Va'da berdi | 21 sanaga tolo qlad | 887</t>
        </is>
      </c>
    </row>
    <row r="431">
      <c r="A431" s="116" t="inlineStr">
        <is>
          <t xml:space="preserve">СУРХОНДАРЁ ВИЛОЯТИ</t>
        </is>
      </c>
      <c r="C431" s="116" t="inlineStr">
        <is>
          <t xml:space="preserve">Обещал</t>
        </is>
      </c>
      <c r="D431" s="116" t="inlineStr">
        <is>
          <t xml:space="preserve">Кр-99025697-2</t>
        </is>
      </c>
      <c r="E431" s="116" t="inlineStr">
        <is>
          <t xml:space="preserve">KIPCHAKOV RUSTAM SULTANOVICH</t>
        </is>
      </c>
      <c r="F431" s="116" t="inlineStr">
        <is>
          <t xml:space="preserve">91-134-38-00 SMS, 90-246-76-15 SMS UY, 95-103-38-00 SMS OILASI, 91-967-50-50 SMS O’G’LI,</t>
        </is>
      </c>
      <c r="G431" s="116" t="inlineStr">
        <is>
          <t xml:space="preserve">SURXONDARYO VILOYATI DENOV SHAXAR ISTIQLOL MFY XUSAYN BOYQORO KOCHASI 5-UY</t>
        </is>
      </c>
      <c r="H431" s="117">
        <v>10.0</v>
      </c>
      <c r="I431" s="117">
        <v>1977259.24</v>
      </c>
      <c r="K431" s="116" t="inlineStr">
        <is>
          <t xml:space="preserve">Va'da berdi | abror bn wahnoz tolidi | 147</t>
        </is>
      </c>
    </row>
    <row r="432">
      <c r="A432" s="116" t="inlineStr">
        <is>
          <t xml:space="preserve">СУРХОНДАРЁ ВИЛОЯТИ</t>
        </is>
      </c>
      <c r="C432" s="116" t="inlineStr">
        <is>
          <t xml:space="preserve">Обещал</t>
        </is>
      </c>
      <c r="D432" s="116" t="inlineStr">
        <is>
          <t xml:space="preserve">Кр-99038061-1</t>
        </is>
      </c>
      <c r="E432" s="116" t="inlineStr">
        <is>
          <t xml:space="preserve">NAZRULLAYEV SHUHRAT ABDULLAYEVICH</t>
        </is>
      </c>
      <c r="F432" s="116" t="inlineStr">
        <is>
          <t xml:space="preserve">998505894240 SMS OZI, 998955401190 SMS UYI, 998934306997 SMS UYI, 998952680122 SMS AYOLI,</t>
        </is>
      </c>
      <c r="G432" s="116" t="inlineStr">
        <is>
          <t xml:space="preserve">SURXONDARYO VILOYATI DENOV TUMANI SOXIBKOR MFY OYBARAK 98 UY</t>
        </is>
      </c>
      <c r="H432" s="117">
        <v>6.0</v>
      </c>
      <c r="I432" s="117">
        <v>1975539.04</v>
      </c>
      <c r="K432" s="116" t="inlineStr">
        <is>
          <t xml:space="preserve">Va'da berdi | abror olgan | 677</t>
        </is>
      </c>
    </row>
    <row r="433">
      <c r="A433" s="116" t="inlineStr">
        <is>
          <t xml:space="preserve">СУРХОНДАРЁ ВИЛОЯТИ</t>
        </is>
      </c>
      <c r="C433" s="116" t="inlineStr">
        <is>
          <t xml:space="preserve">Обещал</t>
        </is>
      </c>
      <c r="D433" s="116" t="inlineStr">
        <is>
          <t xml:space="preserve">Кр-99029311-1</t>
        </is>
      </c>
      <c r="E433" s="116" t="inlineStr">
        <is>
          <t xml:space="preserve">RAJABOVA DILAFRUZ ABDUMALIKOVNA</t>
        </is>
      </c>
      <c r="F433" s="116" t="inlineStr">
        <is>
          <t xml:space="preserve">33-377-52-60 SMS, 33-411-04-47  SMS UY, 97-536-30-01  SMS OILASI, 33-719-00-81 SMS ,</t>
        </is>
      </c>
      <c r="G433" s="116" t="inlineStr">
        <is>
          <t xml:space="preserve">SURXONDARYO VILOYATI DENOV TUMANI VODIY MFY FARG’ONA 71-UY</t>
        </is>
      </c>
      <c r="H433" s="117">
        <v>8.0</v>
      </c>
      <c r="I433" s="117">
        <v>1953350.12</v>
      </c>
      <c r="K433" s="116" t="inlineStr">
        <is>
          <t xml:space="preserve">Va'da berdi | wahnozga tolaga | 233</t>
        </is>
      </c>
    </row>
    <row r="434">
      <c r="A434" s="116" t="inlineStr">
        <is>
          <t xml:space="preserve">СУРХОНДАРЁ ВИЛОЯТИ</t>
        </is>
      </c>
      <c r="C434" s="116" t="inlineStr">
        <is>
          <t xml:space="preserve">Обещал</t>
        </is>
      </c>
      <c r="D434" s="116" t="inlineStr">
        <is>
          <t xml:space="preserve">Кр-99033369-1</t>
        </is>
      </c>
      <c r="E434" s="116" t="inlineStr">
        <is>
          <t xml:space="preserve">SHAMANOV XASAN RAVSHAN O’G’LI</t>
        </is>
      </c>
      <c r="F434" s="116" t="inlineStr">
        <is>
          <t xml:space="preserve">998772651883 SMS O’ZI QIBRAYDA KAROBKA SEXDA ISHLIDI , 998930634268 SMS AYOLI, 998507727494 SMS AYOLI2, 998978070064 SMS otasi,</t>
        </is>
      </c>
      <c r="G434" s="116" t="inlineStr">
        <is>
          <t xml:space="preserve">SURXONDARYO VILOYATI TERMIZ SHAHRI ALPOMISH MFY 5-KICHIK DAHA KO’CHASI 12-DOM 20-KVARTIRA</t>
        </is>
      </c>
      <c r="H434" s="117">
        <v>10.0</v>
      </c>
      <c r="I434" s="117">
        <v>1913183.38</v>
      </c>
      <c r="K434" s="116" t="inlineStr">
        <is>
          <t xml:space="preserve">Va'da berdi | kyngi xafta | 389</t>
        </is>
      </c>
    </row>
    <row r="435">
      <c r="A435" s="116" t="inlineStr">
        <is>
          <t xml:space="preserve">СУРХОНДАРЁ ВИЛОЯТИ</t>
        </is>
      </c>
      <c r="C435" s="116" t="inlineStr">
        <is>
          <t xml:space="preserve">Обещал</t>
        </is>
      </c>
      <c r="D435" s="116" t="inlineStr">
        <is>
          <t xml:space="preserve">Кр-99022239-3</t>
        </is>
      </c>
      <c r="E435" s="116" t="inlineStr">
        <is>
          <t xml:space="preserve">MAXMUDOV AZAMAT ABDUXALIMOVICH</t>
        </is>
      </c>
      <c r="F435" s="116" t="inlineStr">
        <is>
          <t xml:space="preserve">99-428-85-81 SMS, 93-838-85-01  SMS UY, 91-581-86-56  SMS ZALOGADATEL, 998947851179 shu raqamdan tel qildi azamat ,</t>
        </is>
      </c>
      <c r="G435" s="116" t="inlineStr">
        <is>
          <t xml:space="preserve">SURXONDARYO VILOYATI SARIOSIYO TUMANI SUFIYON QFY NIHOLZOR MFY TINCHLIK K’OCHASI 46-UY</t>
        </is>
      </c>
      <c r="H435" s="117">
        <v>10.0</v>
      </c>
      <c r="I435" s="117">
        <v>1876409.03</v>
      </c>
      <c r="K435" s="116" t="inlineStr">
        <is>
          <t xml:space="preserve">Va'da berdi | 20 cisidan kyn  tolov qlad | 113</t>
        </is>
      </c>
    </row>
    <row r="436">
      <c r="A436" s="116" t="inlineStr">
        <is>
          <t xml:space="preserve">СУРХОНДАРЁ ВИЛОЯТИ</t>
        </is>
      </c>
      <c r="C436" s="116" t="inlineStr">
        <is>
          <t xml:space="preserve">Обещал</t>
        </is>
      </c>
      <c r="D436" s="116" t="inlineStr">
        <is>
          <t xml:space="preserve">Кр-99027695-1</t>
        </is>
      </c>
      <c r="E436" s="116" t="inlineStr">
        <is>
          <t xml:space="preserve">JO’RAYEV SHERALI AZAMOVICH</t>
        </is>
      </c>
      <c r="F436" s="116" t="inlineStr">
        <is>
          <t xml:space="preserve">94-456-81-79 SMS O'ZI, 91-237-79-81  SMS OG’LI, 91-910-15-76  SMS ZALAGATEL, 90-889-89-62  SMS UY,</t>
        </is>
      </c>
      <c r="G436" s="116" t="inlineStr">
        <is>
          <t xml:space="preserve">SURXONDARYO DENOV TUMANI QORAHON MFY BOG’ISHAMOL KO’CHASI 78-UY</t>
        </is>
      </c>
      <c r="H436" s="117">
        <v>10.0</v>
      </c>
      <c r="I436" s="117">
        <v>1841115.53</v>
      </c>
      <c r="K436" s="116" t="inlineStr">
        <is>
          <t xml:space="preserve">Va'da berdi | abror ogan | 179</t>
        </is>
      </c>
    </row>
    <row r="437">
      <c r="A437" s="116" t="inlineStr">
        <is>
          <t xml:space="preserve">СУРХОНДАРЁ ВИЛОЯТИ</t>
        </is>
      </c>
      <c r="C437" s="116" t="inlineStr">
        <is>
          <t xml:space="preserve">Обещал</t>
        </is>
      </c>
      <c r="D437" s="116" t="inlineStr">
        <is>
          <t xml:space="preserve">Кр-99039843-1</t>
        </is>
      </c>
      <c r="E437" s="116" t="inlineStr">
        <is>
          <t xml:space="preserve">MARDAYEV RUSLAN MAMATALIYEVICH</t>
        </is>
      </c>
      <c r="F437" s="116" t="inlineStr">
        <is>
          <t xml:space="preserve">998970397888 SMS OZI, 998975310659 SMS OTASAI, 998976961461 SMS ONASI, 998886929191 SMS UKASI,</t>
        </is>
      </c>
      <c r="G437" s="116" t="inlineStr">
        <is>
          <t xml:space="preserve">SURXONDARYO VILOYAT MUZRABOT TUMAN XALQYO’LI MFY O’RMON XO’JALIGI KO’CHASI 34-UY</t>
        </is>
      </c>
      <c r="H437" s="117">
        <v>10.0</v>
      </c>
      <c r="I437" s="117">
        <v>1792346.76</v>
      </c>
      <c r="K437" s="116" t="inlineStr">
        <is>
          <t xml:space="preserve">Va'da berdi | 19sanaga tolov | 839</t>
        </is>
      </c>
    </row>
    <row r="438">
      <c r="A438" s="116" t="inlineStr">
        <is>
          <t xml:space="preserve">СУРХОНДАРЁ ВИЛОЯТИ</t>
        </is>
      </c>
      <c r="C438" s="116" t="inlineStr">
        <is>
          <t xml:space="preserve">Обещал</t>
        </is>
      </c>
      <c r="D438" s="116" t="inlineStr">
        <is>
          <t xml:space="preserve">Кр-99030736-2</t>
        </is>
      </c>
      <c r="E438" s="116" t="inlineStr">
        <is>
          <t xml:space="preserve">MAMATMURADOVA SURAYYO XOLMO’MINOVNA</t>
        </is>
      </c>
      <c r="F438" s="116" t="inlineStr">
        <is>
          <t xml:space="preserve">99-258-33-31 SMS O’ZI HARBIY begona , 97-689-76-76  SMS UY, 95-254-38-31  SMS OILASI, 95-238-32-31  SMS,</t>
        </is>
      </c>
      <c r="G438" s="116" t="inlineStr">
        <is>
          <t xml:space="preserve">SURXONDARYO VILOYATI DENOV TUMANI MUQUMIY MFY BOG’ZOR KO’CHASI 2-UY</t>
        </is>
      </c>
      <c r="H438" s="117">
        <v>3.0</v>
      </c>
      <c r="I438" s="117">
        <v>1675812.15</v>
      </c>
      <c r="K438" s="116" t="inlineStr">
        <is>
          <t xml:space="preserve">Va'da berdi | wu xafta tolo qlad | 296</t>
        </is>
      </c>
    </row>
    <row r="439">
      <c r="A439" s="116" t="inlineStr">
        <is>
          <t xml:space="preserve">СУРХОНДАРЁ ВИЛОЯТИ</t>
        </is>
      </c>
      <c r="C439" s="116" t="inlineStr">
        <is>
          <t xml:space="preserve">Обещал</t>
        </is>
      </c>
      <c r="D439" s="116" t="inlineStr">
        <is>
          <t xml:space="preserve">Кр-99037942-1</t>
        </is>
      </c>
      <c r="E439" s="116" t="inlineStr">
        <is>
          <t xml:space="preserve">YODGOROV XAMRO ESHONQULOVICH</t>
        </is>
      </c>
      <c r="F439" s="116" t="inlineStr">
        <is>
          <t xml:space="preserve">998919696012 SMS OZI, 998901201798 SMS UYI, 998991828111 SMS TULOVCHI UG`LI MUHRIDDIN, 998952435111 SMS ONASI,</t>
        </is>
      </c>
      <c r="G439" s="116" t="inlineStr">
        <is>
          <t xml:space="preserve">SURXONDARYO VILOYATI SARIOSIYO TUMANI SHAXRIOBOD MFY SOADATMAN 2-UY</t>
        </is>
      </c>
      <c r="I439" s="117">
        <v>1674909.81</v>
      </c>
      <c r="K439" s="116" t="inlineStr">
        <is>
          <t xml:space="preserve">Va'da berdi | ertaga tolov | 667</t>
        </is>
      </c>
    </row>
    <row r="440">
      <c r="A440" s="116" t="inlineStr">
        <is>
          <t xml:space="preserve">СУРХОНДАРЁ ВИЛОЯТИ</t>
        </is>
      </c>
      <c r="C440" s="116" t="inlineStr">
        <is>
          <t xml:space="preserve">Обещал</t>
        </is>
      </c>
      <c r="D440" s="116" t="inlineStr">
        <is>
          <t xml:space="preserve">Кр-99029526-3</t>
        </is>
      </c>
      <c r="E440" s="116" t="inlineStr">
        <is>
          <t xml:space="preserve">QAYUMOV XASAN XAYRULLAYEVICH</t>
        </is>
      </c>
      <c r="F440" s="116" t="inlineStr">
        <is>
          <t xml:space="preserve">97-693-95-55 SMS , 90-266-26-26  SMS AKASI, 90-266-32-66  SMS ONASI, 77-023-72-32  SMS UY, 998996726826 SMS TOLOVCHI ,</t>
        </is>
      </c>
      <c r="G440" s="116" t="inlineStr">
        <is>
          <t xml:space="preserve">SURXONDARYO VILOYATI DENOV TUMANI  BOBIR MFY  BOBUR 25-UY</t>
        </is>
      </c>
      <c r="H440" s="117">
        <v>10.0</v>
      </c>
      <c r="I440" s="117">
        <v>1625181.97</v>
      </c>
      <c r="K440" s="116" t="inlineStr">
        <is>
          <t xml:space="preserve">Va'da berdi | oy oxrgaca yopad | 243</t>
        </is>
      </c>
    </row>
    <row r="441">
      <c r="A441" s="116" t="inlineStr">
        <is>
          <t xml:space="preserve">СУРХОНДАРЁ ВИЛОЯТИ</t>
        </is>
      </c>
      <c r="C441" s="116" t="inlineStr">
        <is>
          <t xml:space="preserve">Обещал</t>
        </is>
      </c>
      <c r="D441" s="116" t="inlineStr">
        <is>
          <t xml:space="preserve">Кр-99027715-1</t>
        </is>
      </c>
      <c r="E441" s="116" t="inlineStr">
        <is>
          <t xml:space="preserve">SHODMONOVA MAFTUNA OBIDJONOVNA</t>
        </is>
      </c>
      <c r="F441" s="116" t="inlineStr">
        <is>
          <t xml:space="preserve">97-225-11-27 SMS ERI  UQITUVCHI TOLOVCHI , 91-966-11-27 SMS UY, 90-568-35-85 SMS ONASI, 97-551-16-69 SMS ISHXONA,</t>
        </is>
      </c>
      <c r="G441" s="116" t="inlineStr">
        <is>
          <t xml:space="preserve">SURXONDARYO UZUN TUMANI YANGIRO’ZG’OR MFY DO’STLIK KO’CHASI 855-UY</t>
        </is>
      </c>
      <c r="H441" s="117">
        <v>10.0</v>
      </c>
      <c r="I441" s="117">
        <v>1607988.07</v>
      </c>
      <c r="K441" s="116" t="inlineStr">
        <is>
          <t xml:space="preserve">Va'da berdi | abrorga tolaga | 181</t>
        </is>
      </c>
    </row>
    <row r="442">
      <c r="A442" s="116" t="inlineStr">
        <is>
          <t xml:space="preserve">СУРХОНДАРЁ ВИЛОЯТИ</t>
        </is>
      </c>
      <c r="C442" s="116" t="inlineStr">
        <is>
          <t xml:space="preserve">Обещал</t>
        </is>
      </c>
      <c r="D442" s="116" t="inlineStr">
        <is>
          <t xml:space="preserve">Кр-99061106-1</t>
        </is>
      </c>
      <c r="E442" s="116" t="inlineStr">
        <is>
          <t xml:space="preserve">ESHMURODOV JUMMANAZAR ALIMOVICH</t>
        </is>
      </c>
      <c r="F442" s="116" t="inlineStr">
        <is>
          <t xml:space="preserve">998885680272 SMS UY, 998952357793 SMS UZI, 998995853555 SMS OILASI,</t>
        </is>
      </c>
      <c r="G442" s="116" t="inlineStr">
        <is>
          <t xml:space="preserve">SURXONDARYO VILOYATI DENOV TUMANI TOTUVLIK MFY GULLIRANO 74-UY</t>
        </is>
      </c>
      <c r="H442" s="117">
        <v>10.0</v>
      </c>
      <c r="I442" s="117">
        <v>1533268.11</v>
      </c>
      <c r="K442" s="116" t="inlineStr">
        <is>
          <t xml:space="preserve">Va'da berdi | wahnoz tolo qlad | 1376</t>
        </is>
      </c>
    </row>
    <row r="443">
      <c r="A443" s="116" t="inlineStr">
        <is>
          <t xml:space="preserve">СУРХОНДАРЁ ВИЛОЯТИ</t>
        </is>
      </c>
      <c r="C443" s="116" t="inlineStr">
        <is>
          <t xml:space="preserve">Дозвон</t>
        </is>
      </c>
      <c r="D443" s="116" t="inlineStr">
        <is>
          <t xml:space="preserve">Кр-99038230-1</t>
        </is>
      </c>
      <c r="E443" s="116" t="inlineStr">
        <is>
          <t xml:space="preserve">TO’XTAYEVA PARDAXOL BAHODIROVNA</t>
        </is>
      </c>
      <c r="F443" s="116" t="inlineStr">
        <is>
          <t xml:space="preserve">998978488184 SMS OZI, 998950408184 SMS ERI, 998992198184 SMS UYI, 998950408184 SMS O’G’LI,</t>
        </is>
      </c>
      <c r="G443" s="116" t="inlineStr">
        <is>
          <t xml:space="preserve">SURXONDARYO VILOYATI DENOV TUMANI  NAMUNA  MFY YANGI XAYOT KO’CHASI 10-UY</t>
        </is>
      </c>
      <c r="H443" s="117">
        <v>2.0</v>
      </c>
      <c r="I443" s="117">
        <v>1532535.39</v>
      </c>
      <c r="J443" s="117">
        <v>1532535.39</v>
      </c>
      <c r="K443" s="116" t="inlineStr">
        <is>
          <t xml:space="preserve">To'ladi | oylik tolovi yopild | 698</t>
        </is>
      </c>
    </row>
    <row r="444">
      <c r="A444" s="116" t="inlineStr">
        <is>
          <t xml:space="preserve">СУРХОНДАРЁ ВИЛОЯТИ</t>
        </is>
      </c>
      <c r="C444" s="116" t="inlineStr">
        <is>
          <t xml:space="preserve">Обещал</t>
        </is>
      </c>
      <c r="D444" s="116" t="inlineStr">
        <is>
          <t xml:space="preserve">Кр-99035581-3</t>
        </is>
      </c>
      <c r="E444" s="116" t="inlineStr">
        <is>
          <t xml:space="preserve">SAYDALIYEV BAXTINUR BAXRIDDIN O’G’LI</t>
        </is>
      </c>
      <c r="F444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444" s="116" t="inlineStr">
        <is>
          <t xml:space="preserve">Сурхондарё вилояти Кизирик Тумани Работак МФЙ, Абдулла Қаххор 1 кучаси, 21...-уй</t>
        </is>
      </c>
      <c r="H444" s="117">
        <v>10.0</v>
      </c>
      <c r="I444" s="117">
        <v>1425548.63</v>
      </c>
      <c r="K444" s="116" t="inlineStr">
        <is>
          <t xml:space="preserve">Va'da berdi | 20 dan kyn tolo qlad | 517</t>
        </is>
      </c>
    </row>
    <row r="445">
      <c r="A445" s="116" t="inlineStr">
        <is>
          <t xml:space="preserve">СУРХОНДАРЁ ВИЛОЯТИ</t>
        </is>
      </c>
      <c r="C445" s="116" t="inlineStr">
        <is>
          <t xml:space="preserve">Обещал</t>
        </is>
      </c>
      <c r="D445" s="116" t="inlineStr">
        <is>
          <t xml:space="preserve">Кр-99030710-1</t>
        </is>
      </c>
      <c r="E445" s="116" t="inlineStr">
        <is>
          <t xml:space="preserve">JUMANAZAROV XUSAN XXX</t>
        </is>
      </c>
      <c r="F445" s="116" t="inlineStr">
        <is>
          <t xml:space="preserve">99-754-22-05 SMS O’ZI, 99-457-96-55  SMS O’ZI, 94-656-19-77  SMS O’GLI, 88-808-34-33 SMS  UY,</t>
        </is>
      </c>
      <c r="G445" s="116" t="inlineStr">
        <is>
          <t xml:space="preserve">SURXONDARYO VILOYATI OLTINSOY  TUMANI OLTINSOY  QFY JIYANBOBO MFY MEYVAZOR   47-UY</t>
        </is>
      </c>
      <c r="H445" s="117">
        <v>3.0</v>
      </c>
      <c r="I445" s="117">
        <v>1423299.2</v>
      </c>
      <c r="K445" s="116" t="inlineStr">
        <is>
          <t xml:space="preserve">Va'da berdi | otasi bn gaplawdm 2-3 kunda tolov qlad | 294</t>
        </is>
      </c>
    </row>
    <row r="446">
      <c r="A446" s="116" t="inlineStr">
        <is>
          <t xml:space="preserve">СУРХОНДАРЁ ВИЛОЯТИ</t>
        </is>
      </c>
      <c r="C446" s="116" t="inlineStr">
        <is>
          <t xml:space="preserve">Обещал</t>
        </is>
      </c>
      <c r="D446" s="116" t="inlineStr">
        <is>
          <t xml:space="preserve">Кр-99063093-1</t>
        </is>
      </c>
      <c r="E446" s="116" t="inlineStr">
        <is>
          <t xml:space="preserve">SHOPULATOV JAHONGIR OTABEK O’G’LI</t>
        </is>
      </c>
      <c r="F446" s="116" t="inlineStr">
        <is>
          <t xml:space="preserve">998937989939 OZI, 998919065400 AKASI,</t>
        </is>
      </c>
      <c r="G446" s="116" t="inlineStr">
        <is>
          <t xml:space="preserve">SURXONDARYO VILOYATI TERMIZ TUMAN JOYJANGAL MFY NURONIY KO’CHASI 102-UY</t>
        </is>
      </c>
      <c r="I446" s="117">
        <v>1354109.55</v>
      </c>
      <c r="K446" s="116" t="inlineStr">
        <is>
          <t xml:space="preserve">Va'da berdi | oy oxirida | 1501</t>
        </is>
      </c>
    </row>
    <row r="447">
      <c r="A447" s="116" t="inlineStr">
        <is>
          <t xml:space="preserve">СУРХОНДАРЁ ВИЛОЯТИ</t>
        </is>
      </c>
      <c r="C447" s="116" t="inlineStr">
        <is>
          <t xml:space="preserve">Обещал</t>
        </is>
      </c>
      <c r="D447" s="116" t="inlineStr">
        <is>
          <t xml:space="preserve">Кр-99007175-2</t>
        </is>
      </c>
      <c r="E447" s="116" t="inlineStr">
        <is>
          <t xml:space="preserve">KOHAROV USMON ERGASHOVICH</t>
        </is>
      </c>
      <c r="F447" s="116" t="inlineStr">
        <is>
          <t xml:space="preserve">91-580-94-59 SMS, 90-747-47-68 SMS XOTINI NILUFDAR OPA, 91-513-87-87 SMS O’G’LI MIROLIM, 99-979-13-85 SMS UY,</t>
        </is>
      </c>
      <c r="G447" s="116" t="inlineStr">
        <is>
          <t xml:space="preserve">SURXONDARYO VILOYATI QUMQO’RG’ON TUMANI NAVBAHOR MFY AT-TERMIZIY KO’CHASI 7-UY</t>
        </is>
      </c>
      <c r="H447" s="117">
        <v>10.0</v>
      </c>
      <c r="I447" s="117">
        <v>1348290.94</v>
      </c>
      <c r="K447" s="116" t="inlineStr">
        <is>
          <t xml:space="preserve">Va'da berdi | keca qisman tolad bugun erte yopad | 20</t>
        </is>
      </c>
    </row>
    <row r="448">
      <c r="A448" s="116" t="inlineStr">
        <is>
          <t xml:space="preserve">СУРХОНДАРЁ ВИЛОЯТИ</t>
        </is>
      </c>
      <c r="C448" s="116" t="inlineStr">
        <is>
          <t xml:space="preserve">Обещал</t>
        </is>
      </c>
      <c r="D448" s="116" t="inlineStr">
        <is>
          <t xml:space="preserve">Кр-99040068-3</t>
        </is>
      </c>
      <c r="E448" s="116" t="inlineStr">
        <is>
          <t xml:space="preserve">BAZAROV AXMAT ESHMAMATOVICH</t>
        </is>
      </c>
      <c r="F448" s="116" t="inlineStr">
        <is>
          <t xml:space="preserve">998973505961 SMS AYOLI, 998976942461 SMS OZI, 998918171212 SMS QIZI, 998976396767 SMS OGLI, 998903579595 SMS UY,</t>
        </is>
      </c>
      <c r="G448" s="116" t="inlineStr">
        <is>
          <t xml:space="preserve">SURXONDARYO VILOYATI DENOV TUMANI OZOD MFY  NURLI HAYOT KO’CHASI 45-UY</t>
        </is>
      </c>
      <c r="H448" s="117">
        <v>10.0</v>
      </c>
      <c r="I448" s="117">
        <v>1295114.34</v>
      </c>
      <c r="K448" s="116" t="inlineStr">
        <is>
          <t xml:space="preserve">Va'da berdi | 22 ga tolo qlad | 858</t>
        </is>
      </c>
    </row>
    <row r="449">
      <c r="A449" s="116" t="inlineStr">
        <is>
          <t xml:space="preserve">СУРХОНДАРЁ ВИЛОЯТИ</t>
        </is>
      </c>
      <c r="C449" s="116" t="inlineStr">
        <is>
          <t xml:space="preserve">Обещал</t>
        </is>
      </c>
      <c r="D449" s="116" t="inlineStr">
        <is>
          <t xml:space="preserve">Кр-99037364-1</t>
        </is>
      </c>
      <c r="E449" s="116" t="inlineStr">
        <is>
          <t xml:space="preserve">MAMARASULOV BAXODIRJON BAXTIYOROVICH</t>
        </is>
      </c>
      <c r="F449" s="116" t="inlineStr">
        <is>
          <t xml:space="preserve">998953305005 SMS, 998951925005 SMS OZI, 998978151968 SMS UY, 998952120535 SMS ,</t>
        </is>
      </c>
      <c r="G449" s="116" t="inlineStr">
        <is>
          <t xml:space="preserve">SURXONDARYO VILOYATI DENOV SHAHAR QUYOSHLIYURT MFY FIRDAVS  1-UY </t>
        </is>
      </c>
      <c r="H449" s="117">
        <v>3.0</v>
      </c>
      <c r="I449" s="117">
        <v>1277712.11</v>
      </c>
      <c r="K449" s="116" t="inlineStr">
        <is>
          <t xml:space="preserve">Va'da berdi | kyngi xafta tolo qlaman dd | 636</t>
        </is>
      </c>
    </row>
    <row r="450">
      <c r="A450" s="116" t="inlineStr">
        <is>
          <t xml:space="preserve">СУРХОНДАРЁ ВИЛОЯТИ</t>
        </is>
      </c>
      <c r="C450" s="116" t="inlineStr">
        <is>
          <t xml:space="preserve">Обещал</t>
        </is>
      </c>
      <c r="D450" s="116" t="inlineStr">
        <is>
          <t xml:space="preserve">Кр-99029195-4</t>
        </is>
      </c>
      <c r="E450" s="116" t="inlineStr">
        <is>
          <t xml:space="preserve">ESHBAYEVA GULBAHOR OMANDAVLATOVNA</t>
        </is>
      </c>
      <c r="F450" s="116" t="inlineStr">
        <is>
          <t xml:space="preserve">998904180270 SMS O’ZI, 998994490270 SMS UY, 998330750020 SMS UKASI, 998993808096 SMS UKASI, 998999661002 SMS TULOVCHI,</t>
        </is>
      </c>
      <c r="G450" s="116" t="inlineStr">
        <is>
          <t xml:space="preserve">SURXONDARYO VILOYATI QUMQURG’ON TUMANI CHUKIRLI MFY BO’LAK TEPA KO’CHASI 28-UY</t>
        </is>
      </c>
      <c r="H450" s="117">
        <v>10.0</v>
      </c>
      <c r="I450" s="117">
        <v>1202412.94</v>
      </c>
      <c r="K450" s="116" t="inlineStr">
        <is>
          <t xml:space="preserve">Va'da berdi | bugun nasb tolo qlad | 229</t>
        </is>
      </c>
    </row>
    <row r="451">
      <c r="A451" s="116" t="inlineStr">
        <is>
          <t xml:space="preserve">СУРХОНДАРЁ ВИЛОЯТИ</t>
        </is>
      </c>
      <c r="C451" s="116" t="inlineStr">
        <is>
          <t xml:space="preserve">Обещал</t>
        </is>
      </c>
      <c r="D451" s="116" t="inlineStr">
        <is>
          <t xml:space="preserve">Кр-99036107-2</t>
        </is>
      </c>
      <c r="E451" s="116" t="inlineStr">
        <is>
          <t xml:space="preserve">ZIKIROV ALISHER KUDRATOVICH</t>
        </is>
      </c>
      <c r="F451" s="116" t="inlineStr">
        <is>
          <t xml:space="preserve">998957668603 SMS O’ZI, 998991970555 SMS JIYANI , 998882444737 AKASI, 998990380351 SMS AYOLI ,</t>
        </is>
      </c>
      <c r="G451" s="116" t="inlineStr">
        <is>
          <t xml:space="preserve">SURXONDARYO VILOYATI DENOV TUMANI ISTIQBOL MFY SATTOR YODGOROV 35-UY </t>
        </is>
      </c>
      <c r="H451" s="117">
        <v>10.0</v>
      </c>
      <c r="I451" s="117">
        <v>1179868.52</v>
      </c>
      <c r="K451" s="116" t="inlineStr">
        <is>
          <t xml:space="preserve">Va'da berdi | 20sanaga tolov | 560</t>
        </is>
      </c>
    </row>
    <row r="452">
      <c r="A452" s="116" t="inlineStr">
        <is>
          <t xml:space="preserve">СУРХОНДАРЁ ВИЛОЯТИ</t>
        </is>
      </c>
      <c r="C452" s="116" t="inlineStr">
        <is>
          <t xml:space="preserve">Обещал</t>
        </is>
      </c>
      <c r="D452" s="116" t="inlineStr">
        <is>
          <t xml:space="preserve">Кр-99032451-1</t>
        </is>
      </c>
      <c r="E452" s="116" t="inlineStr">
        <is>
          <t xml:space="preserve">MAMAJONOVA MAXFUZA SAMIJONOVNA</t>
        </is>
      </c>
      <c r="F452" s="116" t="inlineStr">
        <is>
          <t xml:space="preserve">998942099378 SMS UKASI, 998337682003 SMS O’G’LI, 998992711325 SMS OILASI begona, 998938808307 SMS O’ZI,</t>
        </is>
      </c>
      <c r="G452" s="116" t="inlineStr">
        <is>
          <t xml:space="preserve">SURXONDARYO VILOYATI DENOV TUMANI BUYUK KELAJAK  MFY TURSUNZODA  KO’CHASI 11-UY</t>
        </is>
      </c>
      <c r="H452" s="117">
        <v>9.0</v>
      </c>
      <c r="I452" s="117">
        <v>1113629.8</v>
      </c>
      <c r="K452" s="116" t="inlineStr">
        <is>
          <t xml:space="preserve">Va'da berdi | ukasi tolovci stroykada iwlidi kunlik tolov qlad | 353</t>
        </is>
      </c>
    </row>
    <row r="453">
      <c r="A453" s="116" t="inlineStr">
        <is>
          <t xml:space="preserve">СУРХОНДАРЁ ВИЛОЯТИ</t>
        </is>
      </c>
      <c r="C453" s="116" t="inlineStr">
        <is>
          <t xml:space="preserve">Обещал</t>
        </is>
      </c>
      <c r="D453" s="116" t="inlineStr">
        <is>
          <t xml:space="preserve">Кр-99062784-2</t>
        </is>
      </c>
      <c r="E453" s="116" t="inlineStr">
        <is>
          <t xml:space="preserve">ESHMUMINOV ALLAMUROD PANJI O’G’LI</t>
        </is>
      </c>
      <c r="F453" s="116" t="inlineStr">
        <is>
          <t xml:space="preserve">+998938173666 SMS O’ZI, 998940242987 SMS AKASI, 998990905996 SMS ONASI, 998500056666 uzi new,</t>
        </is>
      </c>
      <c r="G453" s="116" t="inlineStr">
        <is>
          <t xml:space="preserve">ШЕРОБОД ТУМАНИ ЁШЛИК МФЙ, Ш.ЖУМАЕВ КУЧАСИ,  uy:44</t>
        </is>
      </c>
      <c r="H453" s="117">
        <v>10.0</v>
      </c>
      <c r="I453" s="117">
        <v>1110259.56</v>
      </c>
      <c r="K453" s="116" t="inlineStr">
        <is>
          <t xml:space="preserve">Va'da berdi | ownasi bn gaplawdm etaman dd | 1438</t>
        </is>
      </c>
    </row>
    <row r="454">
      <c r="A454" s="116" t="inlineStr">
        <is>
          <t xml:space="preserve">СУРХОНДАРЁ ВИЛОЯТИ</t>
        </is>
      </c>
      <c r="C454" s="116" t="inlineStr">
        <is>
          <t xml:space="preserve">Обещал</t>
        </is>
      </c>
      <c r="D454" s="116" t="inlineStr">
        <is>
          <t xml:space="preserve">Кр-99041744-1</t>
        </is>
      </c>
      <c r="E454" s="116" t="inlineStr">
        <is>
          <t xml:space="preserve">KARIMOVA MADINA SOTTOR QIZI</t>
        </is>
      </c>
      <c r="F454" s="116" t="inlineStr">
        <is>
          <t xml:space="preserve">998975527101 SMS OZI, 998881927101 SMS UY, 999872010159 SMS OILASI, 998785510044 SMS UKASI, 998957737555 SMS ERI,</t>
        </is>
      </c>
      <c r="G454" s="116" t="inlineStr">
        <is>
          <t xml:space="preserve">SURXONDARYO VILOYATI DENOV TUMANI BUYUKIPAK YULI MFY I.KARIMOV 70-UY</t>
        </is>
      </c>
      <c r="H454" s="117">
        <v>10.0</v>
      </c>
      <c r="I454" s="117">
        <v>1024167.26</v>
      </c>
      <c r="K454" s="116" t="inlineStr">
        <is>
          <t xml:space="preserve">Va'da berdi | 20 dan kyn tolo qlad | 1018</t>
        </is>
      </c>
    </row>
    <row r="455">
      <c r="A455" s="116" t="inlineStr">
        <is>
          <t xml:space="preserve">СУРХОНДАРЁ ВИЛОЯТИ</t>
        </is>
      </c>
      <c r="C455" s="116" t="inlineStr">
        <is>
          <t xml:space="preserve">Обещал</t>
        </is>
      </c>
      <c r="D455" s="116" t="inlineStr">
        <is>
          <t xml:space="preserve">Кр-99025118-4</t>
        </is>
      </c>
      <c r="E455" s="116" t="inlineStr">
        <is>
          <t xml:space="preserve">AXMADOV ZUXRIDDIN SHAROFIDDIN O’G’LI</t>
        </is>
      </c>
      <c r="F455" s="116" t="inlineStr">
        <is>
          <t xml:space="preserve">97-550-78-48 SMS O'ZI INSTDA MENEJER BOP ISHLIDI, 88-530-99-95  SMS AKASI begona, 99-974-57-80  SMS AKASI , 990770107210 SMS TOLOVCHI ORTOGI,</t>
        </is>
      </c>
      <c r="G455" s="116" t="inlineStr">
        <is>
          <t xml:space="preserve">SURXONDARYO VILOYATI DENOV TUMANI TOTUVLIK MFY GULIRANO  88-UY</t>
        </is>
      </c>
      <c r="H455" s="117">
        <v>3.0</v>
      </c>
      <c r="I455" s="117">
        <v>950877.04</v>
      </c>
      <c r="K455" s="116" t="inlineStr">
        <is>
          <t xml:space="preserve">Va'da berdi | ortogi bn gaplawdm zuxridn koreada pul tawasa yopad | 135</t>
        </is>
      </c>
    </row>
    <row r="456">
      <c r="A456" s="116" t="inlineStr">
        <is>
          <t xml:space="preserve">СУРХОНДАРЁ ВИЛОЯТИ</t>
        </is>
      </c>
      <c r="C456" s="116" t="inlineStr">
        <is>
          <t xml:space="preserve">Обещал</t>
        </is>
      </c>
      <c r="D456" s="116" t="inlineStr">
        <is>
          <t xml:space="preserve">Кр-99015341-4</t>
        </is>
      </c>
      <c r="E456" s="116" t="inlineStr">
        <is>
          <t xml:space="preserve">SALIMOV UMID UMARJANOVICH</t>
        </is>
      </c>
      <c r="F456" s="116" t="inlineStr">
        <is>
          <t xml:space="preserve">91-517-19-81 SMS, 99-447-19-81 SMS O’ZI begona , 91-232-14-86 SMS UY, 99-320-02-35 SMS, 94-485-18-01 SMS ozi tolovchi begona ,</t>
        </is>
      </c>
      <c r="G456" s="116" t="inlineStr">
        <is>
          <t xml:space="preserve">SURXONDARYO VILOYATI UZUN TUMANI UZUN QFY YANGIRO’ZG’OR MFY SH.RAXMONOV KO’CHASI 48-UY</t>
        </is>
      </c>
      <c r="H456" s="117">
        <v>10.0</v>
      </c>
      <c r="I456" s="117">
        <v>859212.12</v>
      </c>
      <c r="K456" s="116" t="inlineStr">
        <is>
          <t xml:space="preserve">Va'da berdi | abror olgan | 53</t>
        </is>
      </c>
    </row>
    <row r="457">
      <c r="A457" s="116" t="inlineStr">
        <is>
          <t xml:space="preserve">СУРХОНДАРЁ ВИЛОЯТИ</t>
        </is>
      </c>
      <c r="C457" s="116" t="inlineStr">
        <is>
          <t xml:space="preserve">Обещал</t>
        </is>
      </c>
      <c r="D457" s="116" t="inlineStr">
        <is>
          <t xml:space="preserve">Кр-99030613-2</t>
        </is>
      </c>
      <c r="E457" s="116" t="inlineStr">
        <is>
          <t xml:space="preserve">QURBONOV NURSULTON BEGALIYEVICH</t>
        </is>
      </c>
      <c r="F457" s="116" t="inlineStr">
        <is>
          <t xml:space="preserve">998905232918 SMS UY, 998916339707 SMS UKASI ERALI, 998941624149 SMS AYOLI, 998771091897 SMS OZI TOLOVCHI,</t>
        </is>
      </c>
      <c r="G457" s="116" t="inlineStr">
        <is>
          <t xml:space="preserve">SURXONDARYO VILOYATI DENOV  TUMANI XAZARBOG’ QFY QOVUNLI SOY MFY QOVUNLISOY KUCHASI  11-UY</t>
        </is>
      </c>
      <c r="H457" s="117">
        <v>10.0</v>
      </c>
      <c r="I457" s="117">
        <v>782194.38</v>
      </c>
      <c r="K457" s="116" t="inlineStr">
        <is>
          <t xml:space="preserve">Va'da berdi | abrorga tolaga | 286</t>
        </is>
      </c>
    </row>
    <row r="458">
      <c r="A458" s="116" t="inlineStr">
        <is>
          <t xml:space="preserve">СУРХОНДАРЁ ВИЛОЯТИ</t>
        </is>
      </c>
      <c r="C458" s="116" t="inlineStr">
        <is>
          <t xml:space="preserve">Обещал</t>
        </is>
      </c>
      <c r="D458" s="116" t="inlineStr">
        <is>
          <t xml:space="preserve">Кр-99057464-1</t>
        </is>
      </c>
      <c r="E458" s="116" t="inlineStr">
        <is>
          <t xml:space="preserve">MUMINOV G’ULOM NORMURODOVICH</t>
        </is>
      </c>
      <c r="F458" s="116" t="inlineStr">
        <is>
          <t xml:space="preserve">998942650302 SMS UZI, 998937084577 SMS UY, 998940000686 SMS AKASI, 998771100683 SMS OILASI,</t>
        </is>
      </c>
      <c r="G458" s="116" t="inlineStr">
        <is>
          <t xml:space="preserve">SURXONDARYO VILOYATI DENOV TUMANI SOXIBKOR MFY USHOR 30-UY</t>
        </is>
      </c>
      <c r="H458" s="117">
        <v>10.0</v>
      </c>
      <c r="I458" s="117">
        <v>704545.45</v>
      </c>
      <c r="K458" s="116" t="inlineStr">
        <is>
          <t xml:space="preserve">Va'da berdi | 25 gaca tolov qlad | 1300</t>
        </is>
      </c>
    </row>
    <row r="459">
      <c r="A459" s="116" t="inlineStr">
        <is>
          <t xml:space="preserve">СУРХОНДАРЁ ВИЛОЯТИ</t>
        </is>
      </c>
      <c r="C459" s="116" t="inlineStr">
        <is>
          <t xml:space="preserve">Обещал</t>
        </is>
      </c>
      <c r="D459" s="116" t="inlineStr">
        <is>
          <t xml:space="preserve">Кр-99035839-2</t>
        </is>
      </c>
      <c r="E459" s="116" t="inlineStr">
        <is>
          <t xml:space="preserve">NAZAROV SOATMUROT BOBONAZAROVICH</t>
        </is>
      </c>
      <c r="F459" s="116" t="inlineStr">
        <is>
          <t xml:space="preserve">998904112878 SMS tulovchi quruvchi, 998915861956 SMS OZI, 998915103380 SMS UY, 998952790593 SMS OGLI,</t>
        </is>
      </c>
      <c r="G459" s="116" t="inlineStr">
        <is>
          <t xml:space="preserve">SURXONDARYO VILOYATI DENOV TUMANI XAYRABOD QFY PAXTAKURASH MFY SURXONDARYO KO'CHASI 22-UY</t>
        </is>
      </c>
      <c r="H459" s="117">
        <v>10.0</v>
      </c>
      <c r="I459" s="117">
        <v>682907.5</v>
      </c>
      <c r="K459" s="116" t="inlineStr">
        <is>
          <t xml:space="preserve">Va'da berdi | soatmuroti ozi bn gaplawdm oglim toledi 3-4 kunda dd | 537</t>
        </is>
      </c>
    </row>
    <row r="460">
      <c r="A460" s="116" t="inlineStr">
        <is>
          <t xml:space="preserve">СУРХОНДАРЁ ВИЛОЯТИ</t>
        </is>
      </c>
      <c r="C460" s="116" t="inlineStr">
        <is>
          <t xml:space="preserve">Обещал</t>
        </is>
      </c>
      <c r="D460" s="116" t="inlineStr">
        <is>
          <t xml:space="preserve">Кр-99024483-2</t>
        </is>
      </c>
      <c r="E460" s="116" t="inlineStr">
        <is>
          <t xml:space="preserve">DONAYEV OLIM ERGASHEVICH</t>
        </is>
      </c>
      <c r="F460" s="116" t="inlineStr">
        <is>
          <t xml:space="preserve">998994029792 SMS OZI, 998975368566 SMS AKASI, 998992948821 SMS UYI, 998972441330 SMS AKASI,</t>
        </is>
      </c>
      <c r="G460" s="116" t="inlineStr">
        <is>
          <t xml:space="preserve">SURXONDARYO VILOYATI DENOV TUMANI KORAXON MFY KARVANYOLI KO’CHASI 100-UY  </t>
        </is>
      </c>
      <c r="H460" s="117">
        <v>10.0</v>
      </c>
      <c r="I460" s="117">
        <v>581642.53</v>
      </c>
      <c r="K460" s="116" t="inlineStr">
        <is>
          <t xml:space="preserve">Va'da berdi | kartasidan pul yecb ketgan lkn bazaga tuwmadi | 129</t>
        </is>
      </c>
    </row>
    <row r="461">
      <c r="A461" s="116" t="inlineStr">
        <is>
          <t xml:space="preserve">СУРХОНДАРЁ ВИЛОЯТИ</t>
        </is>
      </c>
      <c r="C461" s="116" t="inlineStr">
        <is>
          <t xml:space="preserve">Обещал</t>
        </is>
      </c>
      <c r="D461" s="116" t="inlineStr">
        <is>
          <t xml:space="preserve">Кр-99039613-1</t>
        </is>
      </c>
      <c r="E461" s="116" t="inlineStr">
        <is>
          <t xml:space="preserve">XAMIDOV SHERALI TOXIR O’G’LI</t>
        </is>
      </c>
      <c r="F461" s="116" t="inlineStr">
        <is>
          <t xml:space="preserve">998930779988 SMS OZI  TERMIZ XODIM ,</t>
        </is>
      </c>
      <c r="G461" s="116" t="inlineStr">
        <is>
          <t xml:space="preserve">SURXONDARYO VILOYAT TERMIZ SHAXAR ESKI SHAXAR MYF BIRDAMLIK KO’CHASI 2-BURILISH 52 UY</t>
        </is>
      </c>
      <c r="I461" s="117">
        <v>565490.38</v>
      </c>
      <c r="K461" s="116" t="inlineStr">
        <is>
          <t xml:space="preserve">Va'da berdi | oyni oxirigaca | 813</t>
        </is>
      </c>
    </row>
    <row r="462">
      <c r="A462" s="116" t="inlineStr">
        <is>
          <t xml:space="preserve">СУРХОНДАРЁ ВИЛОЯТИ</t>
        </is>
      </c>
      <c r="C462" s="116" t="inlineStr">
        <is>
          <t xml:space="preserve">Обещал</t>
        </is>
      </c>
      <c r="D462" s="116" t="inlineStr">
        <is>
          <t xml:space="preserve">Кр-99041293-2</t>
        </is>
      </c>
      <c r="E462" s="116" t="inlineStr">
        <is>
          <t xml:space="preserve">MUZRAPOV OTABEK SAYDAXMAT O’G’LI</t>
        </is>
      </c>
      <c r="F462" s="116" t="inlineStr">
        <is>
          <t xml:space="preserve">998904944044 SMS O’ZI, 998915174919 SMS UKASI, 998958852122 SMS UY,</t>
        </is>
      </c>
      <c r="G462" s="116" t="inlineStr">
        <is>
          <t xml:space="preserve">ҚОРЛИҚ ҚФЙ, ҚОРЛИҚ ҚФЙ, ҚОРЛИҚ-1,  uy:34</t>
        </is>
      </c>
      <c r="H462" s="117">
        <v>10.0</v>
      </c>
      <c r="I462" s="117">
        <v>547073.68</v>
      </c>
      <c r="K462" s="116" t="inlineStr">
        <is>
          <t xml:space="preserve">Va'da berdi | 22 larda tolo qlad | 980</t>
        </is>
      </c>
    </row>
    <row r="463">
      <c r="A463" s="116" t="inlineStr">
        <is>
          <t xml:space="preserve">СУРХОНДАРЁ ВИЛОЯТИ</t>
        </is>
      </c>
      <c r="C463" s="116" t="inlineStr">
        <is>
          <t xml:space="preserve">Обещал</t>
        </is>
      </c>
      <c r="D463" s="116" t="inlineStr">
        <is>
          <t xml:space="preserve">Кр-99035156-1</t>
        </is>
      </c>
      <c r="E463" s="116" t="inlineStr">
        <is>
          <t xml:space="preserve">ABDUYEV XODJAAKBAR KARIMOVICH</t>
        </is>
      </c>
      <c r="F463" s="116" t="inlineStr">
        <is>
          <t xml:space="preserve">998952371191 SMS O’ZI nonvoylik qiladi, 998976237477 SMS UY, 998337202515 SMS SHERIGI, 998991085695 SMS ISHXONA,</t>
        </is>
      </c>
      <c r="G463" s="116" t="inlineStr">
        <is>
          <t xml:space="preserve">SURXONDARYO VILOYATI DENOV TUMANI SINA QFY FAYZAOBOD MFY NAFIS 52-UY</t>
        </is>
      </c>
      <c r="H463" s="117">
        <v>7.0</v>
      </c>
      <c r="I463" s="117">
        <v>501690.76</v>
      </c>
      <c r="K463" s="116" t="inlineStr">
        <is>
          <t xml:space="preserve">Va'da berdi | 19sanaga tolov | 485</t>
        </is>
      </c>
    </row>
    <row r="464">
      <c r="A464" s="116" t="inlineStr">
        <is>
          <t xml:space="preserve">СУРХОНДАРЁ ВИЛОЯТИ</t>
        </is>
      </c>
      <c r="C464" s="116" t="inlineStr">
        <is>
          <t xml:space="preserve">Обещал</t>
        </is>
      </c>
      <c r="D464" s="116" t="inlineStr">
        <is>
          <t xml:space="preserve">Кр-99039405-1</t>
        </is>
      </c>
      <c r="E464" s="116" t="inlineStr">
        <is>
          <t xml:space="preserve">XURRAMOV HUSNIDDIN XAYRULLAYEVICH</t>
        </is>
      </c>
      <c r="F464" s="116" t="inlineStr">
        <is>
          <t xml:space="preserve">998884466040 SMS OZI, 998881941101 SMS SHERIGI, 998888720097 SMS ZALOGATEL, 998334200404 SMS OZI,</t>
        </is>
      </c>
      <c r="G464" s="116" t="inlineStr">
        <is>
          <t xml:space="preserve">SURXONDARYO VILOYATI DENOV TUMANI XAYRABOD QFY SHAMOLI MFY TOJIMAHAL 39-UY</t>
        </is>
      </c>
      <c r="H464" s="117">
        <v>10.0</v>
      </c>
      <c r="I464" s="117">
        <v>464607.55</v>
      </c>
      <c r="K464" s="116" t="inlineStr">
        <is>
          <t xml:space="preserve">Va'da berdi | 6ga tolov | 784</t>
        </is>
      </c>
    </row>
    <row r="465">
      <c r="A465" s="116" t="inlineStr">
        <is>
          <t xml:space="preserve">СУРХОНДАРЁ ВИЛОЯТИ</t>
        </is>
      </c>
      <c r="C465" s="116" t="inlineStr">
        <is>
          <t xml:space="preserve">Обещал</t>
        </is>
      </c>
      <c r="D465" s="116" t="inlineStr">
        <is>
          <t xml:space="preserve">Кр-99041288-1</t>
        </is>
      </c>
      <c r="E465" s="116" t="inlineStr">
        <is>
          <t xml:space="preserve">CHORSHANBIYEV UMIDJON ZOIROVICH</t>
        </is>
      </c>
      <c r="F465" s="116" t="inlineStr">
        <is>
          <t xml:space="preserve">+998942650707 SMS O’ZI, 998952330001 SMS OPASI, 998997110001 SMS UKASI,</t>
        </is>
      </c>
      <c r="G465" s="116" t="inlineStr">
        <is>
          <t xml:space="preserve">Ибн Сино, дом 22, кв. 48</t>
        </is>
      </c>
      <c r="H465" s="117">
        <v>10.0</v>
      </c>
      <c r="I465" s="117">
        <v>401452.89</v>
      </c>
      <c r="K465" s="116" t="inlineStr">
        <is>
          <t xml:space="preserve">Va'da berdi | bugun yopad | 979</t>
        </is>
      </c>
    </row>
    <row r="466">
      <c r="A466" s="116" t="inlineStr">
        <is>
          <t xml:space="preserve">СУРХОНДАРЁ ВИЛОЯТИ</t>
        </is>
      </c>
      <c r="C466" s="116" t="inlineStr">
        <is>
          <t xml:space="preserve">Обещал</t>
        </is>
      </c>
      <c r="D466" s="116" t="inlineStr">
        <is>
          <t xml:space="preserve">Кр-99044462-1</t>
        </is>
      </c>
      <c r="E466" s="116" t="inlineStr">
        <is>
          <t xml:space="preserve">QARSHIYEV SHOHRUHBEK TO’LQIN O’G’LI</t>
        </is>
      </c>
      <c r="F466" s="116" t="inlineStr">
        <is>
          <t xml:space="preserve">+998977748999 SMS O’ZI, 998774798999 SMS AKASI, 998937996676 SMS UY,</t>
        </is>
      </c>
      <c r="G466" s="116" t="inlineStr">
        <is>
          <t xml:space="preserve">Сурхандарьинская область, Кизирикский район, Гулобод МСГ, ул. Мустақиллик, дом 31</t>
        </is>
      </c>
      <c r="H466" s="117">
        <v>10.0</v>
      </c>
      <c r="I466" s="117">
        <v>364932.02</v>
      </c>
      <c r="K466" s="116" t="inlineStr">
        <is>
          <t xml:space="preserve">Va'da berdi | bugun tolo qlad | 1095</t>
        </is>
      </c>
    </row>
    <row r="467">
      <c r="A467" s="116" t="inlineStr">
        <is>
          <t xml:space="preserve">СУРХОНДАРЁ ВИЛОЯТИ</t>
        </is>
      </c>
      <c r="C467" s="116" t="inlineStr">
        <is>
          <t xml:space="preserve">Обещал</t>
        </is>
      </c>
      <c r="D467" s="116" t="inlineStr">
        <is>
          <t xml:space="preserve">Кр-99041909-2</t>
        </is>
      </c>
      <c r="E467" s="116" t="inlineStr">
        <is>
          <t xml:space="preserve">XURSANDOV IKROM NEMATULLO O’G’LI</t>
        </is>
      </c>
      <c r="F467" s="116" t="inlineStr">
        <is>
          <t xml:space="preserve">998885991414 SMS O’ZI, 998887642002 SMS SHERIGI, 998972424999 SMS UY,</t>
        </is>
      </c>
      <c r="G467" s="116" t="inlineStr">
        <is>
          <t xml:space="preserve">Сурхандарьинская область, Денауский район, Тасмасой МСГ, ул. Лимонзор-2 берк, дом 6</t>
        </is>
      </c>
      <c r="H467" s="117">
        <v>10.0</v>
      </c>
      <c r="I467" s="117">
        <v>291165.44</v>
      </c>
      <c r="K467" s="116" t="inlineStr">
        <is>
          <t xml:space="preserve">Va'da berdi | erte tolo qlad | 1030</t>
        </is>
      </c>
    </row>
    <row r="468">
      <c r="A468" s="116" t="inlineStr">
        <is>
          <t xml:space="preserve">СУРХОНДАРЁ ВИЛОЯТИ</t>
        </is>
      </c>
      <c r="C468" s="116" t="inlineStr">
        <is>
          <t xml:space="preserve">Обещал</t>
        </is>
      </c>
      <c r="D468" s="116" t="inlineStr">
        <is>
          <t xml:space="preserve">Кр-99029590-1</t>
        </is>
      </c>
      <c r="E468" s="116" t="inlineStr">
        <is>
          <t xml:space="preserve">NASRIDINOV JAMSHED MUSTAFOYEVICH</t>
        </is>
      </c>
      <c r="F468" s="116" t="inlineStr">
        <is>
          <t xml:space="preserve">88-845-88-80 SMS OZI, 91-910-64-68  SMS UKASI, 97-242-68-26 SMS UY, 91-175-92-19 SMS SHERIGI,</t>
        </is>
      </c>
      <c r="G468" s="116" t="inlineStr">
        <is>
          <t xml:space="preserve">SURXONDARYO VILOYATI DENOV TUMANI SINA QFY FAYZABOD MFY DUSPARVAR 44-UY</t>
        </is>
      </c>
      <c r="I468" s="117">
        <v>213324.4</v>
      </c>
      <c r="K468" s="116" t="inlineStr">
        <is>
          <t xml:space="preserve">Va'da berdi | wahnoz ogann | 248</t>
        </is>
      </c>
    </row>
    <row r="469">
      <c r="A469" s="116" t="inlineStr">
        <is>
          <t xml:space="preserve">СУРХОНДАРЁ ВИЛОЯТИ</t>
        </is>
      </c>
      <c r="C469" s="116" t="inlineStr">
        <is>
          <t xml:space="preserve">Обещал</t>
        </is>
      </c>
      <c r="D469" s="116" t="inlineStr">
        <is>
          <t xml:space="preserve">Кр-99041178-2</t>
        </is>
      </c>
      <c r="E469" s="116" t="inlineStr">
        <is>
          <t xml:space="preserve">XUDAYNAZAROV FAXRIDDIN XOLBOY O’G’LI</t>
        </is>
      </c>
      <c r="F469" s="116" t="inlineStr">
        <is>
          <t xml:space="preserve">+998931204895 SMS O’ZI, 998948421212 SMS ONASI, 998992602399 SMS UY,</t>
        </is>
      </c>
      <c r="G469" s="116" t="inlineStr">
        <is>
          <t xml:space="preserve">ОКЖАР КФЙ, БОГАРО МФЙ, ОКЖАР КФЙ, БОГАРО МФЙ, БОГАРО,  uy:00</t>
        </is>
      </c>
      <c r="H469" s="117">
        <v>10.0</v>
      </c>
      <c r="I469" s="117">
        <v>53720.5</v>
      </c>
      <c r="K469" s="116" t="inlineStr">
        <is>
          <t xml:space="preserve">Va'da berdi | bugun yopilad | 967</t>
        </is>
      </c>
    </row>
    <row r="470">
      <c r="A470" s="98" t="inlineStr">
        <is>
          <t xml:space="preserve">ТОШКЕНТ ШАХРИ</t>
        </is>
      </c>
      <c r="C470" s="98" t="inlineStr">
        <is>
          <t xml:space="preserve">Обещал</t>
        </is>
      </c>
      <c r="D470" s="98" t="inlineStr">
        <is>
          <t xml:space="preserve">Кр-99052977-2</t>
        </is>
      </c>
      <c r="E470" s="98" t="inlineStr">
        <is>
          <t xml:space="preserve">XOSHIMOV XOMIDJON XOSIL O’G’LI</t>
        </is>
      </c>
      <c r="F470" s="98" t="inlineStr">
        <is>
          <t xml:space="preserve">998977737667 SMS OZI, 998971200213 SMS AYOLI, 998958181022 SMS DOSTI, 998959758555 SMSHAMKASIBI,</t>
        </is>
      </c>
      <c r="G470" s="98" t="inlineStr">
        <is>
          <t xml:space="preserve">TOSHKENT SHAHAR YUNUSOBOD TUMANI 6-MAVZE,30-UY,2-XONADON</t>
        </is>
      </c>
      <c r="H470" s="99">
        <v>13.0</v>
      </c>
      <c r="I470" s="99">
        <v>10957304.94</v>
      </c>
      <c r="K470" s="98" t="inlineStr">
        <is>
          <t xml:space="preserve">Va'da berdi | moshina sotvotti erta indin yopadi</t>
        </is>
      </c>
    </row>
    <row r="471">
      <c r="A471" s="98" t="inlineStr">
        <is>
          <t xml:space="preserve">ТОШКЕНТ ШАХРИ</t>
        </is>
      </c>
      <c r="C471" s="98" t="inlineStr">
        <is>
          <t xml:space="preserve">Обещал</t>
        </is>
      </c>
      <c r="D471" s="98" t="inlineStr">
        <is>
          <t xml:space="preserve">Кр-99062773-2</t>
        </is>
      </c>
      <c r="E471" s="98" t="inlineStr">
        <is>
          <t xml:space="preserve">SADIKOV BAXROM FAXRIDDINOVICH</t>
        </is>
      </c>
      <c r="F471" s="98" t="inlineStr">
        <is>
          <t xml:space="preserve">998909379991 OZI, 998774447753 AYOLI, 998956856668 ONASI,</t>
        </is>
      </c>
      <c r="G471" s="98" t="inlineStr">
        <is>
          <t xml:space="preserve">TOSHKENT SHAHAR SIRG’ALI TUMANI ESKI JALOYIR MFY ILG’OR KO’CHASI 5-TOR,22-UY</t>
        </is>
      </c>
      <c r="H471" s="99">
        <v>13.0</v>
      </c>
      <c r="I471" s="99">
        <v>9304134.98</v>
      </c>
      <c r="K471" s="98" t="inlineStr">
        <is>
          <t xml:space="preserve">Va'da berdi | 1-2kunda to'lidi</t>
        </is>
      </c>
    </row>
    <row r="472">
      <c r="A472" s="98" t="inlineStr">
        <is>
          <t xml:space="preserve">ТОШКЕНТ ШАХРИ</t>
        </is>
      </c>
      <c r="C472" s="98" t="inlineStr">
        <is>
          <t xml:space="preserve">Обещал</t>
        </is>
      </c>
      <c r="D472" s="98" t="inlineStr">
        <is>
          <t xml:space="preserve">Кр-99033616-2</t>
        </is>
      </c>
      <c r="E472" s="98" t="inlineStr">
        <is>
          <t xml:space="preserve">AKBAROV SHAMSHODBEK SANJAR O’G’LI</t>
        </is>
      </c>
      <c r="F472" s="98" t="inlineStr">
        <is>
          <t xml:space="preserve">998992828111 SMS O’ZI , 998200000019 SMS AKASI, 998999986679 SMS AKASI 2, 998019500172 SMS O’ZI 2,</t>
        </is>
      </c>
      <c r="G472" s="98" t="inlineStr">
        <is>
          <t xml:space="preserve">TOSHKENT SHAHAR YUNUSOBOD TUMANI AMIR TEMUR KO'CHASI 2,</t>
        </is>
      </c>
      <c r="H472" s="99">
        <v>13.0</v>
      </c>
      <c r="I472" s="99">
        <v>9285209.38</v>
      </c>
      <c r="K472" s="98" t="inlineStr">
        <is>
          <t xml:space="preserve">Va'da berdi | dushanbiga to'lidi</t>
        </is>
      </c>
    </row>
    <row r="473">
      <c r="A473" s="98" t="inlineStr">
        <is>
          <t xml:space="preserve">ТОШКЕНТ ШАХРИ</t>
        </is>
      </c>
      <c r="C473" s="98" t="inlineStr">
        <is>
          <t xml:space="preserve">Обещал</t>
        </is>
      </c>
      <c r="D473" s="98" t="inlineStr">
        <is>
          <t xml:space="preserve">Кр-99040899-2</t>
        </is>
      </c>
      <c r="E473" s="98" t="inlineStr">
        <is>
          <t xml:space="preserve">PAK NADEJDA  ANDREYEVNA</t>
        </is>
      </c>
      <c r="F473" s="98" t="inlineStr">
        <is>
          <t xml:space="preserve">998906041146 SMS OZI, 998901680304 SMS OGLI, 998990673231 SMS BOJASI,</t>
        </is>
      </c>
      <c r="G473" s="98" t="inlineStr">
        <is>
          <t xml:space="preserve">TOSHKENT SHAHRI SERGELI TUMANI, XALQABOD MFY, QO’YLIQ 5 MAVZESI, 55 UY, 19 KVARTIRA  </t>
        </is>
      </c>
      <c r="H473" s="99">
        <v>13.0</v>
      </c>
      <c r="I473" s="99">
        <v>9207740.52</v>
      </c>
      <c r="K473" s="98" t="inlineStr">
        <is>
          <t xml:space="preserve">Va'da berdi | 20chigacha to'lidi</t>
        </is>
      </c>
    </row>
    <row r="474">
      <c r="A474" s="98" t="inlineStr">
        <is>
          <t xml:space="preserve">ТОШКЕНТ ШАХРИ</t>
        </is>
      </c>
      <c r="C474" s="98" t="inlineStr">
        <is>
          <t xml:space="preserve">Обещал</t>
        </is>
      </c>
      <c r="D474" s="98" t="inlineStr">
        <is>
          <t xml:space="preserve">Кр-99028656-1</t>
        </is>
      </c>
      <c r="E474" s="98" t="inlineStr">
        <is>
          <t xml:space="preserve">UMARQULOV JASURBEK QAXROMON O’G’LI</t>
        </is>
      </c>
      <c r="F474" s="98" t="inlineStr">
        <is>
          <t xml:space="preserve">99 096-00-96   SMS O'ZI, 33-000-33-96  SMS OZI 2, 98-707-96-90  SMS OZI 3, 93-571-60-93  SMS AKASI JAHONGIR,</t>
        </is>
      </c>
      <c r="G474" s="98" t="inlineStr">
        <is>
          <t xml:space="preserve">TOSHKENT SHAHAR SERGILI TUMANI OLTIN VODIY KOCHASI 11-UY 14 XONADON</t>
        </is>
      </c>
      <c r="H474" s="99">
        <v>153.0</v>
      </c>
      <c r="I474" s="99">
        <v>9089515.26</v>
      </c>
      <c r="K474" s="98" t="inlineStr">
        <is>
          <t xml:space="preserve">Va'da berdi | kechgacha to'lidi</t>
        </is>
      </c>
    </row>
    <row r="475">
      <c r="A475" s="98" t="inlineStr">
        <is>
          <t xml:space="preserve">ТОШКЕНТ ШАХРИ</t>
        </is>
      </c>
      <c r="C475" s="98" t="inlineStr">
        <is>
          <t xml:space="preserve">Обещал</t>
        </is>
      </c>
      <c r="D475" s="98" t="inlineStr">
        <is>
          <t xml:space="preserve">Кр-99028819-5</t>
        </is>
      </c>
      <c r="E475" s="98" t="inlineStr">
        <is>
          <t xml:space="preserve">OLLAKULIYEVA GULANDAM SADULLAYEVNA</t>
        </is>
      </c>
      <c r="F475" s="98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475" s="98" t="inlineStr">
        <is>
          <t xml:space="preserve">TOSHKENT SHAHAR YASHNOBOD TUMANI TUZEL MFY 1-TUZEL MAVZESI 40-UY 32-XONADON</t>
        </is>
      </c>
      <c r="H475" s="99">
        <v>10.0</v>
      </c>
      <c r="I475" s="99">
        <v>6212177.08</v>
      </c>
      <c r="K475" s="98" t="inlineStr">
        <is>
          <t xml:space="preserve">Va'da berdi | bugun kechgacha yopadi</t>
        </is>
      </c>
    </row>
    <row r="476">
      <c r="A476" s="98" t="inlineStr">
        <is>
          <t xml:space="preserve">ТОШКЕНТ ШАХРИ</t>
        </is>
      </c>
      <c r="C476" s="98" t="inlineStr">
        <is>
          <t xml:space="preserve">Обещал</t>
        </is>
      </c>
      <c r="D476" s="98" t="inlineStr">
        <is>
          <t xml:space="preserve">Кр-99063389-1</t>
        </is>
      </c>
      <c r="E476" s="98" t="inlineStr">
        <is>
          <t xml:space="preserve">RUSTAMOVA CHAROS ULUG’BEK QIZI</t>
        </is>
      </c>
      <c r="F476" s="98" t="inlineStr">
        <is>
          <t xml:space="preserve">998910059161 SMS OZI 2, 998977701773 SMS OZI, 998998334455 SMS AKASI,</t>
        </is>
      </c>
      <c r="G476" s="98" t="inlineStr">
        <is>
          <t xml:space="preserve">TOSHKENT SHAHRI XALQABOD MFY QO’YLIK 5 MAVZESI 51-UY 47-XONADON</t>
        </is>
      </c>
      <c r="H476" s="99">
        <v>10.0</v>
      </c>
      <c r="I476" s="99">
        <v>5814533.81</v>
      </c>
      <c r="K476" s="98" t="inlineStr">
        <is>
          <t xml:space="preserve">Va'da berdi | 25chigacha yopad</t>
        </is>
      </c>
    </row>
    <row r="477">
      <c r="A477" s="98" t="inlineStr">
        <is>
          <t xml:space="preserve">ТОШКЕНТ ШАХРИ</t>
        </is>
      </c>
      <c r="C477" s="98" t="inlineStr">
        <is>
          <t xml:space="preserve">Обещал</t>
        </is>
      </c>
      <c r="D477" s="98" t="inlineStr">
        <is>
          <t xml:space="preserve">Кр-99034856-3</t>
        </is>
      </c>
      <c r="E477" s="98" t="inlineStr">
        <is>
          <t xml:space="preserve">DJUMAYEV IXTIYOR JAMGIROVICH</t>
        </is>
      </c>
      <c r="F477" s="98" t="inlineStr">
        <is>
          <t xml:space="preserve">998900143883 SMS O’ZI, 998909450954 SMS AYOLI, 998953136661 SMS QIZI, 998947575888 SMS O’G’LI, 998935392278 SMS OGLI NEW,</t>
        </is>
      </c>
      <c r="G477" s="98" t="inlineStr">
        <is>
          <t xml:space="preserve">TOSHKENT SHAHAR SIRG’ALI TUMANI MADANIYAT MFY,KUYLYUK 5-MAVZESI, 13-UY, 23-XONADON </t>
        </is>
      </c>
      <c r="H477" s="99">
        <v>13.0</v>
      </c>
      <c r="I477" s="99">
        <v>5775181.71</v>
      </c>
      <c r="K477" s="98" t="inlineStr">
        <is>
          <t xml:space="preserve">Va'da berdi | bolib bolib yopib bervottii</t>
        </is>
      </c>
    </row>
    <row r="478">
      <c r="A478" s="98" t="inlineStr">
        <is>
          <t xml:space="preserve">ТОШКЕНТ ШАХРИ</t>
        </is>
      </c>
      <c r="C478" s="98" t="inlineStr">
        <is>
          <t xml:space="preserve">Обещал</t>
        </is>
      </c>
      <c r="D478" s="98" t="inlineStr">
        <is>
          <t xml:space="preserve">Кр-99052417-1</t>
        </is>
      </c>
      <c r="E478" s="98" t="inlineStr">
        <is>
          <t xml:space="preserve">RAXIMBAYEVA NAFISA OLIMJONOVNA</t>
        </is>
      </c>
      <c r="F478" s="98" t="inlineStr">
        <is>
          <t xml:space="preserve">+998999041111 SMS UKASI TO’LOVCHI, 998901593834 SMS O’ZI, 998915487171 SMS UKASI 2,</t>
        </is>
      </c>
      <c r="G478" s="98" t="inlineStr">
        <is>
          <t xml:space="preserve">TOSHKENT SHAXAR SERGILI TUMANI BUNYOD MFY TOSHKENT HALQA AVTAMABIL YO’LI KO’CHASI 2-UY 58-KVARTIRA</t>
        </is>
      </c>
      <c r="I478" s="99">
        <v>5342997.22</v>
      </c>
      <c r="K478" s="98" t="inlineStr">
        <is>
          <t xml:space="preserve">Va'da berdi | dushanba to'lidi</t>
        </is>
      </c>
    </row>
    <row r="479">
      <c r="A479" s="98" t="inlineStr">
        <is>
          <t xml:space="preserve">ТОШКЕНТ ШАХРИ</t>
        </is>
      </c>
      <c r="C479" s="98" t="inlineStr">
        <is>
          <t xml:space="preserve">Обещал</t>
        </is>
      </c>
      <c r="D479" s="98" t="inlineStr">
        <is>
          <t xml:space="preserve">Кр-99037552-2</t>
        </is>
      </c>
      <c r="E479" s="98" t="inlineStr">
        <is>
          <t xml:space="preserve">UMAROV MUZAFFAR YULDOSHEVICH</t>
        </is>
      </c>
      <c r="F479" s="98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479" s="98" t="inlineStr">
        <is>
          <t xml:space="preserve">TOSHKENT SHAHAR YUNUSOBOD TUMANI TURKISTON MFY,6-MAVZE,30-UY,6-XONADON</t>
        </is>
      </c>
      <c r="H479" s="99">
        <v>10.0</v>
      </c>
      <c r="I479" s="99">
        <v>5066110.25</v>
      </c>
      <c r="K479" s="98" t="inlineStr">
        <is>
          <t xml:space="preserve">Va'da berdi | 3-4kunda to'lidi</t>
        </is>
      </c>
    </row>
    <row r="480">
      <c r="A480" s="98" t="inlineStr">
        <is>
          <t xml:space="preserve">ТОШКЕНТ ШАХРИ</t>
        </is>
      </c>
      <c r="C480" s="98" t="inlineStr">
        <is>
          <t xml:space="preserve">Обещал</t>
        </is>
      </c>
      <c r="D480" s="98" t="inlineStr">
        <is>
          <t xml:space="preserve">Кр-99025377-8</t>
        </is>
      </c>
      <c r="E480" s="98" t="inlineStr">
        <is>
          <t xml:space="preserve">RASULEVA MALIKA MAXAMATOVNA</t>
        </is>
      </c>
      <c r="F480" s="98" t="inlineStr">
        <is>
          <t xml:space="preserve">99-012-54-38 SMS, 95-055-21-06 SMS OZI 2, 99-821-04-08 SMS OGLI MUXAMADAMIN,</t>
        </is>
      </c>
      <c r="G480" s="98" t="inlineStr">
        <is>
          <t xml:space="preserve">TOSHKENT SHAHAR YUNUSOBOD TUMANI YURTOBOD MFY 19- MAVZESI 20-UY 65-XONADON</t>
        </is>
      </c>
      <c r="H480" s="99">
        <v>10.0</v>
      </c>
      <c r="I480" s="99">
        <v>4627115.46</v>
      </c>
      <c r="K480" s="98" t="inlineStr">
        <is>
          <t xml:space="preserve">Va'da berdi</t>
        </is>
      </c>
    </row>
    <row r="481">
      <c r="A481" s="98" t="inlineStr">
        <is>
          <t xml:space="preserve">ТОШКЕНТ ШАХРИ</t>
        </is>
      </c>
      <c r="C481" s="98" t="inlineStr">
        <is>
          <t xml:space="preserve">Обещал</t>
        </is>
      </c>
      <c r="D481" s="98" t="inlineStr">
        <is>
          <t xml:space="preserve">Кр-99002859-4</t>
        </is>
      </c>
      <c r="E481" s="98" t="inlineStr">
        <is>
          <t xml:space="preserve">ERGASHOV MUZAFFAR MURATDJANOVICH</t>
        </is>
      </c>
      <c r="F481" s="98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481" s="98" t="inlineStr">
        <is>
          <t xml:space="preserve">TOSHKENT SHAHAR YUNUSOBOD TUMANI GOLLOLA 34-UY</t>
        </is>
      </c>
      <c r="H481" s="99">
        <v>3.0</v>
      </c>
      <c r="I481" s="99">
        <v>4608247.91</v>
      </c>
      <c r="K481" s="98" t="inlineStr">
        <is>
          <t xml:space="preserve">Va'da berdi</t>
        </is>
      </c>
    </row>
    <row r="482">
      <c r="A482" s="98" t="inlineStr">
        <is>
          <t xml:space="preserve">ТОШКЕНТ ШАХРИ</t>
        </is>
      </c>
      <c r="C482" s="98" t="inlineStr">
        <is>
          <t xml:space="preserve">Обещал</t>
        </is>
      </c>
      <c r="D482" s="98" t="inlineStr">
        <is>
          <t xml:space="preserve">Кр-99037320-2</t>
        </is>
      </c>
      <c r="E482" s="98" t="inlineStr">
        <is>
          <t xml:space="preserve">ZARIFOV FOZILBEK BAXTIYOR O’G’LI</t>
        </is>
      </c>
      <c r="F482" s="98" t="inlineStr">
        <is>
          <t xml:space="preserve">998948797277 SMS OZI, 998945871718 SMS AYOLI, 998940319325 SMS DOSTI, 998944504497 SMS DOSTI,</t>
        </is>
      </c>
      <c r="G482" s="98" t="inlineStr">
        <is>
          <t xml:space="preserve">TOSHKENT SHAHAR YUNUSOBOD TUMANI 8/2-116-UY</t>
        </is>
      </c>
      <c r="H482" s="99">
        <v>10.0</v>
      </c>
      <c r="I482" s="99">
        <v>4287411.64</v>
      </c>
      <c r="K482" s="98" t="inlineStr">
        <is>
          <t xml:space="preserve">Va'da berdi | oyli kutvotti</t>
        </is>
      </c>
    </row>
    <row r="483">
      <c r="A483" s="98" t="inlineStr">
        <is>
          <t xml:space="preserve">ТОШКЕНТ ШАХРИ</t>
        </is>
      </c>
      <c r="C483" s="98" t="inlineStr">
        <is>
          <t xml:space="preserve">Обещал</t>
        </is>
      </c>
      <c r="D483" s="98" t="inlineStr">
        <is>
          <t xml:space="preserve">Кр-99038747-2</t>
        </is>
      </c>
      <c r="E483" s="98" t="inlineStr">
        <is>
          <t xml:space="preserve">AKBARALIYEV ABDUROZIQ RASHIDJON O’G’LI</t>
        </is>
      </c>
      <c r="F483" s="98" t="inlineStr">
        <is>
          <t xml:space="preserve">998901357889 SMS OZI, 998998006254 SMS DOSTI, 998950619903 SMS AKASI, +998901357889 Primary phone from road24,</t>
        </is>
      </c>
      <c r="G483" s="98" t="inlineStr">
        <is>
          <t xml:space="preserve">г. Ташкент, Сергелийский район, ул. Зиекор, 2 проезд, Бирдамлик МСГ, 44- Дом, -</t>
        </is>
      </c>
      <c r="H483" s="99">
        <v>14.0</v>
      </c>
      <c r="I483" s="99">
        <v>4132605.47</v>
      </c>
      <c r="K483" s="98" t="inlineStr">
        <is>
          <t xml:space="preserve">Va'da berdi | oy oxirigacha</t>
        </is>
      </c>
    </row>
    <row r="484">
      <c r="A484" s="98" t="inlineStr">
        <is>
          <t xml:space="preserve">ТОШКЕНТ ШАХРИ</t>
        </is>
      </c>
      <c r="C484" s="98" t="inlineStr">
        <is>
          <t xml:space="preserve">Обещал</t>
        </is>
      </c>
      <c r="D484" s="98" t="inlineStr">
        <is>
          <t xml:space="preserve">Кр-99041239-1</t>
        </is>
      </c>
      <c r="E484" s="98" t="inlineStr">
        <is>
          <t xml:space="preserve">MIRPULATOV ATABEK BAXODIROVICH</t>
        </is>
      </c>
      <c r="F484" s="98" t="inlineStr">
        <is>
          <t xml:space="preserve">+998504404255 SMS OZI, 998335008080 SMS AYOLI, 998977602900 SMS O’G’LI,</t>
        </is>
      </c>
      <c r="G484" s="98" t="inlineStr">
        <is>
          <t xml:space="preserve">г. Ташкент, Юнусабадский район, ул. Исломобод, проезд 6, Исломобод МСГ, 46- Дом, -</t>
        </is>
      </c>
      <c r="H484" s="99">
        <v>3.0</v>
      </c>
      <c r="I484" s="99">
        <v>3698775.67</v>
      </c>
      <c r="K484" s="98" t="inlineStr">
        <is>
          <t xml:space="preserve">Va'da berdi | dushanbi to'lidi</t>
        </is>
      </c>
    </row>
    <row r="485">
      <c r="A485" s="98" t="inlineStr">
        <is>
          <t xml:space="preserve">ТОШКЕНТ ШАХРИ</t>
        </is>
      </c>
      <c r="C485" s="98" t="inlineStr">
        <is>
          <t xml:space="preserve">Обещал</t>
        </is>
      </c>
      <c r="D485" s="98" t="inlineStr">
        <is>
          <t xml:space="preserve">Кр-99038673-2</t>
        </is>
      </c>
      <c r="E485" s="98" t="inlineStr">
        <is>
          <t xml:space="preserve">SHAMSIYEV DONIYOR BAXTIYAROVICH</t>
        </is>
      </c>
      <c r="F485" s="98" t="inlineStr">
        <is>
          <t xml:space="preserve">998981772720 SMS OZI, 998935362720 SMS OZI 2, 998901868135 SMS OTASI,</t>
        </is>
      </c>
      <c r="G485" s="98" t="inlineStr">
        <is>
          <t xml:space="preserve">TOSHKENT SHAHAR SIRG’ALI TUMANI MASSIV O’ZGARISH MOHIDIL 65-UY</t>
        </is>
      </c>
      <c r="H485" s="99">
        <v>10.0</v>
      </c>
      <c r="I485" s="99">
        <v>3517623.09</v>
      </c>
      <c r="K485" s="98" t="inlineStr">
        <is>
          <t xml:space="preserve">Va'da berdi | bugunga</t>
        </is>
      </c>
    </row>
    <row r="486">
      <c r="A486" s="98" t="inlineStr">
        <is>
          <t xml:space="preserve">ТОШКЕНТ ШАХРИ</t>
        </is>
      </c>
      <c r="C486" s="98" t="inlineStr">
        <is>
          <t xml:space="preserve">Обещал</t>
        </is>
      </c>
      <c r="D486" s="98" t="inlineStr">
        <is>
          <t xml:space="preserve">Кр-99017798-7</t>
        </is>
      </c>
      <c r="E486" s="98" t="inlineStr">
        <is>
          <t xml:space="preserve">MAVLYANOVA NARGIZA TAGIROVNA</t>
        </is>
      </c>
      <c r="F486" s="98" t="inlineStr">
        <is>
          <t xml:space="preserve">90-139-55-44 SMS, 90-941-24-91 SMS, 90-808-36-11 SMS, 93-504-22-04 SMS Ozi 2,</t>
        </is>
      </c>
      <c r="G486" s="98" t="inlineStr">
        <is>
          <t xml:space="preserve">Тошкент шахар Юнусобод тумани 14-мавзе 53-уй 55-хонадон</t>
        </is>
      </c>
      <c r="H486" s="99">
        <v>10.0</v>
      </c>
      <c r="I486" s="99">
        <v>3503646.41</v>
      </c>
      <c r="K486" s="98" t="inlineStr">
        <is>
          <t xml:space="preserve">Va'da berdi | 25chigacha to'lidi</t>
        </is>
      </c>
    </row>
    <row r="487">
      <c r="A487" s="98" t="inlineStr">
        <is>
          <t xml:space="preserve">ТОШКЕНТ ШАХРИ</t>
        </is>
      </c>
      <c r="C487" s="98" t="inlineStr">
        <is>
          <t xml:space="preserve">Обещал</t>
        </is>
      </c>
      <c r="D487" s="98" t="inlineStr">
        <is>
          <t xml:space="preserve">Кр-99052350-1</t>
        </is>
      </c>
      <c r="E487" s="98" t="inlineStr">
        <is>
          <t xml:space="preserve">XASANOVA LILIYA AVAZBEKOVNA</t>
        </is>
      </c>
      <c r="F487" s="98" t="inlineStr">
        <is>
          <t xml:space="preserve">998333111103 SMS DADASI, 998334221202 SMS AKASI, 998336860205 SMS OZI, 998996647887 SMS AKAASI 2,</t>
        </is>
      </c>
      <c r="G487" s="98" t="inlineStr">
        <is>
          <t xml:space="preserve">TOSHKENT SHAHAR YASHNABOD TUMANI KATTA QOYLIQ MFY 8-TUYONA KO’CHASI  15-UY</t>
        </is>
      </c>
      <c r="H487" s="99">
        <v>13.0</v>
      </c>
      <c r="I487" s="99">
        <v>3253663.0</v>
      </c>
      <c r="K487" s="98" t="inlineStr">
        <is>
          <t xml:space="preserve">Va'da berdi | akasi bolib bolib tolidi</t>
        </is>
      </c>
    </row>
    <row r="488">
      <c r="A488" s="98" t="inlineStr">
        <is>
          <t xml:space="preserve">ТОШКЕНТ ШАХРИ</t>
        </is>
      </c>
      <c r="C488" s="98" t="inlineStr">
        <is>
          <t xml:space="preserve">Дозвон</t>
        </is>
      </c>
      <c r="D488" s="98" t="inlineStr">
        <is>
          <t xml:space="preserve">Кр-99038864-1</t>
        </is>
      </c>
      <c r="E488" s="98" t="inlineStr">
        <is>
          <t xml:space="preserve">NIGMATULLAYEV BAXROM BAXODIR O’G’LI</t>
        </is>
      </c>
      <c r="F488" s="98" t="inlineStr">
        <is>
          <t xml:space="preserve">998946885606 SMS OZI, 998886759119 SMS OZI2, 998900435343 SMS AYOLI,</t>
        </is>
      </c>
      <c r="G488" s="98" t="inlineStr">
        <is>
          <t xml:space="preserve">IIV26266</t>
        </is>
      </c>
      <c r="H488" s="99">
        <v>2.0</v>
      </c>
      <c r="I488" s="99">
        <v>3129967.8</v>
      </c>
      <c r="J488" s="99">
        <v>3129967.8</v>
      </c>
      <c r="K488" s="98" t="inlineStr">
        <is>
          <t xml:space="preserve">To'ladi</t>
        </is>
      </c>
    </row>
    <row r="489">
      <c r="A489" s="98" t="inlineStr">
        <is>
          <t xml:space="preserve">ТОШКЕНТ ШАХРИ</t>
        </is>
      </c>
      <c r="C489" s="98" t="inlineStr">
        <is>
          <t xml:space="preserve">Обещал</t>
        </is>
      </c>
      <c r="D489" s="98" t="inlineStr">
        <is>
          <t xml:space="preserve">Кр-99004337-2</t>
        </is>
      </c>
      <c r="E489" s="98" t="inlineStr">
        <is>
          <t xml:space="preserve">GULAMOV AVAZBEK IBAYDULLAYEVICH</t>
        </is>
      </c>
      <c r="F489" s="98" t="inlineStr">
        <is>
          <t xml:space="preserve">99-881-87-77 SMS UZI HAR DOIM ISHLAYDI , 99-004-00-07 SMS UZI, 998909636333 SMS OZI 2, 998998816111 SMS AYOLI,</t>
        </is>
      </c>
      <c r="G489" s="98" t="inlineStr">
        <is>
          <t xml:space="preserve">TOSHKENT SHAHAR SIRG’ALI TUMANI SIRG’ALI 5-51-12</t>
        </is>
      </c>
      <c r="H489" s="99">
        <v>15.0</v>
      </c>
      <c r="I489" s="99">
        <v>3108143.23</v>
      </c>
      <c r="K489" s="98" t="inlineStr">
        <is>
          <t xml:space="preserve">Va'da berdi | bugun yoki ertaga yopadi</t>
        </is>
      </c>
    </row>
    <row r="490">
      <c r="A490" s="98" t="inlineStr">
        <is>
          <t xml:space="preserve">ТОШКЕНТ ШАХРИ</t>
        </is>
      </c>
      <c r="C490" s="98" t="inlineStr">
        <is>
          <t xml:space="preserve">Обещал</t>
        </is>
      </c>
      <c r="D490" s="98" t="inlineStr">
        <is>
          <t xml:space="preserve">Кр-99017842-6</t>
        </is>
      </c>
      <c r="E490" s="98" t="inlineStr">
        <is>
          <t xml:space="preserve">YAKUBJANOV ASADJON AXMADJANOVICH</t>
        </is>
      </c>
      <c r="F490" s="98" t="inlineStr">
        <is>
          <t xml:space="preserve">99-482-80-45  sms OZI, 97-715-15-83  sms AYOLI, 91-008-35-35  sms O'G'LI, 99-482-80-45  sms OZI,</t>
        </is>
      </c>
      <c r="G490" s="98" t="inlineStr">
        <is>
          <t xml:space="preserve">TOSHKENT SHAHRI SERGELI TUMANI</t>
        </is>
      </c>
      <c r="H490" s="99">
        <v>7.0</v>
      </c>
      <c r="I490" s="99">
        <v>2757650.27</v>
      </c>
      <c r="K490" s="98" t="inlineStr">
        <is>
          <t xml:space="preserve">Va'da berdi | shanbi yakshanbiga to'lidi</t>
        </is>
      </c>
    </row>
    <row r="491">
      <c r="A491" s="98" t="inlineStr">
        <is>
          <t xml:space="preserve">ТОШКЕНТ ШАХРИ</t>
        </is>
      </c>
      <c r="C491" s="98" t="inlineStr">
        <is>
          <t xml:space="preserve">Дозвон</t>
        </is>
      </c>
      <c r="D491" s="98" t="inlineStr">
        <is>
          <t xml:space="preserve">Кр-99063089-1</t>
        </is>
      </c>
      <c r="E491" s="98" t="inlineStr">
        <is>
          <t xml:space="preserve">YUZBAYEV DILMUROD ALLAMURAD O’G’LI</t>
        </is>
      </c>
      <c r="F491" s="98" t="inlineStr">
        <is>
          <t xml:space="preserve">998946736370 OZI, 998940206370 AYOLI, 998500573637 DOSTI,</t>
        </is>
      </c>
      <c r="G491" s="98" t="inlineStr">
        <is>
          <t xml:space="preserve">TOSHKENT SHAHAR YASHNOBOD TUMANI BOYQO’RG’ON KO’CHASI 11/3 UY,63-A XONADON</t>
        </is>
      </c>
      <c r="H491" s="99">
        <v>10.0</v>
      </c>
      <c r="I491" s="99">
        <v>2619777.09</v>
      </c>
      <c r="J491" s="99">
        <v>2619777.09</v>
      </c>
      <c r="K491" s="98" t="inlineStr">
        <is>
          <t xml:space="preserve">To'ladi | 3-4kunda yopadi</t>
        </is>
      </c>
    </row>
    <row r="492">
      <c r="A492" s="98" t="inlineStr">
        <is>
          <t xml:space="preserve">ТОШКЕНТ ШАХРИ</t>
        </is>
      </c>
      <c r="C492" s="98" t="inlineStr">
        <is>
          <t xml:space="preserve">Обещал</t>
        </is>
      </c>
      <c r="D492" s="98" t="inlineStr">
        <is>
          <t xml:space="preserve">Кр-99002442-11</t>
        </is>
      </c>
      <c r="E492" s="98" t="inlineStr">
        <is>
          <t xml:space="preserve">FAYZILLAYEV LUTFILLA NARZILLA O’G’LI</t>
        </is>
      </c>
      <c r="F492" s="98" t="inlineStr">
        <is>
          <t xml:space="preserve">93-813-36-36 SMS, 93-813-62-68 SMS XOTINI, 71-220-62-06 sms UY NOMER, 90-126-23-45 SMS SHOHRUX AKA ,</t>
        </is>
      </c>
      <c r="G492" s="98" t="inlineStr">
        <is>
          <t xml:space="preserve">TOSHKENT SHAHAR YUNUSOBOD TUMANI YOSHLIK KUCHASI 26 UY</t>
        </is>
      </c>
      <c r="H492" s="99">
        <v>10.0</v>
      </c>
      <c r="I492" s="99">
        <v>2504980.49</v>
      </c>
      <c r="K492" s="98" t="inlineStr">
        <is>
          <t xml:space="preserve">Va'da berdi | oyni oxirigacha yopadi</t>
        </is>
      </c>
    </row>
    <row r="493">
      <c r="A493" s="98" t="inlineStr">
        <is>
          <t xml:space="preserve">ТОШКЕНТ ШАХРИ</t>
        </is>
      </c>
      <c r="C493" s="98" t="inlineStr">
        <is>
          <t xml:space="preserve">Обещал</t>
        </is>
      </c>
      <c r="D493" s="98" t="inlineStr">
        <is>
          <t xml:space="preserve">Кр-99036235-2</t>
        </is>
      </c>
      <c r="E493" s="98" t="inlineStr">
        <is>
          <t xml:space="preserve">KIRGIZBAYEV JAMSHID VALIJANOVICH</t>
        </is>
      </c>
      <c r="F493" s="98" t="inlineStr">
        <is>
          <t xml:space="preserve">998988000703 SMS O’ZI, 998998615414 SMS O’ZI 2, 998909005414 SMS AYOLI,</t>
        </is>
      </c>
      <c r="G493" s="98" t="inlineStr">
        <is>
          <t xml:space="preserve">мас. Узгариш, дом 1, кв. 213</t>
        </is>
      </c>
      <c r="H493" s="99">
        <v>10.0</v>
      </c>
      <c r="I493" s="99">
        <v>1916086.62</v>
      </c>
      <c r="K493" s="98" t="inlineStr">
        <is>
          <t xml:space="preserve">Va'da berdi | shu hafta to'lidi</t>
        </is>
      </c>
    </row>
    <row r="494">
      <c r="A494" s="98" t="inlineStr">
        <is>
          <t xml:space="preserve">ТОШКЕНТ ШАХРИ</t>
        </is>
      </c>
      <c r="C494" s="98" t="inlineStr">
        <is>
          <t xml:space="preserve">Обещал</t>
        </is>
      </c>
      <c r="D494" s="98" t="inlineStr">
        <is>
          <t xml:space="preserve">Кр-99036278-4</t>
        </is>
      </c>
      <c r="E494" s="98" t="inlineStr">
        <is>
          <t xml:space="preserve">NIG’MONOVA YULDUZXON MUROD QIZI</t>
        </is>
      </c>
      <c r="F494" s="98" t="inlineStr">
        <is>
          <t xml:space="preserve">998970330293 SMS O’ZI, 998771787660 SMS AKASI , 998909660834 SMS KENAYISI , 998956282882 SMS O’ZI 2,</t>
        </is>
      </c>
      <c r="G494" s="98" t="inlineStr">
        <is>
          <t xml:space="preserve">TOSHKENT SHAHRI YUNUSOBOD TUMANI KOZITARNOV 2/9,131 A-XONADON</t>
        </is>
      </c>
      <c r="H494" s="99">
        <v>10.0</v>
      </c>
      <c r="I494" s="99">
        <v>1758525.92</v>
      </c>
      <c r="K494" s="98" t="inlineStr">
        <is>
          <t xml:space="preserve">Va'da berdi | 1-2kunda to'lidi</t>
        </is>
      </c>
    </row>
    <row r="495">
      <c r="A495" s="98" t="inlineStr">
        <is>
          <t xml:space="preserve">ТОШКЕНТ ШАХРИ</t>
        </is>
      </c>
      <c r="C495" s="98" t="inlineStr">
        <is>
          <t xml:space="preserve">Обещал</t>
        </is>
      </c>
      <c r="D495" s="98" t="inlineStr">
        <is>
          <t xml:space="preserve">Кр-99057403-2</t>
        </is>
      </c>
      <c r="E495" s="98" t="inlineStr">
        <is>
          <t xml:space="preserve">ABDULLAYEV DILMUROD DILSHOD O’G’LI</t>
        </is>
      </c>
      <c r="F495" s="98" t="inlineStr">
        <is>
          <t xml:space="preserve">998991013223 SMS OZI, 998977708097 SMS OZI 2, 998993407702 AYOLI, 998933239559 SMS UKASI,</t>
        </is>
      </c>
      <c r="G495" s="98" t="inlineStr">
        <is>
          <t xml:space="preserve">TOSHKENT VILOYATI TOSHKENT SHAHRI YASHNOBOD TUMANI TONG MFY 2-TUZEL MAVZESI 20 XONODON 11 UY</t>
        </is>
      </c>
      <c r="H495" s="99">
        <v>10.0</v>
      </c>
      <c r="I495" s="99">
        <v>1367259.41</v>
      </c>
      <c r="K495" s="98" t="inlineStr">
        <is>
          <t xml:space="preserve">Va'da berdi | bugun yopadi</t>
        </is>
      </c>
    </row>
    <row r="496">
      <c r="A496" s="98" t="inlineStr">
        <is>
          <t xml:space="preserve">ТОШКЕНТ ШАХРИ</t>
        </is>
      </c>
      <c r="C496" s="98" t="inlineStr">
        <is>
          <t xml:space="preserve">Обещал</t>
        </is>
      </c>
      <c r="D496" s="98" t="inlineStr">
        <is>
          <t xml:space="preserve">Кр-99007254-3</t>
        </is>
      </c>
      <c r="E496" s="98" t="inlineStr">
        <is>
          <t xml:space="preserve">OSPANOV AZAT BAXODIROVICH</t>
        </is>
      </c>
      <c r="F496" s="98" t="inlineStr">
        <is>
          <t xml:space="preserve">90-116-63-00 SMS OZI, 90-002-42-58 SMS AYOLI, 90-041-73-94 SMS TULOVCHI, 97-784-74-93 SMS TULOVCHI,</t>
        </is>
      </c>
      <c r="G496" s="98" t="inlineStr">
        <is>
          <t xml:space="preserve">TOSHKENT SHAHAR YUNUSOBOD TUMANI CHINOBOD 8 10-94</t>
        </is>
      </c>
      <c r="H496" s="99">
        <v>10.0</v>
      </c>
      <c r="I496" s="99">
        <v>1338928.64</v>
      </c>
      <c r="K496" s="98" t="inlineStr">
        <is>
          <t xml:space="preserve">Va'da berdi | ertaga 4gacha to'lidi</t>
        </is>
      </c>
    </row>
    <row r="497">
      <c r="A497" s="98" t="inlineStr">
        <is>
          <t xml:space="preserve">ТОШКЕНТ ШАХРИ</t>
        </is>
      </c>
      <c r="C497" s="98" t="inlineStr">
        <is>
          <t xml:space="preserve">Обещал</t>
        </is>
      </c>
      <c r="D497" s="98" t="inlineStr">
        <is>
          <t xml:space="preserve">Кр-99042721-1</t>
        </is>
      </c>
      <c r="E497" s="98" t="inlineStr">
        <is>
          <t xml:space="preserve">JO’RAYEV SHAROFIDDIN NAVRUZ O’G’LI</t>
        </is>
      </c>
      <c r="F497" s="98" t="inlineStr">
        <is>
          <t xml:space="preserve">998330391938 SMS OZI, 998771676734 SMS OZI2, 998975160730 SMS UKASI,</t>
        </is>
      </c>
      <c r="G497" s="98" t="inlineStr">
        <is>
          <t xml:space="preserve">НИЛУФАР МФЙ, СЕРГЕЛИ 2 МАВЗЕСИ,  uy:41 xonadon:38</t>
        </is>
      </c>
      <c r="H497" s="99">
        <v>10.0</v>
      </c>
      <c r="I497" s="99">
        <v>1205608.98</v>
      </c>
      <c r="K497" s="98" t="inlineStr">
        <is>
          <t xml:space="preserve">Va'da berdi | 20chigacha to'lidi</t>
        </is>
      </c>
    </row>
    <row r="498">
      <c r="A498" s="98" t="inlineStr">
        <is>
          <t xml:space="preserve">ТОШКЕНТ ШАХРИ</t>
        </is>
      </c>
      <c r="C498" s="98" t="inlineStr">
        <is>
          <t xml:space="preserve">Обещал</t>
        </is>
      </c>
      <c r="D498" s="98" t="inlineStr">
        <is>
          <t xml:space="preserve">Кр-99041945-3</t>
        </is>
      </c>
      <c r="E498" s="98" t="inlineStr">
        <is>
          <t xml:space="preserve">BEKMATOVA MAXMUDA AKRAMOVNA</t>
        </is>
      </c>
      <c r="F498" s="98" t="inlineStr">
        <is>
          <t xml:space="preserve">998903154326 SMS QIZI, 998903970616 SMS OZI, 998946472100 SMS GAROVCHI, 998977078333 SMS OGLI,</t>
        </is>
      </c>
      <c r="G498" s="98" t="inlineStr">
        <is>
          <t xml:space="preserve">MUYNOQ KO’CHASI 116-UY</t>
        </is>
      </c>
      <c r="H498" s="99">
        <v>10.0</v>
      </c>
      <c r="I498" s="99">
        <v>975922.77</v>
      </c>
      <c r="K498" s="98" t="inlineStr">
        <is>
          <t xml:space="preserve">Va'da berdi | 1-2kunda to'lidi</t>
        </is>
      </c>
    </row>
    <row r="499">
      <c r="A499" s="98" t="inlineStr">
        <is>
          <t xml:space="preserve">ТОШКЕНТ ШАХРИ</t>
        </is>
      </c>
      <c r="C499" s="98" t="inlineStr">
        <is>
          <t xml:space="preserve">Обещал</t>
        </is>
      </c>
      <c r="D499" s="98" t="inlineStr">
        <is>
          <t xml:space="preserve">Кр-99063752-1</t>
        </is>
      </c>
      <c r="E499" s="98" t="inlineStr">
        <is>
          <t xml:space="preserve">AXUNJANOV DAVRON RUSTAMXONOVICH</t>
        </is>
      </c>
      <c r="F499" s="98" t="inlineStr">
        <is>
          <t xml:space="preserve">998950091651 SMS JIYANI, 998991536205 SMS UGLI, 998996150783 SMS UZI,</t>
        </is>
      </c>
      <c r="G499" s="98" t="inlineStr">
        <is>
          <t xml:space="preserve">UYSOLAR 2 UY</t>
        </is>
      </c>
      <c r="H499" s="99">
        <v>13.0</v>
      </c>
      <c r="I499" s="99">
        <v>797327.96</v>
      </c>
      <c r="K499" s="98" t="inlineStr">
        <is>
          <t xml:space="preserve">Va'da berdi | bugunga</t>
        </is>
      </c>
    </row>
    <row r="500">
      <c r="A500" s="98" t="inlineStr">
        <is>
          <t xml:space="preserve">ТОШКЕНТ ШАХРИ</t>
        </is>
      </c>
      <c r="C500" s="98" t="inlineStr">
        <is>
          <t xml:space="preserve">Дозвон</t>
        </is>
      </c>
      <c r="D500" s="98" t="inlineStr">
        <is>
          <t xml:space="preserve">Кр-99036425-1</t>
        </is>
      </c>
      <c r="E500" s="98" t="inlineStr">
        <is>
          <t xml:space="preserve">XALMUXAMEDOV DILSHOD FURKATOVICH</t>
        </is>
      </c>
      <c r="F500" s="98" t="inlineStr">
        <is>
          <t xml:space="preserve">998946982030 SMS OZI, 998935421667 SMS JIYANI, 998946242030 SMS AYOLI, 998946982030 SMS OZI,</t>
        </is>
      </c>
      <c r="G500" s="98" t="inlineStr">
        <is>
          <t xml:space="preserve">TOSHKENT SHAHAR YUNUSOBOD TUMANI ,14-MAVZE,8-UY,53-XONADON</t>
        </is>
      </c>
      <c r="H500" s="99">
        <v>23.0</v>
      </c>
      <c r="I500" s="99">
        <v>620807.53</v>
      </c>
      <c r="J500" s="99">
        <v>620807.53</v>
      </c>
      <c r="K500" s="98" t="inlineStr">
        <is>
          <t xml:space="preserve">To'ladi</t>
        </is>
      </c>
    </row>
    <row r="501">
      <c r="A501" s="98" t="inlineStr">
        <is>
          <t xml:space="preserve">ТОШКЕНТ ШАХРИ</t>
        </is>
      </c>
      <c r="C501" s="98" t="inlineStr">
        <is>
          <t xml:space="preserve">Обещал</t>
        </is>
      </c>
      <c r="D501" s="98" t="inlineStr">
        <is>
          <t xml:space="preserve">Кр-99033141-2</t>
        </is>
      </c>
      <c r="E501" s="98" t="inlineStr">
        <is>
          <t xml:space="preserve">ESHONKULOVA NILUFAR XAYRULLAYEVNA</t>
        </is>
      </c>
      <c r="F501" s="98" t="inlineStr">
        <is>
          <t xml:space="preserve">998900410662 SMS O’ZI, 998990002657 SMS ERI, 998900662701 SMS O’G’LI, 998931101972 SMS O’ZI 2,</t>
        </is>
      </c>
      <c r="G501" s="98" t="inlineStr">
        <is>
          <t xml:space="preserve">TOSHKENT SHAHAR SIRG’ALI TUMANI SERGELI 7-MAVZE    32-UY   47-XONADON</t>
        </is>
      </c>
      <c r="H501" s="99">
        <v>10.0</v>
      </c>
      <c r="I501" s="99">
        <v>590039.46</v>
      </c>
      <c r="K501" s="98" t="inlineStr">
        <is>
          <t xml:space="preserve">Va'da berdi | jumagacha yopadi</t>
        </is>
      </c>
    </row>
    <row r="502">
      <c r="A502" s="98" t="inlineStr">
        <is>
          <t xml:space="preserve">ТОШКЕНТ ШАХРИ</t>
        </is>
      </c>
      <c r="C502" s="98" t="inlineStr">
        <is>
          <t xml:space="preserve">Обещал</t>
        </is>
      </c>
      <c r="D502" s="98" t="inlineStr">
        <is>
          <t xml:space="preserve">Кр-99037018-2</t>
        </is>
      </c>
      <c r="E502" s="98" t="inlineStr">
        <is>
          <t xml:space="preserve">MAKIBAYEV NURGALI GALIYEVICH</t>
        </is>
      </c>
      <c r="F502" s="98" t="inlineStr">
        <is>
          <t xml:space="preserve">998994416166 SMS O’ZI, 998909581919 SMS UKASI, 998990528753 SMS OSHNASI, 998900675004 SMS AYOLI,</t>
        </is>
      </c>
      <c r="G502" s="98" t="inlineStr">
        <is>
          <t xml:space="preserve">TOSHKENT SHAHAR YANGIHAYOT TUMANI CHORTOK MFY, CHORTOK KO’CHASI 34-UY</t>
        </is>
      </c>
      <c r="H502" s="99">
        <v>10.0</v>
      </c>
      <c r="I502" s="99">
        <v>272178.5</v>
      </c>
      <c r="K502" s="98" t="inlineStr">
        <is>
          <t xml:space="preserve">Va'da berdi | bugun yopadi</t>
        </is>
      </c>
    </row>
    <row r="503">
      <c r="A503" s="100" t="inlineStr">
        <is>
          <t xml:space="preserve">ФАРГОНА ВИЛОЯТИ</t>
        </is>
      </c>
      <c r="C503" s="100" t="inlineStr">
        <is>
          <t xml:space="preserve">Обещал</t>
        </is>
      </c>
      <c r="D503" s="100" t="inlineStr">
        <is>
          <t xml:space="preserve">Кр-99060404-1</t>
        </is>
      </c>
      <c r="E503" s="100" t="inlineStr">
        <is>
          <t xml:space="preserve">MAXAMMADOVA ANORAXON BAXODIROVNA</t>
        </is>
      </c>
      <c r="F503" s="100" t="inlineStr">
        <is>
          <t xml:space="preserve">998911111580 ozi, 998910476111 eri, 998919843005 akasi, 998911221777 TULOVCHI AKASI,</t>
        </is>
      </c>
      <c r="G503" s="100" t="inlineStr">
        <is>
          <t xml:space="preserve">Манзил: FARG’ONA VILOYATI QUVA TUMANI GO’ZAL MFY TINCHILIK KO’CHASI 6-UY 27-XONADON</t>
        </is>
      </c>
      <c r="H503" s="101">
        <v>104.0</v>
      </c>
      <c r="I503" s="101">
        <v>51874143.82</v>
      </c>
      <c r="K503" s="100" t="inlineStr">
        <is>
          <t xml:space="preserve">Va'da berdi | BIRJOYDAYDI CHIQAMAN BOSHAB DEDI | 12500000</t>
        </is>
      </c>
    </row>
    <row r="504">
      <c r="A504" s="100" t="inlineStr">
        <is>
          <t xml:space="preserve">ФАРГОНА ВИЛОЯТИ</t>
        </is>
      </c>
      <c r="C504" s="100" t="inlineStr">
        <is>
          <t xml:space="preserve">Обещал</t>
        </is>
      </c>
      <c r="D504" s="100" t="inlineStr">
        <is>
          <t xml:space="preserve">Кр-99041102-2</t>
        </is>
      </c>
      <c r="E504" s="100" t="inlineStr">
        <is>
          <t xml:space="preserve">KADIROVA MAVLUDA ANVAROVNA</t>
        </is>
      </c>
      <c r="F504" s="100" t="inlineStr">
        <is>
          <t xml:space="preserve">998916508656 SMS OZI , 998910478741 SMS O’G’LI, 998916540408 SMS OPASI,</t>
        </is>
      </c>
      <c r="G504" s="100" t="inlineStr">
        <is>
          <t xml:space="preserve">FARG’ONA VILOYATI FARG’ONA SHAHAR TO’QIMACHILAR MFY AFROSIYOB KO’CHASI 2-UY 17-XONADON</t>
        </is>
      </c>
      <c r="H504" s="101">
        <v>104.0</v>
      </c>
      <c r="I504" s="101">
        <v>46534828.5</v>
      </c>
      <c r="K504" s="100" t="inlineStr">
        <is>
          <t xml:space="preserve">Va'da berdi | 11250000</t>
        </is>
      </c>
    </row>
    <row r="505">
      <c r="A505" s="100" t="inlineStr">
        <is>
          <t xml:space="preserve">ФАРГОНА ВИЛОЯТИ</t>
        </is>
      </c>
      <c r="C505" s="100" t="inlineStr">
        <is>
          <t xml:space="preserve">Обещал</t>
        </is>
      </c>
      <c r="D505" s="100" t="inlineStr">
        <is>
          <t xml:space="preserve">Кр-99055167-1</t>
        </is>
      </c>
      <c r="E505" s="100" t="inlineStr">
        <is>
          <t xml:space="preserve">BERDIYEV ODILJON ISLOMJONOVICH</t>
        </is>
      </c>
      <c r="F505" s="100" t="inlineStr">
        <is>
          <t xml:space="preserve">998943536773 SMS, 998200008402 SMS, 998508819593 SMS,</t>
        </is>
      </c>
      <c r="G505" s="100" t="inlineStr">
        <is>
          <t xml:space="preserve">BOG’DOD TUMANI</t>
        </is>
      </c>
      <c r="H505" s="101">
        <v>135.0</v>
      </c>
      <c r="I505" s="101">
        <v>44107737.01</v>
      </c>
      <c r="K505" s="100" t="inlineStr">
        <is>
          <t xml:space="preserve">Va'da berdi | PULINI YECHIB KETGAN PULIM QAYTMAGUNCHA TOLAMIMAN DEYABDI | 10414494.29</t>
        </is>
      </c>
    </row>
    <row r="506">
      <c r="A506" s="100" t="inlineStr">
        <is>
          <t xml:space="preserve">ФАРГОНА ВИЛОЯТИ</t>
        </is>
      </c>
      <c r="C506" s="100" t="inlineStr">
        <is>
          <t xml:space="preserve">Обещал</t>
        </is>
      </c>
      <c r="D506" s="100" t="inlineStr">
        <is>
          <t xml:space="preserve">Кр-99035879-1</t>
        </is>
      </c>
      <c r="E506" s="100" t="inlineStr">
        <is>
          <t xml:space="preserve">OBIYEVA MOHIRA ANVARJON QIZI</t>
        </is>
      </c>
      <c r="F506" s="100" t="inlineStr">
        <is>
          <t xml:space="preserve">998911571991 SMS O’ZI, 998954059090 SMS ERI begana, 998900731111 SMS OPASI begana, 998911053107 SMS OPASI 2, 998906729797 SMS UKASI ,</t>
        </is>
      </c>
      <c r="G506" s="100" t="inlineStr">
        <is>
          <t xml:space="preserve">FARG’ONA VILOYATI RISHTON TUMANI ZOXIDON MFY GULUSTON KO’CHASI</t>
        </is>
      </c>
      <c r="H506" s="101">
        <v>101.0</v>
      </c>
      <c r="I506" s="101">
        <v>22233536.25</v>
      </c>
      <c r="K506" s="100" t="inlineStr">
        <is>
          <t xml:space="preserve">Va'da berdi | 9348178.95</t>
        </is>
      </c>
    </row>
    <row r="507">
      <c r="A507" s="100" t="inlineStr">
        <is>
          <t xml:space="preserve">ФАРГОНА ВИЛОЯТИ</t>
        </is>
      </c>
      <c r="C507" s="100" t="inlineStr">
        <is>
          <t xml:space="preserve">Обещал</t>
        </is>
      </c>
      <c r="D507" s="100" t="inlineStr">
        <is>
          <t xml:space="preserve">Кр-99035634-1</t>
        </is>
      </c>
      <c r="E507" s="100" t="inlineStr">
        <is>
          <t xml:space="preserve">QORABOYEVA GULXUMOR MUXAMMADRO’ZIYEVNA</t>
        </is>
      </c>
      <c r="F507" s="100" t="inlineStr">
        <is>
          <t xml:space="preserve">998908538090 SMS OZI, 998908581817 SMS OGLI, 998916884060 SMS QIZI, 998902934565 SMS JIYANI, 998910207077 KUYOVI TOLOVCHI ,</t>
        </is>
      </c>
      <c r="G507" s="100" t="inlineStr">
        <is>
          <t xml:space="preserve">FARG’ONA VILOYATI BOG’DOD TUMANI MURUVAT MFY YOSH AVLOD KO’CHASI 12-UY 14-XONADON</t>
        </is>
      </c>
      <c r="H507" s="101">
        <v>115.0</v>
      </c>
      <c r="I507" s="101">
        <v>21896916.02</v>
      </c>
      <c r="K507" s="100" t="inlineStr">
        <is>
          <t xml:space="preserve">Va'da berdi | 10716000</t>
        </is>
      </c>
    </row>
    <row r="508">
      <c r="A508" s="100" t="inlineStr">
        <is>
          <t xml:space="preserve">ФАРГОНА ВИЛОЯТИ</t>
        </is>
      </c>
      <c r="C508" s="100" t="inlineStr">
        <is>
          <t xml:space="preserve">Обещал</t>
        </is>
      </c>
      <c r="D508" s="100" t="inlineStr">
        <is>
          <t xml:space="preserve">Кр-99058090-1</t>
        </is>
      </c>
      <c r="E508" s="100" t="inlineStr">
        <is>
          <t xml:space="preserve">YUNUSOVA UMIDA OBIDJON QIZI</t>
        </is>
      </c>
      <c r="F508" s="100" t="inlineStr">
        <is>
          <t xml:space="preserve">998902900988 SMS OZI, 998916681988 SMS QIZI, 998910402015 SMS OGL, 998905812051 SMS OANSI,</t>
        </is>
      </c>
      <c r="G508" s="100" t="inlineStr">
        <is>
          <t xml:space="preserve">FARG’ONA VILOYATI FARG’ONA SHAHAR O’ZBEKISTON MFY A-QODIRIY KO’CHASI 148-UY 26-XONADON</t>
        </is>
      </c>
      <c r="H508" s="101">
        <v>43.0</v>
      </c>
      <c r="I508" s="101">
        <v>13350950.52</v>
      </c>
      <c r="K508" s="100" t="inlineStr">
        <is>
          <t xml:space="preserve">Va'da berdi | KECHGACHA YOPIB QOYADI EKAN | 4019839.41</t>
        </is>
      </c>
    </row>
    <row r="509">
      <c r="A509" s="100" t="inlineStr">
        <is>
          <t xml:space="preserve">ФАРГОНА ВИЛОЯТИ</t>
        </is>
      </c>
      <c r="C509" s="100" t="inlineStr">
        <is>
          <t xml:space="preserve">Обещал</t>
        </is>
      </c>
      <c r="D509" s="100" t="inlineStr">
        <is>
          <t xml:space="preserve">Кр-99040707-1</t>
        </is>
      </c>
      <c r="E509" s="100" t="inlineStr">
        <is>
          <t xml:space="preserve">KABILOVA DILOBA XAKIMOVNA</t>
        </is>
      </c>
      <c r="F509" s="100" t="inlineStr">
        <is>
          <t xml:space="preserve">+998999902233 SMS O’ZI, 998916716784 ERI, 998978828881 O’G’LI 2, 998988887881 O’G’LI,</t>
        </is>
      </c>
      <c r="G509" s="100" t="inlineStr">
        <is>
          <t xml:space="preserve">FARG’ONA VILOYATI FARG’ONA SHAHAR OYBEK MFY P.MAXMUD KO’CHASI 63-XONADON</t>
        </is>
      </c>
      <c r="H509" s="101">
        <v>10.0</v>
      </c>
      <c r="I509" s="101">
        <v>8813925.49</v>
      </c>
      <c r="K509" s="100" t="inlineStr">
        <is>
          <t xml:space="preserve">Va'da berdi | BALITSADA EKAN 20CHILARGA CHIQAMAN BALISHNI PULIMNI OLIB YOPIB BERAMAN DEDI | 2916666.03</t>
        </is>
      </c>
    </row>
    <row r="510">
      <c r="A510" s="100" t="inlineStr">
        <is>
          <t xml:space="preserve">ФАРГОНА ВИЛОЯТИ</t>
        </is>
      </c>
      <c r="C510" s="100" t="inlineStr">
        <is>
          <t xml:space="preserve">Обещал</t>
        </is>
      </c>
      <c r="D510" s="100" t="inlineStr">
        <is>
          <t xml:space="preserve">Кр-99044133-4</t>
        </is>
      </c>
      <c r="E510" s="100" t="inlineStr">
        <is>
          <t xml:space="preserve">BARATALIYEVA SHOIRAXON ALIMJANOVNA</t>
        </is>
      </c>
      <c r="F510" s="100" t="inlineStr">
        <is>
          <t xml:space="preserve">+998917441071 SMS O’ZI, 998701131117 O’G’LI 2, 998916880270 ERI, 998955670345 O’G’LI, 998200217110 OZI NEW,</t>
        </is>
      </c>
      <c r="G510" s="100" t="inlineStr">
        <is>
          <t xml:space="preserve">FARG’ONA VILOYATI BESHARIQ TUMANI NAVBAXOR MFY NAVBAXOR KO’CHASI 134-XONADON</t>
        </is>
      </c>
      <c r="H510" s="101">
        <v>10.0</v>
      </c>
      <c r="I510" s="101">
        <v>8435901.62</v>
      </c>
      <c r="K510" s="100" t="inlineStr">
        <is>
          <t xml:space="preserve">Va'da berdi | OGLI CHETAN PUL JONATISHI KEAK EKAN JONATISHI BILAN TOLEYMIZ DEYABDI | 2708333.02</t>
        </is>
      </c>
    </row>
    <row r="511">
      <c r="A511" s="100" t="inlineStr">
        <is>
          <t xml:space="preserve">ФАРГОНА ВИЛОЯТИ</t>
        </is>
      </c>
      <c r="C511" s="100" t="inlineStr">
        <is>
          <t xml:space="preserve">Обещал</t>
        </is>
      </c>
      <c r="D511" s="100" t="inlineStr">
        <is>
          <t xml:space="preserve">Кр-99063122-1</t>
        </is>
      </c>
      <c r="E511" s="100" t="inlineStr">
        <is>
          <t xml:space="preserve">XOSHIMOV OZODBEK QOSIMOVICH</t>
        </is>
      </c>
      <c r="F511" s="100" t="inlineStr">
        <is>
          <t xml:space="preserve">+998931567009 SMS O’ZI, 998502701901 O’G’LI 2, 998930015484 AYOLI, 998944082929 O’G’LI,</t>
        </is>
      </c>
      <c r="G511" s="100" t="inlineStr">
        <is>
          <t xml:space="preserve">FARG’ONA VILOYATI QUVA TUMANI BO’STON MFY QASHQIR KO’CHASI 82-UY</t>
        </is>
      </c>
      <c r="H511" s="101">
        <v>10.0</v>
      </c>
      <c r="I511" s="101">
        <v>8407671.19</v>
      </c>
      <c r="K511" s="100" t="inlineStr">
        <is>
          <t xml:space="preserve">Va'da berdi | ERTAGA ISHINI BOLIB PULINI OLIB TOLAB QOYADI EKAN | 2499999.89</t>
        </is>
      </c>
    </row>
    <row r="512">
      <c r="A512" s="100" t="inlineStr">
        <is>
          <t xml:space="preserve">ФАРГОНА ВИЛОЯТИ</t>
        </is>
      </c>
      <c r="C512" s="100" t="inlineStr">
        <is>
          <t xml:space="preserve">Дозвон</t>
        </is>
      </c>
      <c r="D512" s="100" t="inlineStr">
        <is>
          <t xml:space="preserve">Кр-99039434-1</t>
        </is>
      </c>
      <c r="E512" s="100" t="inlineStr">
        <is>
          <t xml:space="preserve">ILYASOVA AZIZA RAVSHANBEKOVNA</t>
        </is>
      </c>
      <c r="F512" s="100" t="inlineStr">
        <is>
          <t xml:space="preserve">998916776263 SMS OZI, 998911145898 SMS DADASI, 998901793077 SMS OPASI, 998913976968 SMS QIZI,</t>
        </is>
      </c>
      <c r="G512" s="100" t="inlineStr">
        <is>
          <t xml:space="preserve">FARG’ONA VILOYATI OLTIARIQ TUMANI SHODLIK MFY U YUSUPOV KO’CHASI 4-XONADON</t>
        </is>
      </c>
      <c r="H512" s="101">
        <v>9.0</v>
      </c>
      <c r="I512" s="101">
        <v>7190909.88</v>
      </c>
      <c r="J512" s="101">
        <v>3249066.0</v>
      </c>
      <c r="K512" s="100" t="inlineStr">
        <is>
          <t xml:space="preserve">To'ladi | 3249066.04</t>
        </is>
      </c>
    </row>
    <row r="513">
      <c r="A513" s="100" t="inlineStr">
        <is>
          <t xml:space="preserve">ФАРГОНА ВИЛОЯТИ</t>
        </is>
      </c>
      <c r="C513" s="100" t="inlineStr">
        <is>
          <t xml:space="preserve">Обещал</t>
        </is>
      </c>
      <c r="D513" s="100" t="inlineStr">
        <is>
          <t xml:space="preserve">Кр-99050433-2</t>
        </is>
      </c>
      <c r="E513" s="100" t="inlineStr">
        <is>
          <t xml:space="preserve">JALOLOVA UMIDAXON ALIYEVNA</t>
        </is>
      </c>
      <c r="F513" s="100" t="inlineStr">
        <is>
          <t xml:space="preserve">998500406904 O’G’LI, 998916567774 DADASI, 998916586904 O’G’LI, 998916591975 SMS O’ZI,</t>
        </is>
      </c>
      <c r="G513" s="100" t="inlineStr">
        <is>
          <t xml:space="preserve">FARG’ONA VILOYATI FARG’ONA TUMANI XONKIZ MFY SOY BO’YI KO’CHASI 98-UY</t>
        </is>
      </c>
      <c r="H513" s="101">
        <v>10.0</v>
      </c>
      <c r="I513" s="101">
        <v>6610708.92</v>
      </c>
      <c r="K513" s="100" t="inlineStr">
        <is>
          <t xml:space="preserve">Va'da berdi | 5 LARGA QAYTA ALOQA  BITTASI PUL BERISH KERAK EDI BIRISHI BILAN TOLEYMAN DEDI | 2083332.44</t>
        </is>
      </c>
    </row>
    <row r="514">
      <c r="A514" s="100" t="inlineStr">
        <is>
          <t xml:space="preserve">ФАРГОНА ВИЛОЯТИ</t>
        </is>
      </c>
      <c r="C514" s="100" t="inlineStr">
        <is>
          <t xml:space="preserve">Дозвон</t>
        </is>
      </c>
      <c r="D514" s="100" t="inlineStr">
        <is>
          <t xml:space="preserve">Кр-99039349-1</t>
        </is>
      </c>
      <c r="E514" s="100" t="inlineStr">
        <is>
          <t xml:space="preserve">MAMADJANOV AKMALJON AKRAMOVICH</t>
        </is>
      </c>
      <c r="F514" s="100" t="inlineStr">
        <is>
          <t xml:space="preserve">998976675000 SMS OZI, 998931377454 SMS AYOLI, 998994417770 SMS OGLI, 998941766699 SMS QIZI begona ,</t>
        </is>
      </c>
      <c r="G514" s="100" t="inlineStr">
        <is>
          <t xml:space="preserve">FARG’ONA VILOYATI RISHTON TUMANI MINOR MFY M.IBRAGIMOV KO’CHASI 8-XONADON</t>
        </is>
      </c>
      <c r="H514" s="101">
        <v>8.0</v>
      </c>
      <c r="I514" s="101">
        <v>6075344.6</v>
      </c>
      <c r="J514" s="101">
        <v>2995672.0</v>
      </c>
      <c r="K514" s="100" t="inlineStr">
        <is>
          <t xml:space="preserve">To'ladi | 2995672.25</t>
        </is>
      </c>
    </row>
    <row r="515">
      <c r="A515" s="100" t="inlineStr">
        <is>
          <t xml:space="preserve">ФАРГОНА ВИЛОЯТИ</t>
        </is>
      </c>
      <c r="C515" s="100" t="inlineStr">
        <is>
          <t xml:space="preserve">Обещал</t>
        </is>
      </c>
      <c r="D515" s="100" t="inlineStr">
        <is>
          <t xml:space="preserve">Кр-99057280-1</t>
        </is>
      </c>
      <c r="E515" s="100" t="inlineStr">
        <is>
          <t xml:space="preserve">MURADOVA GULNOZ TUXTASINOVNA</t>
        </is>
      </c>
      <c r="F515" s="100" t="inlineStr">
        <is>
          <t xml:space="preserve">998200108929 SMS UZI, 998908361292 SMS O'G'LI, 998911121963 SMS ERI, 998905832105 SMS UY, 998918061292 SMS OGLI ,</t>
        </is>
      </c>
      <c r="G515" s="100" t="inlineStr">
        <is>
          <t xml:space="preserve">FARG’ONA VILOYATI MARG’ILON SHAHAR</t>
        </is>
      </c>
      <c r="H515" s="101">
        <v>10.0</v>
      </c>
      <c r="I515" s="101">
        <v>5908187.02</v>
      </c>
      <c r="K515" s="100" t="inlineStr">
        <is>
          <t xml:space="preserve">Va'da berdi | HARAKAT QILEPAN DEYABDI 25GACHA YOPAMAN DEYABDI | 1875000</t>
        </is>
      </c>
    </row>
    <row r="516">
      <c r="A516" s="100" t="inlineStr">
        <is>
          <t xml:space="preserve">ФАРГОНА ВИЛОЯТИ</t>
        </is>
      </c>
      <c r="C516" s="100" t="inlineStr">
        <is>
          <t xml:space="preserve">Обещал</t>
        </is>
      </c>
      <c r="D516" s="100" t="inlineStr">
        <is>
          <t xml:space="preserve">Кр-99041300-1</t>
        </is>
      </c>
      <c r="E516" s="100" t="inlineStr">
        <is>
          <t xml:space="preserve">RAXMONOV ELDORBEK IFTIXORJON O’G’LI</t>
        </is>
      </c>
      <c r="F516" s="100" t="inlineStr">
        <is>
          <t xml:space="preserve">+998906283573 O’ZI, 998911170209 AKASI, 998952250504 DADASI BEGONA, 998959681278 ONASI,</t>
        </is>
      </c>
      <c r="G516" s="100" t="inlineStr">
        <is>
          <t xml:space="preserve">Ферганская область, Фуркатский район, Хайит МСГ, киш. Доғистон, дом 26</t>
        </is>
      </c>
      <c r="H516" s="101">
        <v>10.0</v>
      </c>
      <c r="I516" s="101">
        <v>5813052.53</v>
      </c>
      <c r="K516" s="100" t="inlineStr">
        <is>
          <t xml:space="preserve">Va'da berdi | OZI KOTARMIDI 1278KOTARADI AYTIB QOYAMAN DEYDI | 2476821.26</t>
        </is>
      </c>
    </row>
    <row r="517">
      <c r="A517" s="100" t="inlineStr">
        <is>
          <t xml:space="preserve">ФАРГОНА ВИЛОЯТИ</t>
        </is>
      </c>
      <c r="C517" s="100" t="inlineStr">
        <is>
          <t xml:space="preserve">Обещал</t>
        </is>
      </c>
      <c r="D517" s="100" t="inlineStr">
        <is>
          <t xml:space="preserve">Кр-99063127-1</t>
        </is>
      </c>
      <c r="E517" s="100" t="inlineStr">
        <is>
          <t xml:space="preserve">KENJAYEVA MATLUBA NUMONOVNA</t>
        </is>
      </c>
      <c r="F517" s="100" t="inlineStr">
        <is>
          <t xml:space="preserve">+998932767070 SMS O’ZI, 998772120060 SMS OPASI, 998907833515 UY, 998911176810 KELINI,</t>
        </is>
      </c>
      <c r="G517" s="100" t="inlineStr">
        <is>
          <t xml:space="preserve">FARG’ONA VILOYATI MARG’ILON SHAHAR MAORIF MFY JURAXON SULTONOV 235-UY</t>
        </is>
      </c>
      <c r="H517" s="101">
        <v>10.0</v>
      </c>
      <c r="I517" s="101">
        <v>5604014.63</v>
      </c>
      <c r="K517" s="100" t="inlineStr">
        <is>
          <t xml:space="preserve">Va'da berdi | SIISINI KELINI KOTARDI AYTIB QOYAMAN AYAMGA AYAM AYTADI DEDI | 1666666.04</t>
        </is>
      </c>
    </row>
    <row r="518">
      <c r="A518" s="100" t="inlineStr">
        <is>
          <t xml:space="preserve">ФАРГОНА ВИЛОЯТИ</t>
        </is>
      </c>
      <c r="C518" s="100" t="inlineStr">
        <is>
          <t xml:space="preserve">Обещал</t>
        </is>
      </c>
      <c r="D518" s="100" t="inlineStr">
        <is>
          <t xml:space="preserve">Кр-99034448-1</t>
        </is>
      </c>
      <c r="E518" s="100" t="inlineStr">
        <is>
          <t xml:space="preserve">ASHIROVA MIRA ABBASOVNA</t>
        </is>
      </c>
      <c r="F518" s="100" t="inlineStr">
        <is>
          <t xml:space="preserve">998916509967 SMS O’ZI, 998901621373 SMS O’G’LI, 998907844322 SMS O’G’LI, 998939773993 SMS JIYANI BEGONA,</t>
        </is>
      </c>
      <c r="G518" s="100" t="inlineStr">
        <is>
          <t xml:space="preserve">FARG’ONA VILOYATI FARG’ONA SHAHAR M.ULUG’BEK MFY AXMAD YASSAVIY 50-UY 11-XONADON</t>
        </is>
      </c>
      <c r="H518" s="101">
        <v>3.0</v>
      </c>
      <c r="I518" s="101">
        <v>5542479.42</v>
      </c>
      <c r="K518" s="100" t="inlineStr">
        <is>
          <t xml:space="preserve">Va'da berdi | 3030000</t>
        </is>
      </c>
    </row>
    <row r="519">
      <c r="A519" s="100" t="inlineStr">
        <is>
          <t xml:space="preserve">ФАРГОНА ВИЛОЯТИ</t>
        </is>
      </c>
      <c r="C519" s="100" t="inlineStr">
        <is>
          <t xml:space="preserve">Обещал</t>
        </is>
      </c>
      <c r="D519" s="100" t="inlineStr">
        <is>
          <t xml:space="preserve">Кр-99040371-1</t>
        </is>
      </c>
      <c r="E519" s="100" t="inlineStr">
        <is>
          <t xml:space="preserve">FAYZULLAYEVA MUYASSARXON SAYDUMAROVNA</t>
        </is>
      </c>
      <c r="F519" s="100" t="inlineStr">
        <is>
          <t xml:space="preserve">998507161002 SMS OZI, 998945120202 SMS UY, 998330802006 SMS NEVARASI, 998936402057 SMS OGLI,</t>
        </is>
      </c>
      <c r="G519" s="100" t="inlineStr">
        <is>
          <t xml:space="preserve">FARG’ONA VILOYATI BUVAYDA TUMANI BACHQIR MFY GUZAR KO’CHASI 33-XONADON</t>
        </is>
      </c>
      <c r="H519" s="101">
        <v>10.0</v>
      </c>
      <c r="I519" s="101">
        <v>5266627.69</v>
      </c>
      <c r="K519" s="100" t="inlineStr">
        <is>
          <t xml:space="preserve">Va'da berdi | 18 KUNI 7LARGA QAYTA AOQA TOLOV QILADI EKAN RASIYADAN PULI KELADI | 2424000</t>
        </is>
      </c>
    </row>
    <row r="520">
      <c r="A520" s="100" t="inlineStr">
        <is>
          <t xml:space="preserve">ФАРГОНА ВИЛОЯТИ</t>
        </is>
      </c>
      <c r="C520" s="100" t="inlineStr">
        <is>
          <t xml:space="preserve">Обещал</t>
        </is>
      </c>
      <c r="D520" s="100" t="inlineStr">
        <is>
          <t xml:space="preserve">Кр-99038834-1</t>
        </is>
      </c>
      <c r="E520" s="100" t="inlineStr">
        <is>
          <t xml:space="preserve">ISAQOVA IBODATXON DJO’RAYEVNA</t>
        </is>
      </c>
      <c r="F520" s="100" t="inlineStr">
        <is>
          <t xml:space="preserve">998953948482 SMS OZI, 998990375959 SMS JIYANI, 998911278680 SMS QIZI, 998911222021 SMS KELINI, 998938319390 JIYANI TOLOVCHI ,</t>
        </is>
      </c>
      <c r="G520" s="100" t="inlineStr">
        <is>
          <t xml:space="preserve">FARG’ONA VILOYATI FARG’ONA SHAHAR XAMKORLIK MFY KUKON KO’CHASI 89-UY 26-XONADON</t>
        </is>
      </c>
      <c r="H520" s="101">
        <v>1.0</v>
      </c>
      <c r="I520" s="101">
        <v>4851627.39</v>
      </c>
      <c r="K520" s="100" t="inlineStr">
        <is>
          <t xml:space="preserve">Va'da berdi | 3030000</t>
        </is>
      </c>
    </row>
    <row r="521">
      <c r="A521" s="100" t="inlineStr">
        <is>
          <t xml:space="preserve">ФАРГОНА ВИЛОЯТИ</t>
        </is>
      </c>
      <c r="C521" s="100" t="inlineStr">
        <is>
          <t xml:space="preserve">Обещал</t>
        </is>
      </c>
      <c r="D521" s="100" t="inlineStr">
        <is>
          <t xml:space="preserve">Кр-99063728-1</t>
        </is>
      </c>
      <c r="E521" s="100" t="inlineStr">
        <is>
          <t xml:space="preserve">RAXMATALIYEVA GULXAYO MAVZURJONOVNA</t>
        </is>
      </c>
      <c r="F521" s="100" t="inlineStr">
        <is>
          <t xml:space="preserve">998979559393 OZI, 998337030333 ERI , 998951669090 ERI 2,</t>
        </is>
      </c>
      <c r="G521" s="100" t="inlineStr">
        <is>
          <t xml:space="preserve">SHO`R KOCHASI</t>
        </is>
      </c>
      <c r="H521" s="101">
        <v>13.0</v>
      </c>
      <c r="I521" s="101">
        <v>4611151.26</v>
      </c>
      <c r="K521" s="100" t="inlineStr">
        <is>
          <t xml:space="preserve">Va'da berdi | BOLIB BOLIB TOLAYABDI 1,2KUNDA YOPIB BERAMAN DEYABDI | 1694721.86</t>
        </is>
      </c>
    </row>
    <row r="522">
      <c r="A522" s="100" t="inlineStr">
        <is>
          <t xml:space="preserve">ФАРГОНА ВИЛОЯТИ</t>
        </is>
      </c>
      <c r="C522" s="100" t="inlineStr">
        <is>
          <t xml:space="preserve">Обещал</t>
        </is>
      </c>
      <c r="D522" s="100" t="inlineStr">
        <is>
          <t xml:space="preserve">Кр-99041382-1</t>
        </is>
      </c>
      <c r="E522" s="100" t="inlineStr">
        <is>
          <t xml:space="preserve">KARIMOV ABDURASHIT MAXAMATYUNUSOVICH</t>
        </is>
      </c>
      <c r="F522" s="100" t="inlineStr">
        <is>
          <t xml:space="preserve">998901664100 SMS OZI, 998901803636 SMS AYOLI, 998901632214 SMS ONASI, 998933840630 SMS SHERIGI,</t>
        </is>
      </c>
      <c r="G522" s="100" t="inlineStr">
        <is>
          <t xml:space="preserve">FARG’ONA VILOYATI TOSHLOQ TUMANI ZARKENT MFY ASILOBOD KO’CHASI 3-UY</t>
        </is>
      </c>
      <c r="H522" s="101">
        <v>10.0</v>
      </c>
      <c r="I522" s="101">
        <v>4551006.65</v>
      </c>
      <c r="K522" s="100" t="inlineStr">
        <is>
          <t xml:space="preserve">Va'da berdi | ERTAGA KECHGACHA YOPAMAN UZOGI DEYABDI BOP QOSA BUGNAM YOPIB QOYAMAN DEYABDI | 1562000</t>
        </is>
      </c>
    </row>
    <row r="523">
      <c r="A523" s="100" t="inlineStr">
        <is>
          <t xml:space="preserve">ФАРГОНА ВИЛОЯТИ</t>
        </is>
      </c>
      <c r="C523" s="100" t="inlineStr">
        <is>
          <t xml:space="preserve">Обещал</t>
        </is>
      </c>
      <c r="D523" s="100" t="inlineStr">
        <is>
          <t xml:space="preserve">Кр-99039653-1</t>
        </is>
      </c>
      <c r="E523" s="100" t="inlineStr">
        <is>
          <t xml:space="preserve">DAVRANOVA NARGIZA SHUKIRALIYEVNA</t>
        </is>
      </c>
      <c r="F523" s="100" t="inlineStr">
        <is>
          <t xml:space="preserve">998904053405 SMS OZI, 998503013554 SMS ERI, 998910479933 SMS OGLI, 998910479933 SMS OGLI 2,</t>
        </is>
      </c>
      <c r="G523" s="100" t="inlineStr">
        <is>
          <t xml:space="preserve">FARG’ONA VILOYATI FARG’ONA SHAHAR 22-MUSTAQILIK MFY YORUG’LIK KO’CHASI</t>
        </is>
      </c>
      <c r="H523" s="101">
        <v>1.0</v>
      </c>
      <c r="I523" s="101">
        <v>4500858.36</v>
      </c>
      <c r="K523" s="100" t="inlineStr">
        <is>
          <t xml:space="preserve">Va'da berdi | 2121000</t>
        </is>
      </c>
    </row>
    <row r="524">
      <c r="A524" s="100" t="inlineStr">
        <is>
          <t xml:space="preserve">ФАРГОНА ВИЛОЯТИ</t>
        </is>
      </c>
      <c r="C524" s="100" t="inlineStr">
        <is>
          <t xml:space="preserve">Обещал</t>
        </is>
      </c>
      <c r="D524" s="100" t="inlineStr">
        <is>
          <t xml:space="preserve">Кр-99038703-1</t>
        </is>
      </c>
      <c r="E524" s="100" t="inlineStr">
        <is>
          <t xml:space="preserve">ISROILOV KOMILXON KAMOLXON O’G’LI</t>
        </is>
      </c>
      <c r="F524" s="100" t="inlineStr">
        <is>
          <t xml:space="preserve">998911118181 SMS OZI, 998916559055 SMS AYOLI BEGONA, 998880466662 SMS ONASI, 998911158118 SMS UKASI, 998911169494 SMS qaynukasi,</t>
        </is>
      </c>
      <c r="G524" s="100" t="inlineStr">
        <is>
          <t xml:space="preserve">FARG’ONA VILOYATI FARG’ONA SHAHAR IPAK YO’LI MFY SHABBODA KO’CHASI 91-XONADON</t>
        </is>
      </c>
      <c r="H524" s="101">
        <v>9.0</v>
      </c>
      <c r="I524" s="101">
        <v>4037878.85</v>
      </c>
      <c r="K524" s="100" t="inlineStr">
        <is>
          <t xml:space="preserve">Va'da berdi | 3939394</t>
        </is>
      </c>
    </row>
    <row r="525">
      <c r="A525" s="100" t="inlineStr">
        <is>
          <t xml:space="preserve">ФАРГОНА ВИЛОЯТИ</t>
        </is>
      </c>
      <c r="C525" s="100" t="inlineStr">
        <is>
          <t xml:space="preserve">Обещал</t>
        </is>
      </c>
      <c r="D525" s="100" t="inlineStr">
        <is>
          <t xml:space="preserve">Кр-99049118-2</t>
        </is>
      </c>
      <c r="E525" s="100" t="inlineStr">
        <is>
          <t xml:space="preserve">MAMATQULOV TOJIBOY RO’ZIYEVICH</t>
        </is>
      </c>
      <c r="F525" s="100" t="inlineStr">
        <is>
          <t xml:space="preserve">+998944948128 SMS O’ZI, 998931070281 O’G’LI 2, 998945532052 NEVARASI, 998970420281 O’G’LI, 998930612052 OZI NEW,</t>
        </is>
      </c>
      <c r="G525" s="100" t="inlineStr">
        <is>
          <t xml:space="preserve">FARG’ONA VILOYATI BESHARIQ TUMANI CHIMBOY MFY NAVRO’Z KO’CHASI 107-XONADON</t>
        </is>
      </c>
      <c r="H525" s="101">
        <v>10.0</v>
      </c>
      <c r="I525" s="101">
        <v>4002396.81</v>
      </c>
      <c r="K525" s="100" t="inlineStr">
        <is>
          <t xml:space="preserve">Va'da berdi | BUGUN QISMAN QILADI EKAN QOLGANINI SHANB KUNI KECHGA PULINI OLIB TOLAB QOYADI EKAN | 1249999.53</t>
        </is>
      </c>
    </row>
    <row r="526">
      <c r="A526" s="100" t="inlineStr">
        <is>
          <t xml:space="preserve">ФАРГОНА ВИЛОЯТИ</t>
        </is>
      </c>
      <c r="C526" s="100" t="inlineStr">
        <is>
          <t xml:space="preserve">Обещал</t>
        </is>
      </c>
      <c r="D526" s="100" t="inlineStr">
        <is>
          <t xml:space="preserve">Кр-99031452-1</t>
        </is>
      </c>
      <c r="E526" s="100" t="inlineStr">
        <is>
          <t xml:space="preserve">MUXITDINOVA MAXFUZAXON ABDUVAXOBOVNA</t>
        </is>
      </c>
      <c r="F526" s="100" t="inlineStr">
        <is>
          <t xml:space="preserve">88-864-34-24  SMS O'ZI  NON PATIR SOTADI , 91-282-12-21  SMS AMAKISI TO’LOVCHI , 91-665-15-66  SMS GAROV EGASI , 99-494-11-72 SMS  XOLASI ,</t>
        </is>
      </c>
      <c r="G526" s="100" t="inlineStr">
        <is>
          <t xml:space="preserve">FARG’ONA VILOYATI FAR’ONA SHAHAR AL-XORAZIMIY MFY, AL-XORAZIMIY KO’CHASI 11-UY 54 XONADON</t>
        </is>
      </c>
      <c r="H526" s="101">
        <v>14.0</v>
      </c>
      <c r="I526" s="101">
        <v>3179989.88</v>
      </c>
      <c r="K526" s="100" t="inlineStr">
        <is>
          <t xml:space="preserve">Va'da berdi | 1879000</t>
        </is>
      </c>
    </row>
    <row r="527">
      <c r="A527" s="100" t="inlineStr">
        <is>
          <t xml:space="preserve">ФАРГОНА ВИЛОЯТИ</t>
        </is>
      </c>
      <c r="C527" s="100" t="inlineStr">
        <is>
          <t xml:space="preserve">Обещал</t>
        </is>
      </c>
      <c r="D527" s="100" t="inlineStr">
        <is>
          <t xml:space="preserve">Кр-99039366-1</t>
        </is>
      </c>
      <c r="E527" s="100" t="inlineStr">
        <is>
          <t xml:space="preserve">JURAYEV INOMJON G’ULOMOVICH</t>
        </is>
      </c>
      <c r="F527" s="100" t="inlineStr">
        <is>
          <t xml:space="preserve">998912080108 QIZI, 998940740752 SMS O’ZI, 998949202737 QIZI 2, 998997546688 NABIRASI,</t>
        </is>
      </c>
      <c r="G527" s="100" t="inlineStr">
        <is>
          <t xml:space="preserve">FARG’ONA VILOYATI BUVAYDA TUMANI POSHSHOPIRIM MFY MUSTAQILLIK KO’CHASI 72-UY</t>
        </is>
      </c>
      <c r="H527" s="101">
        <v>10.0</v>
      </c>
      <c r="I527" s="101">
        <v>3106852.6</v>
      </c>
      <c r="K527" s="100" t="inlineStr">
        <is>
          <t xml:space="preserve">Va'da berdi | 1041562.26</t>
        </is>
      </c>
    </row>
    <row r="528">
      <c r="A528" s="100" t="inlineStr">
        <is>
          <t xml:space="preserve">ФАРГОНА ВИЛОЯТИ</t>
        </is>
      </c>
      <c r="C528" s="100" t="inlineStr">
        <is>
          <t xml:space="preserve">Обещал</t>
        </is>
      </c>
      <c r="D528" s="100" t="inlineStr">
        <is>
          <t xml:space="preserve">Кр-99049204-1</t>
        </is>
      </c>
      <c r="E528" s="100" t="inlineStr">
        <is>
          <t xml:space="preserve">ISROILOVA NABIRAXON YUSUPJON QIZI</t>
        </is>
      </c>
      <c r="F528" s="100" t="inlineStr">
        <is>
          <t xml:space="preserve">998913970794 uzi, 998904068676 opasi, 998332042003 eri, 998903630794 ozi new,</t>
        </is>
      </c>
      <c r="G528" s="100" t="inlineStr">
        <is>
          <t xml:space="preserve">FARG’ONA VILOYATI QUVA TUMANI DEXQONOBOD MFY SHO’RMAXALLA KO’CHASI 268-UY</t>
        </is>
      </c>
      <c r="H528" s="101">
        <v>10.0</v>
      </c>
      <c r="I528" s="101">
        <v>2848500.07</v>
      </c>
      <c r="K528" s="100" t="inlineStr">
        <is>
          <t xml:space="preserve">Va'da berdi | 20 KUNI PULI KELADI EKAN KELISHI BILAN TOLAB QOYAMAN DEYABDI | 937429.73</t>
        </is>
      </c>
    </row>
    <row r="529">
      <c r="A529" s="100" t="inlineStr">
        <is>
          <t xml:space="preserve">ФАРГОНА ВИЛОЯТИ</t>
        </is>
      </c>
      <c r="C529" s="100" t="inlineStr">
        <is>
          <t xml:space="preserve">Обещал</t>
        </is>
      </c>
      <c r="D529" s="100" t="inlineStr">
        <is>
          <t xml:space="preserve">Кр-99013236-1</t>
        </is>
      </c>
      <c r="E529" s="100" t="inlineStr">
        <is>
          <t xml:space="preserve">SULTONOV MUXSINJON MUXTOROVICH</t>
        </is>
      </c>
      <c r="F529" s="100" t="inlineStr">
        <is>
          <t xml:space="preserve">998901516164 SMS O’ZI, 998900571609 SMS AYOLI, 998886290123 SMS O’G’LI, 998977535228 SMS UYI, 998970821012 SMS UZI NEW,</t>
        </is>
      </c>
      <c r="G529" s="100" t="inlineStr">
        <is>
          <t xml:space="preserve">FARG’ONA VILOYATI UCHKO’PRIK TUMANI BEGOBOD MFY MUSTAQILIK KO’CHASI 86-XONADON</t>
        </is>
      </c>
      <c r="H529" s="101">
        <v>3.0</v>
      </c>
      <c r="I529" s="101">
        <v>2806495.95</v>
      </c>
      <c r="K529" s="100" t="inlineStr">
        <is>
          <t xml:space="preserve">Va'da berdi | 1515000</t>
        </is>
      </c>
    </row>
    <row r="530">
      <c r="A530" s="100" t="inlineStr">
        <is>
          <t xml:space="preserve">ФАРГОНА ВИЛОЯТИ</t>
        </is>
      </c>
      <c r="C530" s="100" t="inlineStr">
        <is>
          <t xml:space="preserve">Обещал</t>
        </is>
      </c>
      <c r="D530" s="100" t="inlineStr">
        <is>
          <t xml:space="preserve">Кр-99030819-2</t>
        </is>
      </c>
      <c r="E530" s="100" t="inlineStr">
        <is>
          <t xml:space="preserve">OLIMJONOV XURSHID AKRAMJON O’G’LI</t>
        </is>
      </c>
      <c r="F530" s="100" t="inlineStr">
        <is>
          <t xml:space="preserve">91-043-83-83  SMS O’ZI TO'LOVCHI , 90-363-00-13  SMS ONASI , 91-125-57-17  SMS UKASI , 90-632-77-00  SMS O’RTOG’I  , 998907792327 OZI NEW XOTINI,</t>
        </is>
      </c>
      <c r="G530" s="100" t="inlineStr">
        <is>
          <t xml:space="preserve">FARG’ONA VILOYATI FARG’ONA SHAHAR BERUNIY MFY, KIRGULI KO’CHASI 32-UY 1-XONADON </t>
        </is>
      </c>
      <c r="H530" s="101">
        <v>10.0</v>
      </c>
      <c r="I530" s="101">
        <v>2591534.61</v>
      </c>
      <c r="K530" s="100" t="inlineStr">
        <is>
          <t xml:space="preserve">Va'da berdi | 1239083.95</t>
        </is>
      </c>
    </row>
    <row r="531">
      <c r="A531" s="100" t="inlineStr">
        <is>
          <t xml:space="preserve">ФАРГОНА ВИЛОЯТИ</t>
        </is>
      </c>
      <c r="C531" s="100" t="inlineStr">
        <is>
          <t xml:space="preserve">Обещал</t>
        </is>
      </c>
      <c r="D531" s="100" t="inlineStr">
        <is>
          <t xml:space="preserve">Кр-99063550-2</t>
        </is>
      </c>
      <c r="E531" s="100" t="inlineStr">
        <is>
          <t xml:space="preserve">HAJIYEVA IQBOLXON RAIMBERGANOVNA</t>
        </is>
      </c>
      <c r="F531" s="100" t="inlineStr">
        <is>
          <t xml:space="preserve">+998916740111 SMS O’ZI, 998905320111 ERI, 998911116755 QIZI, 998911310828 O’G’LI,</t>
        </is>
      </c>
      <c r="G531" s="100" t="inlineStr">
        <is>
          <t xml:space="preserve">FARG’ONA VILOYATI FARG’ONA SHAHAR A-JOMIY MFY A-JOMIY KO’CHASI 9-UY 11-XONADON</t>
        </is>
      </c>
      <c r="H531" s="101">
        <v>10.0</v>
      </c>
      <c r="I531" s="101">
        <v>2539759.46</v>
      </c>
      <c r="K531" s="100" t="inlineStr">
        <is>
          <t xml:space="preserve">Va'da berdi | 1 LARGACHA TOLAB QOYADI EKAN PERAVALDAN TUSHEPAN TOSHKENTGA YETISHIM BILAN TOLAB QOYAMAN DEYABDI | 1045546.95</t>
        </is>
      </c>
    </row>
    <row r="532">
      <c r="A532" s="100" t="inlineStr">
        <is>
          <t xml:space="preserve">ФАРГОНА ВИЛОЯТИ</t>
        </is>
      </c>
      <c r="C532" s="100" t="inlineStr">
        <is>
          <t xml:space="preserve">Обещал</t>
        </is>
      </c>
      <c r="D532" s="100" t="inlineStr">
        <is>
          <t xml:space="preserve">Кр-99036269-2</t>
        </is>
      </c>
      <c r="E532" s="100" t="inlineStr">
        <is>
          <t xml:space="preserve">TASHPULATOV AVAZJON AKRAMOVICH</t>
        </is>
      </c>
      <c r="F532" s="100" t="inlineStr">
        <is>
          <t xml:space="preserve">998911256909 SMS OZI, 998916797220 SMS OTASI, 998901792328 SMS AYOLI TOLOVCHI , 998911296260 SMS ONASI, +998911256909 Primary phone from road24,</t>
        </is>
      </c>
      <c r="G532" s="100" t="inlineStr">
        <is>
          <t xml:space="preserve">FARG’ONA VILOYATI TOSHLOQ TUMANI FURKAT MFY HUNARMANTLAR KO’CHASI 26-XONADON</t>
        </is>
      </c>
      <c r="H532" s="101">
        <v>10.0</v>
      </c>
      <c r="I532" s="101">
        <v>2160991.07</v>
      </c>
      <c r="K532" s="100" t="inlineStr">
        <is>
          <t xml:space="preserve">Va'da berdi | 837717.91</t>
        </is>
      </c>
    </row>
    <row r="533">
      <c r="A533" s="100" t="inlineStr">
        <is>
          <t xml:space="preserve">ФАРГОНА ВИЛОЯТИ</t>
        </is>
      </c>
      <c r="C533" s="100" t="inlineStr">
        <is>
          <t xml:space="preserve">Обещал</t>
        </is>
      </c>
      <c r="D533" s="100" t="inlineStr">
        <is>
          <t xml:space="preserve">Кр-99062924-1</t>
        </is>
      </c>
      <c r="E533" s="100" t="inlineStr">
        <is>
          <t xml:space="preserve">BOBOYEV MUSINJON ABDILLAYEVICH</t>
        </is>
      </c>
      <c r="F533" s="100" t="inlineStr">
        <is>
          <t xml:space="preserve">+998902741096 SMS O’ZI, 998908373666 KELINI, 998916716616 O’G’LI 2, 998949021511 O’G’LI,</t>
        </is>
      </c>
      <c r="G533" s="100" t="inlineStr">
        <is>
          <t xml:space="preserve">FARG’ONA VILOYATI YOZYOVON TUMANI QOTORTOL MFY AHMAD KO’CHASI 72-UY</t>
        </is>
      </c>
      <c r="H533" s="101">
        <v>10.0</v>
      </c>
      <c r="I533" s="101">
        <v>2159781.48</v>
      </c>
      <c r="K533" s="100" t="inlineStr">
        <is>
          <t xml:space="preserve">Va'da berdi | 5 LARGA QAYTA ALOQA TOLOV QILADI EKAN | 646192.61</t>
        </is>
      </c>
    </row>
    <row r="534">
      <c r="A534" s="100" t="inlineStr">
        <is>
          <t xml:space="preserve">ФАРГОНА ВИЛОЯТИ</t>
        </is>
      </c>
      <c r="C534" s="100" t="inlineStr">
        <is>
          <t xml:space="preserve">Обещал</t>
        </is>
      </c>
      <c r="D534" s="100" t="inlineStr">
        <is>
          <t xml:space="preserve">Кр-99036269-1</t>
        </is>
      </c>
      <c r="E534" s="100" t="inlineStr">
        <is>
          <t xml:space="preserve">TASHPULATOV AVAZJON AKRAMOVICH</t>
        </is>
      </c>
      <c r="F534" s="100" t="inlineStr">
        <is>
          <t xml:space="preserve">998911256909 SMS OZI, 998916797220 SMS OTASI, 998901792328 SMS AYOLI TOLOVCHI , 998911296260 SMS ONASI, +998911256909 Primary phone from road24,</t>
        </is>
      </c>
      <c r="G534" s="100" t="inlineStr">
        <is>
          <t xml:space="preserve">FARG’ONA VILOYATI TOSHLOQ TUMANI FURKAT MFY HUNARMANTLAR KO’CHASI 26-XONADON</t>
        </is>
      </c>
      <c r="I534" s="101">
        <v>2140681.13</v>
      </c>
      <c r="K534" s="100" t="inlineStr">
        <is>
          <t xml:space="preserve">Va'da berdi | 0</t>
        </is>
      </c>
    </row>
    <row r="535">
      <c r="A535" s="100" t="inlineStr">
        <is>
          <t xml:space="preserve">ФАРГОНА ВИЛОЯТИ</t>
        </is>
      </c>
      <c r="C535" s="100" t="inlineStr">
        <is>
          <t xml:space="preserve">Обещал</t>
        </is>
      </c>
      <c r="D535" s="100" t="inlineStr">
        <is>
          <t xml:space="preserve">Кр-99049204-2</t>
        </is>
      </c>
      <c r="E535" s="100" t="inlineStr">
        <is>
          <t xml:space="preserve">ISROILOVA NABIRAXON YUSUPJON QIZI</t>
        </is>
      </c>
      <c r="F535" s="100" t="inlineStr">
        <is>
          <t xml:space="preserve">998913970794 uzi, 998904068676 opasi, 998332042003 eri, 998903630794 ozi new,</t>
        </is>
      </c>
      <c r="G535" s="100" t="inlineStr">
        <is>
          <t xml:space="preserve">FARG’ONA VILOYATI QUVA TUMANI DEXQONOBOD MFY SHO’RMAXALLA KO’CHASI 268-UY</t>
        </is>
      </c>
      <c r="H535" s="101">
        <v>10.0</v>
      </c>
      <c r="I535" s="101">
        <v>2000566.94</v>
      </c>
      <c r="K535" s="100" t="inlineStr">
        <is>
          <t xml:space="preserve">Va'da berdi | 20 KUNI PULI KELADI EKAN KELISHI BILAN TOLAB QOYAMAN DEYABDI | 757575.56</t>
        </is>
      </c>
    </row>
    <row r="536">
      <c r="A536" s="100" t="inlineStr">
        <is>
          <t xml:space="preserve">ФАРГОНА ВИЛОЯТИ</t>
        </is>
      </c>
      <c r="C536" s="100" t="inlineStr">
        <is>
          <t xml:space="preserve">Обещал</t>
        </is>
      </c>
      <c r="D536" s="100" t="inlineStr">
        <is>
          <t xml:space="preserve">Кр-99041932-1</t>
        </is>
      </c>
      <c r="E536" s="100" t="inlineStr">
        <is>
          <t xml:space="preserve">ABDULAHATOV POLVONJON ERGASHALIZODA</t>
        </is>
      </c>
      <c r="F536" s="100" t="inlineStr">
        <is>
          <t xml:space="preserve">+998934559700 SMS O’ZI, 998500956697 AYOLI, 998990955986 SHERIGI, 998990993681 ONASI,</t>
        </is>
      </c>
      <c r="G536" s="100" t="inlineStr">
        <is>
          <t xml:space="preserve">FARG’ONA VILOYATI SO’X TUMANI SO’X MFY CHOR KO’CHASI 144-XONADON</t>
        </is>
      </c>
      <c r="H536" s="101">
        <v>10.0</v>
      </c>
      <c r="I536" s="101">
        <v>1888039.61</v>
      </c>
      <c r="K536" s="100" t="inlineStr">
        <is>
          <t xml:space="preserve">Va'da berdi | 564472.56</t>
        </is>
      </c>
    </row>
    <row r="537">
      <c r="A537" s="100" t="inlineStr">
        <is>
          <t xml:space="preserve">ФАРГОНА ВИЛОЯТИ</t>
        </is>
      </c>
      <c r="C537" s="100" t="inlineStr">
        <is>
          <t xml:space="preserve">Обещал</t>
        </is>
      </c>
      <c r="D537" s="100" t="inlineStr">
        <is>
          <t xml:space="preserve">Кр-99042708-1</t>
        </is>
      </c>
      <c r="E537" s="100" t="inlineStr">
        <is>
          <t xml:space="preserve">ABDIRAXMANOV ABDIRAXIM XO’JAMOVICH</t>
        </is>
      </c>
      <c r="F537" s="100" t="inlineStr">
        <is>
          <t xml:space="preserve">+998911401560 SMS O’ZI, 998903615861 O’G’LI TOLOVCHI SHUNGA QILINSIN , 998930451331 KELINI, 998949710065 AYOLI,</t>
        </is>
      </c>
      <c r="G537" s="100" t="inlineStr">
        <is>
          <t xml:space="preserve">FARG’ONA VILOYATI BUVAYDA TUMANI OQQO’RG’N MFY ARCHAZOR KO’CHASI 7-UY</t>
        </is>
      </c>
      <c r="H537" s="101">
        <v>10.0</v>
      </c>
      <c r="I537" s="101">
        <v>1877146.7</v>
      </c>
      <c r="K537" s="100" t="inlineStr">
        <is>
          <t xml:space="preserve">Va'da berdi | OZI KOTARADI TOLOVCHI KOTARMIYDI AYTAMAN TOLAYDI DEDI | 786437.67</t>
        </is>
      </c>
    </row>
    <row r="538">
      <c r="A538" s="100" t="inlineStr">
        <is>
          <t xml:space="preserve">ФАРГОНА ВИЛОЯТИ</t>
        </is>
      </c>
      <c r="C538" s="100" t="inlineStr">
        <is>
          <t xml:space="preserve">Обещал</t>
        </is>
      </c>
      <c r="D538" s="100" t="inlineStr">
        <is>
          <t xml:space="preserve">Кр-99063815-1</t>
        </is>
      </c>
      <c r="E538" s="100" t="inlineStr">
        <is>
          <t xml:space="preserve">O’RINXO’JAYEV SHERXON URAYIMJON O’G’LI</t>
        </is>
      </c>
      <c r="F538" s="100" t="inlineStr">
        <is>
          <t xml:space="preserve">998504054140 OZI , 998889561114 AYOLI , 998911486696 DADASI , 998912046763 ONASI,</t>
        </is>
      </c>
      <c r="G538" s="100" t="inlineStr">
        <is>
          <t xml:space="preserve">BERUNIY MFY</t>
        </is>
      </c>
      <c r="H538" s="101">
        <v>10.0</v>
      </c>
      <c r="I538" s="101">
        <v>1869189.22</v>
      </c>
      <c r="K538" s="100" t="inlineStr">
        <is>
          <t xml:space="preserve">Va'da berdi | AYOLI BILAN GAPLASHILDI ERI QIRGIZISTONDA EKAN TELAGRAMI OLINDI TELAGRAMDAN CHIQILADI | 756083.61</t>
        </is>
      </c>
    </row>
    <row r="539">
      <c r="A539" s="100" t="inlineStr">
        <is>
          <t xml:space="preserve">ФАРГОНА ВИЛОЯТИ</t>
        </is>
      </c>
      <c r="C539" s="100" t="inlineStr">
        <is>
          <t xml:space="preserve">Обещал</t>
        </is>
      </c>
      <c r="D539" s="100" t="inlineStr">
        <is>
          <t xml:space="preserve">Кр-99032078-3</t>
        </is>
      </c>
      <c r="E539" s="100" t="inlineStr">
        <is>
          <t xml:space="preserve">ABDULLAJONOV XOJIAKBAR OBIDJON O’G’LI</t>
        </is>
      </c>
      <c r="F539" s="100" t="inlineStr">
        <is>
          <t xml:space="preserve">998949997060 SMS O’ZI axrana bolib ishlid , 998947097060 SMS AYOLI, 998948129222 SMS AKASI, 998959709293 SMS KELINI, 998507138440 OZI NEW ,</t>
        </is>
      </c>
      <c r="G539" s="100" t="inlineStr">
        <is>
          <t xml:space="preserve">FARG’ONA VILOYATI FARG’ONA TUMANI MINDONOBOD MFY MADADKOR KO’CHASI 13-XONADON</t>
        </is>
      </c>
      <c r="H539" s="101">
        <v>10.0</v>
      </c>
      <c r="I539" s="101">
        <v>1810781.92</v>
      </c>
      <c r="K539" s="100" t="inlineStr">
        <is>
          <t xml:space="preserve">Va'da berdi | 1296416.31</t>
        </is>
      </c>
    </row>
    <row r="540">
      <c r="A540" s="100" t="inlineStr">
        <is>
          <t xml:space="preserve">ФАРГОНА ВИЛОЯТИ</t>
        </is>
      </c>
      <c r="C540" s="100" t="inlineStr">
        <is>
          <t xml:space="preserve">Обещал</t>
        </is>
      </c>
      <c r="D540" s="100" t="inlineStr">
        <is>
          <t xml:space="preserve">Кр-99035151-1</t>
        </is>
      </c>
      <c r="E540" s="100" t="inlineStr">
        <is>
          <t xml:space="preserve">NORMATOV ASILBEK SHUXRAT O’G’LI</t>
        </is>
      </c>
      <c r="F540" s="100" t="inlineStr">
        <is>
          <t xml:space="preserve">998507746919 SMS O’ZI, 998941682299 SMS ZALOGADETOL, 998991074040 SMS SHERIGI, 998972442020 SMS UKASI,</t>
        </is>
      </c>
      <c r="G540" s="100" t="inlineStr">
        <is>
          <t xml:space="preserve">FARG’ONA VILOYATI QUVA TUMANI O’ROQVOSHI MFY XAMDUSTLIK KO’CHASI 59-XONADON</t>
        </is>
      </c>
      <c r="H540" s="101">
        <v>8.0</v>
      </c>
      <c r="I540" s="101">
        <v>1665613.07</v>
      </c>
      <c r="K540" s="100" t="inlineStr">
        <is>
          <t xml:space="preserve">Va'da berdi | 1510770.58</t>
        </is>
      </c>
    </row>
    <row r="541">
      <c r="A541" s="100" t="inlineStr">
        <is>
          <t xml:space="preserve">ФАРГОНА ВИЛОЯТИ</t>
        </is>
      </c>
      <c r="C541" s="100" t="inlineStr">
        <is>
          <t xml:space="preserve">Обещал</t>
        </is>
      </c>
      <c r="D541" s="100" t="inlineStr">
        <is>
          <t xml:space="preserve">Кр-99033470-1</t>
        </is>
      </c>
      <c r="E541" s="100" t="inlineStr">
        <is>
          <t xml:space="preserve">YO’LDOSHBOYEV MASRURJON MURODJON O’G’LI</t>
        </is>
      </c>
      <c r="F541" s="100" t="inlineStr">
        <is>
          <t xml:space="preserve">998934714131 SMS O’ZI  ozimizzi xodim Donyor , 998945510066 SMS AKASI Tolovchi , 998903030803 SMS AKASI 2,</t>
        </is>
      </c>
      <c r="G541" s="100" t="inlineStr">
        <is>
          <t xml:space="preserve">FARG’ONA VILOYATI RISHTON TUMANI TOSHOG’LIQ MFY MUSTAQILIK KO’CHASI 84-XONADON</t>
        </is>
      </c>
      <c r="H541" s="101">
        <v>7.0</v>
      </c>
      <c r="I541" s="101">
        <v>1647863.57</v>
      </c>
      <c r="K541" s="100" t="inlineStr">
        <is>
          <t xml:space="preserve">Va'da berdi | 909000</t>
        </is>
      </c>
    </row>
    <row r="542">
      <c r="A542" s="100" t="inlineStr">
        <is>
          <t xml:space="preserve">ФАРГОНА ВИЛОЯТИ</t>
        </is>
      </c>
      <c r="C542" s="100" t="inlineStr">
        <is>
          <t xml:space="preserve">Обещал</t>
        </is>
      </c>
      <c r="D542" s="100" t="inlineStr">
        <is>
          <t xml:space="preserve">Кр-99029400-1</t>
        </is>
      </c>
      <c r="E542" s="100" t="inlineStr">
        <is>
          <t xml:space="preserve">MAXKAMOV ATXAMJON RAJABBOYEVICH</t>
        </is>
      </c>
      <c r="F542" s="100" t="inlineStr">
        <is>
          <t xml:space="preserve">97-067-61-00  SMS O’ZI begana, 99-047-97-77  SMS O’G’LI, 91 150-97-77  SMS O’G’LI , 91-694-97-77  SMS KELINI BEGONA,</t>
        </is>
      </c>
      <c r="G542" s="100" t="inlineStr">
        <is>
          <t xml:space="preserve">FARG’ONA VILOYATI DANG’ARA TUMANI ISTIQLOL MFY, BAXT KO’CHASI 80-XONADON</t>
        </is>
      </c>
      <c r="H542" s="101">
        <v>7.0</v>
      </c>
      <c r="I542" s="101">
        <v>1458573.38</v>
      </c>
      <c r="K542" s="100" t="inlineStr">
        <is>
          <t xml:space="preserve">Va'da berdi | 909000</t>
        </is>
      </c>
    </row>
    <row r="543">
      <c r="A543" s="100" t="inlineStr">
        <is>
          <t xml:space="preserve">ФАРГОНА ВИЛОЯТИ</t>
        </is>
      </c>
      <c r="C543" s="100" t="inlineStr">
        <is>
          <t xml:space="preserve">Обещал</t>
        </is>
      </c>
      <c r="D543" s="100" t="inlineStr">
        <is>
          <t xml:space="preserve">Кр-99032963-2</t>
        </is>
      </c>
      <c r="E543" s="100" t="inlineStr">
        <is>
          <t xml:space="preserve">XABIBULLAYEV UMIDJON UBAYDULLO O’G’LI</t>
        </is>
      </c>
      <c r="F543" s="100" t="inlineStr">
        <is>
          <t xml:space="preserve">998916665006 SMS O’ZI, 998903640556 SMS UKASI, 998905805316 SMS AYOLI BEGONA, 998330992429 SMS ONASI,</t>
        </is>
      </c>
      <c r="G543" s="100" t="inlineStr">
        <is>
          <t xml:space="preserve">FARG’ONA VILOYATI FARG’ONA SHAXAR SOHIBKOR MFY YAXSHILIK KO’CHASI 11-XONADON</t>
        </is>
      </c>
      <c r="H543" s="101">
        <v>1.0</v>
      </c>
      <c r="I543" s="101">
        <v>1306191.33</v>
      </c>
      <c r="K543" s="100" t="inlineStr">
        <is>
          <t xml:space="preserve">Va'da berdi | 778573.27</t>
        </is>
      </c>
    </row>
    <row r="544">
      <c r="A544" s="100" t="inlineStr">
        <is>
          <t xml:space="preserve">ФАРГОНА ВИЛОЯТИ</t>
        </is>
      </c>
      <c r="C544" s="100" t="inlineStr">
        <is>
          <t xml:space="preserve">Обещал</t>
        </is>
      </c>
      <c r="D544" s="100" t="inlineStr">
        <is>
          <t xml:space="preserve">Кр-99032078-4</t>
        </is>
      </c>
      <c r="E544" s="100" t="inlineStr">
        <is>
          <t xml:space="preserve">ABDULLAJONOV XOJIAKBAR OBIDJON O’G’LI</t>
        </is>
      </c>
      <c r="F544" s="100" t="inlineStr">
        <is>
          <t xml:space="preserve">998949997060 SMS O’ZI axrana bolib ishlid , 998947097060 SMS AYOLI, 998948129222 SMS AKASI, 998959709293 SMS KELINI, 998507138440 OZI NEW ,</t>
        </is>
      </c>
      <c r="G544" s="100" t="inlineStr">
        <is>
          <t xml:space="preserve">FARG’ONA VILOYATI FARG’ONA TUMANI MINDONOBOD MFY MADADKOR KO’CHASI 13-XONADON</t>
        </is>
      </c>
      <c r="H544" s="101">
        <v>10.0</v>
      </c>
      <c r="I544" s="101">
        <v>1187215.96</v>
      </c>
      <c r="K544" s="100" t="inlineStr">
        <is>
          <t xml:space="preserve">Va'da berdi | 656391.62</t>
        </is>
      </c>
    </row>
    <row r="545">
      <c r="A545" s="100" t="inlineStr">
        <is>
          <t xml:space="preserve">ФАРГОНА ВИЛОЯТИ</t>
        </is>
      </c>
      <c r="C545" s="100" t="inlineStr">
        <is>
          <t xml:space="preserve">Дозвон</t>
        </is>
      </c>
      <c r="D545" s="100" t="inlineStr">
        <is>
          <t xml:space="preserve">Кр-99021043-3</t>
        </is>
      </c>
      <c r="E545" s="100" t="inlineStr">
        <is>
          <t xml:space="preserve">DJUMABAYEVA DILBARXON YIGITALIYEVNA</t>
        </is>
      </c>
      <c r="F545" s="100" t="inlineStr">
        <is>
          <t xml:space="preserve">99-615-34-49 SMS OZI , 99-604-38-93 SMS O'G'LI, 99-993-59-69 SMS O'G'LI 2, 91-119-68-11 SMS ERI , 998932544577 tolovchi ,</t>
        </is>
      </c>
      <c r="G545" s="100" t="inlineStr">
        <is>
          <t xml:space="preserve">FARG’ONA VILOYATI FARG’ONA TUMANI MINDONOBOD MFY O’ZBEKISTON OVOZI 133-XONADON</t>
        </is>
      </c>
      <c r="H545" s="101">
        <v>10.0</v>
      </c>
      <c r="I545" s="101">
        <v>976727.33</v>
      </c>
      <c r="J545" s="101">
        <v>398133.0</v>
      </c>
      <c r="K545" s="100" t="inlineStr">
        <is>
          <t xml:space="preserve">To'ladi | 398133.63</t>
        </is>
      </c>
    </row>
    <row r="546">
      <c r="A546" s="100" t="inlineStr">
        <is>
          <t xml:space="preserve">ФАРГОНА ВИЛОЯТИ</t>
        </is>
      </c>
      <c r="C546" s="100" t="inlineStr">
        <is>
          <t xml:space="preserve">Дозвон</t>
        </is>
      </c>
      <c r="D546" s="100" t="inlineStr">
        <is>
          <t xml:space="preserve">Кр-99039668-1</t>
        </is>
      </c>
      <c r="E546" s="100" t="inlineStr">
        <is>
          <t xml:space="preserve">ALIJONOV SHOXRUXMIRZO AVAZJON O’G’LI</t>
        </is>
      </c>
      <c r="F546" s="100" t="inlineStr">
        <is>
          <t xml:space="preserve">998888129929 SMS OZI, 998911073068 SMS ONASI, 998908366658 SMS DADASI, 998916625062 SMS SINGLISI,</t>
        </is>
      </c>
      <c r="G546" s="100" t="inlineStr">
        <is>
          <t xml:space="preserve">FARG’ONA VILOYATI FARG’ONA SHAHAR FURQAT MFY YOSHLIK KO’CHASI 54-XONADON</t>
        </is>
      </c>
      <c r="H546" s="101">
        <v>1.0</v>
      </c>
      <c r="I546" s="101">
        <v>789356.5</v>
      </c>
      <c r="J546" s="101">
        <v>737535.0</v>
      </c>
      <c r="K546" s="100" t="inlineStr">
        <is>
          <t xml:space="preserve">To'ladi | 737535.36</t>
        </is>
      </c>
    </row>
    <row r="547">
      <c r="A547" s="100" t="inlineStr">
        <is>
          <t xml:space="preserve">ФАРГОНА ВИЛОЯТИ</t>
        </is>
      </c>
      <c r="C547" s="100" t="inlineStr">
        <is>
          <t xml:space="preserve">Дозвон</t>
        </is>
      </c>
      <c r="D547" s="100" t="inlineStr">
        <is>
          <t xml:space="preserve">Кр-99062910-2</t>
        </is>
      </c>
      <c r="E547" s="100" t="inlineStr">
        <is>
          <t xml:space="preserve">USMANOV TULKUN TOLIPOVICH</t>
        </is>
      </c>
      <c r="F547" s="100" t="inlineStr">
        <is>
          <t xml:space="preserve">998900409693 O’G’LI, 998902725478 JIYANI, 998916813005 SMS O’ZI, 998998090602 O’G’LI,</t>
        </is>
      </c>
      <c r="G547" s="100" t="inlineStr">
        <is>
          <t xml:space="preserve">FARG’ONA VILOYATI QO’SHTEPA TUMANI BALANDMASJID MFY NAVRO’Z KO’CHASI 454-UY</t>
        </is>
      </c>
      <c r="H547" s="101">
        <v>10.0</v>
      </c>
      <c r="I547" s="101">
        <v>778721.58</v>
      </c>
      <c r="J547" s="101">
        <v>234511.0</v>
      </c>
      <c r="K547" s="100" t="inlineStr">
        <is>
          <t xml:space="preserve">To'ladi | 6 LARGA QAYTA ALOQA PULI KELADI EKAN KELISHI BILAN TOLAB QOYAMAN DEDI | 234511.83</t>
        </is>
      </c>
    </row>
    <row r="548">
      <c r="A548" s="100" t="inlineStr">
        <is>
          <t xml:space="preserve">ФАРГОНА ВИЛОЯТИ</t>
        </is>
      </c>
      <c r="C548" s="100" t="inlineStr">
        <is>
          <t xml:space="preserve">Дозвон</t>
        </is>
      </c>
      <c r="D548" s="100" t="inlineStr">
        <is>
          <t xml:space="preserve">Кр-99028625-1</t>
        </is>
      </c>
      <c r="E548" s="100" t="inlineStr">
        <is>
          <t xml:space="preserve">NURMATOV DOSTONBEK DILSHOD O’G’LI</t>
        </is>
      </c>
      <c r="F548" s="100" t="inlineStr">
        <is>
          <t xml:space="preserve">91-108-98-98 SMS OZI, 90-273-64-43 SMS UKASI, 90-273-64-43 SMS UKASI 2, 88-949-78-78  SMS AKASI,</t>
        </is>
      </c>
      <c r="G548" s="100" t="inlineStr">
        <is>
          <t xml:space="preserve">FARG’ONA VILOYATI RISHTON TUMANI OQ ER MFY NAVRUZ KO’CHASI 41-XONADON</t>
        </is>
      </c>
      <c r="H548" s="101">
        <v>1.0</v>
      </c>
      <c r="I548" s="101">
        <v>362078.83</v>
      </c>
      <c r="J548" s="101">
        <v>362078.0</v>
      </c>
      <c r="K548" s="100" t="inlineStr">
        <is>
          <t xml:space="preserve">To'ladi | 362078.83</t>
        </is>
      </c>
    </row>
    <row r="549">
      <c r="A549" s="102" t="inlineStr">
        <is>
          <t xml:space="preserve">ХОРАЗМ ВИЛОЯТИ</t>
        </is>
      </c>
      <c r="B549" s="102" t="inlineStr">
        <is>
          <t xml:space="preserve">SUPER BRANCH</t>
        </is>
      </c>
      <c r="C549" s="102" t="inlineStr">
        <is>
          <t xml:space="preserve">Обещал</t>
        </is>
      </c>
      <c r="D549" s="102" t="inlineStr">
        <is>
          <t xml:space="preserve">Кр-99018792-4</t>
        </is>
      </c>
      <c r="E549" s="102" t="inlineStr">
        <is>
          <t xml:space="preserve">QALANDAROV RUSLAN KADAMBAYEVICH</t>
        </is>
      </c>
      <c r="F549" s="102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549" s="102" t="inlineStr">
        <is>
          <t xml:space="preserve">XORAZM VILOYATI YANGIBOZOR TUMANI OYOQDO`RMAN QISHLOG`I YANGIOBOD MAXALLASI 92 UY</t>
        </is>
      </c>
      <c r="H549" s="103">
        <v>10.0</v>
      </c>
      <c r="I549" s="103">
        <v>7618860.48</v>
      </c>
      <c r="K549" s="102" t="inlineStr">
        <is>
          <t xml:space="preserve">Va'da berdi | 20 sanadan kegin yopad fermer | 68</t>
        </is>
      </c>
    </row>
    <row r="550">
      <c r="A550" s="102" t="inlineStr">
        <is>
          <t xml:space="preserve">ХОРАЗМ ВИЛОЯТИ</t>
        </is>
      </c>
      <c r="B550" s="102" t="inlineStr">
        <is>
          <t xml:space="preserve">SUPER BRANCH</t>
        </is>
      </c>
      <c r="C550" s="102" t="inlineStr">
        <is>
          <t xml:space="preserve">Обещал</t>
        </is>
      </c>
      <c r="D550" s="102" t="inlineStr">
        <is>
          <t xml:space="preserve">Кр-99040398-2</t>
        </is>
      </c>
      <c r="E550" s="102" t="inlineStr">
        <is>
          <t xml:space="preserve">BOLTAYEV MUSA QURONBOYEVICH</t>
        </is>
      </c>
      <c r="F550" s="102" t="inlineStr">
        <is>
          <t xml:space="preserve">998500971976 SMS OZI, 998996853272 SMS OZI 2, 998992673111 SMS QIZI,</t>
        </is>
      </c>
      <c r="G550" s="102" t="inlineStr">
        <is>
          <t xml:space="preserve">XORAZM VILOYATI XONQA TUMANI G’AYRAT MFY G’AYRAT KUCHASI 46-UY</t>
        </is>
      </c>
      <c r="H550" s="103">
        <v>10.0</v>
      </c>
      <c r="I550" s="103">
        <v>6052681.37</v>
      </c>
      <c r="K550" s="102" t="inlineStr">
        <is>
          <t xml:space="preserve">Va'da berdi | qizi bilan gaplashdim adasi rassiyadekan oylik olib tashavorad | 891</t>
        </is>
      </c>
    </row>
    <row r="551">
      <c r="A551" s="102" t="inlineStr">
        <is>
          <t xml:space="preserve">ХОРАЗМ ВИЛОЯТИ</t>
        </is>
      </c>
      <c r="B551" s="102" t="inlineStr">
        <is>
          <t xml:space="preserve">SUPER BRANCH</t>
        </is>
      </c>
      <c r="C551" s="102" t="inlineStr">
        <is>
          <t xml:space="preserve">Обещал</t>
        </is>
      </c>
      <c r="D551" s="102" t="inlineStr">
        <is>
          <t xml:space="preserve">Кр-99039789-1</t>
        </is>
      </c>
      <c r="E551" s="102" t="inlineStr">
        <is>
          <t xml:space="preserve">SAMANDAROV XAMIDJON OTAXONOVICH</t>
        </is>
      </c>
      <c r="F551" s="102" t="inlineStr">
        <is>
          <t xml:space="preserve">998992020025 SMS OGLI, 998991327264 SMS KELINI, 999893103800 SMS OOZI, 998991468050 SMS AYOLI,</t>
        </is>
      </c>
      <c r="G551" s="102" t="inlineStr">
        <is>
          <t xml:space="preserve">XORAZM VILOYATI YANGIARIQ TUMANI KATTABOG’ QFY KATTABOG’ MFY EZOZ KO’CHASI 21-UY</t>
        </is>
      </c>
      <c r="H551" s="103">
        <v>10.0</v>
      </c>
      <c r="I551" s="103">
        <v>4628316.13</v>
      </c>
      <c r="K551" s="102" t="inlineStr">
        <is>
          <t xml:space="preserve">Va'da berdi | ayoli bilan gaplashtim 1-2 kunda tolov qilib berad ogli | 834</t>
        </is>
      </c>
    </row>
    <row r="552">
      <c r="A552" s="102" t="inlineStr">
        <is>
          <t xml:space="preserve">ХОРАЗМ ВИЛОЯТИ</t>
        </is>
      </c>
      <c r="B552" s="102" t="inlineStr">
        <is>
          <t xml:space="preserve">SUPER BRANCH</t>
        </is>
      </c>
      <c r="C552" s="102" t="inlineStr">
        <is>
          <t xml:space="preserve">Обещал</t>
        </is>
      </c>
      <c r="D552" s="102" t="inlineStr">
        <is>
          <t xml:space="preserve">Кр-99040257-1</t>
        </is>
      </c>
      <c r="E552" s="102" t="inlineStr">
        <is>
          <t xml:space="preserve">KURBANOV UMRBEK UKTAMBAYEVICH</t>
        </is>
      </c>
      <c r="F552" s="102" t="inlineStr">
        <is>
          <t xml:space="preserve">998995641564 SMS OZI, 998991280118 SMS XOTINI, 998952713164 SMS OZI, 998995753164 SMS ISH,</t>
        </is>
      </c>
      <c r="G552" s="102" t="inlineStr">
        <is>
          <t xml:space="preserve">XORAZM VILOYATI URGANCH TUMANI TADQIQOTCHILAR MAXALLASI MARDANOVOR KUCHASI 42 UY</t>
        </is>
      </c>
      <c r="H552" s="103">
        <v>10.0</v>
      </c>
      <c r="I552" s="103">
        <v>4601541.07</v>
      </c>
      <c r="K552" s="102" t="inlineStr">
        <is>
          <t xml:space="preserve">Va'da berdi | ayoli bilan gaplashdim 1-2 kunda yopib berad | 878</t>
        </is>
      </c>
    </row>
    <row r="553">
      <c r="A553" s="102" t="inlineStr">
        <is>
          <t xml:space="preserve">ХОРАЗМ ВИЛОЯТИ</t>
        </is>
      </c>
      <c r="B553" s="102" t="inlineStr">
        <is>
          <t xml:space="preserve">SUPER BRANCH</t>
        </is>
      </c>
      <c r="C553" s="102" t="inlineStr">
        <is>
          <t xml:space="preserve">Дозвон</t>
        </is>
      </c>
      <c r="D553" s="102" t="inlineStr">
        <is>
          <t xml:space="preserve">Кр-99062488-1</t>
        </is>
      </c>
      <c r="E553" s="102" t="inlineStr">
        <is>
          <t xml:space="preserve">ABDULLAYEVA MUXADDAS URAZBAYEVNA</t>
        </is>
      </c>
      <c r="F553" s="102" t="inlineStr">
        <is>
          <t xml:space="preserve">998919977070 SMS ERI, 998992147010 SMS OZI, 998957458000 SMS OGLI, 998886012424 SMS QIZI,</t>
        </is>
      </c>
      <c r="G553" s="102" t="inlineStr">
        <is>
          <t xml:space="preserve">XORAZM VILOYATI URGANCH SHAHRI SAXOVAT MFY FERUZ KUCHASI 82-UY</t>
        </is>
      </c>
      <c r="H553" s="103">
        <v>10.0</v>
      </c>
      <c r="I553" s="103">
        <v>3911625.96</v>
      </c>
      <c r="J553" s="103">
        <v>3911625.96</v>
      </c>
      <c r="K553" s="102" t="inlineStr">
        <is>
          <t xml:space="preserve">To'ladi | abetgacha tolid | 1400</t>
        </is>
      </c>
    </row>
    <row r="554">
      <c r="A554" s="102" t="inlineStr">
        <is>
          <t xml:space="preserve">ХОРАЗМ ВИЛОЯТИ</t>
        </is>
      </c>
      <c r="B554" s="102" t="inlineStr">
        <is>
          <t xml:space="preserve">SUPER BRANCH</t>
        </is>
      </c>
      <c r="C554" s="102" t="inlineStr">
        <is>
          <t xml:space="preserve">Обещал</t>
        </is>
      </c>
      <c r="D554" s="102" t="inlineStr">
        <is>
          <t xml:space="preserve">Кр-99039471-1</t>
        </is>
      </c>
      <c r="E554" s="102" t="inlineStr">
        <is>
          <t xml:space="preserve">ABDULLAYEV ABDULLA OCHILOVICH</t>
        </is>
      </c>
      <c r="F554" s="102" t="inlineStr">
        <is>
          <t xml:space="preserve">998500874141 SMS OGLI, 998931311978 SMS OZI begona, 998949984155 SMS OGLI, 998948859669 SMS AYOLI,</t>
        </is>
      </c>
      <c r="G554" s="102" t="inlineStr">
        <is>
          <t xml:space="preserve">XORAZM VILOYATI XONQA TUMANI MANGULIK MFY NAVBAXOR KUCHASI 40-UY</t>
        </is>
      </c>
      <c r="H554" s="103">
        <v>8.0</v>
      </c>
      <c r="I554" s="103">
        <v>3896736.98</v>
      </c>
      <c r="K554" s="102" t="inlineStr">
        <is>
          <t xml:space="preserve">Va'da berdi | 20-sanaga yopib berad | 794</t>
        </is>
      </c>
    </row>
    <row r="555">
      <c r="A555" s="102" t="inlineStr">
        <is>
          <t xml:space="preserve">ХОРАЗМ ВИЛОЯТИ</t>
        </is>
      </c>
      <c r="B555" s="102" t="inlineStr">
        <is>
          <t xml:space="preserve">SUPER BRANCH</t>
        </is>
      </c>
      <c r="C555" s="102" t="inlineStr">
        <is>
          <t xml:space="preserve">Обещал</t>
        </is>
      </c>
      <c r="D555" s="102" t="inlineStr">
        <is>
          <t xml:space="preserve">Кр-99039933-1</t>
        </is>
      </c>
      <c r="E555" s="102" t="inlineStr">
        <is>
          <t xml:space="preserve">ATAJANOV FAXRIDDIN RUZMETOVICH</t>
        </is>
      </c>
      <c r="F555" s="102" t="inlineStr">
        <is>
          <t xml:space="preserve">998918616267 SMS OZI, 998918573148 SMS AYOLI, 998915722424 SMS OGLI, 998339007270 SMS QIZI,</t>
        </is>
      </c>
      <c r="G555" s="102" t="inlineStr">
        <is>
          <t xml:space="preserve">XORAZM VILOYATI XIVA TUMANI CHANASHIK MFY DIYOR KO’CHASI 55-UY</t>
        </is>
      </c>
      <c r="H555" s="103">
        <v>10.0</v>
      </c>
      <c r="I555" s="103">
        <v>3538099.52</v>
      </c>
      <c r="K555" s="102" t="inlineStr">
        <is>
          <t xml:space="preserve">Va'da berdi | qisman tolad qolgani abetdan kegin | 847</t>
        </is>
      </c>
    </row>
    <row r="556">
      <c r="A556" s="102" t="inlineStr">
        <is>
          <t xml:space="preserve">ХОРАЗМ ВИЛОЯТИ</t>
        </is>
      </c>
      <c r="B556" s="102" t="inlineStr">
        <is>
          <t xml:space="preserve">SUPER BRANCH</t>
        </is>
      </c>
      <c r="C556" s="102" t="inlineStr">
        <is>
          <t xml:space="preserve">Обещал</t>
        </is>
      </c>
      <c r="D556" s="102" t="inlineStr">
        <is>
          <t xml:space="preserve">Кр-99040131-1</t>
        </is>
      </c>
      <c r="E556" s="102" t="inlineStr">
        <is>
          <t xml:space="preserve">YUSUPOV SHORIFJON ROMONBERGAN O’G’LI</t>
        </is>
      </c>
      <c r="F556" s="102" t="inlineStr">
        <is>
          <t xml:space="preserve">998999664447 SMS OZI, 998827744472 SMS AYOLI, 998956099999 SMS ISH,</t>
        </is>
      </c>
      <c r="G556" s="102" t="inlineStr">
        <is>
          <t xml:space="preserve">XORAZM VILOYATI URGANCH TUMANI BO’STON MFY MUQUMIY KUCHASI 113</t>
        </is>
      </c>
      <c r="H556" s="103">
        <v>10.0</v>
      </c>
      <c r="I556" s="103">
        <v>3532955.07</v>
      </c>
      <c r="K556" s="102" t="inlineStr">
        <is>
          <t xml:space="preserve">Va'da berdi | bugun yopib berad | 862</t>
        </is>
      </c>
    </row>
    <row r="557">
      <c r="A557" s="102" t="inlineStr">
        <is>
          <t xml:space="preserve">ХОРАЗМ ВИЛОЯТИ</t>
        </is>
      </c>
      <c r="B557" s="102" t="inlineStr">
        <is>
          <t xml:space="preserve">SUPER BRANCH</t>
        </is>
      </c>
      <c r="C557" s="102" t="inlineStr">
        <is>
          <t xml:space="preserve">Обещал</t>
        </is>
      </c>
      <c r="D557" s="102" t="inlineStr">
        <is>
          <t xml:space="preserve">Кр-99040349-1</t>
        </is>
      </c>
      <c r="E557" s="102" t="inlineStr">
        <is>
          <t xml:space="preserve">KARIMOV JAHONGIR SHAROFADDIN O’G’LI</t>
        </is>
      </c>
      <c r="F557" s="102" t="inlineStr">
        <is>
          <t xml:space="preserve">998507157955 SMS OZI, 998952298584 SMS AKASI, 998774088961 SMS OPASI,</t>
        </is>
      </c>
      <c r="G557" s="102" t="inlineStr">
        <is>
          <t xml:space="preserve">XORAZM VILOYATI BOG’OT TUMANI TONG YOG’DU KUCHASI 2 UY </t>
        </is>
      </c>
      <c r="H557" s="103">
        <v>10.0</v>
      </c>
      <c r="I557" s="103">
        <v>3503700.16</v>
      </c>
      <c r="K557" s="102" t="inlineStr">
        <is>
          <t xml:space="preserve">Va'da berdi | qisman tolov qildi | 882</t>
        </is>
      </c>
    </row>
    <row r="558">
      <c r="A558" s="102" t="inlineStr">
        <is>
          <t xml:space="preserve">ХОРАЗМ ВИЛОЯТИ</t>
        </is>
      </c>
      <c r="B558" s="102" t="inlineStr">
        <is>
          <t xml:space="preserve">SUPER BRANCH</t>
        </is>
      </c>
      <c r="C558" s="102" t="inlineStr">
        <is>
          <t xml:space="preserve">Обещал</t>
        </is>
      </c>
      <c r="D558" s="102" t="inlineStr">
        <is>
          <t xml:space="preserve">Кр-99020745-4</t>
        </is>
      </c>
      <c r="E558" s="102" t="inlineStr">
        <is>
          <t xml:space="preserve">JUMANOV OLIMBOY YULDOSHBAYEVICH</t>
        </is>
      </c>
      <c r="F558" s="102" t="inlineStr">
        <is>
          <t xml:space="preserve">998905592535 SMS O’ZI, 998937550083 SMS DO’STI, 998907263177 SMS O’G’LI, 998995890838 SMS O’G’LI (begona),</t>
        </is>
      </c>
      <c r="G558" s="102" t="inlineStr">
        <is>
          <t xml:space="preserve">XORAZM VILOYATI YANGIBOZOR TUMANI BO’STON MAXALLASI ZANGALOBOD KUCHASI 47-UY</t>
        </is>
      </c>
      <c r="H558" s="103">
        <v>10.0</v>
      </c>
      <c r="I558" s="103">
        <v>3329035.84</v>
      </c>
      <c r="K558" s="102" t="inlineStr">
        <is>
          <t xml:space="preserve">Va'da berdi | 20 sanadan kegin yopad fermer | 92</t>
        </is>
      </c>
    </row>
    <row r="559">
      <c r="A559" s="102" t="inlineStr">
        <is>
          <t xml:space="preserve">ХОРАЗМ ВИЛОЯТИ</t>
        </is>
      </c>
      <c r="B559" s="102" t="inlineStr">
        <is>
          <t xml:space="preserve">SUPER BRANCH</t>
        </is>
      </c>
      <c r="C559" s="102" t="inlineStr">
        <is>
          <t xml:space="preserve">Обещал</t>
        </is>
      </c>
      <c r="D559" s="102" t="inlineStr">
        <is>
          <t xml:space="preserve">Кр-99040078-1</t>
        </is>
      </c>
      <c r="E559" s="102" t="inlineStr">
        <is>
          <t xml:space="preserve">ISMAILOVA  LAYLO  PAVLVANNAZAROVNA</t>
        </is>
      </c>
      <c r="F559" s="102" t="inlineStr">
        <is>
          <t xml:space="preserve">998507970380 SMS ERI, 998904330302 SMS AYOLI, 998919192020 SMS OGLI,</t>
        </is>
      </c>
      <c r="G559" s="102" t="inlineStr">
        <is>
          <t xml:space="preserve">URGANCH SHAHRI</t>
        </is>
      </c>
      <c r="H559" s="103">
        <v>14.0</v>
      </c>
      <c r="I559" s="103">
        <v>2911819.83</v>
      </c>
      <c r="K559" s="102" t="inlineStr">
        <is>
          <t xml:space="preserve">Va'da berdi | eri obqoygan yeri borakan ushabi sotvotti | 859</t>
        </is>
      </c>
    </row>
    <row r="560">
      <c r="A560" s="102" t="inlineStr">
        <is>
          <t xml:space="preserve">ХОРАЗМ ВИЛОЯТИ</t>
        </is>
      </c>
      <c r="B560" s="102" t="inlineStr">
        <is>
          <t xml:space="preserve">SUPER BRANCH</t>
        </is>
      </c>
      <c r="C560" s="102" t="inlineStr">
        <is>
          <t xml:space="preserve">Обещал</t>
        </is>
      </c>
      <c r="D560" s="102" t="inlineStr">
        <is>
          <t xml:space="preserve">Кр-99039439-2</t>
        </is>
      </c>
      <c r="E560" s="102" t="inlineStr">
        <is>
          <t xml:space="preserve">YUSUPOV UMRBEK ISMAILOVICH</t>
        </is>
      </c>
      <c r="F560" s="102" t="inlineStr">
        <is>
          <t xml:space="preserve">998957097606 SMS OZI, 998937113111 SMS OZI begona, 998994256205 SMS OGLI 2, 998958772474 SMS AYOLI,</t>
        </is>
      </c>
      <c r="G560" s="102" t="inlineStr">
        <is>
          <t xml:space="preserve">XORAZM VILOYATI URGANCH SHAHRI NAVRUZ MFY FIDOKORLAR KO’CHASI 59-UY</t>
        </is>
      </c>
      <c r="H560" s="103">
        <v>10.0</v>
      </c>
      <c r="I560" s="103">
        <v>2377002.34</v>
      </c>
      <c r="K560" s="102" t="inlineStr">
        <is>
          <t xml:space="preserve">Va'da berdi | qisman tolad | 789</t>
        </is>
      </c>
    </row>
    <row r="561">
      <c r="A561" s="102" t="inlineStr">
        <is>
          <t xml:space="preserve">ХОРАЗМ ВИЛОЯТИ</t>
        </is>
      </c>
      <c r="B561" s="102" t="inlineStr">
        <is>
          <t xml:space="preserve">SUPER BRANCH</t>
        </is>
      </c>
      <c r="C561" s="102" t="inlineStr">
        <is>
          <t xml:space="preserve">Обещал</t>
        </is>
      </c>
      <c r="D561" s="102" t="inlineStr">
        <is>
          <t xml:space="preserve">Кр-99040131-2</t>
        </is>
      </c>
      <c r="E561" s="102" t="inlineStr">
        <is>
          <t xml:space="preserve">YUSUPOV SHORIFJON ROMONBERGAN O’G’LI</t>
        </is>
      </c>
      <c r="F561" s="102" t="inlineStr">
        <is>
          <t xml:space="preserve">998999664447 SMS OZI, 998827744472 SMS AYOLI, 998956099999 SMS ISH,</t>
        </is>
      </c>
      <c r="G561" s="102" t="inlineStr">
        <is>
          <t xml:space="preserve">XORAZM VILOYATI URGANCH TUMANI BO’STON MFY MUQUMIY KUCHASI 113</t>
        </is>
      </c>
      <c r="H561" s="103">
        <v>10.0</v>
      </c>
      <c r="I561" s="103">
        <v>2351744.9</v>
      </c>
      <c r="K561" s="102" t="inlineStr">
        <is>
          <t xml:space="preserve">Va'da berdi | bugun yopib berad | 863</t>
        </is>
      </c>
    </row>
    <row r="562">
      <c r="A562" s="102" t="inlineStr">
        <is>
          <t xml:space="preserve">ХОРАЗМ ВИЛОЯТИ</t>
        </is>
      </c>
      <c r="B562" s="102" t="inlineStr">
        <is>
          <t xml:space="preserve">SUPER BRANCH</t>
        </is>
      </c>
      <c r="C562" s="102" t="inlineStr">
        <is>
          <t xml:space="preserve">Обещал</t>
        </is>
      </c>
      <c r="D562" s="102" t="inlineStr">
        <is>
          <t xml:space="preserve">Кр-99039537-1</t>
        </is>
      </c>
      <c r="E562" s="102" t="inlineStr">
        <is>
          <t xml:space="preserve">JUMANAZAROVA SHAXNOZA ERKINBAYEVNA</t>
        </is>
      </c>
      <c r="F562" s="102" t="inlineStr">
        <is>
          <t xml:space="preserve">998948958980 SM SUZI, 998932001922 SMS SINGLISI, 998505768980 SMS ERI,</t>
        </is>
      </c>
      <c r="G562" s="102" t="inlineStr">
        <is>
          <t xml:space="preserve">XORAZM VILOYATI YANGIARIQ TUMANI UYG’UR MFY TOYXONA KUCHASI 41-UY</t>
        </is>
      </c>
      <c r="H562" s="103">
        <v>7.0</v>
      </c>
      <c r="I562" s="103">
        <v>2132916.3</v>
      </c>
      <c r="K562" s="102" t="inlineStr">
        <is>
          <t xml:space="preserve">20 sanaga eri kelad rassiyadan polni yopad | 803</t>
        </is>
      </c>
    </row>
    <row r="563">
      <c r="A563" s="102" t="inlineStr">
        <is>
          <t xml:space="preserve">ХОРАЗМ ВИЛОЯТИ</t>
        </is>
      </c>
      <c r="B563" s="102" t="inlineStr">
        <is>
          <t xml:space="preserve">SUPER BRANCH</t>
        </is>
      </c>
      <c r="C563" s="102" t="inlineStr">
        <is>
          <t xml:space="preserve">Дозвон</t>
        </is>
      </c>
      <c r="D563" s="102" t="inlineStr">
        <is>
          <t xml:space="preserve">Кр-99026626-1</t>
        </is>
      </c>
      <c r="E563" s="102" t="inlineStr">
        <is>
          <t xml:space="preserve">MATYAKUBOVA OLIYA SULTANOVNA</t>
        </is>
      </c>
      <c r="F563" s="102" t="inlineStr">
        <is>
          <t xml:space="preserve">998974569970 SMS O'ZI, 998976078717 SMS DILSHODA HAMKASBI, 998505722508 SMS O'G'LI, 998999692091 SMS QIZI,</t>
        </is>
      </c>
      <c r="G563" s="102" t="inlineStr">
        <is>
          <t xml:space="preserve">XORAZM VILOYATI QO’SHKO’PIR TUMANI XAYROBOD QFY XAYROBOD MFY MADANIYAT KO’CHASI 48-UY</t>
        </is>
      </c>
      <c r="H563" s="103">
        <v>13.0</v>
      </c>
      <c r="I563" s="103">
        <v>2128873.3</v>
      </c>
      <c r="J563" s="103">
        <v>2128873.3</v>
      </c>
      <c r="K563" s="102" t="inlineStr">
        <is>
          <t xml:space="preserve">To'ladi | Abetdan kegin yopad | 159</t>
        </is>
      </c>
    </row>
    <row r="564">
      <c r="A564" s="102" t="inlineStr">
        <is>
          <t xml:space="preserve">ХОРАЗМ ВИЛОЯТИ</t>
        </is>
      </c>
      <c r="B564" s="102" t="inlineStr">
        <is>
          <t xml:space="preserve">SUPER BRANCH</t>
        </is>
      </c>
      <c r="C564" s="102" t="inlineStr">
        <is>
          <t xml:space="preserve">Обещал</t>
        </is>
      </c>
      <c r="D564" s="102" t="inlineStr">
        <is>
          <t xml:space="preserve">Кр-99035832-1</t>
        </is>
      </c>
      <c r="E564" s="102" t="inlineStr">
        <is>
          <t xml:space="preserve">PIRMETOVA SALAMAT RAXIMBAYEVNA</t>
        </is>
      </c>
      <c r="F564" s="102" t="inlineStr">
        <is>
          <t xml:space="preserve">998907192065 SMS OZI, 998919968119 SMS SINGLISI, 998912768610 SMS KELINI, 998912762622 SMS QIZI,</t>
        </is>
      </c>
      <c r="G564" s="102" t="inlineStr">
        <is>
          <t xml:space="preserve">XORAZM VILOYATI SHOVOT TUMANI ZAMONDOSH MFY NIZOMIY KUCHASI 14-UY</t>
        </is>
      </c>
      <c r="I564" s="103">
        <v>1631354.78</v>
      </c>
      <c r="K564" s="102" t="inlineStr">
        <is>
          <t xml:space="preserve">Va'da berdi | 20-21 sanaga yopib berad | 534</t>
        </is>
      </c>
    </row>
    <row r="565">
      <c r="A565" s="102" t="inlineStr">
        <is>
          <t xml:space="preserve">ХОРАЗМ ВИЛОЯТИ</t>
        </is>
      </c>
      <c r="B565" s="102" t="inlineStr">
        <is>
          <t xml:space="preserve">SUPER BRANCH</t>
        </is>
      </c>
      <c r="C565" s="102" t="inlineStr">
        <is>
          <t xml:space="preserve">Обещал</t>
        </is>
      </c>
      <c r="D565" s="102" t="inlineStr">
        <is>
          <t xml:space="preserve">Кр-99038730-1</t>
        </is>
      </c>
      <c r="E565" s="102" t="inlineStr">
        <is>
          <t xml:space="preserve">QURBONNIYOZOV ANVAR ARTIQBOYEVICH</t>
        </is>
      </c>
      <c r="F565" s="102" t="inlineStr">
        <is>
          <t xml:space="preserve">998938690525 SMS OZI, 998942312504 SMS OGLI, 998939480525 SMS XOTINI,</t>
        </is>
      </c>
      <c r="G565" s="102" t="inlineStr">
        <is>
          <t xml:space="preserve">XORAZM VILOYATI YANGIBOZOR TUMANI BOG’OLON MAXALLASI MARDLAR KUCHASI 24 UY</t>
        </is>
      </c>
      <c r="H565" s="103">
        <v>8.0</v>
      </c>
      <c r="I565" s="103">
        <v>1331872.14</v>
      </c>
      <c r="K565" s="102" t="inlineStr">
        <is>
          <t xml:space="preserve">Va'da berdi | bugun kechgacha tolab berad | 720</t>
        </is>
      </c>
    </row>
    <row r="566">
      <c r="A566" s="102" t="inlineStr">
        <is>
          <t xml:space="preserve">ХОРАЗМ ВИЛОЯТИ</t>
        </is>
      </c>
      <c r="B566" s="102" t="inlineStr">
        <is>
          <t xml:space="preserve">SUPER BRANCH</t>
        </is>
      </c>
      <c r="C566" s="102" t="inlineStr">
        <is>
          <t xml:space="preserve">Обещал</t>
        </is>
      </c>
      <c r="D566" s="102" t="inlineStr">
        <is>
          <t xml:space="preserve">Кр-99028290-4</t>
        </is>
      </c>
      <c r="E566" s="102" t="inlineStr">
        <is>
          <t xml:space="preserve">TADJIYEV MASHHURBEK DANIYOR O’G’LI</t>
        </is>
      </c>
      <c r="F566" s="102" t="inlineStr">
        <is>
          <t xml:space="preserve">90-559-39-39 SMS OZI  choyxonada ishlid , 93-285-51-55  SMS DOST TOLOVCHI, 97-091-60-00  SMS DOSTI ,</t>
        </is>
      </c>
      <c r="G566" s="102" t="inlineStr">
        <is>
          <t xml:space="preserve">XORAZM VILOYATI XIVA TUMANI JURYON QFY DAVAK MFY NURJAMOL KO’CHASI 47-UY  </t>
        </is>
      </c>
      <c r="I566" s="103">
        <v>514339.16</v>
      </c>
      <c r="K566" s="102" t="inlineStr">
        <is>
          <t xml:space="preserve">Va'da berdi | Abetdan kegin yopad | 198</t>
        </is>
      </c>
    </row>
    <row r="567">
      <c r="A567" s="102" t="inlineStr">
        <is>
          <t xml:space="preserve">ХОРАЗМ ВИЛОЯТИ</t>
        </is>
      </c>
      <c r="B567" s="102" t="inlineStr">
        <is>
          <t xml:space="preserve">SUPER BRANCH</t>
        </is>
      </c>
      <c r="C567" s="102" t="inlineStr">
        <is>
          <t xml:space="preserve">Дозвон</t>
        </is>
      </c>
      <c r="D567" s="102" t="inlineStr">
        <is>
          <t xml:space="preserve">Кр-99048302-1</t>
        </is>
      </c>
      <c r="E567" s="102" t="inlineStr">
        <is>
          <t xml:space="preserve">NURMATOV OG‘ABEK FAXRIDDIN O‘G‘LI</t>
        </is>
      </c>
      <c r="F567" s="102" t="inlineStr">
        <is>
          <t xml:space="preserve">+998919981626 Primary phone from road24, 998919981626 Primary phone from road24, 998905580815 SMS OTASI, 998910908909 SMS AKASI,</t>
        </is>
      </c>
      <c r="G567" s="102" t="inlineStr">
        <is>
          <t xml:space="preserve">Хорезмская область, Шаватский район, Каткалъа ССГ, Янги турмуш МСГ, ул. Бунёдкор, дом 33</t>
        </is>
      </c>
      <c r="I567" s="103">
        <v>149474.25</v>
      </c>
      <c r="J567" s="103">
        <v>149474.25</v>
      </c>
      <c r="K567" s="102" t="inlineStr">
        <is>
          <t xml:space="preserve">To'ladi | yarim soat ichida yopad | 1147</t>
        </is>
      </c>
    </row>
    <row r="568">
      <c r="A568" s="102" t="inlineStr">
        <is>
          <t xml:space="preserve">ХОРАЗМ ВИЛОЯТИ</t>
        </is>
      </c>
      <c r="B568" s="102" t="inlineStr">
        <is>
          <t xml:space="preserve">SUPER BRANCH</t>
        </is>
      </c>
      <c r="C568" s="102" t="inlineStr">
        <is>
          <t xml:space="preserve">Обещал</t>
        </is>
      </c>
      <c r="D568" s="102" t="inlineStr">
        <is>
          <t xml:space="preserve">Кр-99036039-1</t>
        </is>
      </c>
      <c r="E568" s="102" t="inlineStr">
        <is>
          <t xml:space="preserve">BEKIYEVA MIYASSAR RAJABOVNA</t>
        </is>
      </c>
      <c r="F568" s="102" t="inlineStr">
        <is>
          <t xml:space="preserve">998997348650 SMS O’ZI , 998992531501 SMS TO’LOVCHISI, 998994236338 SMS ERI, 998995536131 SMS KELINI ,</t>
        </is>
      </c>
      <c r="G568" s="102" t="inlineStr">
        <is>
          <t xml:space="preserve">XORAZM VILOYATI BOG’OT TUMANI BESHARIQ QISHLOG’I GULSHAN MFY BILLUR KO’CHASI 37-UY</t>
        </is>
      </c>
      <c r="I568" s="103">
        <v>120383.98</v>
      </c>
      <c r="K568" s="102" t="inlineStr">
        <is>
          <t xml:space="preserve">Va'da berdi | 15-01 bugun yopad | 550</t>
        </is>
      </c>
    </row>
    <row r="569">
      <c r="A569" s="102" t="inlineStr">
        <is>
          <t xml:space="preserve">ХОРАЗМ ВИЛОЯТИ</t>
        </is>
      </c>
      <c r="B569" s="102" t="inlineStr">
        <is>
          <t xml:space="preserve">SUPER BRANCH</t>
        </is>
      </c>
      <c r="C569" s="102" t="inlineStr">
        <is>
          <t xml:space="preserve">Дозвон</t>
        </is>
      </c>
      <c r="D569" s="102" t="inlineStr">
        <is>
          <t xml:space="preserve">Кр-99012130-5</t>
        </is>
      </c>
      <c r="E569" s="102" t="inlineStr">
        <is>
          <t xml:space="preserve">SHAXNAZAROV TEMIRBEK UMIDBEK O’G’LI</t>
        </is>
      </c>
      <c r="F569" s="102" t="inlineStr">
        <is>
          <t xml:space="preserve">99-542-98-19 SMS O’ZI, 99-541-98-19 SMS OTASI, 93-752-68-98 SMS UKASI BOBUR, 99-157-47-40 SMS SINGLISI(BEGONA), 998993812882 SMS UZI NEW,</t>
        </is>
      </c>
      <c r="G569" s="102" t="inlineStr">
        <is>
          <t xml:space="preserve">XORAZM VILOYATI URGANCH TUMANI YUQORIBOG’ MFY OQ OLTIN KOCHASI 34-UY</t>
        </is>
      </c>
      <c r="H569" s="103">
        <v>15.0</v>
      </c>
      <c r="I569" s="103">
        <v>118020.11</v>
      </c>
      <c r="J569" s="103">
        <v>118020.11</v>
      </c>
      <c r="K569" s="102" t="inlineStr">
        <is>
          <t xml:space="preserve">To'ladi | bugun yopilad | 43</t>
        </is>
      </c>
    </row>
    <row r="570">
      <c r="A570" s="104" t="inlineStr">
        <is>
          <t xml:space="preserve">ХОРАЗМ ВИЛОЯТИ</t>
        </is>
      </c>
      <c r="B570" s="104" t="inlineStr">
        <is>
          <t xml:space="preserve">Урганч филиали</t>
        </is>
      </c>
      <c r="C570" s="104" t="inlineStr">
        <is>
          <t xml:space="preserve">Обещал</t>
        </is>
      </c>
      <c r="D570" s="104" t="inlineStr">
        <is>
          <t xml:space="preserve">Кр-99040909-1</t>
        </is>
      </c>
      <c r="E570" s="104" t="inlineStr">
        <is>
          <t xml:space="preserve">OTAXONOV DIYORBEK ERGASH O’G’LI</t>
        </is>
      </c>
      <c r="F570" s="104" t="inlineStr">
        <is>
          <t xml:space="preserve">998970150686 SMS OTASI, 998954170093 SMS UZI (BEGONA), 998972392704 SMS AYOLI, 998976052704 SMS UZI, 998880939698 SMS UZI new,</t>
        </is>
      </c>
      <c r="G570" s="104" t="inlineStr">
        <is>
          <t xml:space="preserve">Маданият МФЙ, Мустақиллик кучаси, 37A-уй</t>
        </is>
      </c>
      <c r="H570" s="105">
        <v>15.0</v>
      </c>
      <c r="I570" s="105">
        <v>7558659.06</v>
      </c>
      <c r="K570" s="104" t="inlineStr">
        <is>
          <t xml:space="preserve">Va'da berdi | 1-2 kunda polni yopmoqchi | 938</t>
        </is>
      </c>
    </row>
    <row r="571">
      <c r="A571" s="104" t="inlineStr">
        <is>
          <t xml:space="preserve">ХОРАЗМ ВИЛОЯТИ</t>
        </is>
      </c>
      <c r="B571" s="104" t="inlineStr">
        <is>
          <t xml:space="preserve">Урганч филиали</t>
        </is>
      </c>
      <c r="C571" s="104" t="inlineStr">
        <is>
          <t xml:space="preserve">Обещал</t>
        </is>
      </c>
      <c r="D571" s="104" t="inlineStr">
        <is>
          <t xml:space="preserve">Кр-99034208-1</t>
        </is>
      </c>
      <c r="E571" s="104" t="inlineStr">
        <is>
          <t xml:space="preserve">NORBOYEV NURBEK SHUXRAT O’G’LI</t>
        </is>
      </c>
      <c r="F571" s="104" t="inlineStr">
        <is>
          <t xml:space="preserve">998991710010 SMS OZI, 998999616062 SMS UKASI, 998995071515 SMS AKASI, 998994461983 SMS DOSTI, 998991220010 SMS OTASI,</t>
        </is>
      </c>
      <c r="G571" s="104" t="inlineStr">
        <is>
          <t xml:space="preserve">XORAZM VILOYATI SHOVOT TUMANI GULZOR KUCHASI 20-UY</t>
        </is>
      </c>
      <c r="H571" s="105">
        <v>10.0</v>
      </c>
      <c r="I571" s="105">
        <v>4836487.15</v>
      </c>
      <c r="K571" s="104" t="inlineStr">
        <is>
          <t xml:space="preserve">Va'da berdi | 1-2 kunda qoliga pul kelad id dan tolid | 439</t>
        </is>
      </c>
    </row>
    <row r="572">
      <c r="A572" s="104" t="inlineStr">
        <is>
          <t xml:space="preserve">ХОРАЗМ ВИЛОЯТИ</t>
        </is>
      </c>
      <c r="B572" s="104" t="inlineStr">
        <is>
          <t xml:space="preserve">Урганч филиали</t>
        </is>
      </c>
      <c r="C572" s="104" t="inlineStr">
        <is>
          <t xml:space="preserve">Обещал</t>
        </is>
      </c>
      <c r="D572" s="104" t="inlineStr">
        <is>
          <t xml:space="preserve">Кр-99040804-1</t>
        </is>
      </c>
      <c r="E572" s="104" t="inlineStr">
        <is>
          <t xml:space="preserve">TAJIYEV LAZIZBEK SAPARBAYEVICH</t>
        </is>
      </c>
      <c r="F572" s="104" t="inlineStr">
        <is>
          <t xml:space="preserve">+998907138320 SMS UZI, 998914205742 SMS AYOLI, 998992582701 SMS O’G’LI,</t>
        </is>
      </c>
      <c r="G572" s="104" t="inlineStr">
        <is>
          <t xml:space="preserve">Дўстлик МФЙ, Фаробий кучаси, 9-уй</t>
        </is>
      </c>
      <c r="H572" s="105">
        <v>10.0</v>
      </c>
      <c r="I572" s="105">
        <v>4724186.85</v>
      </c>
      <c r="K572" s="104" t="inlineStr">
        <is>
          <t xml:space="preserve">Va'da berdi | 1-2 kunda tolaberad | 926</t>
        </is>
      </c>
    </row>
    <row r="573">
      <c r="A573" s="104" t="inlineStr">
        <is>
          <t xml:space="preserve">ХОРАЗМ ВИЛОЯТИ</t>
        </is>
      </c>
      <c r="B573" s="104" t="inlineStr">
        <is>
          <t xml:space="preserve">Урганч филиали</t>
        </is>
      </c>
      <c r="C573" s="104" t="inlineStr">
        <is>
          <t xml:space="preserve">Дозвон</t>
        </is>
      </c>
      <c r="D573" s="104" t="inlineStr">
        <is>
          <t xml:space="preserve">Кр-99032651-1</t>
        </is>
      </c>
      <c r="E573" s="104" t="inlineStr">
        <is>
          <t xml:space="preserve">OTAJONOV QUVANDIQ OTAJONOVICH</t>
        </is>
      </c>
      <c r="F573" s="104" t="inlineStr">
        <is>
          <t xml:space="preserve">998939280990 SMS O’G’LI, 998888692895 SMS AYOLI, 998970241820 SMS UY, 998720260692 SMS UY 2,</t>
        </is>
      </c>
      <c r="G573" s="104" t="inlineStr">
        <is>
          <t xml:space="preserve">XONQA TUMANI MADANIY YER MFY ALPOMISH KUCHASI 22A UY</t>
        </is>
      </c>
      <c r="H573" s="105">
        <v>3.0</v>
      </c>
      <c r="I573" s="105">
        <v>4668102.94</v>
      </c>
      <c r="J573" s="105">
        <v>4668102.94</v>
      </c>
      <c r="K573" s="104" t="inlineStr">
        <is>
          <t xml:space="preserve">To'ladi | 18-20 bilan gaplashdim buugn yopad | 361</t>
        </is>
      </c>
    </row>
    <row r="574">
      <c r="A574" s="104" t="inlineStr">
        <is>
          <t xml:space="preserve">ХОРАЗМ ВИЛОЯТИ</t>
        </is>
      </c>
      <c r="B574" s="104" t="inlineStr">
        <is>
          <t xml:space="preserve">Урганч филиали</t>
        </is>
      </c>
      <c r="C574" s="104" t="inlineStr">
        <is>
          <t xml:space="preserve">Обещал</t>
        </is>
      </c>
      <c r="D574" s="104" t="inlineStr">
        <is>
          <t xml:space="preserve">Кр-99022857-3</t>
        </is>
      </c>
      <c r="E574" s="104" t="inlineStr">
        <is>
          <t xml:space="preserve">JUMANIYOZOV OLIMBOY BAXODIR O’G’LI</t>
        </is>
      </c>
      <c r="F574" s="104" t="inlineStr">
        <is>
          <t xml:space="preserve">88-513-14-00 SMS UZI, 88-456-22-88 SMS OTASI, 93-753-72-88 SMS OTASI, 88-364-57-97 SMS OPASI,</t>
        </is>
      </c>
      <c r="G574" s="104" t="inlineStr">
        <is>
          <t xml:space="preserve">XORAZM VILOYATI YANGIARIQ TUMANI QARMISH QISHLOQI SHIXBOG’I MAXALLASI SHIXBOG’I KUCHASI 104 UY</t>
        </is>
      </c>
      <c r="H574" s="105">
        <v>6.0</v>
      </c>
      <c r="I574" s="105">
        <v>4502319.07</v>
      </c>
      <c r="K574" s="104" t="inlineStr">
        <is>
          <t xml:space="preserve">Va'da berdi | 1-2 kunda yopib berad | 119</t>
        </is>
      </c>
    </row>
    <row r="575">
      <c r="A575" s="104" t="inlineStr">
        <is>
          <t xml:space="preserve">ХОРАЗМ ВИЛОЯТИ</t>
        </is>
      </c>
      <c r="B575" s="104" t="inlineStr">
        <is>
          <t xml:space="preserve">Урганч филиали</t>
        </is>
      </c>
      <c r="C575" s="104" t="inlineStr">
        <is>
          <t xml:space="preserve">Обещал</t>
        </is>
      </c>
      <c r="D575" s="104" t="inlineStr">
        <is>
          <t xml:space="preserve">Кр-99028620-1</t>
        </is>
      </c>
      <c r="E575" s="104" t="inlineStr">
        <is>
          <t xml:space="preserve">MATYAKUBOV RASHID RAXIMBERGANOVICH</t>
        </is>
      </c>
      <c r="F575" s="104" t="inlineStr">
        <is>
          <t xml:space="preserve">95-974-52-02 sms ozi, 77-264-67-67 sms ogli (BEGONA), 95-180-12-18 sms qiz(begona),</t>
        </is>
      </c>
      <c r="G575" s="104" t="inlineStr">
        <is>
          <t xml:space="preserve">XORAZM VILOYATI GURLAN TUMANI BIRLASHGAN QISHLOG’I BIRLASHGAN MAXALLASI XAYRIYAT KUCHASI 52-UY</t>
        </is>
      </c>
      <c r="H575" s="105">
        <v>1.0</v>
      </c>
      <c r="I575" s="105">
        <v>3485712.66</v>
      </c>
      <c r="K575" s="104" t="inlineStr">
        <is>
          <t xml:space="preserve">Va'da berdi | oy oxirigacha tolov qilib berad id orqali | 207</t>
        </is>
      </c>
    </row>
    <row r="576">
      <c r="A576" s="104" t="inlineStr">
        <is>
          <t xml:space="preserve">ХОРАЗМ ВИЛОЯТИ</t>
        </is>
      </c>
      <c r="B576" s="104" t="inlineStr">
        <is>
          <t xml:space="preserve">Урганч филиали</t>
        </is>
      </c>
      <c r="C576" s="104" t="inlineStr">
        <is>
          <t xml:space="preserve">Обещал</t>
        </is>
      </c>
      <c r="D576" s="104" t="inlineStr">
        <is>
          <t xml:space="preserve">Кр-99030305-1</t>
        </is>
      </c>
      <c r="E576" s="104" t="inlineStr">
        <is>
          <t xml:space="preserve">OZODBEKOV MUSABEK SAFARMAT O’G’LI</t>
        </is>
      </c>
      <c r="F576" s="104" t="inlineStr">
        <is>
          <t xml:space="preserve">88-299-15-11  SMS O’ZI, 99-566-51-71 SMS  OTASI, 99-223-31-25  SMS ONASI, 88-923-33-99  SMS YANGASI,</t>
        </is>
      </c>
      <c r="G576" s="104" t="inlineStr">
        <is>
          <t xml:space="preserve">XORAZM VILOYATI XONQA TUMANI NAVXOZ QFY ZINAXOS MFY KUKLAM KUYCHASI 169</t>
        </is>
      </c>
      <c r="H576" s="105">
        <v>13.0</v>
      </c>
      <c r="I576" s="105">
        <v>3406934.58</v>
      </c>
      <c r="K576" s="104" t="inlineStr">
        <is>
          <t xml:space="preserve">Va'da berdi | Adasi bilan gaplashdim 1-2 kunda tyolaberamiz vot | 266</t>
        </is>
      </c>
    </row>
    <row r="577">
      <c r="A577" s="104" t="inlineStr">
        <is>
          <t xml:space="preserve">ХОРАЗМ ВИЛОЯТИ</t>
        </is>
      </c>
      <c r="B577" s="104" t="inlineStr">
        <is>
          <t xml:space="preserve">Урганч филиали</t>
        </is>
      </c>
      <c r="C577" s="104" t="inlineStr">
        <is>
          <t xml:space="preserve">Обещал</t>
        </is>
      </c>
      <c r="D577" s="104" t="inlineStr">
        <is>
          <t xml:space="preserve">Кр-99030607-1</t>
        </is>
      </c>
      <c r="E577" s="104" t="inlineStr">
        <is>
          <t xml:space="preserve">DUSHAMOV AZAMAT QO’SHCHANOVICH</t>
        </is>
      </c>
      <c r="F577" s="104" t="inlineStr">
        <is>
          <t xml:space="preserve">95-780-18-58  SMS O’ZI, 95-641-02-88  SMS O’G’LI, 99-291-50-10  SMS AYOLI, 99-538-13-04 SMS , 998772832202 SMS tolovchi ogli new bic ,</t>
        </is>
      </c>
      <c r="G577" s="104" t="inlineStr">
        <is>
          <t xml:space="preserve">QO’SHKO’PIR TUMANI BAXORISTON MFY OYBEK KUCHASI 49-UY</t>
        </is>
      </c>
      <c r="H577" s="105">
        <v>3.0</v>
      </c>
      <c r="I577" s="105">
        <v>3335915.75</v>
      </c>
      <c r="K577" s="104" t="inlineStr">
        <is>
          <t xml:space="preserve">Va'da berdi | Bugun tolov qilib berad | 284</t>
        </is>
      </c>
    </row>
    <row r="578">
      <c r="A578" s="104" t="inlineStr">
        <is>
          <t xml:space="preserve">ХОРАЗМ ВИЛОЯТИ</t>
        </is>
      </c>
      <c r="B578" s="104" t="inlineStr">
        <is>
          <t xml:space="preserve">Урганч филиали</t>
        </is>
      </c>
      <c r="C578" s="104" t="inlineStr">
        <is>
          <t xml:space="preserve">Обещал</t>
        </is>
      </c>
      <c r="D578" s="104" t="inlineStr">
        <is>
          <t xml:space="preserve">Кр-99030554-1</t>
        </is>
      </c>
      <c r="E578" s="104" t="inlineStr">
        <is>
          <t xml:space="preserve">XO’SINOV XAYRULLA ODILBEK O’G’LI</t>
        </is>
      </c>
      <c r="F578" s="104" t="inlineStr">
        <is>
          <t xml:space="preserve">94-863-64-66 SMS O’ZI, 93-308-64-66 SMS AYOLI(begona), 998930438330 SMS ONASI, 998935187910 SMS OTASI, 998992305824 akasi,</t>
        </is>
      </c>
      <c r="G578" s="104" t="inlineStr">
        <is>
          <t xml:space="preserve">XORAZM VILOYATI XONQA TUMANI OXUNBOBOYEV QFY ISTIQLOL MFYDO’STLIK 185-UY</t>
        </is>
      </c>
      <c r="H578" s="105">
        <v>9.0</v>
      </c>
      <c r="I578" s="105">
        <v>3291485.95</v>
      </c>
      <c r="K578" s="104" t="inlineStr">
        <is>
          <t xml:space="preserve">Va'da berdi | Bolasi  balnisaga tushib qopti 2-3 kun ichida yopib beraman dvotti | 280</t>
        </is>
      </c>
    </row>
    <row r="579">
      <c r="A579" s="104" t="inlineStr">
        <is>
          <t xml:space="preserve">ХОРАЗМ ВИЛОЯТИ</t>
        </is>
      </c>
      <c r="B579" s="104" t="inlineStr">
        <is>
          <t xml:space="preserve">Урганч филиали</t>
        </is>
      </c>
      <c r="C579" s="104" t="inlineStr">
        <is>
          <t xml:space="preserve">Обещал</t>
        </is>
      </c>
      <c r="D579" s="104" t="inlineStr">
        <is>
          <t xml:space="preserve">Кр-99031721-1</t>
        </is>
      </c>
      <c r="E579" s="104" t="inlineStr">
        <is>
          <t xml:space="preserve">SAMANDAROV SHAHZOD MANSURBEK O’G’LI</t>
        </is>
      </c>
      <c r="F579" s="104" t="inlineStr">
        <is>
          <t xml:space="preserve">998932202826 SMS O’ZI, 998975109394 SMS OTASI, 998938509080 SMS ONASI, 998770518959 SMS UKASI, 998946494414 UZI NEWW,</t>
        </is>
      </c>
      <c r="G579" s="104" t="inlineStr">
        <is>
          <t xml:space="preserve">XORAZM VILOYATI URGANCH TUMANI YUQORIBOG’ QFY XAMID OLIMJON MFY SHUKRONA KO’CHASI 4-UY</t>
        </is>
      </c>
      <c r="H579" s="105">
        <v>6.0</v>
      </c>
      <c r="I579" s="105">
        <v>3232528.82</v>
      </c>
      <c r="K579" s="104" t="inlineStr">
        <is>
          <t xml:space="preserve">Va'da berdi | Moshinasi filialda auksionga tayorlanvotti | 324</t>
        </is>
      </c>
    </row>
    <row r="580">
      <c r="A580" s="104" t="inlineStr">
        <is>
          <t xml:space="preserve">ХОРАЗМ ВИЛОЯТИ</t>
        </is>
      </c>
      <c r="B580" s="104" t="inlineStr">
        <is>
          <t xml:space="preserve">Урганч филиали</t>
        </is>
      </c>
      <c r="C580" s="104" t="inlineStr">
        <is>
          <t xml:space="preserve">Обещал</t>
        </is>
      </c>
      <c r="D580" s="104" t="inlineStr">
        <is>
          <t xml:space="preserve">Кр-99050892-2</t>
        </is>
      </c>
      <c r="E580" s="104" t="inlineStr">
        <is>
          <t xml:space="preserve">XALNIYAZOVA GUZAL SATIMBAYEVNA</t>
        </is>
      </c>
      <c r="F580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580" s="104" t="inlineStr">
        <is>
          <t xml:space="preserve">ХОРАЗМ ВИЛОЯТИ УРГАНЧ ШАХРИ Al-Xorazmiy MFY, Shabnam ko’chasi, 112-uy</t>
        </is>
      </c>
      <c r="H580" s="105">
        <v>10.0</v>
      </c>
      <c r="I580" s="105">
        <v>2963862.87</v>
      </c>
      <c r="K580" s="104" t="inlineStr">
        <is>
          <t xml:space="preserve">Va'da berdi | qisman tolov qildi qolgani ertaga | 1188</t>
        </is>
      </c>
    </row>
    <row r="581">
      <c r="A581" s="104" t="inlineStr">
        <is>
          <t xml:space="preserve">ХОРАЗМ ВИЛОЯТИ</t>
        </is>
      </c>
      <c r="B581" s="104" t="inlineStr">
        <is>
          <t xml:space="preserve">Урганч филиали</t>
        </is>
      </c>
      <c r="C581" s="104" t="inlineStr">
        <is>
          <t xml:space="preserve">Обещал</t>
        </is>
      </c>
      <c r="D581" s="104" t="inlineStr">
        <is>
          <t xml:space="preserve">Кр-99032261-1</t>
        </is>
      </c>
      <c r="E581" s="104" t="inlineStr">
        <is>
          <t xml:space="preserve">QALANDAROV MUNIS IKROMBOYEVICH</t>
        </is>
      </c>
      <c r="F581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581" s="104" t="inlineStr">
        <is>
          <t xml:space="preserve">XORAZM VILOYATI BO’GOT TUMANI XUNARMAND MFY O’ZBEKISTON KELAJAGI KUCHASI 17-UY</t>
        </is>
      </c>
      <c r="H581" s="105">
        <v>14.0</v>
      </c>
      <c r="I581" s="105">
        <v>2800844.32</v>
      </c>
      <c r="K581" s="104" t="inlineStr">
        <is>
          <t xml:space="preserve">Va'da berdi | Ozi rassiyada 1-2 kunda tolov qilib berad | 341</t>
        </is>
      </c>
    </row>
    <row r="582">
      <c r="A582" s="104" t="inlineStr">
        <is>
          <t xml:space="preserve">ХОРАЗМ ВИЛОЯТИ</t>
        </is>
      </c>
      <c r="B582" s="104" t="inlineStr">
        <is>
          <t xml:space="preserve">Урганч филиали</t>
        </is>
      </c>
      <c r="C582" s="104" t="inlineStr">
        <is>
          <t xml:space="preserve">Обещал</t>
        </is>
      </c>
      <c r="D582" s="104" t="inlineStr">
        <is>
          <t xml:space="preserve">Кр-99052098-1</t>
        </is>
      </c>
      <c r="E582" s="104" t="inlineStr">
        <is>
          <t xml:space="preserve">SULTONNAZIROV SHOXRUX MATKARIMOVICH</t>
        </is>
      </c>
      <c r="F582" s="104" t="inlineStr">
        <is>
          <t xml:space="preserve">+998701324121 SMS UZI, 998930662024 SMS AYOLI, 998974599900 SMS AKASI,</t>
        </is>
      </c>
      <c r="G582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582" s="105">
        <v>14.0</v>
      </c>
      <c r="I582" s="105">
        <v>2245702.56</v>
      </c>
      <c r="K582" s="104" t="inlineStr">
        <is>
          <t xml:space="preserve">Va'da berdi | qisman tolov qildi | 1193</t>
        </is>
      </c>
    </row>
    <row r="583">
      <c r="A583" s="104" t="inlineStr">
        <is>
          <t xml:space="preserve">ХОРАЗМ ВИЛОЯТИ</t>
        </is>
      </c>
      <c r="B583" s="104" t="inlineStr">
        <is>
          <t xml:space="preserve">Урганч филиали</t>
        </is>
      </c>
      <c r="C583" s="104" t="inlineStr">
        <is>
          <t xml:space="preserve">Дозвон</t>
        </is>
      </c>
      <c r="D583" s="104" t="inlineStr">
        <is>
          <t xml:space="preserve">Кр-99029634-2</t>
        </is>
      </c>
      <c r="E583" s="104" t="inlineStr">
        <is>
          <t xml:space="preserve">TADJIBAYEV AXMEDJAN SABUROVICH</t>
        </is>
      </c>
      <c r="F583" s="104" t="inlineStr">
        <is>
          <t xml:space="preserve">97-526-60-60 SMS OGLI, 99-668-33-31 SMS OZI, 97-518-77-71 SMS QO'SHNISI, 99-447-95-24 SMS KELINI, 998954973339 SMS Ozi new,</t>
        </is>
      </c>
      <c r="G583" s="104" t="inlineStr">
        <is>
          <t xml:space="preserve">XORAZM VILOYATI GURLAN TUMANI YANGI ASR MAXALLASI NUKUS KUCHASI 65-UY</t>
        </is>
      </c>
      <c r="H583" s="105">
        <v>1.0</v>
      </c>
      <c r="I583" s="105">
        <v>2206588.83</v>
      </c>
      <c r="J583" s="105">
        <v>2206588.83</v>
      </c>
      <c r="K583" s="104" t="inlineStr">
        <is>
          <t xml:space="preserve">To'ladi | buugn yopad ogli Rassiyadan pul tashid | 253</t>
        </is>
      </c>
    </row>
    <row r="584">
      <c r="A584" s="104" t="inlineStr">
        <is>
          <t xml:space="preserve">ХОРАЗМ ВИЛОЯТИ</t>
        </is>
      </c>
      <c r="B584" s="104" t="inlineStr">
        <is>
          <t xml:space="preserve">Урганч филиали</t>
        </is>
      </c>
      <c r="C584" s="104" t="inlineStr">
        <is>
          <t xml:space="preserve">Обещал</t>
        </is>
      </c>
      <c r="D584" s="104" t="inlineStr">
        <is>
          <t xml:space="preserve">Кр-99040991-1</t>
        </is>
      </c>
      <c r="E584" s="104" t="inlineStr">
        <is>
          <t xml:space="preserve">YULDASHEV ABDURAUF ERGASHEVICH</t>
        </is>
      </c>
      <c r="F584" s="104" t="inlineStr">
        <is>
          <t xml:space="preserve">+998990911604 SMS UZI, 998904355651 SMS ONASI, 998907751279 SMS OTASI,</t>
        </is>
      </c>
      <c r="G584" s="104" t="inlineStr">
        <is>
          <t xml:space="preserve">Хорезмская область, Багатский район, Кулонкорабог ССГ, Кулонкорабог МСГ, ул. Кулоллар, дом 92</t>
        </is>
      </c>
      <c r="H584" s="105">
        <v>15.0</v>
      </c>
      <c r="I584" s="105">
        <v>1814710.79</v>
      </c>
      <c r="K584" s="104" t="inlineStr">
        <is>
          <t xml:space="preserve">Va'da berdi | 20,00das ishdan chiqad | 945</t>
        </is>
      </c>
    </row>
    <row r="585">
      <c r="A585" s="104" t="inlineStr">
        <is>
          <t xml:space="preserve">ХОРАЗМ ВИЛОЯТИ</t>
        </is>
      </c>
      <c r="B585" s="104" t="inlineStr">
        <is>
          <t xml:space="preserve">Урганч филиали</t>
        </is>
      </c>
      <c r="C585" s="104" t="inlineStr">
        <is>
          <t xml:space="preserve">Обещал</t>
        </is>
      </c>
      <c r="D585" s="104" t="inlineStr">
        <is>
          <t xml:space="preserve">Кр-99034288-1</t>
        </is>
      </c>
      <c r="E585" s="104" t="inlineStr">
        <is>
          <t xml:space="preserve">MATNIYAZOVA DILAFRUZ ALIMBAYEVNA</t>
        </is>
      </c>
      <c r="F585" s="104" t="inlineStr">
        <is>
          <t xml:space="preserve">998974592323 SMS ERI  uy quradi usta , 998991510474 SMS O’ZI, 998958984812 SMS O’ZI, 998906630044 SMS ERI(begona), 998992564600 SMS ERI NEW,</t>
        </is>
      </c>
      <c r="G585" s="104" t="inlineStr">
        <is>
          <t xml:space="preserve">XORAZM VILOYATI URGANCH SHAHRI BO’STON MFY GUJUMZOR KO’CHASI 12-UY 3-XONADON</t>
        </is>
      </c>
      <c r="I585" s="105">
        <v>1751748.54</v>
      </c>
      <c r="K585" s="104" t="inlineStr">
        <is>
          <t xml:space="preserve">Va'da berdi | eri bugun tolaberad | 445</t>
        </is>
      </c>
    </row>
    <row r="586">
      <c r="A586" s="104" t="inlineStr">
        <is>
          <t xml:space="preserve">ХОРАЗМ ВИЛОЯТИ</t>
        </is>
      </c>
      <c r="B586" s="104" t="inlineStr">
        <is>
          <t xml:space="preserve">Урганч филиали</t>
        </is>
      </c>
      <c r="C586" s="104" t="inlineStr">
        <is>
          <t xml:space="preserve">Обещал</t>
        </is>
      </c>
      <c r="D586" s="104" t="inlineStr">
        <is>
          <t xml:space="preserve">Кр-99022857-5</t>
        </is>
      </c>
      <c r="E586" s="104" t="inlineStr">
        <is>
          <t xml:space="preserve">JUMANIYOZOV OLIMBOY BAXODIR O’G’LI</t>
        </is>
      </c>
      <c r="F586" s="104" t="inlineStr">
        <is>
          <t xml:space="preserve">88-513-14-00 SMS UZI, 88-456-22-88 SMS OTASI, 93-753-72-88 SMS OTASI, 88-364-57-97 SMS OPASI,</t>
        </is>
      </c>
      <c r="G586" s="104" t="inlineStr">
        <is>
          <t xml:space="preserve">XORAZM VILOYATI YANGIARIQ TUMANI QARMISH QISHLOQI SHIXBOG’I MAXALLASI SHIXBOG’I KUCHASI 104 UY</t>
        </is>
      </c>
      <c r="H586" s="105">
        <v>10.0</v>
      </c>
      <c r="I586" s="105">
        <v>1595496.03</v>
      </c>
      <c r="K586" s="104" t="inlineStr">
        <is>
          <t xml:space="preserve">Va'da berdi | 1-2 kunda yopib berad | 120</t>
        </is>
      </c>
    </row>
    <row r="587">
      <c r="A587" s="104" t="inlineStr">
        <is>
          <t xml:space="preserve">ХОРАЗМ ВИЛОЯТИ</t>
        </is>
      </c>
      <c r="B587" s="104" t="inlineStr">
        <is>
          <t xml:space="preserve">Урганч филиали</t>
        </is>
      </c>
      <c r="C587" s="104" t="inlineStr">
        <is>
          <t xml:space="preserve">Дозвон</t>
        </is>
      </c>
      <c r="D587" s="104" t="inlineStr">
        <is>
          <t xml:space="preserve">Кр-99030792-3</t>
        </is>
      </c>
      <c r="E587" s="104" t="inlineStr">
        <is>
          <t xml:space="preserve">XAYTBAYEVA DINORA MADIYOR QIZI</t>
        </is>
      </c>
      <c r="F587" s="104" t="inlineStr">
        <is>
          <t xml:space="preserve">94-112-51-61  SMS ERI (begona), 95-046-90-95  SMS O’ZI, 88-755-79-81  SMS YANGASI, 95-215-79-25  SMS JIYANI,</t>
        </is>
      </c>
      <c r="G587" s="104" t="inlineStr">
        <is>
          <t xml:space="preserve">XORAZM VILOYATI GURLAN TUMANI VAZIR QFY OLCHIN MFY NURLI IZ KUCHASI 54-UY</t>
        </is>
      </c>
      <c r="H587" s="105">
        <v>1.0</v>
      </c>
      <c r="I587" s="105">
        <v>881526.03</v>
      </c>
      <c r="J587" s="105">
        <v>881526.03</v>
      </c>
      <c r="K587" s="104" t="inlineStr">
        <is>
          <t xml:space="preserve">To'ladi | yopildi | 299</t>
        </is>
      </c>
    </row>
    <row r="588">
      <c r="A588" s="104" t="inlineStr">
        <is>
          <t xml:space="preserve">ХОРАЗМ ВИЛОЯТИ</t>
        </is>
      </c>
      <c r="B588" s="104" t="inlineStr">
        <is>
          <t xml:space="preserve">Урганч филиали</t>
        </is>
      </c>
      <c r="C588" s="104" t="inlineStr">
        <is>
          <t xml:space="preserve">Обещал</t>
        </is>
      </c>
      <c r="D588" s="104" t="inlineStr">
        <is>
          <t xml:space="preserve">Кр-99031403-1</t>
        </is>
      </c>
      <c r="E588" s="104" t="inlineStr">
        <is>
          <t xml:space="preserve">SHARIFOV UMRBEK XASANOVICH</t>
        </is>
      </c>
      <c r="F588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588" s="104" t="inlineStr">
        <is>
          <t xml:space="preserve">XORAZM VILOYATI AL-XORAZMIY MFY SAMARQAND KUCHA 134-UY</t>
        </is>
      </c>
      <c r="H588" s="105">
        <v>15.0</v>
      </c>
      <c r="I588" s="105">
        <v>628268.48</v>
      </c>
      <c r="K588" s="104" t="inlineStr">
        <is>
          <t xml:space="preserve">Va'da berdi | bugn bankdan pul yechib yopad | 313</t>
        </is>
      </c>
    </row>
    <row r="589">
      <c r="A589" s="104" t="inlineStr">
        <is>
          <t xml:space="preserve">ХОРАЗМ ВИЛОЯТИ</t>
        </is>
      </c>
      <c r="B589" s="104" t="inlineStr">
        <is>
          <t xml:space="preserve">Урганч филиали</t>
        </is>
      </c>
      <c r="C589" s="104" t="inlineStr">
        <is>
          <t xml:space="preserve">Обещал</t>
        </is>
      </c>
      <c r="D589" s="104" t="inlineStr">
        <is>
          <t xml:space="preserve">Кр-99040644-2</t>
        </is>
      </c>
      <c r="E589" s="104" t="inlineStr">
        <is>
          <t xml:space="preserve">AVEZOV MAXMUD RUSTAMOVICH</t>
        </is>
      </c>
      <c r="F589" s="104" t="inlineStr">
        <is>
          <t xml:space="preserve">+998770620060 SMS UZI, 998941181977 SMS AYOLI 2, 998959110060 SMS AYOLI,</t>
        </is>
      </c>
      <c r="G589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589" s="105">
        <v>10.0</v>
      </c>
      <c r="I589" s="105">
        <v>564887.43</v>
      </c>
      <c r="K589" s="104" t="inlineStr">
        <is>
          <t xml:space="preserve">Va'da berdi | bugn kechga tolaberad | 912</t>
        </is>
      </c>
    </row>
    <row r="590">
      <c r="A590" s="104" t="inlineStr">
        <is>
          <t xml:space="preserve">ХОРАЗМ ВИЛОЯТИ</t>
        </is>
      </c>
      <c r="B590" s="104" t="inlineStr">
        <is>
          <t xml:space="preserve">Урганч филиали</t>
        </is>
      </c>
      <c r="C590" s="104" t="inlineStr">
        <is>
          <t xml:space="preserve">Обещал</t>
        </is>
      </c>
      <c r="D590" s="104" t="inlineStr">
        <is>
          <t xml:space="preserve">Кр-99030417-2</t>
        </is>
      </c>
      <c r="E590" s="104" t="inlineStr">
        <is>
          <t xml:space="preserve">ROZIMBETOV XAMDAM BAXADIROVICH</t>
        </is>
      </c>
      <c r="F590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590" s="104" t="inlineStr">
        <is>
          <t xml:space="preserve">ХОРАЗМ ВИЛОЯТИ УРГАНЧ Ш., МАШЪАЛ МФЙ, 176КВАРТАЛ,  uy:241</t>
        </is>
      </c>
      <c r="H590" s="105">
        <v>1.0</v>
      </c>
      <c r="I590" s="105">
        <v>504701.33</v>
      </c>
      <c r="K590" s="104" t="inlineStr">
        <is>
          <t xml:space="preserve">Va'da berdi | onasi bilan gaplashdim bugun yopad | 273</t>
        </is>
      </c>
    </row>
    <row r="591">
      <c r="A591" s="104" t="inlineStr">
        <is>
          <t xml:space="preserve">ХОРАЗМ ВИЛОЯТИ</t>
        </is>
      </c>
      <c r="B591" s="104" t="inlineStr">
        <is>
          <t xml:space="preserve">Урганч филиали</t>
        </is>
      </c>
      <c r="C591" s="104" t="inlineStr">
        <is>
          <t xml:space="preserve">Обещал</t>
        </is>
      </c>
      <c r="D591" s="104" t="inlineStr">
        <is>
          <t xml:space="preserve">Кр-99030615-1</t>
        </is>
      </c>
      <c r="E591" s="104" t="inlineStr">
        <is>
          <t xml:space="preserve">XUDAYBERGANOV MADYAR ALIMOVICH</t>
        </is>
      </c>
      <c r="F591" s="104" t="inlineStr">
        <is>
          <t xml:space="preserve">91-426-02-50  SMS O’ZI, 91-999-40-40  SMS AYOLI, 90-430-44-61  SMS O’G’LI, 95-771-44-61  SMS QIZI,</t>
        </is>
      </c>
      <c r="G591" s="104" t="inlineStr">
        <is>
          <t xml:space="preserve">XORAZM VILOYATI URGANCH TUMANI BO’STON MFY NAVOI KUCHASI 5-UY</t>
        </is>
      </c>
      <c r="H591" s="105">
        <v>6.0</v>
      </c>
      <c r="I591" s="105">
        <v>373724.99</v>
      </c>
      <c r="K591" s="104" t="inlineStr">
        <is>
          <t xml:space="preserve">Va'da berdi | Bugun tolov qilib berad | 287</t>
        </is>
      </c>
    </row>
    <row r="592">
      <c r="A592" s="104" t="inlineStr">
        <is>
          <t xml:space="preserve">ХОРАЗМ ВИЛОЯТИ</t>
        </is>
      </c>
      <c r="B592" s="104" t="inlineStr">
        <is>
          <t xml:space="preserve">Урганч филиали</t>
        </is>
      </c>
      <c r="C592" s="104" t="inlineStr">
        <is>
          <t xml:space="preserve">Обещал</t>
        </is>
      </c>
      <c r="D592" s="104" t="inlineStr">
        <is>
          <t xml:space="preserve">Кр-99030417-3</t>
        </is>
      </c>
      <c r="E592" s="104" t="inlineStr">
        <is>
          <t xml:space="preserve">ROZIMBETOV XAMDAM BAXADIROVICH</t>
        </is>
      </c>
      <c r="F592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592" s="104" t="inlineStr">
        <is>
          <t xml:space="preserve">ХОРАЗМ ВИЛОЯТИ УРГАНЧ Ш., МАШЪАЛ МФЙ, 176КВАРТАЛ,  uy:241</t>
        </is>
      </c>
      <c r="H592" s="105">
        <v>15.0</v>
      </c>
      <c r="I592" s="105">
        <v>279210.57</v>
      </c>
      <c r="K592" s="104" t="inlineStr">
        <is>
          <t xml:space="preserve">Va'da berdi | onasi bilan gaplashdim bugun yopad | 274</t>
        </is>
      </c>
    </row>
    <row r="593">
      <c r="A593" s="104" t="inlineStr">
        <is>
          <t xml:space="preserve">ХОРАЗМ ВИЛОЯТИ</t>
        </is>
      </c>
      <c r="B593" s="104" t="inlineStr">
        <is>
          <t xml:space="preserve">Урганч филиали</t>
        </is>
      </c>
      <c r="C593" s="104" t="inlineStr">
        <is>
          <t xml:space="preserve">Дозвон</t>
        </is>
      </c>
      <c r="D593" s="104" t="inlineStr">
        <is>
          <t xml:space="preserve">Кр-99012130-4</t>
        </is>
      </c>
      <c r="E593" s="104" t="inlineStr">
        <is>
          <t xml:space="preserve">SHAXNAZAROV TEMIRBEK UMIDBEK O’G’LI</t>
        </is>
      </c>
      <c r="F593" s="104" t="inlineStr">
        <is>
          <t xml:space="preserve">99-542-98-19 SMS O’ZI, 99-541-98-19 SMS OTASI, 93-752-68-98 SMS UKASI BOBUR, 99-157-47-40 SMS SINGLISI(BEGONA), 998993812882 SMS UZI NEW,</t>
        </is>
      </c>
      <c r="G593" s="104" t="inlineStr">
        <is>
          <t xml:space="preserve">XORAZM VILOYATI URGANCH TUMANI YUQORIBOG’ MFY OQ OLTIN KOCHASI 34-UY</t>
        </is>
      </c>
      <c r="H593" s="105">
        <v>10.0</v>
      </c>
      <c r="I593" s="105">
        <v>31458.28</v>
      </c>
      <c r="J593" s="105">
        <v>31458.28</v>
      </c>
      <c r="K593" s="104" t="inlineStr">
        <is>
          <t xml:space="preserve">To'ladi | bugun yopilad | 42</t>
        </is>
      </c>
    </row>
    <row r="594">
      <c r="A594" s="104" t="inlineStr">
        <is>
          <t xml:space="preserve">ХОРАЗМ ВИЛОЯТИ</t>
        </is>
      </c>
      <c r="B594" s="104" t="inlineStr">
        <is>
          <t xml:space="preserve">Урганч филиали</t>
        </is>
      </c>
      <c r="C594" s="104" t="inlineStr">
        <is>
          <t xml:space="preserve">Дозвон</t>
        </is>
      </c>
      <c r="D594" s="104" t="inlineStr">
        <is>
          <t xml:space="preserve">Кр-99029595-1</t>
        </is>
      </c>
      <c r="E594" s="104" t="inlineStr">
        <is>
          <t xml:space="preserve">OZODOV MUHIDDIN KAMOLIDDIN O’G’LI</t>
        </is>
      </c>
      <c r="F594" s="104" t="inlineStr">
        <is>
          <t xml:space="preserve">94-113-10-31 SMS O'ZI, 94-725-82-84  SMS AKASI, 93-748-83-84  SMS KELINOYISI,</t>
        </is>
      </c>
      <c r="G594" s="104" t="inlineStr">
        <is>
          <t xml:space="preserve">XORAZM VILOYATI XONQA TUMANI BARKAMOLLIK MAXALLASI NODIRABEGIM KUCHASI 29 UY</t>
        </is>
      </c>
      <c r="H594" s="105">
        <v>2.0</v>
      </c>
      <c r="I594" s="105">
        <v>8142.81</v>
      </c>
      <c r="J594" s="105">
        <v>8142.81</v>
      </c>
      <c r="K594" s="104" t="inlineStr">
        <is>
          <t xml:space="preserve">To'ladi | Abetgacha yopad | 249</t>
        </is>
      </c>
    </row>
  </sheetData>
  <autoFilter ref="A2:K594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463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Обещал</t>
        </is>
      </c>
      <c r="D3" s="98" t="inlineStr">
        <is>
          <t xml:space="preserve">Кр-99062885-1</t>
        </is>
      </c>
      <c r="E3" s="98" t="inlineStr">
        <is>
          <t xml:space="preserve">KASIMXODJAYEV ABDUXALIL ABDUMAJITOVICH</t>
        </is>
      </c>
      <c r="F3" s="98" t="inlineStr">
        <is>
          <t xml:space="preserve">+998916208060 SMS O’ZI, 998914781293 SMS AYOLI, 998916028060 SMS UY, 998976208060 SMS O’ZI2,</t>
        </is>
      </c>
      <c r="G3" s="98" t="inlineStr">
        <is>
          <t xml:space="preserve">ANDIJON VILOYATI  ANDIJON SHAHAR MAYDONBOZOR MFY YAXSHI KO’CHASI 61/59-UY</t>
        </is>
      </c>
      <c r="H3" s="99">
        <v>10.0</v>
      </c>
      <c r="I3" s="99">
        <v>14507307.79</v>
      </c>
      <c r="K3" s="98" t="inlineStr">
        <is>
          <t xml:space="preserve">Va'da berdi | 1-2 kunda hal qiladi | 4383561.643835616 | 10123746.15</t>
        </is>
      </c>
    </row>
    <row r="4">
      <c r="A4" s="98" t="inlineStr">
        <is>
          <t xml:space="preserve">АНДИЖОН ВИЛОЯТИ</t>
        </is>
      </c>
      <c r="C4" s="98" t="inlineStr">
        <is>
          <t xml:space="preserve">Обещал</t>
        </is>
      </c>
      <c r="D4" s="98" t="inlineStr">
        <is>
          <t xml:space="preserve">Кр-99058759-1</t>
        </is>
      </c>
      <c r="E4" s="98" t="inlineStr">
        <is>
          <t xml:space="preserve">RAXMANOV DILSHODBEK TO’XTASINOVICH</t>
        </is>
      </c>
      <c r="F4" s="98" t="inlineStr">
        <is>
          <t xml:space="preserve">998889930005 SMS OZI, 998955173700 SMS AYOLI, 998979970184 SMS UKASI, 998949300052 SMS OZI 2,</t>
        </is>
      </c>
      <c r="G4" s="98" t="inlineStr">
        <is>
          <t xml:space="preserve">ANDIJON VILOYATI QO’RG’ONTEPA TUMANI DEXQONCHEK MFY ERKIN IJOD KO’CHASI 74-UY</t>
        </is>
      </c>
      <c r="H4" s="99">
        <v>13.0</v>
      </c>
      <c r="I4" s="99">
        <v>13767147.22</v>
      </c>
      <c r="K4" s="98" t="inlineStr">
        <is>
          <t xml:space="preserve">Va'da berdi | 25 kunga hal qiladi | 5342465.7534246575 | 8424681.47</t>
        </is>
      </c>
    </row>
    <row r="5">
      <c r="A5" s="98" t="inlineStr">
        <is>
          <t xml:space="preserve">АНДИЖОН ВИЛОЯТИ</t>
        </is>
      </c>
      <c r="C5" s="98" t="inlineStr">
        <is>
          <t xml:space="preserve">Обещал</t>
        </is>
      </c>
      <c r="D5" s="98" t="inlineStr">
        <is>
          <t xml:space="preserve">Кр-99047889-1</t>
        </is>
      </c>
      <c r="E5" s="98" t="inlineStr">
        <is>
          <t xml:space="preserve">SHIRMATOV MUXAMMADOZOD QODIRALI O’G’LI</t>
        </is>
      </c>
      <c r="F5" s="98" t="inlineStr">
        <is>
          <t xml:space="preserve">+998911715500 SMS O’ZI, 998772495500 SMS OG’LI, 998972225500 SMS UY, 998998173300 SMS NEVARASI,</t>
        </is>
      </c>
      <c r="G5" s="98" t="inlineStr">
        <is>
          <t xml:space="preserve">ANDIJON VILOYATI ANDIJON SHAHAR ISTIQLOL MFY OBOD 1-TOR KO’CHASI 5-UY</t>
        </is>
      </c>
      <c r="H5" s="99">
        <v>13.0</v>
      </c>
      <c r="I5" s="99">
        <v>12856969.26</v>
      </c>
      <c r="K5" s="98" t="inlineStr">
        <is>
          <t xml:space="preserve">Va'da berdi | 25 kunga hal qiladi | 4630136.98630137 | 8226832.27</t>
        </is>
      </c>
    </row>
    <row r="6">
      <c r="A6" s="98" t="inlineStr">
        <is>
          <t xml:space="preserve">АНДИЖОН ВИЛОЯТИ</t>
        </is>
      </c>
      <c r="C6" s="98" t="inlineStr">
        <is>
          <t xml:space="preserve">Обещал</t>
        </is>
      </c>
      <c r="D6" s="98" t="inlineStr">
        <is>
          <t xml:space="preserve">Кр-99060389-1</t>
        </is>
      </c>
      <c r="E6" s="98" t="inlineStr">
        <is>
          <t xml:space="preserve">SULTANOVA XAMIDA ULJABEKOVNA</t>
        </is>
      </c>
      <c r="F6" s="98" t="inlineStr">
        <is>
          <t xml:space="preserve">+998934141584 SMS O’ZI, 998973243443 SMS KELINI, 998979753443 SMS O’G’LI, 998993200858 SMS XO’JAYNI,</t>
        </is>
      </c>
      <c r="G6" s="98" t="inlineStr">
        <is>
          <t xml:space="preserve">Andijon viloyati Andijon shahar Sadoqat MFY Fuzuliy ko’chasi 49-uy</t>
        </is>
      </c>
      <c r="H6" s="99">
        <v>10.0</v>
      </c>
      <c r="I6" s="99">
        <v>12724540.83</v>
      </c>
      <c r="K6" s="98" t="inlineStr">
        <is>
          <t xml:space="preserve">Va'da berdi | dushanba seshanba kuni | 3835616.438356164 | 8888924.39</t>
        </is>
      </c>
    </row>
    <row r="7">
      <c r="A7" s="98" t="inlineStr">
        <is>
          <t xml:space="preserve">АНДИЖОН ВИЛОЯТИ</t>
        </is>
      </c>
      <c r="C7" s="98" t="inlineStr">
        <is>
          <t xml:space="preserve">Обещал</t>
        </is>
      </c>
      <c r="D7" s="98" t="inlineStr">
        <is>
          <t xml:space="preserve">Кр-99061048-1</t>
        </is>
      </c>
      <c r="E7" s="98" t="inlineStr">
        <is>
          <t xml:space="preserve">ORIFJANOV NODIRBEK OMANJANOVICH</t>
        </is>
      </c>
      <c r="F7" s="98" t="inlineStr">
        <is>
          <t xml:space="preserve">998916841884 uzi, 998335177797 ayoli, 998944870903 onasi,</t>
        </is>
      </c>
      <c r="G7" s="98" t="inlineStr">
        <is>
          <t xml:space="preserve">ANDIJON VILOYATI QO’RG’ONTEPA TUMANI SAVAY YANGI BO’STON MFY BARKAMOL KO’CHASI 58-UY</t>
        </is>
      </c>
      <c r="H7" s="99">
        <v>13.0</v>
      </c>
      <c r="I7" s="99">
        <v>11960619.86</v>
      </c>
      <c r="K7" s="98" t="inlineStr">
        <is>
          <t xml:space="preserve">Va'da berdi | shu hafta hal qilib berdi | 4273972.602739726 | 7686647.26</t>
        </is>
      </c>
    </row>
    <row r="8">
      <c r="A8" s="98" t="inlineStr">
        <is>
          <t xml:space="preserve">АНДИЖОН ВИЛОЯТИ</t>
        </is>
      </c>
      <c r="C8" s="98" t="inlineStr">
        <is>
          <t xml:space="preserve">Обещал</t>
        </is>
      </c>
      <c r="D8" s="98" t="inlineStr">
        <is>
          <t xml:space="preserve">Кр-99061572-1</t>
        </is>
      </c>
      <c r="E8" s="98" t="inlineStr">
        <is>
          <t xml:space="preserve">AXMEDOV  JAVOHIRBEK TOJIDIN O’G’LI</t>
        </is>
      </c>
      <c r="F8" s="98" t="inlineStr">
        <is>
          <t xml:space="preserve">998907726810 узи, 998910676800 аели, 998882357585 укаси, 998974054333 укаси,</t>
        </is>
      </c>
      <c r="G8" s="98" t="inlineStr">
        <is>
          <t xml:space="preserve">ANDIJON VILOYATI ANDIJON TUMANI NURAFSHON MFY YANGI TURMUSH KO’CHASI 69A-UY</t>
        </is>
      </c>
      <c r="H8" s="99">
        <v>13.0</v>
      </c>
      <c r="I8" s="99">
        <v>11959423.46</v>
      </c>
      <c r="K8" s="98" t="inlineStr">
        <is>
          <t xml:space="preserve">Va'da berdi | 25 kunga hal qiladi | 4273972.602739726 | 7685450.86</t>
        </is>
      </c>
    </row>
    <row r="9">
      <c r="A9" s="98" t="inlineStr">
        <is>
          <t xml:space="preserve">АНДИЖОН ВИЛОЯТИ</t>
        </is>
      </c>
      <c r="C9" s="98" t="inlineStr">
        <is>
          <t xml:space="preserve">Обещал</t>
        </is>
      </c>
      <c r="D9" s="98" t="inlineStr">
        <is>
          <t xml:space="preserve">Кр-99024542-1</t>
        </is>
      </c>
      <c r="E9" s="98" t="inlineStr">
        <is>
          <t xml:space="preserve">XALMATOV ADIL PAZILOVICH</t>
        </is>
      </c>
      <c r="F9" s="98" t="inlineStr">
        <is>
          <t xml:space="preserve">77-123-13-10 SMS OZI, 98-707-22-92 SMS OZI, 90-541-13-18 SMS OZI, 998880072292 УГЛИ шохрух,</t>
        </is>
      </c>
      <c r="G9" s="98" t="inlineStr">
        <is>
          <t xml:space="preserve">ANDIJON VILOYATI ANDIJON SHAHAR ISLOMOBOD MFY 7-TOR MUXITDINOV 21-UY</t>
        </is>
      </c>
      <c r="H9" s="99">
        <v>8.0</v>
      </c>
      <c r="I9" s="99">
        <v>11534219.7</v>
      </c>
      <c r="K9" s="98" t="inlineStr">
        <is>
          <t xml:space="preserve">Va'da berdi | 25 kuni tolaydi | 5041095.890410959 | 6493123.81</t>
        </is>
      </c>
    </row>
    <row r="10">
      <c r="A10" s="98" t="inlineStr">
        <is>
          <t xml:space="preserve">АНДИЖОН ВИЛОЯТИ</t>
        </is>
      </c>
      <c r="C10" s="98" t="inlineStr">
        <is>
          <t xml:space="preserve">Обещал</t>
        </is>
      </c>
      <c r="D10" s="98" t="inlineStr">
        <is>
          <t xml:space="preserve">Кр-99063922-3</t>
        </is>
      </c>
      <c r="E10" s="98" t="inlineStr">
        <is>
          <t xml:space="preserve">RUZIYEVA RANO KABILOVNA</t>
        </is>
      </c>
      <c r="F10" s="98" t="inlineStr">
        <is>
          <t xml:space="preserve">+998905437075 SMS O’ZI, 998902597075 SMS UY, 998906257691 SMS OPASI, 998921519222 SMS QIZI,</t>
        </is>
      </c>
      <c r="G10" s="98" t="inlineStr">
        <is>
          <t xml:space="preserve">ANDIJON VILOYATI ANDIJON SHAHAR O’ZBEGIM MFY, A. MUSAYE KO’CHASI 4-UY 31-XONADON</t>
        </is>
      </c>
      <c r="H10" s="99">
        <v>10.0</v>
      </c>
      <c r="I10" s="99">
        <v>11102362.23</v>
      </c>
      <c r="K10" s="98" t="inlineStr">
        <is>
          <t xml:space="preserve">Va'da berdi | dushanba kuni tolaydi | 3835616.438356164 | 7266745.79</t>
        </is>
      </c>
    </row>
    <row r="11">
      <c r="A11" s="98" t="inlineStr">
        <is>
          <t xml:space="preserve">АНДИЖОН ВИЛОЯТИ</t>
        </is>
      </c>
      <c r="C11" s="98" t="inlineStr">
        <is>
          <t xml:space="preserve">Обещал</t>
        </is>
      </c>
      <c r="D11" s="98" t="inlineStr">
        <is>
          <t xml:space="preserve">Кр-99063424-2</t>
        </is>
      </c>
      <c r="E11" s="98" t="inlineStr">
        <is>
          <t xml:space="preserve">TURSUNOV RAXMATILLO IKRAMJANOVICH</t>
        </is>
      </c>
      <c r="F11" s="98" t="inlineStr">
        <is>
          <t xml:space="preserve">998702250075 SMS OZI, 998886020075 SMS UKASI2, 998889248080 SMS AYOLI, 998970711009 SMS UKASI,</t>
        </is>
      </c>
      <c r="G11" s="98" t="inlineStr">
        <is>
          <t xml:space="preserve">ANDIJON VILOYATI QO’RG’ONTEPA TUMANI</t>
        </is>
      </c>
      <c r="H11" s="99">
        <v>10.0</v>
      </c>
      <c r="I11" s="99">
        <v>10783206.14</v>
      </c>
      <c r="K11" s="98" t="inlineStr">
        <is>
          <t xml:space="preserve">Va'da berdi | 25 kuni tolaydi | 3013698.6301369863 | 7769507.51</t>
        </is>
      </c>
    </row>
    <row r="12">
      <c r="A12" s="98" t="inlineStr">
        <is>
          <t xml:space="preserve">АНДИЖОН ВИЛОЯТИ</t>
        </is>
      </c>
      <c r="C12" s="98" t="inlineStr">
        <is>
          <t xml:space="preserve">Обещал</t>
        </is>
      </c>
      <c r="D12" s="98" t="inlineStr">
        <is>
          <t xml:space="preserve">Кр-99033455-2</t>
        </is>
      </c>
      <c r="E12" s="98" t="inlineStr">
        <is>
          <t xml:space="preserve">ABDULAZIZOV NOZIMJON NASIBJONOVICH</t>
        </is>
      </c>
      <c r="F12" s="98" t="inlineStr">
        <is>
          <t xml:space="preserve">998934104844 SMS O’ZI, 998000048002 SMS O’ZI 2, 998932544648 SMS AYOLI, 998936913859 SMS XAMKASBI, 998948770475 SMS otasi new ,</t>
        </is>
      </c>
      <c r="G12" s="98" t="inlineStr">
        <is>
          <t xml:space="preserve">ANDIJON VILOYATI PAXTAOBOD TUMANI MA’RIFAT MFY,MA’RIFAT KO’CHASI 47-UY</t>
        </is>
      </c>
      <c r="H12" s="99">
        <v>6.0</v>
      </c>
      <c r="I12" s="99">
        <v>10697383.35</v>
      </c>
      <c r="K12" s="98" t="inlineStr">
        <is>
          <t xml:space="preserve">Va'da berdi | 1-2 kunda hal qiladi | 2465753.4246575343 | 8231629.93</t>
        </is>
      </c>
    </row>
    <row r="13">
      <c r="A13" s="98" t="inlineStr">
        <is>
          <t xml:space="preserve">АНДИЖОН ВИЛОЯТИ</t>
        </is>
      </c>
      <c r="C13" s="98" t="inlineStr">
        <is>
          <t xml:space="preserve">Обещал</t>
        </is>
      </c>
      <c r="D13" s="98" t="inlineStr">
        <is>
          <t xml:space="preserve">Кр-99062998-1</t>
        </is>
      </c>
      <c r="E13" s="98" t="inlineStr">
        <is>
          <t xml:space="preserve">TURDIMAMATOV ERKINJON ABDUMANNABOVICH</t>
        </is>
      </c>
      <c r="F13" s="98" t="inlineStr">
        <is>
          <t xml:space="preserve">+998880040107 SMS O’ZI, 998884772717 SMS O’G’LI, 998914870066 SMS AYOLI, 998941068585 SMS QIZI,</t>
        </is>
      </c>
      <c r="G13" s="98" t="inlineStr">
        <is>
          <t xml:space="preserve">ANDIJON VILOYATI BO’STON TUMANI MADANIYAT MFY, TINCHLIK  KO’CHASI 3-UY</t>
        </is>
      </c>
      <c r="H13" s="99">
        <v>10.0</v>
      </c>
      <c r="I13" s="99">
        <v>10186881.25</v>
      </c>
      <c r="K13" s="98" t="inlineStr">
        <is>
          <t xml:space="preserve">Va'da berdi | dushanba kuni tolaydi | 3287671.2328767125 | 6899210.02</t>
        </is>
      </c>
    </row>
    <row r="14">
      <c r="A14" s="98" t="inlineStr">
        <is>
          <t xml:space="preserve">АНДИЖОН ВИЛОЯТИ</t>
        </is>
      </c>
      <c r="C14" s="98" t="inlineStr">
        <is>
          <t xml:space="preserve">Обещал</t>
        </is>
      </c>
      <c r="D14" s="98" t="inlineStr">
        <is>
          <t xml:space="preserve">Кр-99057627-1</t>
        </is>
      </c>
      <c r="E14" s="98" t="inlineStr">
        <is>
          <t xml:space="preserve">ABDUGANIYEVA MATLUBAXON XXX</t>
        </is>
      </c>
      <c r="F14" s="98" t="inlineStr">
        <is>
          <t xml:space="preserve">998911757604 SMS OZI, 998902011084 SMS OGLI, 998910611084 SMS KELIMI, 998907620065 SMS QUDASI,</t>
        </is>
      </c>
      <c r="G14" s="98" t="inlineStr">
        <is>
          <t xml:space="preserve">ANDIJON VILOYATI ANDIJON SHAHAR QORATUT MFY 5-KICHIK NOXIYA KO’CHASI 17-UY, 78-XONADON</t>
        </is>
      </c>
      <c r="H14" s="99">
        <v>13.0</v>
      </c>
      <c r="I14" s="99">
        <v>9732853.79</v>
      </c>
      <c r="K14" s="98" t="inlineStr">
        <is>
          <t xml:space="preserve">Va'da berdi | shu hafta hal qilib berdi | 4630136.98630137 | 5102716.8</t>
        </is>
      </c>
    </row>
    <row r="15">
      <c r="A15" s="98" t="inlineStr">
        <is>
          <t xml:space="preserve">АНДИЖОН ВИЛОЯТИ</t>
        </is>
      </c>
      <c r="C15" s="98" t="inlineStr">
        <is>
          <t xml:space="preserve">Обещал</t>
        </is>
      </c>
      <c r="D15" s="98" t="inlineStr">
        <is>
          <t xml:space="preserve">Кр-99063505-1</t>
        </is>
      </c>
      <c r="E15" s="98" t="inlineStr">
        <is>
          <t xml:space="preserve">QORABOYEV XURSANBEK XXX</t>
        </is>
      </c>
      <c r="F15" s="98" t="inlineStr">
        <is>
          <t xml:space="preserve">+998950760759 SMS O’ZI, 998937805535 SMS QIZI, 998947861300 SMS O’G’LI, 998948630360 SMS AYOLI, 998932428771 SMS Tolovchi Azamat ,</t>
        </is>
      </c>
      <c r="G15" s="98" t="inlineStr">
        <is>
          <t xml:space="preserve">ANDIJON VILOYATI   ASAKA TUMANI NAMUNA BO’STON  MFY QIPCHOQ KO’CHASI  53-UY</t>
        </is>
      </c>
      <c r="H15" s="99">
        <v>10.0</v>
      </c>
      <c r="I15" s="99">
        <v>9187621.58</v>
      </c>
      <c r="K15" s="98" t="inlineStr">
        <is>
          <t xml:space="preserve">Va'da berdi | 18-19 kuni tolaydi | 3835616.438356164 | 5352005.14</t>
        </is>
      </c>
    </row>
    <row r="16">
      <c r="A16" s="98" t="inlineStr">
        <is>
          <t xml:space="preserve">АНДИЖОН ВИЛОЯТИ</t>
        </is>
      </c>
      <c r="C16" s="98" t="inlineStr">
        <is>
          <t xml:space="preserve">Обещал</t>
        </is>
      </c>
      <c r="D16" s="98" t="inlineStr">
        <is>
          <t xml:space="preserve">Кр-99033808-2</t>
        </is>
      </c>
      <c r="E16" s="98" t="inlineStr">
        <is>
          <t xml:space="preserve">NASIRDINOV MANOPJON PATTAYEVICH</t>
        </is>
      </c>
      <c r="F16" s="98" t="inlineStr">
        <is>
          <t xml:space="preserve">998931053080 SMS O’ZI meva sotadi , 998900000000 SMS, +998916126328 SMS O’ZI, 998916031864 SMS O’ZI2, 998943877760 SMS O’G’LI,</t>
        </is>
      </c>
      <c r="G16" s="98" t="inlineStr">
        <is>
          <t xml:space="preserve">ANDIJON VILOYATI ANDIJON TUMANI GUMBAZ MFY  SHODIYONA KO’CHASI 65-UY</t>
        </is>
      </c>
      <c r="H16" s="99">
        <v>10.0</v>
      </c>
      <c r="I16" s="99">
        <v>9130923.91</v>
      </c>
      <c r="K16" s="98" t="inlineStr">
        <is>
          <t xml:space="preserve">Va'da berdi | 25 gacha hal qiladi | 2739726.02739726 | 6391197.88</t>
        </is>
      </c>
    </row>
    <row r="17">
      <c r="A17" s="98" t="inlineStr">
        <is>
          <t xml:space="preserve">АНДИЖОН ВИЛОЯТИ</t>
        </is>
      </c>
      <c r="C17" s="98" t="inlineStr">
        <is>
          <t xml:space="preserve">Обещал</t>
        </is>
      </c>
      <c r="D17" s="98" t="inlineStr">
        <is>
          <t xml:space="preserve">Кр-99057460-1</t>
        </is>
      </c>
      <c r="E17" s="98" t="inlineStr">
        <is>
          <t xml:space="preserve">ONORBOY O’G’LI PULATJON XXX</t>
        </is>
      </c>
      <c r="F17" s="98" t="inlineStr">
        <is>
          <t xml:space="preserve">998953135155 SMS UZI, 998954616995 SMS AYOLI, 998902025254 SMS AKASI, 998772639874 SMS OPASI,</t>
        </is>
      </c>
      <c r="G17" s="98" t="inlineStr">
        <is>
          <t xml:space="preserve">ANDIJON VILOYATI QO’RG’ONTEPA TUMANI DARDOK, NAVOIY MFY YANGI OBOD KO’CHASI 334-UY</t>
        </is>
      </c>
      <c r="H17" s="99">
        <v>10.0</v>
      </c>
      <c r="I17" s="99">
        <v>9110715.32</v>
      </c>
      <c r="K17" s="98" t="inlineStr">
        <is>
          <t xml:space="preserve">Va'da berdi | oyni oxirigacha hal qiladi | 2739726.02739726 | 6370989.29</t>
        </is>
      </c>
    </row>
    <row r="18">
      <c r="A18" s="98" t="inlineStr">
        <is>
          <t xml:space="preserve">АНДИЖОН ВИЛОЯТИ</t>
        </is>
      </c>
      <c r="C18" s="98" t="inlineStr">
        <is>
          <t xml:space="preserve">Обещал</t>
        </is>
      </c>
      <c r="D18" s="98" t="inlineStr">
        <is>
          <t xml:space="preserve">Кр-99062903-1</t>
        </is>
      </c>
      <c r="E18" s="98" t="inlineStr">
        <is>
          <t xml:space="preserve">BAZARBAYEV ISMOILJON IBRAXIMOVICH</t>
        </is>
      </c>
      <c r="F18" s="98" t="inlineStr">
        <is>
          <t xml:space="preserve">+998902581505 SMS O’ZI, 998774300260 SMS AYOLI, 998932477040 SMS UY, 998943338444 SMS O’ZI 2,</t>
        </is>
      </c>
      <c r="G18" s="98" t="inlineStr">
        <is>
          <t xml:space="preserve">ANDIJON VILOYATI   ANDIJON SHAHAR XAMDO’STLIK MFY IFTIXOR KO’CHASI 64-UY</t>
        </is>
      </c>
      <c r="H18" s="99">
        <v>10.0</v>
      </c>
      <c r="I18" s="99">
        <v>9070252.55</v>
      </c>
      <c r="K18" s="98" t="inlineStr">
        <is>
          <t xml:space="preserve">Va'da berdi | 19-20 kuni hal qiladi | 3287671.2328767125 | 5782581.32</t>
        </is>
      </c>
    </row>
    <row r="19">
      <c r="A19" s="98" t="inlineStr">
        <is>
          <t xml:space="preserve">АНДИЖОН ВИЛОЯТИ</t>
        </is>
      </c>
      <c r="C19" s="98" t="inlineStr">
        <is>
          <t xml:space="preserve">Обещал</t>
        </is>
      </c>
      <c r="D19" s="98" t="inlineStr">
        <is>
          <t xml:space="preserve">Кр-99061829-1</t>
        </is>
      </c>
      <c r="E19" s="98" t="inlineStr">
        <is>
          <t xml:space="preserve">JO’RAYEV BAXTIYAR BAZAROVICH</t>
        </is>
      </c>
      <c r="F19" s="98" t="inlineStr">
        <is>
          <t xml:space="preserve">998994380553 ozi, 998944172190 ayoli, 998500450753 ogli,</t>
        </is>
      </c>
      <c r="G19" s="98" t="inlineStr">
        <is>
          <t xml:space="preserve">Манзил: ANDIJON VILOYATI ASAKA TUMANI FAROVON MFY UZUN KO’CHASI 64-UY</t>
        </is>
      </c>
      <c r="H19" s="99">
        <v>10.0</v>
      </c>
      <c r="I19" s="99">
        <v>9054359.33</v>
      </c>
      <c r="K19" s="98" t="inlineStr">
        <is>
          <t xml:space="preserve">Va'da berdi | dushanba kuni tolaydi | 2739726.02739726 | 6314633.3</t>
        </is>
      </c>
    </row>
    <row r="20">
      <c r="A20" s="98" t="inlineStr">
        <is>
          <t xml:space="preserve">АНДИЖОН ВИЛОЯТИ</t>
        </is>
      </c>
      <c r="C20" s="98" t="inlineStr">
        <is>
          <t xml:space="preserve">Обещал</t>
        </is>
      </c>
      <c r="D20" s="98" t="inlineStr">
        <is>
          <t xml:space="preserve">Кр-99050885-1</t>
        </is>
      </c>
      <c r="E20" s="98" t="inlineStr">
        <is>
          <t xml:space="preserve">TAYLAKOVA MA’MURAXON NEMATJANOVNA</t>
        </is>
      </c>
      <c r="F20" s="98" t="inlineStr">
        <is>
          <t xml:space="preserve">998501951880 SMS OZI, 998941173187 SMS UAKSI, 998936318477 SMS SINGLISI, 998970174417 SMS KELINI,</t>
        </is>
      </c>
      <c r="G20" s="98" t="inlineStr">
        <is>
          <t xml:space="preserve">ANDIJON VILOYATI ANDIJON SHAHAR BUNYODKOR MFY QO’SH ARIQ DAXASI 46-UY  31-XONADON</t>
        </is>
      </c>
      <c r="H20" s="99">
        <v>10.0</v>
      </c>
      <c r="I20" s="99">
        <v>9000036.89</v>
      </c>
      <c r="K20" s="98" t="inlineStr">
        <is>
          <t xml:space="preserve">Va'da berdi | dushanba seshanba kuni | 2739726.02739726 | 6260310.86</t>
        </is>
      </c>
    </row>
    <row r="21">
      <c r="A21" s="98" t="inlineStr">
        <is>
          <t xml:space="preserve">АНДИЖОН ВИЛОЯТИ</t>
        </is>
      </c>
      <c r="C21" s="98" t="inlineStr">
        <is>
          <t xml:space="preserve">Обещал</t>
        </is>
      </c>
      <c r="D21" s="98" t="inlineStr">
        <is>
          <t xml:space="preserve">Кр-99044950-1</t>
        </is>
      </c>
      <c r="E21" s="98" t="inlineStr">
        <is>
          <t xml:space="preserve">MAMAYUNUSOV SOBIRJON YUSUPOVICH</t>
        </is>
      </c>
      <c r="F21" s="98" t="inlineStr">
        <is>
          <t xml:space="preserve">+998903831002 SMS O’ZI, 998500448004 SMS O’ZI2, 998902202308 SMS QIZI, 998910697782 SMS XO’JAYNI,</t>
        </is>
      </c>
      <c r="G21" s="98" t="inlineStr">
        <is>
          <t xml:space="preserve">АНДИЖОН ВИЛОЯТИ МАРХАМАТ ТУМАНИ ГУЛИСТОН МФЙ, ФИДОКОР КЎЧАСИ,  uy:Р/С</t>
        </is>
      </c>
      <c r="H21" s="99">
        <v>13.0</v>
      </c>
      <c r="I21" s="99">
        <v>8994448.49</v>
      </c>
      <c r="K21" s="98" t="inlineStr">
        <is>
          <t xml:space="preserve">Va'da berdi | shu hafta hal qilib berdi | 3205479.452054795 | 5788969.04</t>
        </is>
      </c>
    </row>
    <row r="22">
      <c r="A22" s="98" t="inlineStr">
        <is>
          <t xml:space="preserve">АНДИЖОН ВИЛОЯТИ</t>
        </is>
      </c>
      <c r="C22" s="98" t="inlineStr">
        <is>
          <t xml:space="preserve">Обещал</t>
        </is>
      </c>
      <c r="D22" s="98" t="inlineStr">
        <is>
          <t xml:space="preserve">Кр-99063433-1</t>
        </is>
      </c>
      <c r="E22" s="98" t="inlineStr">
        <is>
          <t xml:space="preserve">MAMIROV SHAVKATBEK BURIBAYEVICH</t>
        </is>
      </c>
      <c r="F22" s="98" t="inlineStr">
        <is>
          <t xml:space="preserve">+998914753616 SMS O’ZI, 998774111767 SMS AYOLI, 998902076067 SMS KELINI, 998905536067 SMS O’G’LI,</t>
        </is>
      </c>
      <c r="G22" s="98" t="inlineStr">
        <is>
          <t xml:space="preserve">ANDIJON VILOYATI ANDIJON TUMANI TOSHLOQ  MFY, MIRZA  KO’CHASI 798-UY</t>
        </is>
      </c>
      <c r="H22" s="99">
        <v>10.0</v>
      </c>
      <c r="I22" s="99">
        <v>8973303.25</v>
      </c>
      <c r="K22" s="98" t="inlineStr">
        <is>
          <t xml:space="preserve">Va'da berdi | oyni oxirigacha hal qiladi | 2739726.02739726 | 6233577.22</t>
        </is>
      </c>
    </row>
    <row r="23">
      <c r="A23" s="98" t="inlineStr">
        <is>
          <t xml:space="preserve">АНДИЖОН ВИЛОЯТИ</t>
        </is>
      </c>
      <c r="C23" s="98" t="inlineStr">
        <is>
          <t xml:space="preserve">Обещал</t>
        </is>
      </c>
      <c r="D23" s="98" t="inlineStr">
        <is>
          <t xml:space="preserve">Кр-99033504-1</t>
        </is>
      </c>
      <c r="E23" s="98" t="inlineStr">
        <is>
          <t xml:space="preserve">NIYAZOV XAYBATULLA BURXANOVICH</t>
        </is>
      </c>
      <c r="F23" s="98" t="inlineStr">
        <is>
          <t xml:space="preserve">998979926505 SMS OZI, 998501881794 SMS O'G'LI, 998951679511 SMS KELINI, 998507199794 SMS QIZI,</t>
        </is>
      </c>
      <c r="G23" s="98" t="inlineStr">
        <is>
          <t xml:space="preserve">ANDIJON VILOYATI ASAKA TUMANI QADRIYAT MFY HUMO KO’CHASI 39-UY 28- XONADON</t>
        </is>
      </c>
      <c r="H23" s="99">
        <v>10.0</v>
      </c>
      <c r="I23" s="99">
        <v>8118559.84</v>
      </c>
      <c r="K23" s="98" t="inlineStr">
        <is>
          <t xml:space="preserve">Va'da berdi | 25 gacha hal qiladi | 2465753.4246575343 | 5652806.42</t>
        </is>
      </c>
    </row>
    <row r="24">
      <c r="A24" s="98" t="inlineStr">
        <is>
          <t xml:space="preserve">АНДИЖОН ВИЛОЯТИ</t>
        </is>
      </c>
      <c r="C24" s="98" t="inlineStr">
        <is>
          <t xml:space="preserve">Обещал</t>
        </is>
      </c>
      <c r="D24" s="98" t="inlineStr">
        <is>
          <t xml:space="preserve">Кр-99039487-1</t>
        </is>
      </c>
      <c r="E24" s="98" t="inlineStr">
        <is>
          <t xml:space="preserve">USMANOV RAXMANALI XXX</t>
        </is>
      </c>
      <c r="F24" s="98" t="inlineStr">
        <is>
          <t xml:space="preserve">998507778257 SMS OZI, 998949595701 SMS AYOLI, 998330880202 SMS OGLI, 998505081800 SMS KELINI,</t>
        </is>
      </c>
      <c r="G24" s="98" t="inlineStr">
        <is>
          <t xml:space="preserve">ANDIJON VILOYATI JALOLQUDUQ TUMANI OLMAZOR MFY OTASHKALB KO’CHASI 26-UY </t>
        </is>
      </c>
      <c r="H24" s="99">
        <v>7.0</v>
      </c>
      <c r="I24" s="99">
        <v>7796182.37</v>
      </c>
      <c r="K24" s="98" t="inlineStr">
        <is>
          <t xml:space="preserve">Va'da berdi | oyni oxirigacha hal qiladi | 1917808.2191780822 | 5878374.15</t>
        </is>
      </c>
    </row>
    <row r="25">
      <c r="A25" s="98" t="inlineStr">
        <is>
          <t xml:space="preserve">АНДИЖОН ВИЛОЯТИ</t>
        </is>
      </c>
      <c r="C25" s="98" t="inlineStr">
        <is>
          <t xml:space="preserve">Обещал</t>
        </is>
      </c>
      <c r="D25" s="98" t="inlineStr">
        <is>
          <t xml:space="preserve">Кр-99029251-1</t>
        </is>
      </c>
      <c r="E25" s="98" t="inlineStr">
        <is>
          <t xml:space="preserve">XAKIMOV DOSTONBEK INOMJON O’G’LI</t>
        </is>
      </c>
      <c r="F25" s="98" t="inlineStr">
        <is>
          <t xml:space="preserve">998999212231 SMS uzi new raqami, 998933989897 SMS begana tanimidi!, 998903703633 SMS,</t>
        </is>
      </c>
      <c r="G25" s="98" t="inlineStr">
        <is>
          <t xml:space="preserve">ANDIJON VILOYATI ANDIJON TUMAN</t>
        </is>
      </c>
      <c r="H25" s="99">
        <v>9.0</v>
      </c>
      <c r="I25" s="99">
        <v>7793738.37</v>
      </c>
      <c r="K25" s="98" t="inlineStr">
        <is>
          <t xml:space="preserve">Va'da berdi | Farrux aka hal qiladi | 3378082.1917808224 | 4415656.18</t>
        </is>
      </c>
    </row>
    <row r="26">
      <c r="A26" s="98" t="inlineStr">
        <is>
          <t xml:space="preserve">АНДИЖОН ВИЛОЯТИ</t>
        </is>
      </c>
      <c r="C26" s="98" t="inlineStr">
        <is>
          <t xml:space="preserve">Обещал</t>
        </is>
      </c>
      <c r="D26" s="98" t="inlineStr">
        <is>
          <t xml:space="preserve">Кр-99034252-1</t>
        </is>
      </c>
      <c r="E26" s="98" t="inlineStr">
        <is>
          <t xml:space="preserve">ESONOV RAVSHAN XOLDAROVICH</t>
        </is>
      </c>
      <c r="F26" s="98" t="inlineStr">
        <is>
          <t xml:space="preserve">998501043170 SMS O’ZI, 998887711099 SMS AYOLI, 998990891219 SMS JIYANI, 998979817500 SMS  I  OZI EKAN ,</t>
        </is>
      </c>
      <c r="G26" s="98" t="inlineStr">
        <is>
          <t xml:space="preserve">ANDIJON VILOYATI SHAXRIXON TUMANI NAYNAVO MFY QORABO’YIN 2 KO’CHASI 39-UY</t>
        </is>
      </c>
      <c r="H26" s="99">
        <v>10.0</v>
      </c>
      <c r="I26" s="99">
        <v>7540541.12</v>
      </c>
      <c r="K26" s="98" t="inlineStr">
        <is>
          <t xml:space="preserve">Va'da berdi | bugun hal qiladi | 2465753.4246575343 | 5074787.7</t>
        </is>
      </c>
    </row>
    <row r="27">
      <c r="A27" s="98" t="inlineStr">
        <is>
          <t xml:space="preserve">АНДИЖОН ВИЛОЯТИ</t>
        </is>
      </c>
      <c r="C27" s="98" t="inlineStr">
        <is>
          <t xml:space="preserve">Обещал</t>
        </is>
      </c>
      <c r="D27" s="98" t="inlineStr">
        <is>
          <t xml:space="preserve">Кр-99052625-1</t>
        </is>
      </c>
      <c r="E27" s="98" t="inlineStr">
        <is>
          <t xml:space="preserve">SHAMATOVA MAXMUDAXON UMIDJON QIZI</t>
        </is>
      </c>
      <c r="F27" s="98" t="inlineStr">
        <is>
          <t xml:space="preserve">998916120121 SMS OZI, 998885937444 SMS ONASI, 998889680010 SMS OTASI, 998907585855 SMS OPASI,</t>
        </is>
      </c>
      <c r="G27" s="98" t="inlineStr">
        <is>
          <t xml:space="preserve">ANDIJON VILOYATI ANDIJON TUMANI SADDATAGI MFY CHEK KO’CHASI 87-UY</t>
        </is>
      </c>
      <c r="H27" s="99">
        <v>10.0</v>
      </c>
      <c r="I27" s="99">
        <v>7296127.05</v>
      </c>
      <c r="K27" s="98" t="inlineStr">
        <is>
          <t xml:space="preserve">Va'da berdi | dushanba kuni tolaydi | 2191780.821917808 | 5104346.23</t>
        </is>
      </c>
    </row>
    <row r="28">
      <c r="A28" s="98" t="inlineStr">
        <is>
          <t xml:space="preserve">АНДИЖОН ВИЛОЯТИ</t>
        </is>
      </c>
      <c r="C28" s="98" t="inlineStr">
        <is>
          <t xml:space="preserve">Обещал</t>
        </is>
      </c>
      <c r="D28" s="98" t="inlineStr">
        <is>
          <t xml:space="preserve">Кр-99034299-2</t>
        </is>
      </c>
      <c r="E28" s="98" t="inlineStr">
        <is>
          <t xml:space="preserve">MAMADALIYEVA ZUXRAXON BAXROMOVNA</t>
        </is>
      </c>
      <c r="F28" s="98" t="inlineStr">
        <is>
          <t xml:space="preserve">998979939062 SMS TOLOVCHI, 998889990036 SMS OGLI, 998889991060 SMS OGLI, 998999722052 SMS OZI,</t>
        </is>
      </c>
      <c r="G28" s="98" t="inlineStr">
        <is>
          <t xml:space="preserve">ANDIJON VILOYATI ASAKA TUMANI CHEK MFY, FARG’ONA KATTA YO’LI KO’CHASI </t>
        </is>
      </c>
      <c r="H28" s="99">
        <v>10.0</v>
      </c>
      <c r="I28" s="99">
        <v>7295193.02</v>
      </c>
      <c r="K28" s="98" t="inlineStr">
        <is>
          <t xml:space="preserve">Va'da berdi | 25 kuni tolaydi | 2191780.821917808 | 5103412.2</t>
        </is>
      </c>
    </row>
    <row r="29">
      <c r="A29" s="98" t="inlineStr">
        <is>
          <t xml:space="preserve">АНДИЖОН ВИЛОЯТИ</t>
        </is>
      </c>
      <c r="C29" s="98" t="inlineStr">
        <is>
          <t xml:space="preserve">Обещал</t>
        </is>
      </c>
      <c r="D29" s="98" t="inlineStr">
        <is>
          <t xml:space="preserve">Кр-99057367-1</t>
        </is>
      </c>
      <c r="E29" s="98" t="inlineStr">
        <is>
          <t xml:space="preserve">ERGASHEVA DILBARXON XXX</t>
        </is>
      </c>
      <c r="F29" s="98" t="inlineStr">
        <is>
          <t xml:space="preserve">998955529082 SMS O’ZI TO’LOVCHI, 998935483685 SMS AYOLI, 998950107819 SMS OGLI, 998914993298 SMS QIZI,</t>
        </is>
      </c>
      <c r="G29" s="98" t="inlineStr">
        <is>
          <t xml:space="preserve">ANDIJON VILOYATI BULOQBOSHI TUMANI UCHKO’CHA  MFY PESHQADAM KO’CHASI 6-UY</t>
        </is>
      </c>
      <c r="H29" s="99">
        <v>10.0</v>
      </c>
      <c r="I29" s="99">
        <v>7288928.87</v>
      </c>
      <c r="K29" s="98" t="inlineStr">
        <is>
          <t xml:space="preserve">Va'da berdi | bolib bolib tolov qiladi ekan | 2191780.821917808 | 5097148.05</t>
        </is>
      </c>
    </row>
    <row r="30">
      <c r="A30" s="98" t="inlineStr">
        <is>
          <t xml:space="preserve">АНДИЖОН ВИЛОЯТИ</t>
        </is>
      </c>
      <c r="C30" s="98" t="inlineStr">
        <is>
          <t xml:space="preserve">Обещал</t>
        </is>
      </c>
      <c r="D30" s="98" t="inlineStr">
        <is>
          <t xml:space="preserve">Кр-99062778-2</t>
        </is>
      </c>
      <c r="E30" s="98" t="inlineStr">
        <is>
          <t xml:space="preserve">SODIQOV KOMOLDIN USMONOVICH</t>
        </is>
      </c>
      <c r="F30" s="98" t="inlineStr">
        <is>
          <t xml:space="preserve">+998979727278 SMS O’G’LI TO’LOVCHI, 998772987278 SMS AYOLI, 998930657161 SMS O’ZI, 998947060694 SMS QIZI,</t>
        </is>
      </c>
      <c r="G30" s="98" t="inlineStr">
        <is>
          <t xml:space="preserve">ANDIJON VILOYATI  OLTINKO’L TUMANI TEMIRXO’JA MFY TEMIRXO’JA KO’CHASI 638-UY</t>
        </is>
      </c>
      <c r="H30" s="99">
        <v>10.0</v>
      </c>
      <c r="I30" s="99">
        <v>7277792.0</v>
      </c>
      <c r="K30" s="98" t="inlineStr">
        <is>
          <t xml:space="preserve">Va'da berdi | 25 kunga hal qiladi | 2191780.821917808 | 5086011.18</t>
        </is>
      </c>
    </row>
    <row r="31">
      <c r="A31" s="98" t="inlineStr">
        <is>
          <t xml:space="preserve">АНДИЖОН ВИЛОЯТИ</t>
        </is>
      </c>
      <c r="C31" s="98" t="inlineStr">
        <is>
          <t xml:space="preserve">Обещал</t>
        </is>
      </c>
      <c r="D31" s="98" t="inlineStr">
        <is>
          <t xml:space="preserve">Кр-99062881-1</t>
        </is>
      </c>
      <c r="E31" s="98" t="inlineStr">
        <is>
          <t xml:space="preserve">DJALILOVA SAXIBAXON XAMIDJANOVNA</t>
        </is>
      </c>
      <c r="F31" s="98" t="inlineStr">
        <is>
          <t xml:space="preserve">+998945131961 SMS O’ZI, 998933171152 SMS KELINI, 998934373105 SMS XO’JAYNI, 998998439222 SMS O’G’LI,</t>
        </is>
      </c>
      <c r="G31" s="98" t="inlineStr">
        <is>
          <t xml:space="preserve">ANDIJON VILOYATI   OLTINKO’L TUMANI ITTIFOQ MFY QO’RG’ONCHA KO’CH ASI 32-UY</t>
        </is>
      </c>
      <c r="H31" s="99">
        <v>10.0</v>
      </c>
      <c r="I31" s="99">
        <v>7222772.25</v>
      </c>
      <c r="K31" s="98" t="inlineStr">
        <is>
          <t xml:space="preserve">Va'da berdi | dushanba kuni tolaydi | 3013698.6301369863 | 4209073.62</t>
        </is>
      </c>
    </row>
    <row r="32">
      <c r="A32" s="98" t="inlineStr">
        <is>
          <t xml:space="preserve">АНДИЖОН ВИЛОЯТИ</t>
        </is>
      </c>
      <c r="C32" s="98" t="inlineStr">
        <is>
          <t xml:space="preserve">Обещал</t>
        </is>
      </c>
      <c r="D32" s="98" t="inlineStr">
        <is>
          <t xml:space="preserve">Кр-99060311-1</t>
        </is>
      </c>
      <c r="E32" s="98" t="inlineStr">
        <is>
          <t xml:space="preserve">TURSUNALIYEVA XAYITXON MARIPJON QIZI</t>
        </is>
      </c>
      <c r="F32" s="98" t="inlineStr">
        <is>
          <t xml:space="preserve">998940628884 узи, 998936112423 синглиси, 998934012272 кизи, 998501854188 угли,</t>
        </is>
      </c>
      <c r="G32" s="98" t="inlineStr">
        <is>
          <t xml:space="preserve">ANDIJON VILOYATI</t>
        </is>
      </c>
      <c r="H32" s="99">
        <v>10.0</v>
      </c>
      <c r="I32" s="99">
        <v>7200879.93</v>
      </c>
      <c r="K32" s="98" t="inlineStr">
        <is>
          <t xml:space="preserve">Va'da berdi | 20 kunga hal qiladi | 2191780.821917808 | 5009099.11</t>
        </is>
      </c>
    </row>
    <row r="33">
      <c r="A33" s="98" t="inlineStr">
        <is>
          <t xml:space="preserve">АНДИЖОН ВИЛОЯТИ</t>
        </is>
      </c>
      <c r="C33" s="98" t="inlineStr">
        <is>
          <t xml:space="preserve">Обещал</t>
        </is>
      </c>
      <c r="D33" s="98" t="inlineStr">
        <is>
          <t xml:space="preserve">Кр-99029097-1</t>
        </is>
      </c>
      <c r="E33" s="98" t="inlineStr">
        <is>
          <t xml:space="preserve">MAVLANOVA MUXAYYOXON KAXARDJANOVNA</t>
        </is>
      </c>
      <c r="F33" s="98" t="inlineStr">
        <is>
          <t xml:space="preserve">95-988-30-07  SMS TO’LOVCHI, 90-766-61-62  SMS AYOLI, 99-340-57-54  SMS O’G’LI, 90-763-53-23-  SMS O’G’LI, 998772484980 SMS opasi  tolovchi new,</t>
        </is>
      </c>
      <c r="G33" s="98" t="inlineStr">
        <is>
          <t xml:space="preserve">ANDIJON VILOYATI ANDIJON SHAHAR OBOD MFY LOYIXAVIY KO’CHASI 3B-UY</t>
        </is>
      </c>
      <c r="H33" s="99">
        <v>14.0</v>
      </c>
      <c r="I33" s="99">
        <v>7012705.24</v>
      </c>
      <c r="K33" s="98" t="inlineStr">
        <is>
          <t xml:space="preserve">Va'da berdi | oyni oxirigacha hal qiladi | 3068493.1506849313 | 3944212.09</t>
        </is>
      </c>
    </row>
    <row r="34">
      <c r="A34" s="98" t="inlineStr">
        <is>
          <t xml:space="preserve">АНДИЖОН ВИЛОЯТИ</t>
        </is>
      </c>
      <c r="C34" s="98" t="inlineStr">
        <is>
          <t xml:space="preserve">Обещал</t>
        </is>
      </c>
      <c r="D34" s="98" t="inlineStr">
        <is>
          <t xml:space="preserve">Кр-99039938-1</t>
        </is>
      </c>
      <c r="E34" s="98" t="inlineStr">
        <is>
          <t xml:space="preserve">YULDASHEV RAFIK PAZILOVICH</t>
        </is>
      </c>
      <c r="F34" s="98" t="inlineStr">
        <is>
          <t xml:space="preserve">998777547848 SMS OZI  zargarlik agentligida yurist bolib iwlid , 998888380020 SMS QIZI, 998905459367 SMS ONASI, 998903808282 SMS AKASI,</t>
        </is>
      </c>
      <c r="G34" s="98" t="inlineStr">
        <is>
          <t xml:space="preserve">ANDIJON VILOYATI ANDIJON SHAXAR YAXSHI MFY, KOLXOZCHI  KO’CHASI 38-UY</t>
        </is>
      </c>
      <c r="H34" s="99">
        <v>10.0</v>
      </c>
      <c r="I34" s="99">
        <v>6924498.88</v>
      </c>
      <c r="K34" s="98" t="inlineStr">
        <is>
          <t xml:space="preserve">Va'da berdi | dushanba kunga | 2054794.5205479453 | 4869704.36</t>
        </is>
      </c>
    </row>
    <row r="35">
      <c r="A35" s="98" t="inlineStr">
        <is>
          <t xml:space="preserve">АНДИЖОН ВИЛОЯТИ</t>
        </is>
      </c>
      <c r="C35" s="98" t="inlineStr">
        <is>
          <t xml:space="preserve">Обещал</t>
        </is>
      </c>
      <c r="D35" s="98" t="inlineStr">
        <is>
          <t xml:space="preserve">Кр-99046576-1</t>
        </is>
      </c>
      <c r="E35" s="98" t="inlineStr">
        <is>
          <t xml:space="preserve">MAMADALIYEV SANJAR MURATOVICH</t>
        </is>
      </c>
      <c r="F35" s="98" t="inlineStr">
        <is>
          <t xml:space="preserve">+998945966091 SMS O’ZI, 998901474044 SMS QO’SHNISI ISLOMBEK, 998938061719 SMS AYOLI, 998952319791 SMS UKASI,</t>
        </is>
      </c>
      <c r="G35" s="98" t="inlineStr">
        <is>
          <t xml:space="preserve">Andijon viloyati Xo’jaobod tumani Quvvatmurod MFY Yangi xayot ko’chasi 115-uy</t>
        </is>
      </c>
      <c r="H35" s="99">
        <v>10.0</v>
      </c>
      <c r="I35" s="99">
        <v>6753523.52</v>
      </c>
      <c r="K35" s="98" t="inlineStr">
        <is>
          <t xml:space="preserve">Va'da berdi | 19-20 kuni hal qiladi | 2054794.5205479453 | 4698729</t>
        </is>
      </c>
    </row>
    <row r="36">
      <c r="A36" s="98" t="inlineStr">
        <is>
          <t xml:space="preserve">АНДИЖОН ВИЛОЯТИ</t>
        </is>
      </c>
      <c r="C36" s="98" t="inlineStr">
        <is>
          <t xml:space="preserve">Обещал</t>
        </is>
      </c>
      <c r="D36" s="98" t="inlineStr">
        <is>
          <t xml:space="preserve">Кр-99063371-1</t>
        </is>
      </c>
      <c r="E36" s="98" t="inlineStr">
        <is>
          <t xml:space="preserve">MANSUROVA MUKADDAMXON ASHURALIYEVNA</t>
        </is>
      </c>
      <c r="F36" s="98" t="inlineStr">
        <is>
          <t xml:space="preserve">+998914860919 SMS O’ZI, 998507065046 SMS KELINI, 998884720998 SMS O’G’LI, 998970993737 SMS O’G’LI,</t>
        </is>
      </c>
      <c r="G36" s="98" t="inlineStr">
        <is>
          <t xml:space="preserve">ANDIJON VILOYATI  ANDIJON SHAHAR JUMABOZOR  MFY SOY KO’CHASI  20-UY</t>
        </is>
      </c>
      <c r="H36" s="99">
        <v>10.0</v>
      </c>
      <c r="I36" s="99">
        <v>6693541.0</v>
      </c>
      <c r="K36" s="98" t="inlineStr">
        <is>
          <t xml:space="preserve">Va'da berdi | seshanba kuni tolaydi | 2191780.821917808 | 4501760.18</t>
        </is>
      </c>
    </row>
    <row r="37">
      <c r="A37" s="98" t="inlineStr">
        <is>
          <t xml:space="preserve">АНДИЖОН ВИЛОЯТИ</t>
        </is>
      </c>
      <c r="C37" s="98" t="inlineStr">
        <is>
          <t xml:space="preserve">Обещал</t>
        </is>
      </c>
      <c r="D37" s="98" t="inlineStr">
        <is>
          <t xml:space="preserve">Кр-99037429-1</t>
        </is>
      </c>
      <c r="E37" s="98" t="inlineStr">
        <is>
          <t xml:space="preserve">JO’RAYEV SHAVKATJON NUMANOVICH</t>
        </is>
      </c>
      <c r="F37" s="98" t="inlineStr">
        <is>
          <t xml:space="preserve">998972323399 SMS OZI, 998940157478 SMS AYOLI, 998335801253 SMS O’G’LI, 998330381253 SMS QIZI,</t>
        </is>
      </c>
      <c r="G37" s="98" t="inlineStr">
        <is>
          <t xml:space="preserve">ANDIJON VILOYATI ASAKA TUMANI YANGISOR MFY YANGISOR KO’CHASI 162-UY</t>
        </is>
      </c>
      <c r="H37" s="99">
        <v>1.0</v>
      </c>
      <c r="I37" s="99">
        <v>6562333.5</v>
      </c>
      <c r="K37" s="98" t="inlineStr">
        <is>
          <t xml:space="preserve">Va'da berdi | bugun kechga yoki ertaga hal qiladi | 273972.602739726 | 6288360.9</t>
        </is>
      </c>
    </row>
    <row r="38">
      <c r="A38" s="98" t="inlineStr">
        <is>
          <t xml:space="preserve">АНДИЖОН ВИЛОЯТИ</t>
        </is>
      </c>
      <c r="C38" s="98" t="inlineStr">
        <is>
          <t xml:space="preserve">Обещал</t>
        </is>
      </c>
      <c r="D38" s="98" t="inlineStr">
        <is>
          <t xml:space="preserve">Кр-99056908-1</t>
        </is>
      </c>
      <c r="E38" s="98" t="inlineStr">
        <is>
          <t xml:space="preserve">ERKINOV MUHAMMADBILOL TO’LQINBOY O’G’LI</t>
        </is>
      </c>
      <c r="F38" s="98" t="inlineStr">
        <is>
          <t xml:space="preserve">998958783737 SMS OZI, 998706027002 SSMS OZI , 998959297262 SMS OZI 2,</t>
        </is>
      </c>
      <c r="G38" s="98" t="inlineStr">
        <is>
          <t xml:space="preserve">ANDIJON VILOYATI ASAKA TUMANI FIDOKOR MFY TINCHLIK 7-UY</t>
        </is>
      </c>
      <c r="H38" s="99">
        <v>10.0</v>
      </c>
      <c r="I38" s="99">
        <v>6360352.23</v>
      </c>
      <c r="K38" s="98" t="inlineStr">
        <is>
          <t xml:space="preserve">Va'da berdi | oyni oxirigacha hal qiladi | 1917808.219178082 | 4442544.01</t>
        </is>
      </c>
    </row>
    <row r="39">
      <c r="A39" s="98" t="inlineStr">
        <is>
          <t xml:space="preserve">АНДИЖОН ВИЛОЯТИ</t>
        </is>
      </c>
      <c r="C39" s="98" t="inlineStr">
        <is>
          <t xml:space="preserve">Обещал</t>
        </is>
      </c>
      <c r="D39" s="98" t="inlineStr">
        <is>
          <t xml:space="preserve">Кр-99054551-1</t>
        </is>
      </c>
      <c r="E39" s="98" t="inlineStr">
        <is>
          <t xml:space="preserve">BADALOV ANVAR QAMALOVICH</t>
        </is>
      </c>
      <c r="F39" s="98" t="inlineStr">
        <is>
          <t xml:space="preserve">998959116333 SMS OZI, 998996446624 SMS UKASI, 998958384047 SMS AYOLI, 998507262580 SMS OGLI,</t>
        </is>
      </c>
      <c r="G39" s="98" t="inlineStr">
        <is>
          <t xml:space="preserve">ANDIJON VILOYATI XO’JAOBOD TUMANI YUKSALISH MFY YANGI CHEK KO’CHASI 85-UY</t>
        </is>
      </c>
      <c r="H39" s="99">
        <v>10.0</v>
      </c>
      <c r="I39" s="99">
        <v>6317896.76</v>
      </c>
      <c r="K39" s="98" t="inlineStr">
        <is>
          <t xml:space="preserve">Va'da berdi | shu hafta hal qilib berdi | 1917808.219178082 | 4400088.54</t>
        </is>
      </c>
    </row>
    <row r="40">
      <c r="A40" s="98" t="inlineStr">
        <is>
          <t xml:space="preserve">АНДИЖОН ВИЛОЯТИ</t>
        </is>
      </c>
      <c r="C40" s="98" t="inlineStr">
        <is>
          <t xml:space="preserve">Обещал</t>
        </is>
      </c>
      <c r="D40" s="98" t="inlineStr">
        <is>
          <t xml:space="preserve">Кр-99062620-1</t>
        </is>
      </c>
      <c r="E40" s="98" t="inlineStr">
        <is>
          <t xml:space="preserve">TURSUNOVA YORQINOY TOYIRJONOVNA</t>
        </is>
      </c>
      <c r="F40" s="98" t="inlineStr">
        <is>
          <t xml:space="preserve">998936072012 SMS OZI, 998936031220 SMS OGLI, 998889639939 SMS OGLI, 998500725253 SMS SINGLISI,</t>
        </is>
      </c>
      <c r="G40" s="98" t="inlineStr">
        <is>
          <t xml:space="preserve">ANDIJON VILOYATI XO’JAOBOD TUMANI MUSTAQILLIKNING 27 YILLIGI MFY BOBUR  KO’CHASI 116-UY</t>
        </is>
      </c>
      <c r="H40" s="99">
        <v>15.0</v>
      </c>
      <c r="I40" s="99">
        <v>6271610.16</v>
      </c>
      <c r="K40" s="98" t="inlineStr">
        <is>
          <t xml:space="preserve">Va'da berdi | oyni oxirigacha hal qiladi | 3287671.2328767125 | 2983938.93</t>
        </is>
      </c>
    </row>
    <row r="41">
      <c r="A41" s="98" t="inlineStr">
        <is>
          <t xml:space="preserve">АНДИЖОН ВИЛОЯТИ</t>
        </is>
      </c>
      <c r="C41" s="98" t="inlineStr">
        <is>
          <t xml:space="preserve">Обещал</t>
        </is>
      </c>
      <c r="D41" s="98" t="inlineStr">
        <is>
          <t xml:space="preserve">Кр-99045554-1</t>
        </is>
      </c>
      <c r="E41" s="98" t="inlineStr">
        <is>
          <t xml:space="preserve">G’OFUROV ABDULLAJON OMONOVICH</t>
        </is>
      </c>
      <c r="F41" s="98" t="inlineStr">
        <is>
          <t xml:space="preserve">998934395830 SMS TO’LOVCHI, 998939735040 SMS AYYOLI, 998941060696 SMS O’ZI, 998944395830 SMS TO’LOVCHI,</t>
        </is>
      </c>
      <c r="G41" s="98" t="inlineStr">
        <is>
          <t xml:space="preserve">Сегаза МФЙ, Сегаза кучаси, 109-уй</t>
        </is>
      </c>
      <c r="H41" s="99">
        <v>14.0</v>
      </c>
      <c r="I41" s="99">
        <v>6226181.42</v>
      </c>
      <c r="K41" s="98" t="inlineStr">
        <is>
          <t xml:space="preserve">Va'da berdi | dushanba kunga | 1726027.397260274 | 4500154.02</t>
        </is>
      </c>
    </row>
    <row r="42">
      <c r="A42" s="98" t="inlineStr">
        <is>
          <t xml:space="preserve">АНДИЖОН ВИЛОЯТИ</t>
        </is>
      </c>
      <c r="C42" s="98" t="inlineStr">
        <is>
          <t xml:space="preserve">Обещал</t>
        </is>
      </c>
      <c r="D42" s="98" t="inlineStr">
        <is>
          <t xml:space="preserve">Кр-99041352-1</t>
        </is>
      </c>
      <c r="E42" s="98" t="inlineStr">
        <is>
          <t xml:space="preserve">AXMEDOVA UMIDA XOSHIMOVNA</t>
        </is>
      </c>
      <c r="F42" s="98" t="inlineStr">
        <is>
          <t xml:space="preserve">998950163403 SMS OZI, 998200102787 SMS QIZI, 998907602802 SMS OGLI, 998905287820 SMS KELINI,</t>
        </is>
      </c>
      <c r="G42" s="98" t="inlineStr">
        <is>
          <t xml:space="preserve">ANDIJON VILOYATI BALOQCHI TUMANI BOTIR MFY, D. TOJIBOYEV KO’CHASI 15-UY</t>
        </is>
      </c>
      <c r="H42" s="99">
        <v>10.0</v>
      </c>
      <c r="I42" s="99">
        <v>5926187.99</v>
      </c>
      <c r="K42" s="98" t="inlineStr">
        <is>
          <t xml:space="preserve">Va'da berdi | 20 gacha hal qiladi | 1780821.917808219 | 4145366.07</t>
        </is>
      </c>
    </row>
    <row r="43">
      <c r="A43" s="98" t="inlineStr">
        <is>
          <t xml:space="preserve">АНДИЖОН ВИЛОЯТИ</t>
        </is>
      </c>
      <c r="C43" s="98" t="inlineStr">
        <is>
          <t xml:space="preserve">Обещал</t>
        </is>
      </c>
      <c r="D43" s="98" t="inlineStr">
        <is>
          <t xml:space="preserve">Кр-99041175-1</t>
        </is>
      </c>
      <c r="E43" s="98" t="inlineStr">
        <is>
          <t xml:space="preserve">PARPIYEV MUXAMMADRASUL MO’MINJON O’G’LI</t>
        </is>
      </c>
      <c r="F43" s="98" t="inlineStr">
        <is>
          <t xml:space="preserve">998700493848 SMS OZI   , 998910673069 SMS ONASI oyoq kiyim  tikib sotadi ishlab chiqarish sex bor  , 998906265646 SMS OTASI, 998916066699 SMS QOSHNISI,</t>
        </is>
      </c>
      <c r="G43" s="98" t="inlineStr">
        <is>
          <t xml:space="preserve">ANDIJON VILOYATI ANDIJON SHAHAR QALANDARXONA MFY  M. SAIDOV  KO’CHASI 96-UY</t>
        </is>
      </c>
      <c r="H43" s="99">
        <v>7.0</v>
      </c>
      <c r="I43" s="99">
        <v>5781873.59</v>
      </c>
      <c r="K43" s="98" t="inlineStr">
        <is>
          <t xml:space="preserve">Va'da berdi | bugun erta hal qiladi | 1342465.7534246575 | 4439407.84</t>
        </is>
      </c>
    </row>
    <row r="44">
      <c r="A44" s="98" t="inlineStr">
        <is>
          <t xml:space="preserve">АНДИЖОН ВИЛОЯТИ</t>
        </is>
      </c>
      <c r="C44" s="98" t="inlineStr">
        <is>
          <t xml:space="preserve">Обещал</t>
        </is>
      </c>
      <c r="D44" s="98" t="inlineStr">
        <is>
          <t xml:space="preserve">Кр-99035336-1</t>
        </is>
      </c>
      <c r="E44" s="98" t="inlineStr">
        <is>
          <t xml:space="preserve">RO’ZIYEVA MUNIRAXON SULTONOVNA</t>
        </is>
      </c>
      <c r="F44" s="98" t="inlineStr">
        <is>
          <t xml:space="preserve">998936907720 SMS OZI, 998949796867 SMS QIZI, 998504044603 SMS OGLI, 998934446258 SMS ONASI,</t>
        </is>
      </c>
      <c r="G44" s="98" t="inlineStr">
        <is>
          <t xml:space="preserve">ANDIJON VILOYATI BO’Z TUMANI MUSTAQILLIK KO’CHASI  70-UY,11-XONADON</t>
        </is>
      </c>
      <c r="H44" s="99">
        <v>1.0</v>
      </c>
      <c r="I44" s="99">
        <v>5524020.91</v>
      </c>
      <c r="K44" s="98" t="inlineStr">
        <is>
          <t xml:space="preserve">Va'da berdi | 20 kunga hal qiladi | 273972.602739726 | 5250048.31</t>
        </is>
      </c>
    </row>
    <row r="45">
      <c r="A45" s="98" t="inlineStr">
        <is>
          <t xml:space="preserve">АНДИЖОН ВИЛОЯТИ</t>
        </is>
      </c>
      <c r="C45" s="98" t="inlineStr">
        <is>
          <t xml:space="preserve">Обещал</t>
        </is>
      </c>
      <c r="D45" s="98" t="inlineStr">
        <is>
          <t xml:space="preserve">Кр-99039783-1</t>
        </is>
      </c>
      <c r="E45" s="98" t="inlineStr">
        <is>
          <t xml:space="preserve">NORKULOV ALISHER BAXTIYOROVICH</t>
        </is>
      </c>
      <c r="F45" s="98" t="inlineStr">
        <is>
          <t xml:space="preserve">998914754708 SMS OZI, 998937823777 SMS DOSTI, 998906110086 SMS TANISHI, 998902050050 SMS TOLOVCHI,</t>
        </is>
      </c>
      <c r="G45" s="98" t="inlineStr">
        <is>
          <t xml:space="preserve">ANDIJON VILOYATI ANDIJON TUMANI TERAKTAGI MFY OTALIQBOY KO’CHASI 15</t>
        </is>
      </c>
      <c r="H45" s="99">
        <v>10.0</v>
      </c>
      <c r="I45" s="99">
        <v>5501498.15</v>
      </c>
      <c r="K45" s="98" t="inlineStr">
        <is>
          <t xml:space="preserve">Va'da berdi | dushanba kunga | 1643835.6164383562 | 3857662.53</t>
        </is>
      </c>
    </row>
    <row r="46">
      <c r="A46" s="98" t="inlineStr">
        <is>
          <t xml:space="preserve">АНДИЖОН ВИЛОЯТИ</t>
        </is>
      </c>
      <c r="C46" s="98" t="inlineStr">
        <is>
          <t xml:space="preserve">Обещал</t>
        </is>
      </c>
      <c r="D46" s="98" t="inlineStr">
        <is>
          <t xml:space="preserve">Кр-99063310-1</t>
        </is>
      </c>
      <c r="E46" s="98" t="inlineStr">
        <is>
          <t xml:space="preserve">XASANOVA YODGORXON KOMILOVNA</t>
        </is>
      </c>
      <c r="F46" s="98" t="inlineStr">
        <is>
          <t xml:space="preserve">+998916041294 SMS O’ZI, 998902111294 SMS O’ZI2, 998905287775 SMS O’G’LI TO’LOVCHI, 998910656489 SMS QIZI,</t>
        </is>
      </c>
      <c r="G46" s="98" t="inlineStr">
        <is>
          <t xml:space="preserve">ANDIJON VILOYATI ANDIJON TUMANI JANNATMONAN MFY, YUKSALISH KO’CHASI 99-UY</t>
        </is>
      </c>
      <c r="H46" s="99">
        <v>10.0</v>
      </c>
      <c r="I46" s="99">
        <v>5478864.97</v>
      </c>
      <c r="K46" s="98" t="inlineStr">
        <is>
          <t xml:space="preserve">Va'da berdi | dushanba kuni tolaydi | 2191780.821917808 | 3287084.15</t>
        </is>
      </c>
    </row>
    <row r="47">
      <c r="A47" s="98" t="inlineStr">
        <is>
          <t xml:space="preserve">АНДИЖОН ВИЛОЯТИ</t>
        </is>
      </c>
      <c r="C47" s="98" t="inlineStr">
        <is>
          <t xml:space="preserve">Обещал</t>
        </is>
      </c>
      <c r="D47" s="98" t="inlineStr">
        <is>
          <t xml:space="preserve">Кр-99039371-3</t>
        </is>
      </c>
      <c r="E47" s="98" t="inlineStr">
        <is>
          <t xml:space="preserve">ABDUPATTAYEV OMADJON AZIZBEK O’G’LI</t>
        </is>
      </c>
      <c r="F47" s="98" t="inlineStr">
        <is>
          <t xml:space="preserve">998932541941 sms ozi , 998917739907 sms akasi , 998770707025 sms qoshni, 998900299859 sms uy ,</t>
        </is>
      </c>
      <c r="G47" s="98" t="inlineStr">
        <is>
          <t xml:space="preserve">Андижанская область, Пахтаабадский район, Бобурмирзо МСГ, ул.  Бобурмирзо, дом 16</t>
        </is>
      </c>
      <c r="H47" s="99">
        <v>10.0</v>
      </c>
      <c r="I47" s="99">
        <v>5441798.24</v>
      </c>
      <c r="K47" s="98" t="inlineStr">
        <is>
          <t xml:space="preserve">Va'da berdi | bugun hal qiladi | 1643835.6164383562 | 3797962.62</t>
        </is>
      </c>
    </row>
    <row r="48">
      <c r="A48" s="98" t="inlineStr">
        <is>
          <t xml:space="preserve">АНДИЖОН ВИЛОЯТИ</t>
        </is>
      </c>
      <c r="C48" s="98" t="inlineStr">
        <is>
          <t xml:space="preserve">Обещал</t>
        </is>
      </c>
      <c r="D48" s="98" t="inlineStr">
        <is>
          <t xml:space="preserve">Кр-99043394-2</t>
        </is>
      </c>
      <c r="E48" s="98" t="inlineStr">
        <is>
          <t xml:space="preserve">SULEYMANOV AVAZBEK ALIMJANOVICH</t>
        </is>
      </c>
      <c r="F48" s="98" t="inlineStr">
        <is>
          <t xml:space="preserve">+998334923332 SMS O’ZI, 998914923332 SMS AYOLI, 998916192585 SMS QIZI, 998999772585 SMS QIZI,</t>
        </is>
      </c>
      <c r="G48" s="98" t="inlineStr">
        <is>
          <t xml:space="preserve">Навруз МФЙ, Узумбог,2 тор кўчаси, 170-уй, 1-хонадон</t>
        </is>
      </c>
      <c r="H48" s="99">
        <v>10.0</v>
      </c>
      <c r="I48" s="99">
        <v>5360370.63</v>
      </c>
      <c r="K48" s="98" t="inlineStr">
        <is>
          <t xml:space="preserve">Va'da berdi | bolib bolib tolov qiladi ekan | 1643835.6164383562 | 3716535.01</t>
        </is>
      </c>
    </row>
    <row r="49">
      <c r="A49" s="98" t="inlineStr">
        <is>
          <t xml:space="preserve">АНДИЖОН ВИЛОЯТИ</t>
        </is>
      </c>
      <c r="C49" s="98" t="inlineStr">
        <is>
          <t xml:space="preserve">Обещал</t>
        </is>
      </c>
      <c r="D49" s="98" t="inlineStr">
        <is>
          <t xml:space="preserve">Кр-99031082-1</t>
        </is>
      </c>
      <c r="E49" s="98" t="inlineStr">
        <is>
          <t xml:space="preserve">DJURAYEV SHUKURMURAT ABDUMALIKOVICH</t>
        </is>
      </c>
      <c r="F49" s="98" t="inlineStr">
        <is>
          <t xml:space="preserve">998770107727 SMS O’ZI, 998932102925 SMS ONASI, 998903851705 SMS AYOLI, 998902113221 SMS JIYANI, 998914777147 ozi new,</t>
        </is>
      </c>
      <c r="G49" s="98" t="inlineStr">
        <is>
          <t xml:space="preserve">ANDIJON VILOYATI JALOLQUDUQ TUMANI BOZORBOSHI MFY X.OLIMJONOV KO’CHASI 5-UY </t>
        </is>
      </c>
      <c r="H49" s="99">
        <v>6.0</v>
      </c>
      <c r="I49" s="99">
        <v>5117067.43</v>
      </c>
      <c r="K49" s="98" t="inlineStr">
        <is>
          <t xml:space="preserve">Va'da berdi | 25 gacha hal qiladi | 1232876.7123287672 | 3884190.72</t>
        </is>
      </c>
    </row>
    <row r="50">
      <c r="A50" s="98" t="inlineStr">
        <is>
          <t xml:space="preserve">АНДИЖОН ВИЛОЯТИ</t>
        </is>
      </c>
      <c r="C50" s="98" t="inlineStr">
        <is>
          <t xml:space="preserve">Обещал</t>
        </is>
      </c>
      <c r="D50" s="98" t="inlineStr">
        <is>
          <t xml:space="preserve">Кр-99031409-1</t>
        </is>
      </c>
      <c r="E50" s="98" t="inlineStr">
        <is>
          <t xml:space="preserve">DILMURODOV MANSURBEK DILMUROD O’G’LI</t>
        </is>
      </c>
      <c r="F50" s="98" t="inlineStr">
        <is>
          <t xml:space="preserve">91-611-00-86  SMS O’ZI, 91-490-57-74  SMS AYOLI, 93-782-37-77  SMS TO’LOVCHI, 90-205-00-50  SMS UKASI,</t>
        </is>
      </c>
      <c r="G50" s="98" t="inlineStr">
        <is>
          <t xml:space="preserve">ANDIJON VILOYATI XO’JAOBOD  TUMANI CHIM BULOQ MFY YANGI CHEK KO’CHASI 9-UY</t>
        </is>
      </c>
      <c r="H50" s="99">
        <v>15.0</v>
      </c>
      <c r="I50" s="99">
        <v>5111425.08</v>
      </c>
      <c r="K50" s="98" t="inlineStr">
        <is>
          <t xml:space="preserve">Va'da berdi | Farrux aka bn gaplashgan | 2260273.9726027395 | 2851151.11</t>
        </is>
      </c>
    </row>
    <row r="51">
      <c r="A51" s="98" t="inlineStr">
        <is>
          <t xml:space="preserve">АНДИЖОН ВИЛОЯТИ</t>
        </is>
      </c>
      <c r="C51" s="98" t="inlineStr">
        <is>
          <t xml:space="preserve">Обещал</t>
        </is>
      </c>
      <c r="D51" s="98" t="inlineStr">
        <is>
          <t xml:space="preserve">Кр-99063628-1</t>
        </is>
      </c>
      <c r="E51" s="98" t="inlineStr">
        <is>
          <t xml:space="preserve">TASHMATOV XUSNUTDIN ODILJANOVICH</t>
        </is>
      </c>
      <c r="F51" s="98" t="inlineStr">
        <is>
          <t xml:space="preserve">998901705955 O’ZI,</t>
        </is>
      </c>
      <c r="G51" s="98" t="inlineStr">
        <is>
          <t xml:space="preserve">АНДИЖОН ВИЛОЯТИ АНДИЖОН ШАХAР АХМАД ЯССАВИЙ МФЙ ЛОЙИХАЛАШ КУЧАСИ 6-УЙ</t>
        </is>
      </c>
      <c r="H51" s="99">
        <v>10.0</v>
      </c>
      <c r="I51" s="99">
        <v>5057351.54</v>
      </c>
      <c r="K51" s="98" t="inlineStr">
        <is>
          <t xml:space="preserve">Va'da berdi | Farrux aka bn gaplashgan | 1643835.6164383562 | 3413515.92</t>
        </is>
      </c>
    </row>
    <row r="52">
      <c r="A52" s="98" t="inlineStr">
        <is>
          <t xml:space="preserve">АНДИЖОН ВИЛОЯТИ</t>
        </is>
      </c>
      <c r="C52" s="98" t="inlineStr">
        <is>
          <t xml:space="preserve">Обещал</t>
        </is>
      </c>
      <c r="D52" s="98" t="inlineStr">
        <is>
          <t xml:space="preserve">Кр-99039745-4</t>
        </is>
      </c>
      <c r="E52" s="98" t="inlineStr">
        <is>
          <t xml:space="preserve">XALILOV AXRORBEK KARIMJON O’G’LI</t>
        </is>
      </c>
      <c r="F52" s="98" t="inlineStr">
        <is>
          <t xml:space="preserve">+998916089005 SMS O’ZI, 998916024344 SMS AKASI, 998940801700 SMS DO’STI,</t>
        </is>
      </c>
      <c r="G52" s="98" t="inlineStr">
        <is>
          <t xml:space="preserve">ОРС МФЙ, ОРС КЎЧАСИ,  uy:Р/С</t>
        </is>
      </c>
      <c r="H52" s="99">
        <v>10.0</v>
      </c>
      <c r="I52" s="99">
        <v>5016062.37</v>
      </c>
      <c r="K52" s="98" t="inlineStr">
        <is>
          <t xml:space="preserve">Va'da berdi | 1-2 kunda hal qiladi | 1506849.3150684931 | 3509213.05</t>
        </is>
      </c>
    </row>
    <row r="53">
      <c r="A53" s="98" t="inlineStr">
        <is>
          <t xml:space="preserve">АНДИЖОН ВИЛОЯТИ</t>
        </is>
      </c>
      <c r="C53" s="98" t="inlineStr">
        <is>
          <t xml:space="preserve">Обещал</t>
        </is>
      </c>
      <c r="D53" s="98" t="inlineStr">
        <is>
          <t xml:space="preserve">Кр-99060327-1</t>
        </is>
      </c>
      <c r="E53" s="98" t="inlineStr">
        <is>
          <t xml:space="preserve">NURMUXAMMEDOV SARVARBEK NURMUXAMMAD O’G’LI</t>
        </is>
      </c>
      <c r="F53" s="98" t="inlineStr">
        <is>
          <t xml:space="preserve">998934480001 SMS OZI, 998909511113 SMS AYOLI, 998200111077 SMS QIZI, 998001110892 SMS OZI 2,</t>
        </is>
      </c>
      <c r="G53" s="98" t="inlineStr">
        <is>
          <t xml:space="preserve">ANDIJON VILOYATI OLTINKO’L TUMANI QO’SHTEPA MFY, C. ASHUROV  KO’CHASI 32-UY</t>
        </is>
      </c>
      <c r="H53" s="99">
        <v>13.0</v>
      </c>
      <c r="I53" s="99">
        <v>4934929.86</v>
      </c>
      <c r="K53" s="98" t="inlineStr">
        <is>
          <t xml:space="preserve">Va'da berdi | dushanba kuni tolaydi | 1780821.917808219 | 3154107.94</t>
        </is>
      </c>
    </row>
    <row r="54">
      <c r="A54" s="98" t="inlineStr">
        <is>
          <t xml:space="preserve">АНДИЖОН ВИЛОЯТИ</t>
        </is>
      </c>
      <c r="C54" s="98" t="inlineStr">
        <is>
          <t xml:space="preserve">Обещал</t>
        </is>
      </c>
      <c r="D54" s="98" t="inlineStr">
        <is>
          <t xml:space="preserve">Кр-99039772-1</t>
        </is>
      </c>
      <c r="E54" s="98" t="inlineStr">
        <is>
          <t xml:space="preserve">TO’RAYEVA TAMARA MUXTAROVNA</t>
        </is>
      </c>
      <c r="F54" s="98" t="inlineStr">
        <is>
          <t xml:space="preserve">998903890565 SMS OZI, 998881646162 SMS XOJAYINI, 998916061291 SMS QIZI, 998914841789 SMS QIZ 2,</t>
        </is>
      </c>
      <c r="G54" s="98" t="inlineStr">
        <is>
          <t xml:space="preserve">ANDIJON VILOYATI MARXAMAT TUMANI  BOBOXUROSON  MFY, BOBOXUROSON  KO’CHASI 18-UYI</t>
        </is>
      </c>
      <c r="H54" s="99">
        <v>10.0</v>
      </c>
      <c r="I54" s="99">
        <v>4724361.55</v>
      </c>
      <c r="K54" s="98" t="inlineStr">
        <is>
          <t xml:space="preserve">Va'da berdi | 24 kunga hal qilib beradi | 1506849.3150684931 | 3217512.23</t>
        </is>
      </c>
    </row>
    <row r="55">
      <c r="A55" s="98" t="inlineStr">
        <is>
          <t xml:space="preserve">АНДИЖОН ВИЛОЯТИ</t>
        </is>
      </c>
      <c r="C55" s="98" t="inlineStr">
        <is>
          <t xml:space="preserve">Обещал</t>
        </is>
      </c>
      <c r="D55" s="98" t="inlineStr">
        <is>
          <t xml:space="preserve">Кр-99050384-1</t>
        </is>
      </c>
      <c r="E55" s="98" t="inlineStr">
        <is>
          <t xml:space="preserve">YUSUPOV MANSURBEK ODILJONOVICH</t>
        </is>
      </c>
      <c r="F55" s="98" t="inlineStr">
        <is>
          <t xml:space="preserve">+998914979790 SMS O’ZI, 998500407542 SMS UY, 998945631595 SMS AYOLI, 998974488280 SMS ONASI,</t>
        </is>
      </c>
      <c r="G55" s="98" t="inlineStr">
        <is>
          <t xml:space="preserve">ANDIJON VILOYATI  IZBOSKAN TUMANI ROVOT MFY GAVXAR KO’CHASI 45-UY</t>
        </is>
      </c>
      <c r="H55" s="99">
        <v>10.0</v>
      </c>
      <c r="I55" s="99">
        <v>4693592.96</v>
      </c>
      <c r="K55" s="98" t="inlineStr">
        <is>
          <t xml:space="preserve">Va'da berdi | kelasi hafta | 3561643.835616438 | 1131949.12</t>
        </is>
      </c>
    </row>
    <row r="56">
      <c r="A56" s="98" t="inlineStr">
        <is>
          <t xml:space="preserve">АНДИЖОН ВИЛОЯТИ</t>
        </is>
      </c>
      <c r="C56" s="98" t="inlineStr">
        <is>
          <t xml:space="preserve">Обещал</t>
        </is>
      </c>
      <c r="D56" s="98" t="inlineStr">
        <is>
          <t xml:space="preserve">Кр-99053363-1</t>
        </is>
      </c>
      <c r="E56" s="98" t="inlineStr">
        <is>
          <t xml:space="preserve">XAMRAQULOV FAYZULLO SARDORBEK O’G’LI</t>
        </is>
      </c>
      <c r="F56" s="98" t="inlineStr">
        <is>
          <t xml:space="preserve">998995135848 SMS OZI, 998916126009  SMS ZALOGATEL, 998914944999 SMS DADASI, 998889988055 SMS OSHNASI,</t>
        </is>
      </c>
      <c r="G56" s="98" t="inlineStr">
        <is>
          <t xml:space="preserve">ANDIJON VILOYATI ANDIJON SHAHAR DALVARZIN MFY, S. ZUNUNOVA  KO’CHASI 24 A-UY</t>
        </is>
      </c>
      <c r="H56" s="99">
        <v>10.0</v>
      </c>
      <c r="I56" s="99">
        <v>4533478.29</v>
      </c>
      <c r="K56" s="98" t="inlineStr">
        <is>
          <t xml:space="preserve">Va'da berdi | 25 kunga hal qiladi | 1369863.01369863 | 3163615.28</t>
        </is>
      </c>
    </row>
    <row r="57">
      <c r="A57" s="98" t="inlineStr">
        <is>
          <t xml:space="preserve">АНДИЖОН ВИЛОЯТИ</t>
        </is>
      </c>
      <c r="C57" s="98" t="inlineStr">
        <is>
          <t xml:space="preserve">Обещал</t>
        </is>
      </c>
      <c r="D57" s="98" t="inlineStr">
        <is>
          <t xml:space="preserve">Кр-99060327-2</t>
        </is>
      </c>
      <c r="E57" s="98" t="inlineStr">
        <is>
          <t xml:space="preserve">NURMUXAMMEDOV SARVARBEK NURMUXAMMAD O’G’LI</t>
        </is>
      </c>
      <c r="F57" s="98" t="inlineStr">
        <is>
          <t xml:space="preserve">998934480001 SMS OZI, 998909511113 SMS AYOLI, 998200111077 SMS QIZI, 998001110892 SMS OZI 2,</t>
        </is>
      </c>
      <c r="G57" s="98" t="inlineStr">
        <is>
          <t xml:space="preserve">ANDIJON VILOYATI OLTINKO’L TUMANI QO’SHTEPA MFY, C. ASHUROV  KO’CHASI 32-UY</t>
        </is>
      </c>
      <c r="H57" s="99">
        <v>10.0</v>
      </c>
      <c r="I57" s="99">
        <v>4514765.34</v>
      </c>
      <c r="K57" s="98" t="inlineStr">
        <is>
          <t xml:space="preserve">Va'da berdi | dushanba kuni tolaydi | 1369863.01369863 | 3144902.33</t>
        </is>
      </c>
    </row>
    <row r="58">
      <c r="A58" s="98" t="inlineStr">
        <is>
          <t xml:space="preserve">АНДИЖОН ВИЛОЯТИ</t>
        </is>
      </c>
      <c r="C58" s="98" t="inlineStr">
        <is>
          <t xml:space="preserve">Обещал</t>
        </is>
      </c>
      <c r="D58" s="98" t="inlineStr">
        <is>
          <t xml:space="preserve">Кр-99041712-1</t>
        </is>
      </c>
      <c r="E58" s="98" t="inlineStr">
        <is>
          <t xml:space="preserve">BAKIROVA SARVINOZ AVAZBEK QIZI</t>
        </is>
      </c>
      <c r="F58" s="98" t="inlineStr">
        <is>
          <t xml:space="preserve">998907689700 SMS OZI, 998914489748 SMS ONASI, 998932363330 SMS ERI, 998914974897 SMS DASI, +998907689700 Primary phone from road24,</t>
        </is>
      </c>
      <c r="G58" s="98" t="inlineStr">
        <is>
          <t xml:space="preserve">Кўктўнлик МФЙ, Куктунлик кучаси, 6-уй</t>
        </is>
      </c>
      <c r="H58" s="99">
        <v>10.0</v>
      </c>
      <c r="I58" s="99">
        <v>4497870.42</v>
      </c>
      <c r="K58" s="98" t="inlineStr">
        <is>
          <t xml:space="preserve">Va'da berdi | oyni oxirigacha hal qiladi | 1369863.01369863 | 3128007.41</t>
        </is>
      </c>
    </row>
    <row r="59">
      <c r="A59" s="98" t="inlineStr">
        <is>
          <t xml:space="preserve">АНДИЖОН ВИЛОЯТИ</t>
        </is>
      </c>
      <c r="C59" s="98" t="inlineStr">
        <is>
          <t xml:space="preserve">Обещал</t>
        </is>
      </c>
      <c r="D59" s="98" t="inlineStr">
        <is>
          <t xml:space="preserve">Кр-99057410-1</t>
        </is>
      </c>
      <c r="E59" s="98" t="inlineStr">
        <is>
          <t xml:space="preserve">AXUNOV ZIYOYIDIN TURDIBAYEVICH</t>
        </is>
      </c>
      <c r="F59" s="98" t="inlineStr">
        <is>
          <t xml:space="preserve">998914969606 SMS  O’ZI TO’LOVCHI, 998921506804 SMS ONASI, 998932408189 SMS OPASI, 998912880295 SMS KELNOYISI,</t>
        </is>
      </c>
      <c r="G59" s="98" t="inlineStr">
        <is>
          <t xml:space="preserve">ANDIJON VILOYATI ASAKA TUMANI YUQORI BO’Z MFY YUQORI BO’Z  KO’CHASI 89-UY</t>
        </is>
      </c>
      <c r="H59" s="99">
        <v>10.0</v>
      </c>
      <c r="I59" s="99">
        <v>4494520.47</v>
      </c>
      <c r="K59" s="98" t="inlineStr">
        <is>
          <t xml:space="preserve">Va'da berdi | shu hafta hal qilib berdi | 1369863.01369863 | 3124657.46</t>
        </is>
      </c>
    </row>
    <row r="60">
      <c r="A60" s="98" t="inlineStr">
        <is>
          <t xml:space="preserve">АНДИЖОН ВИЛОЯТИ</t>
        </is>
      </c>
      <c r="C60" s="98" t="inlineStr">
        <is>
          <t xml:space="preserve">Обещал</t>
        </is>
      </c>
      <c r="D60" s="98" t="inlineStr">
        <is>
          <t xml:space="preserve">Кр-99063233-1</t>
        </is>
      </c>
      <c r="E60" s="98" t="inlineStr">
        <is>
          <t xml:space="preserve">BOZAROV ILXOMJON XASANBAYEVICH</t>
        </is>
      </c>
      <c r="F60" s="98" t="inlineStr">
        <is>
          <t xml:space="preserve">998885478863 SMS AYOLI, 998885508800 SMS O’ZI2, 998889620062 SMS O’G’LI, 998914977722 SMS O’ZI,</t>
        </is>
      </c>
      <c r="G60" s="98" t="inlineStr">
        <is>
          <t xml:space="preserve">ANDIJON VILOYATI ANDIJON SHAHAR MIRPO’STIN MFY MAXFIRATXOJI KO’CHASI 1-TOR KO’CHASI 6-UY</t>
        </is>
      </c>
      <c r="H60" s="99">
        <v>10.0</v>
      </c>
      <c r="I60" s="99">
        <v>4370891.26</v>
      </c>
      <c r="K60" s="98" t="inlineStr">
        <is>
          <t xml:space="preserve">Va'da berdi | oyni oxirigacha hal qiladi | 1369863.01369863 | 3001028.25</t>
        </is>
      </c>
    </row>
    <row r="61">
      <c r="A61" s="98" t="inlineStr">
        <is>
          <t xml:space="preserve">АНДИЖОН ВИЛОЯТИ</t>
        </is>
      </c>
      <c r="C61" s="98" t="inlineStr">
        <is>
          <t xml:space="preserve">Обещал</t>
        </is>
      </c>
      <c r="D61" s="98" t="inlineStr">
        <is>
          <t xml:space="preserve">Кр-99040384-2</t>
        </is>
      </c>
      <c r="E61" s="98" t="inlineStr">
        <is>
          <t xml:space="preserve">MUXAMMADJONOV XEKMATULLO AVAZBEK O’G’LI</t>
        </is>
      </c>
      <c r="F61" s="98" t="inlineStr">
        <is>
          <t xml:space="preserve">998902575202 sms ozi, 998934475357 SMS AYOLI, 998916047434 SMS UKASI, 998912111710 SMS AMAKISI,</t>
        </is>
      </c>
      <c r="G61" s="98" t="inlineStr">
        <is>
          <t xml:space="preserve">ҚЎШТЕПА МФЙ, ЧАМАНЗОР КЎЧАСИ,  uy:Р/С</t>
        </is>
      </c>
      <c r="H61" s="99">
        <v>10.0</v>
      </c>
      <c r="I61" s="99">
        <v>4353548.65</v>
      </c>
      <c r="K61" s="98" t="inlineStr">
        <is>
          <t xml:space="preserve">Va'da berdi | ertaga hal qiladi | 1315068.4931506847 | 3038480.16</t>
        </is>
      </c>
    </row>
    <row r="62">
      <c r="A62" s="98" t="inlineStr">
        <is>
          <t xml:space="preserve">АНДИЖОН ВИЛОЯТИ</t>
        </is>
      </c>
      <c r="C62" s="98" t="inlineStr">
        <is>
          <t xml:space="preserve">Обещал</t>
        </is>
      </c>
      <c r="D62" s="98" t="inlineStr">
        <is>
          <t xml:space="preserve">Кр-99040647-1</t>
        </is>
      </c>
      <c r="E62" s="98" t="inlineStr">
        <is>
          <t xml:space="preserve">AKBAROV RAVSHANBEK XXX</t>
        </is>
      </c>
      <c r="F62" s="98" t="inlineStr">
        <is>
          <t xml:space="preserve">998996161058 SMS OZI, 998935511517 SMS AYOLI, 998942157201 SMS QIZI, 998992306087 SMS OGLI, +998996161058 SMS O’ZI,</t>
        </is>
      </c>
      <c r="G62" s="98" t="inlineStr">
        <is>
          <t xml:space="preserve">ANDIJON VILOYATI OLTINKO’L TUMANI AYRONCHI MFY, AYRONCHI  KO’CHASI 856-UY</t>
        </is>
      </c>
      <c r="H62" s="99">
        <v>10.0</v>
      </c>
      <c r="I62" s="99">
        <v>4167369.85</v>
      </c>
      <c r="K62" s="98" t="inlineStr">
        <is>
          <t xml:space="preserve">Va'da berdi | 25 kunga hal qiladi | 2191780.821917808 | 1975589.03</t>
        </is>
      </c>
    </row>
    <row r="63">
      <c r="A63" s="98" t="inlineStr">
        <is>
          <t xml:space="preserve">АНДИЖОН ВИЛОЯТИ</t>
        </is>
      </c>
      <c r="C63" s="98" t="inlineStr">
        <is>
          <t xml:space="preserve">Обещал</t>
        </is>
      </c>
      <c r="D63" s="98" t="inlineStr">
        <is>
          <t xml:space="preserve">Кр-99031802-1</t>
        </is>
      </c>
      <c r="E63" s="98" t="inlineStr">
        <is>
          <t xml:space="preserve">ASRANOV XURSHIDBEK PULATJON O’G’LI</t>
        </is>
      </c>
      <c r="F63" s="98" t="inlineStr">
        <is>
          <t xml:space="preserve">998888311117 SMS O’ZI, 998905403334 SMS ONASI, 998906247271 SMS AYOLI, 998160434332 SMS ONASI 2,</t>
        </is>
      </c>
      <c r="G63" s="98" t="inlineStr">
        <is>
          <t xml:space="preserve">ANDIJON VILOYATI ANDIJON SHAHAR DEXQONOBOD MFY M.SOLIYEV KO’CHASI 57-UY</t>
        </is>
      </c>
      <c r="H63" s="99">
        <v>3.0</v>
      </c>
      <c r="I63" s="99">
        <v>4101788.01</v>
      </c>
      <c r="K63" s="98" t="inlineStr">
        <is>
          <t xml:space="preserve">Va'da berdi | shu hafta hal qiladi | 575342.4657534247 | 3526445.54</t>
        </is>
      </c>
    </row>
    <row r="64">
      <c r="A64" s="98" t="inlineStr">
        <is>
          <t xml:space="preserve">АНДИЖОН ВИЛОЯТИ</t>
        </is>
      </c>
      <c r="C64" s="98" t="inlineStr">
        <is>
          <t xml:space="preserve">Обещал</t>
        </is>
      </c>
      <c r="D64" s="98" t="inlineStr">
        <is>
          <t xml:space="preserve">Кр-99035962-1</t>
        </is>
      </c>
      <c r="E64" s="98" t="inlineStr">
        <is>
          <t xml:space="preserve">ANVARBEKOV ABDULLAJON ZAFAR O’G’LI</t>
        </is>
      </c>
      <c r="F64" s="98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64" s="98" t="inlineStr">
        <is>
          <t xml:space="preserve">ANDIJON VILOYATI JALAQUDUQ TUMANI XAMZA MFY SADAF KO'CHASI 72-UY</t>
        </is>
      </c>
      <c r="H64" s="99">
        <v>3.0</v>
      </c>
      <c r="I64" s="99">
        <v>3977304.08</v>
      </c>
      <c r="K64" s="98" t="inlineStr">
        <is>
          <t xml:space="preserve">Va'da berdi | shu hafta hal qiladi | 410958.90410958906 | 3566345.18</t>
        </is>
      </c>
    </row>
    <row r="65">
      <c r="A65" s="98" t="inlineStr">
        <is>
          <t xml:space="preserve">АНДИЖОН ВИЛОЯТИ</t>
        </is>
      </c>
      <c r="C65" s="98" t="inlineStr">
        <is>
          <t xml:space="preserve">Обещал</t>
        </is>
      </c>
      <c r="D65" s="98" t="inlineStr">
        <is>
          <t xml:space="preserve">Кр-99038704-1</t>
        </is>
      </c>
      <c r="E65" s="98" t="inlineStr">
        <is>
          <t xml:space="preserve">MAXKAMOV AXMADJON ADILJON O’G’LI</t>
        </is>
      </c>
      <c r="F65" s="98" t="inlineStr">
        <is>
          <t xml:space="preserve">998971692929 SMS OZI, 998902043292 SMS OZI 2, 998914876346 SMS ONASI, 998901436222 SMS ONASI 2,</t>
        </is>
      </c>
      <c r="G65" s="98" t="inlineStr">
        <is>
          <t xml:space="preserve">ANDIJON VILOYATI JALAQUDUQ TUMANI  JALAQUDUQ MFY BOG’YO’LI  KO’CHASI 54-UY </t>
        </is>
      </c>
      <c r="H65" s="99">
        <v>8.0</v>
      </c>
      <c r="I65" s="99">
        <v>3653001.89</v>
      </c>
      <c r="K65" s="98" t="inlineStr">
        <is>
          <t xml:space="preserve">Va'da berdi | 25 kunga hal qiladi | 1315068.493150685 | 2337933.4</t>
        </is>
      </c>
    </row>
    <row r="66">
      <c r="A66" s="98" t="inlineStr">
        <is>
          <t xml:space="preserve">АНДИЖОН ВИЛОЯТИ</t>
        </is>
      </c>
      <c r="C66" s="98" t="inlineStr">
        <is>
          <t xml:space="preserve">Обещал</t>
        </is>
      </c>
      <c r="D66" s="98" t="inlineStr">
        <is>
          <t xml:space="preserve">Кр-99040747-1</t>
        </is>
      </c>
      <c r="E66" s="98" t="inlineStr">
        <is>
          <t xml:space="preserve">TEMIROV VOXIDJON XASANBOYEVICH</t>
        </is>
      </c>
      <c r="F66" s="98" t="inlineStr">
        <is>
          <t xml:space="preserve">998334941581 SMS OZI, 998958254383 SMS AYOLI, 998772592200 SMS OGLI, 998774292810 SMS QIZI,</t>
        </is>
      </c>
      <c r="G66" s="98" t="inlineStr">
        <is>
          <t xml:space="preserve">ANDIJON VILOYATI SHAXRIXON TUMANI QO’RG’ONCHA MFY,  QO’RG’ONCHA  KO’CHASI 43-UY</t>
        </is>
      </c>
      <c r="H66" s="99">
        <v>10.0</v>
      </c>
      <c r="I66" s="99">
        <v>3616188.66</v>
      </c>
      <c r="K66" s="98" t="inlineStr">
        <is>
          <t xml:space="preserve">Va'da berdi | bugun hal qiladi | 1095890.410958904 | 2520298.25</t>
        </is>
      </c>
    </row>
    <row r="67">
      <c r="A67" s="98" t="inlineStr">
        <is>
          <t xml:space="preserve">АНДИЖОН ВИЛОЯТИ</t>
        </is>
      </c>
      <c r="C67" s="98" t="inlineStr">
        <is>
          <t xml:space="preserve">Обещал</t>
        </is>
      </c>
      <c r="D67" s="98" t="inlineStr">
        <is>
          <t xml:space="preserve">Кр-99063829-1</t>
        </is>
      </c>
      <c r="E67" s="98" t="inlineStr">
        <is>
          <t xml:space="preserve">MIRZAYEV ABDULAZIZ RUSTAMOVICH</t>
        </is>
      </c>
      <c r="F67" s="98" t="inlineStr">
        <is>
          <t xml:space="preserve">998773674777 SMS ONASI, 998940207105 SMS UZI, 998970610099 SSM AKASI, 998990723095 SMS DOSTI,</t>
        </is>
      </c>
      <c r="G67" s="98" t="inlineStr">
        <is>
          <t xml:space="preserve">Quvvatmurod MFY, Dilkushod ko’chasi, 139-uy</t>
        </is>
      </c>
      <c r="H67" s="99">
        <v>3.0</v>
      </c>
      <c r="I67" s="99">
        <v>3406936.45</v>
      </c>
      <c r="K67" s="98" t="inlineStr">
        <is>
          <t xml:space="preserve">Va'da berdi | akasi oldi aytib qoyadi ekan | 205479.45205479453 | 3201457</t>
        </is>
      </c>
    </row>
    <row r="68">
      <c r="A68" s="98" t="inlineStr">
        <is>
          <t xml:space="preserve">АНДИЖОН ВИЛОЯТИ</t>
        </is>
      </c>
      <c r="C68" s="98" t="inlineStr">
        <is>
          <t xml:space="preserve">Обещал</t>
        </is>
      </c>
      <c r="D68" s="98" t="inlineStr">
        <is>
          <t xml:space="preserve">Кр-99040988-1</t>
        </is>
      </c>
      <c r="E68" s="98" t="inlineStr">
        <is>
          <t xml:space="preserve">ISAQJONOV PAXLAVONJON XUSNIDDIN O’G’LI</t>
        </is>
      </c>
      <c r="F68" s="98" t="inlineStr">
        <is>
          <t xml:space="preserve">+998888008486 SMS O’ZI, 998770009233 SMS UKASI, 998991498699 SMS AYOLI,</t>
        </is>
      </c>
      <c r="G68" s="98" t="inlineStr">
        <is>
          <t xml:space="preserve">ТОПТИҚ МФЙ, ТОПТИҚ КЎЧАСИ,  uy:Р/С</t>
        </is>
      </c>
      <c r="H68" s="99">
        <v>15.0</v>
      </c>
      <c r="I68" s="99">
        <v>3315627.58</v>
      </c>
      <c r="K68" s="98" t="inlineStr">
        <is>
          <t xml:space="preserve">Va'da berdi | 25 kunga hal qiladi | 1232876.7123287672 | 2082750.87</t>
        </is>
      </c>
    </row>
    <row r="69">
      <c r="A69" s="98" t="inlineStr">
        <is>
          <t xml:space="preserve">АНДИЖОН ВИЛОЯТИ</t>
        </is>
      </c>
      <c r="C69" s="98" t="inlineStr">
        <is>
          <t xml:space="preserve">Обещал</t>
        </is>
      </c>
      <c r="D69" s="98" t="inlineStr">
        <is>
          <t xml:space="preserve">Кр-99037428-1</t>
        </is>
      </c>
      <c r="E69" s="98" t="inlineStr">
        <is>
          <t xml:space="preserve">TOLIPOV MUHIDDIN AVAZJON O’G’LI</t>
        </is>
      </c>
      <c r="F69" s="98" t="inlineStr">
        <is>
          <t xml:space="preserve">998505111153 SMS UZI , 998995001004 SMS OZI 2, 998911717258 SMS ISHXONASI, 998998677258 SMS AYOLI,</t>
        </is>
      </c>
      <c r="G69" s="98" t="inlineStr">
        <is>
          <t xml:space="preserve">ANDIJON VILOYATI BULOQBOSHI TUMANI FAROVON MFY OXANGARON KO’CHASI 46-UY</t>
        </is>
      </c>
      <c r="H69" s="99">
        <v>1.0</v>
      </c>
      <c r="I69" s="99">
        <v>3247405.38</v>
      </c>
      <c r="K69" s="98" t="inlineStr">
        <is>
          <t xml:space="preserve">Va'da berdi | shu hafta hal qiladi | 136986.301369863 | 3110419.08</t>
        </is>
      </c>
    </row>
    <row r="70">
      <c r="A70" s="98" t="inlineStr">
        <is>
          <t xml:space="preserve">АНДИЖОН ВИЛОЯТИ</t>
        </is>
      </c>
      <c r="C70" s="98" t="inlineStr">
        <is>
          <t xml:space="preserve">Обещал</t>
        </is>
      </c>
      <c r="D70" s="98" t="inlineStr">
        <is>
          <t xml:space="preserve">Кр-99046070-1</t>
        </is>
      </c>
      <c r="E70" s="98" t="inlineStr">
        <is>
          <t xml:space="preserve">MADAMINOV UMIDILLO MANSURJON O’G’LI</t>
        </is>
      </c>
      <c r="F70" s="98" t="inlineStr">
        <is>
          <t xml:space="preserve">+998993039777 SMS O’ZI, 998950549306 SMS AYOLI, 998979959266 SMS UKASI, 998994069576 SMS ONASI,</t>
        </is>
      </c>
      <c r="G70" s="98" t="inlineStr">
        <is>
          <t xml:space="preserve">Andijon viloyati Paxtaobod tumani  Soybo’yi MFY Soybo’yi ko’chasi, 40-yu</t>
        </is>
      </c>
      <c r="H70" s="99">
        <v>10.0</v>
      </c>
      <c r="I70" s="99">
        <v>3192409.65</v>
      </c>
      <c r="K70" s="98" t="inlineStr">
        <is>
          <t xml:space="preserve">Va'da berdi | dushanba seshanba kuni | 2191780.821917808 | 1000628.83</t>
        </is>
      </c>
    </row>
    <row r="71">
      <c r="A71" s="98" t="inlineStr">
        <is>
          <t xml:space="preserve">АНДИЖОН ВИЛОЯТИ</t>
        </is>
      </c>
      <c r="C71" s="98" t="inlineStr">
        <is>
          <t xml:space="preserve">Обещал</t>
        </is>
      </c>
      <c r="D71" s="98" t="inlineStr">
        <is>
          <t xml:space="preserve">Кр-99040884-2</t>
        </is>
      </c>
      <c r="E71" s="98" t="inlineStr">
        <is>
          <t xml:space="preserve">ABDILAJONOV LATIPJON XXX</t>
        </is>
      </c>
      <c r="F71" s="98" t="inlineStr">
        <is>
          <t xml:space="preserve">+998950121049 SMS O’ZI, 998871087272 SMS O’G’LI, 998936770060 SMS NABIRASI, 998955801953 SMS AYOLI,</t>
        </is>
      </c>
      <c r="G71" s="98" t="inlineStr">
        <is>
          <t xml:space="preserve">ХЎЖАТЕПА МФЙ, МАШИНАСОЗЛАР КЎЧАСИ,  uy:Р/С</t>
        </is>
      </c>
      <c r="H71" s="99">
        <v>14.0</v>
      </c>
      <c r="I71" s="99">
        <v>3101599.0</v>
      </c>
      <c r="K71" s="98" t="inlineStr">
        <is>
          <t xml:space="preserve">Va'da berdi | shu hafta hal qilib berdi | 2684931.506849315 | 416667.49</t>
        </is>
      </c>
    </row>
    <row r="72">
      <c r="A72" s="98" t="inlineStr">
        <is>
          <t xml:space="preserve">АНДИЖОН ВИЛОЯТИ</t>
        </is>
      </c>
      <c r="C72" s="98" t="inlineStr">
        <is>
          <t xml:space="preserve">Обещал</t>
        </is>
      </c>
      <c r="D72" s="98" t="inlineStr">
        <is>
          <t xml:space="preserve">Кр-99063829-2</t>
        </is>
      </c>
      <c r="E72" s="98" t="inlineStr">
        <is>
          <t xml:space="preserve">MIRZAYEV ABDULAZIZ RUSTAMOVICH</t>
        </is>
      </c>
      <c r="F72" s="98" t="inlineStr">
        <is>
          <t xml:space="preserve">998773674777 SMS ONASI, 998940207105 SMS UZI, 998970610099 SSM AKASI, 998990723095 SMS DOSTI,</t>
        </is>
      </c>
      <c r="G72" s="98" t="inlineStr">
        <is>
          <t xml:space="preserve">Quvvatmurod MFY, Dilkushod ko’chasi, 139-uy</t>
        </is>
      </c>
      <c r="H72" s="99">
        <v>3.0</v>
      </c>
      <c r="I72" s="99">
        <v>2725548.56</v>
      </c>
      <c r="K72" s="98" t="inlineStr">
        <is>
          <t xml:space="preserve">Va'da berdi | akasi oldi aytib qoyadi ekan | 164383.56164383562 | 2561165</t>
        </is>
      </c>
    </row>
    <row r="73">
      <c r="A73" s="98" t="inlineStr">
        <is>
          <t xml:space="preserve">АНДИЖОН ВИЛОЯТИ</t>
        </is>
      </c>
      <c r="C73" s="98" t="inlineStr">
        <is>
          <t xml:space="preserve">Обещал</t>
        </is>
      </c>
      <c r="D73" s="98" t="inlineStr">
        <is>
          <t xml:space="preserve">Кр-99027758-1</t>
        </is>
      </c>
      <c r="E73" s="98" t="inlineStr">
        <is>
          <t xml:space="preserve">TO’LANBOYEV DONIYORBEK BAXTIYORJON O’G’LI</t>
        </is>
      </c>
      <c r="F73" s="98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73" s="98" t="inlineStr">
        <is>
          <t xml:space="preserve">ANDIJON VILOYATI ANDIJON SHAHAR BOG’ISHAMOL MFY K. DJABBAROV KO’CHASI 5-UY</t>
        </is>
      </c>
      <c r="H73" s="99">
        <v>3.0</v>
      </c>
      <c r="I73" s="99">
        <v>2683297.97</v>
      </c>
      <c r="K73" s="98" t="inlineStr">
        <is>
          <t xml:space="preserve">Va'da berdi | 20 kunga hal qiladi | 410958.90410958906 | 2272339.07</t>
        </is>
      </c>
    </row>
    <row r="74">
      <c r="A74" s="98" t="inlineStr">
        <is>
          <t xml:space="preserve">АНДИЖОН ВИЛОЯТИ</t>
        </is>
      </c>
      <c r="C74" s="98" t="inlineStr">
        <is>
          <t xml:space="preserve">Обещал</t>
        </is>
      </c>
      <c r="D74" s="98" t="inlineStr">
        <is>
          <t xml:space="preserve">Кр-99038903-1</t>
        </is>
      </c>
      <c r="E74" s="98" t="inlineStr">
        <is>
          <t xml:space="preserve">G’OFUROVA SANTALATXON TOXIRJON QIZI</t>
        </is>
      </c>
      <c r="F74" s="98" t="inlineStr">
        <is>
          <t xml:space="preserve">998942572820 SMS OZI , 998931161001 SMS OZI 2 begona , 998935511000 SMS QAYNI SINGLISI, 998939856162 SMS QAYSINI,</t>
        </is>
      </c>
      <c r="G74" s="98" t="inlineStr">
        <is>
          <t xml:space="preserve">ANDIJON VILOYATI ANDIJON TUMANI DARXON MFY, ZAROBOD KO’CHASI 91-UY</t>
        </is>
      </c>
      <c r="H74" s="99">
        <v>1.0</v>
      </c>
      <c r="I74" s="99">
        <v>2622309.16</v>
      </c>
      <c r="K74" s="98" t="inlineStr">
        <is>
          <t xml:space="preserve">Va'da berdi | shu hafta hal qiladi | 109589.04109589041 | 2512720.12</t>
        </is>
      </c>
    </row>
    <row r="75">
      <c r="A75" s="98" t="inlineStr">
        <is>
          <t xml:space="preserve">АНДИЖОН ВИЛОЯТИ</t>
        </is>
      </c>
      <c r="C75" s="98" t="inlineStr">
        <is>
          <t xml:space="preserve">Обещал</t>
        </is>
      </c>
      <c r="D75" s="98" t="inlineStr">
        <is>
          <t xml:space="preserve">Кр-99039608-1</t>
        </is>
      </c>
      <c r="E75" s="98" t="inlineStr">
        <is>
          <t xml:space="preserve">FAXRUTDINOV FAZLITDIN XAYBATULLAYEVICH</t>
        </is>
      </c>
      <c r="F75" s="98" t="inlineStr">
        <is>
          <t xml:space="preserve">998936926077 SMS OZI, 998951175010 SMS OGLI, 998977712560 SMS OGLI2,</t>
        </is>
      </c>
      <c r="G75" s="98" t="inlineStr">
        <is>
          <t xml:space="preserve">ANDIJON VILOYATI SHAXRIXON TUMANI  MULLABOY MFY, AXMAD YASSAVIY KO’CHASI 28-UY</t>
        </is>
      </c>
      <c r="H75" s="99">
        <v>3.0</v>
      </c>
      <c r="I75" s="99">
        <v>2588011.74</v>
      </c>
      <c r="K75" s="98" t="inlineStr">
        <is>
          <t xml:space="preserve">Va'da berdi | bugun hal qiladi | 1643835.6164383562 | 944176.12</t>
        </is>
      </c>
    </row>
    <row r="76">
      <c r="A76" s="98" t="inlineStr">
        <is>
          <t xml:space="preserve">АНДИЖОН ВИЛОЯТИ</t>
        </is>
      </c>
      <c r="C76" s="98" t="inlineStr">
        <is>
          <t xml:space="preserve">Обещал</t>
        </is>
      </c>
      <c r="D76" s="98" t="inlineStr">
        <is>
          <t xml:space="preserve">Кр-99062971-1</t>
        </is>
      </c>
      <c r="E76" s="98" t="inlineStr">
        <is>
          <t xml:space="preserve">ABDULLAYEV O’TKIRBEK MAMASIDIKOVICH</t>
        </is>
      </c>
      <c r="F76" s="98" t="inlineStr">
        <is>
          <t xml:space="preserve">+998932333213 SMS O’ZI, 998507033213 SMS UY, 998931033213 SMS O’G’LI, 998946107010 SMS O’G’LI,</t>
        </is>
      </c>
      <c r="G76" s="98" t="inlineStr">
        <is>
          <t xml:space="preserve">ANDIJON VILOYATI  ANDIJON TUMANI CHEM MFY, GULSHAN  KO’CHASI 88-UY</t>
        </is>
      </c>
      <c r="H76" s="99">
        <v>10.0</v>
      </c>
      <c r="I76" s="99">
        <v>2448077.53</v>
      </c>
      <c r="K76" s="98" t="inlineStr">
        <is>
          <t xml:space="preserve">Va'da berdi | 25 gacha hal qiladi | 1095890.410958904 | 1352187.12</t>
        </is>
      </c>
    </row>
    <row r="77">
      <c r="A77" s="98" t="inlineStr">
        <is>
          <t xml:space="preserve">АНДИЖОН ВИЛОЯТИ</t>
        </is>
      </c>
      <c r="C77" s="98" t="inlineStr">
        <is>
          <t xml:space="preserve">Обещал</t>
        </is>
      </c>
      <c r="D77" s="98" t="inlineStr">
        <is>
          <t xml:space="preserve">Кр-99041191-1</t>
        </is>
      </c>
      <c r="E77" s="98" t="inlineStr">
        <is>
          <t xml:space="preserve">SHOXINAZAROV ABDULLOH AZIZBEK O’G’LI</t>
        </is>
      </c>
      <c r="F77" s="98" t="inlineStr">
        <is>
          <t xml:space="preserve">+998880662277 SMS O’ZI, 998881005751 SMS ONASI, 998931005751 SMS DADASI, 998970272127 SMS DO’STI MUXAMMADSOLIQ,</t>
        </is>
      </c>
      <c r="G77" s="98" t="inlineStr">
        <is>
          <t xml:space="preserve">Экин тикин МФЙ, Шафтолизор кучаси, 252-уй</t>
        </is>
      </c>
      <c r="H77" s="99">
        <v>10.0</v>
      </c>
      <c r="I77" s="99">
        <v>2283916.04</v>
      </c>
      <c r="K77" s="98" t="inlineStr">
        <is>
          <t xml:space="preserve">Va'da berdi | bugun erta hal qiladi | 684931.506849315 | 1598984.53</t>
        </is>
      </c>
    </row>
    <row r="78">
      <c r="A78" s="98" t="inlineStr">
        <is>
          <t xml:space="preserve">АНДИЖОН ВИЛОЯТИ</t>
        </is>
      </c>
      <c r="C78" s="98" t="inlineStr">
        <is>
          <t xml:space="preserve">Обещал</t>
        </is>
      </c>
      <c r="D78" s="98" t="inlineStr">
        <is>
          <t xml:space="preserve">Кр-99038983-2</t>
        </is>
      </c>
      <c r="E78" s="98" t="inlineStr">
        <is>
          <t xml:space="preserve">REJABOVA GULNOZA MAXAMMADJON QIZI</t>
        </is>
      </c>
      <c r="F78" s="98" t="inlineStr">
        <is>
          <t xml:space="preserve">998331132300 SMS OZI olmaliqda kambinatda ishlid , 998931632300 SMS AKASI, 998987882323 SMS UKASI, 998944009532 SMS ONASI,</t>
        </is>
      </c>
      <c r="G78" s="98" t="inlineStr">
        <is>
          <t xml:space="preserve">ANDIJON VILOYATI  QO’RG’ONTEPA TUMANI DEXQONCHEK  MFY SAJDAGOX KO’CHASI 30-UY</t>
        </is>
      </c>
      <c r="H78" s="99">
        <v>10.0</v>
      </c>
      <c r="I78" s="99">
        <v>1986455.68</v>
      </c>
      <c r="K78" s="98" t="inlineStr">
        <is>
          <t xml:space="preserve">Va'da berdi | bugun erta hal qiladi | 364383.5616438356 | 1622072.12</t>
        </is>
      </c>
    </row>
    <row r="79">
      <c r="A79" s="98" t="inlineStr">
        <is>
          <t xml:space="preserve">АНДИЖОН ВИЛОЯТИ</t>
        </is>
      </c>
      <c r="C79" s="98" t="inlineStr">
        <is>
          <t xml:space="preserve">Обещал</t>
        </is>
      </c>
      <c r="D79" s="98" t="inlineStr">
        <is>
          <t xml:space="preserve">Кр-99029531-1</t>
        </is>
      </c>
      <c r="E79" s="98" t="inlineStr">
        <is>
          <t xml:space="preserve">TOLIBJONOVA MAFTUNAXON OYBEK QIZI</t>
        </is>
      </c>
      <c r="F79" s="98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79" s="98" t="inlineStr">
        <is>
          <t xml:space="preserve">ANDIJON VILOYATI ANDIJON TUMANI ISTIQLOL MFY OQ YOR KO’CHASI 163-UY</t>
        </is>
      </c>
      <c r="H79" s="99">
        <v>3.0</v>
      </c>
      <c r="I79" s="99">
        <v>1957283.66</v>
      </c>
      <c r="K79" s="98" t="inlineStr">
        <is>
          <t xml:space="preserve">Va'da berdi | bugun erta hal qiladi | 287671.23287671234 | 1669612.43</t>
        </is>
      </c>
    </row>
    <row r="80">
      <c r="A80" s="98" t="inlineStr">
        <is>
          <t xml:space="preserve">АНДИЖОН ВИЛОЯТИ</t>
        </is>
      </c>
      <c r="C80" s="98" t="inlineStr">
        <is>
          <t xml:space="preserve">Обещал</t>
        </is>
      </c>
      <c r="D80" s="98" t="inlineStr">
        <is>
          <t xml:space="preserve">Кр-99039141-1</t>
        </is>
      </c>
      <c r="E80" s="98" t="inlineStr">
        <is>
          <t xml:space="preserve">SAIDBEKOVA MOXINUR MUXAMMADJON QIZI</t>
        </is>
      </c>
      <c r="F80" s="98" t="inlineStr">
        <is>
          <t xml:space="preserve">998970957667 SMS OZI, 998974114774 SMS AKASI begona,</t>
        </is>
      </c>
      <c r="G80" s="98" t="inlineStr">
        <is>
          <t xml:space="preserve">ANDIJON VILOYATI ANDIJON  SHAHAR MASH’AL MFY T.REJAPOV 1-UY 53-XONADON</t>
        </is>
      </c>
      <c r="H80" s="99">
        <v>10.0</v>
      </c>
      <c r="I80" s="99">
        <v>1954465.27</v>
      </c>
      <c r="K80" s="98" t="inlineStr">
        <is>
          <t xml:space="preserve">Va'da berdi | 20 gacha hal qiladi | 547945.205479452 | 1406520.06</t>
        </is>
      </c>
    </row>
    <row r="81">
      <c r="A81" s="98" t="inlineStr">
        <is>
          <t xml:space="preserve">АНДИЖОН ВИЛОЯТИ</t>
        </is>
      </c>
      <c r="C81" s="98" t="inlineStr">
        <is>
          <t xml:space="preserve">Обещал</t>
        </is>
      </c>
      <c r="D81" s="98" t="inlineStr">
        <is>
          <t xml:space="preserve">Кр-99063628-3</t>
        </is>
      </c>
      <c r="E81" s="98" t="inlineStr">
        <is>
          <t xml:space="preserve">TASHMATOV XUSNUTDIN ODILJANOVICH</t>
        </is>
      </c>
      <c r="F81" s="98" t="inlineStr">
        <is>
          <t xml:space="preserve">998901705955 O’ZI,</t>
        </is>
      </c>
      <c r="G81" s="98" t="inlineStr">
        <is>
          <t xml:space="preserve">АНДИЖОН ВИЛОЯТИ АНДИЖОН ШАХAР АХМАД ЯССАВИЙ МФЙ ЛОЙИХАЛАШ КУЧАСИ 6-УЙ</t>
        </is>
      </c>
      <c r="H81" s="99">
        <v>10.0</v>
      </c>
      <c r="I81" s="99">
        <v>1588633.18</v>
      </c>
      <c r="K81" s="98" t="inlineStr">
        <is>
          <t xml:space="preserve">Va'da berdi | Farrux aka bn gaplashgan | 547945.205479452 | 1040687.97</t>
        </is>
      </c>
    </row>
    <row r="82">
      <c r="A82" s="98" t="inlineStr">
        <is>
          <t xml:space="preserve">АНДИЖОН ВИЛОЯТИ</t>
        </is>
      </c>
      <c r="C82" s="98" t="inlineStr">
        <is>
          <t xml:space="preserve">Обещал</t>
        </is>
      </c>
      <c r="D82" s="98" t="inlineStr">
        <is>
          <t xml:space="preserve">Кр-99027653-1</t>
        </is>
      </c>
      <c r="E82" s="98" t="inlineStr">
        <is>
          <t xml:space="preserve">G’ANIYEV MARDONBEK DILMUROD O’G’LI</t>
        </is>
      </c>
      <c r="F82" s="98" t="inlineStr">
        <is>
          <t xml:space="preserve">97-834-27-17 SMS O'ZI, 99-402-73-17 SMS ZALOGADATEL, 99-494-13-38 SMS KELINOYISI, 91-481-17-11  SMS DO’STI Begona ,</t>
        </is>
      </c>
      <c r="G82" s="98" t="inlineStr">
        <is>
          <t xml:space="preserve">ANDIJON VILOYATI MARXAMAT TUMANI NAVRO’Z MFY CHILONZOR KO’CHASI 114-UY</t>
        </is>
      </c>
      <c r="H82" s="99">
        <v>10.0</v>
      </c>
      <c r="I82" s="99">
        <v>1301512.17</v>
      </c>
      <c r="K82" s="98" t="inlineStr">
        <is>
          <t xml:space="preserve">Va'da berdi | shu hafta oxiriga tashlab beradi ekan ozi rusda ekan | 493150.68493150687 | 808361.49</t>
        </is>
      </c>
    </row>
    <row r="83">
      <c r="A83" s="98" t="inlineStr">
        <is>
          <t xml:space="preserve">АНДИЖОН ВИЛОЯТИ</t>
        </is>
      </c>
      <c r="C83" s="98" t="inlineStr">
        <is>
          <t xml:space="preserve">Обещал</t>
        </is>
      </c>
      <c r="D83" s="98" t="inlineStr">
        <is>
          <t xml:space="preserve">Кр-99035336-2</t>
        </is>
      </c>
      <c r="E83" s="98" t="inlineStr">
        <is>
          <t xml:space="preserve">RO’ZIYEVA MUNIRAXON SULTONOVNA</t>
        </is>
      </c>
      <c r="F83" s="98" t="inlineStr">
        <is>
          <t xml:space="preserve">998936907720 SMS OZI, 998949796867 SMS QIZI, 998504044603 SMS OGLI, 998934446258 SMS ONASI,</t>
        </is>
      </c>
      <c r="G83" s="98" t="inlineStr">
        <is>
          <t xml:space="preserve">ANDIJON VILOYATI BO’Z TUMANI MUSTAQILLIK KO’CHASI  70-UY,11-XONADON</t>
        </is>
      </c>
      <c r="H83" s="99">
        <v>10.0</v>
      </c>
      <c r="I83" s="99">
        <v>1268111.0</v>
      </c>
      <c r="K83" s="98" t="inlineStr">
        <is>
          <t xml:space="preserve">Va'da berdi | 20 kunga hal qiladi | 383561.6438356164 | 884549.36</t>
        </is>
      </c>
    </row>
    <row r="84">
      <c r="A84" s="98" t="inlineStr">
        <is>
          <t xml:space="preserve">АНДИЖОН ВИЛОЯТИ</t>
        </is>
      </c>
      <c r="C84" s="98" t="inlineStr">
        <is>
          <t xml:space="preserve">Обещал</t>
        </is>
      </c>
      <c r="D84" s="98" t="inlineStr">
        <is>
          <t xml:space="preserve">Кр-99036805-2</t>
        </is>
      </c>
      <c r="E84" s="98" t="inlineStr">
        <is>
          <t xml:space="preserve">BESHBAYEVA OYAT KASIMOVA</t>
        </is>
      </c>
      <c r="F84" s="98" t="inlineStr">
        <is>
          <t xml:space="preserve">998979805801 SMS ozi , 998950012711 SMS ogli , 998501114027 SMS kelini , 998938252911 SMS ukasi , 998979805801 SMS ozi ,</t>
        </is>
      </c>
      <c r="G84" s="98" t="inlineStr">
        <is>
          <t xml:space="preserve">ANDIJON SHAHRI </t>
        </is>
      </c>
      <c r="H84" s="99">
        <v>10.0</v>
      </c>
      <c r="I84" s="99">
        <v>1141809.69</v>
      </c>
      <c r="K84" s="98" t="inlineStr">
        <is>
          <t xml:space="preserve">Va'da berdi | 20-25 kuni hal qiladi | 273972.602739726 | 867837.09</t>
        </is>
      </c>
    </row>
    <row r="85">
      <c r="A85" s="98" t="inlineStr">
        <is>
          <t xml:space="preserve">АНДИЖОН ВИЛОЯТИ</t>
        </is>
      </c>
      <c r="C85" s="98" t="inlineStr">
        <is>
          <t xml:space="preserve">Обещал</t>
        </is>
      </c>
      <c r="D85" s="98" t="inlineStr">
        <is>
          <t xml:space="preserve">Кр-99038164-1</t>
        </is>
      </c>
      <c r="E85" s="98" t="inlineStr">
        <is>
          <t xml:space="preserve">TURSUNALIYEV SIROJIDDIN YUNUSALI O’G’LI</t>
        </is>
      </c>
      <c r="F85" s="98" t="inlineStr">
        <is>
          <t xml:space="preserve">998883397171 SMS OZI, 998509978785 SMS AKASI, 998772880618 SMS OPASI, 998951552560 SMS DADASI,</t>
        </is>
      </c>
      <c r="G85" s="98" t="inlineStr">
        <is>
          <t xml:space="preserve">ANDIJON  VILOYATI BULOQBOSHI  TUMANI  RIVOJ MFY,YANGI CHEK KO’CHASI 412-UY</t>
        </is>
      </c>
      <c r="H85" s="99">
        <v>3.0</v>
      </c>
      <c r="I85" s="99">
        <v>1060078.09</v>
      </c>
      <c r="K85" s="98" t="inlineStr">
        <is>
          <t xml:space="preserve">Va'da berdi | 20 kunga hal qiladi | 575342.4657534247 | 484735.62</t>
        </is>
      </c>
    </row>
    <row r="86">
      <c r="A86" s="98" t="inlineStr">
        <is>
          <t xml:space="preserve">АНДИЖОН ВИЛОЯТИ</t>
        </is>
      </c>
      <c r="C86" s="98" t="inlineStr">
        <is>
          <t xml:space="preserve">Обещал</t>
        </is>
      </c>
      <c r="D86" s="98" t="inlineStr">
        <is>
          <t xml:space="preserve">Кр-99038275-3</t>
        </is>
      </c>
      <c r="E86" s="98" t="inlineStr">
        <is>
          <t xml:space="preserve">KARIMOVA XAMROXON MO’YDINOVNA</t>
        </is>
      </c>
      <c r="F86" s="98" t="inlineStr">
        <is>
          <t xml:space="preserve">998508831410 SMS OZI, 998948881410 SMS OGLI, 998916012492 SMS KELINI, 998937359892 SMS AKASI,</t>
        </is>
      </c>
      <c r="G86" s="98" t="inlineStr">
        <is>
          <t xml:space="preserve">ANDIJON  VILOYATI SHAXRIXON   TUMANI YANGIMAXALLA MFY, OBOD KO’CHASI  75/1-UY</t>
        </is>
      </c>
      <c r="H86" s="99">
        <v>10.0</v>
      </c>
      <c r="I86" s="99">
        <v>913144.31</v>
      </c>
      <c r="K86" s="98" t="inlineStr">
        <is>
          <t xml:space="preserve">Va'da berdi | shu hafta hal qiladi | 246575.34246575343 | 666568.97</t>
        </is>
      </c>
    </row>
    <row r="87">
      <c r="A87" s="100" t="inlineStr">
        <is>
          <t xml:space="preserve">БУХОРО ВИЛОЯТИ</t>
        </is>
      </c>
      <c r="B87" s="100" t="inlineStr">
        <is>
          <t xml:space="preserve">SUPER BRANCH</t>
        </is>
      </c>
      <c r="C87" s="100" t="inlineStr">
        <is>
          <t xml:space="preserve">Обещал</t>
        </is>
      </c>
      <c r="D87" s="100" t="inlineStr">
        <is>
          <t xml:space="preserve">Кр-99063363-1</t>
        </is>
      </c>
      <c r="E87" s="100" t="inlineStr">
        <is>
          <t xml:space="preserve">KOMILOVA ZEBO NURIDDINOVNA</t>
        </is>
      </c>
      <c r="F87" s="100" t="inlineStr">
        <is>
          <t xml:space="preserve">998995031288 OZI, 998773127040 JIYANI, 998998621288 ONASI, 998770900005 DOSTI,</t>
        </is>
      </c>
      <c r="G87" s="100" t="inlineStr">
        <is>
          <t xml:space="preserve">BUXORO VILOYATI QORAKUL TUMANI XOJAKON MFY XUNARMANDLAR KO’CHASI 86-UY</t>
        </is>
      </c>
      <c r="H87" s="101">
        <v>9.0</v>
      </c>
      <c r="I87" s="101">
        <v>9248185.5</v>
      </c>
      <c r="K87" s="100" t="inlineStr">
        <is>
          <t xml:space="preserve">Va'da berdi | 39 | 12614632.016630135</t>
        </is>
      </c>
    </row>
    <row r="88">
      <c r="A88" s="100" t="inlineStr">
        <is>
          <t xml:space="preserve">БУХОРО ВИЛОЯТИ</t>
        </is>
      </c>
      <c r="B88" s="100" t="inlineStr">
        <is>
          <t xml:space="preserve">SUPER BRANCH</t>
        </is>
      </c>
      <c r="C88" s="100" t="inlineStr">
        <is>
          <t xml:space="preserve">Обещал</t>
        </is>
      </c>
      <c r="D88" s="100" t="inlineStr">
        <is>
          <t xml:space="preserve">Кр-99033006-2</t>
        </is>
      </c>
      <c r="E88" s="100" t="inlineStr">
        <is>
          <t xml:space="preserve">AMIRQULOV AZIZBEK FARXOD O’G’LI</t>
        </is>
      </c>
      <c r="F88" s="100" t="inlineStr">
        <is>
          <t xml:space="preserve">998943206655 SMS O’ZI , 998930065166 SMS AKASI, 998940514494 SMS UKASI,</t>
        </is>
      </c>
      <c r="G88" s="100" t="inlineStr">
        <is>
          <t xml:space="preserve">BUXORO VILOYATI KORAKO’L TUMANI DARG’ALI MFY OQG’UN QISHLOG’I 22-UY</t>
        </is>
      </c>
      <c r="H88" s="101">
        <v>12.0</v>
      </c>
      <c r="I88" s="101">
        <v>2230158.71</v>
      </c>
      <c r="K88" s="100" t="inlineStr">
        <is>
          <t xml:space="preserve">Va'da berdi | 10 | 2423559.9516438358</t>
        </is>
      </c>
    </row>
    <row r="89">
      <c r="A89" s="100" t="inlineStr">
        <is>
          <t xml:space="preserve">БУХОРО ВИЛОЯТИ</t>
        </is>
      </c>
      <c r="B89" s="100" t="inlineStr">
        <is>
          <t xml:space="preserve">SUPER BRANCH</t>
        </is>
      </c>
      <c r="C89" s="100" t="inlineStr">
        <is>
          <t xml:space="preserve">Обещал</t>
        </is>
      </c>
      <c r="D89" s="100" t="inlineStr">
        <is>
          <t xml:space="preserve">Кр-99057620-1</t>
        </is>
      </c>
      <c r="E89" s="100" t="inlineStr">
        <is>
          <t xml:space="preserve">SADRIDDINOV SAVRIDDIN HUSNIDDIN O’G’LI</t>
        </is>
      </c>
      <c r="F89" s="100" t="inlineStr">
        <is>
          <t xml:space="preserve">998997027515 SMS UZI, 998906367515 SMS OTASI, 998997077515 SMS ONASI, 998918087515 SMS AKASI,</t>
        </is>
      </c>
      <c r="G89" s="100" t="inlineStr">
        <is>
          <t xml:space="preserve">BUXORO VILOYATI VOBKENT TUMANI KO'LXATIB MFY, NAVOIY KO'CHASI, 4-UY </t>
        </is>
      </c>
      <c r="H89" s="101">
        <v>7.0</v>
      </c>
      <c r="I89" s="101">
        <v>1850061.77</v>
      </c>
      <c r="K89" s="100" t="inlineStr">
        <is>
          <t xml:space="preserve">Va'da berdi | 34 | 2387048.071369863</t>
        </is>
      </c>
    </row>
    <row r="90">
      <c r="A90" s="100" t="inlineStr">
        <is>
          <t xml:space="preserve">БУХОРО ВИЛОЯТИ</t>
        </is>
      </c>
      <c r="B90" s="100" t="inlineStr">
        <is>
          <t xml:space="preserve">SUPER BRANCH</t>
        </is>
      </c>
      <c r="C90" s="100" t="inlineStr">
        <is>
          <t xml:space="preserve">Обещал</t>
        </is>
      </c>
      <c r="D90" s="100" t="inlineStr">
        <is>
          <t xml:space="preserve">Кр-99033006-3</t>
        </is>
      </c>
      <c r="E90" s="100" t="inlineStr">
        <is>
          <t xml:space="preserve">AMIRQULOV AZIZBEK FARXOD O’G’LI</t>
        </is>
      </c>
      <c r="F90" s="100" t="inlineStr">
        <is>
          <t xml:space="preserve">998943206655 SMS O’ZI , 998930065166 SMS AKASI, 998940514494 SMS UKASI,</t>
        </is>
      </c>
      <c r="G90" s="100" t="inlineStr">
        <is>
          <t xml:space="preserve">BUXORO VILOYATI KORAKO’L TUMANI DARG’ALI MFY OQG’UN QISHLOG’I 22-UY</t>
        </is>
      </c>
      <c r="H90" s="101">
        <v>0.0</v>
      </c>
      <c r="I90" s="101">
        <v>1673796.38</v>
      </c>
      <c r="K90" s="100" t="inlineStr">
        <is>
          <t xml:space="preserve">Va'da berdi | 11 | 1673796.38</t>
        </is>
      </c>
    </row>
    <row r="91">
      <c r="A91" s="100" t="inlineStr">
        <is>
          <t xml:space="preserve">БУХОРО ВИЛОЯТИ</t>
        </is>
      </c>
      <c r="B91" s="100" t="inlineStr">
        <is>
          <t xml:space="preserve">SUPER BRANCH</t>
        </is>
      </c>
      <c r="C91" s="100" t="inlineStr">
        <is>
          <t xml:space="preserve">Обещал</t>
        </is>
      </c>
      <c r="D91" s="100" t="inlineStr">
        <is>
          <t xml:space="preserve">Кр-99039939-1</t>
        </is>
      </c>
      <c r="E91" s="100" t="inlineStr">
        <is>
          <t xml:space="preserve">TUXTAYEVA NARGIZA JURAYEVNA</t>
        </is>
      </c>
      <c r="F91" s="100" t="inlineStr">
        <is>
          <t xml:space="preserve">998918365488 SMS OZI, 998903407973 SMS ONASI, 998331951802 SMS ERI, 998994452534 SMS UY,</t>
        </is>
      </c>
      <c r="G91" s="100" t="inlineStr">
        <is>
          <t xml:space="preserve">BUXORO VILOYATI BUXORO SHAHAR FOSHUN MFY ALPOMISH KO'CHASI, 17/3 UY, 10-XONADON</t>
        </is>
      </c>
      <c r="H91" s="101">
        <v>7.0</v>
      </c>
      <c r="I91" s="101">
        <v>1602703.75</v>
      </c>
      <c r="K91" s="100" t="inlineStr">
        <is>
          <t xml:space="preserve">Va'da berdi | 24 | 2358394.8329041097</t>
        </is>
      </c>
    </row>
    <row r="92">
      <c r="A92" s="100" t="inlineStr">
        <is>
          <t xml:space="preserve">БУХОРО ВИЛОЯТИ</t>
        </is>
      </c>
      <c r="B92" s="100" t="inlineStr">
        <is>
          <t xml:space="preserve">SUPER BRANCH</t>
        </is>
      </c>
      <c r="C92" s="100" t="inlineStr">
        <is>
          <t xml:space="preserve">Обещал</t>
        </is>
      </c>
      <c r="D92" s="100" t="inlineStr">
        <is>
          <t xml:space="preserve">Кр-99036367-2</t>
        </is>
      </c>
      <c r="E92" s="100" t="inlineStr">
        <is>
          <t xml:space="preserve">BEHBUDOV ASLBEK RIZAMATOVICH</t>
        </is>
      </c>
      <c r="F92" s="100" t="inlineStr">
        <is>
          <t xml:space="preserve">+998947812907 SMS O’ZI, 998914462869 SMS OTASI, 998948795777 SMS JIYANI, 998997034797 SMS ONASI,</t>
        </is>
      </c>
      <c r="G92" s="100" t="inlineStr">
        <is>
          <t xml:space="preserve">BUXORO VILOYATI QORAKO’L TUMANI KUYI JANPAR 101-UY</t>
        </is>
      </c>
      <c r="H92" s="101">
        <v>7.0</v>
      </c>
      <c r="I92" s="101">
        <v>1095014.7</v>
      </c>
      <c r="K92" s="100" t="inlineStr">
        <is>
          <t xml:space="preserve">Va'da berdi | 16 | 1460127.68369863</t>
        </is>
      </c>
    </row>
    <row r="93">
      <c r="A93" s="102" t="inlineStr">
        <is>
          <t xml:space="preserve">БУХОРО ВИЛОЯТИ</t>
        </is>
      </c>
      <c r="B93" s="102" t="inlineStr">
        <is>
          <t xml:space="preserve">Бухоро филиали</t>
        </is>
      </c>
      <c r="C93" s="102" t="inlineStr">
        <is>
          <t xml:space="preserve">Обещал</t>
        </is>
      </c>
      <c r="D93" s="102" t="inlineStr">
        <is>
          <t xml:space="preserve">Кр-99062884-1</t>
        </is>
      </c>
      <c r="E93" s="102" t="inlineStr">
        <is>
          <t xml:space="preserve">MADIYEVA ISTAT RAVSHANOVNA</t>
        </is>
      </c>
      <c r="F93" s="102" t="inlineStr">
        <is>
          <t xml:space="preserve">+998997320621 SMS O’ZI, 998505742858 SMS O’G’LI, 998933080621 SMS KELINI, 998943960868 SMS QIZI,</t>
        </is>
      </c>
      <c r="G93" s="102" t="inlineStr">
        <is>
          <t xml:space="preserve">BUXORO VILOYATI JONDOR TUMANI ZARAFSHON MFY ZARAFSHON KO’CHASI 406-UY</t>
        </is>
      </c>
      <c r="H93" s="103">
        <v>7.0</v>
      </c>
      <c r="I93" s="103">
        <v>6933746.01</v>
      </c>
      <c r="K93" s="102" t="inlineStr">
        <is>
          <t xml:space="preserve">Va'da berdi | 37 | 8771645.565780822</t>
        </is>
      </c>
    </row>
    <row r="94">
      <c r="A94" s="102" t="inlineStr">
        <is>
          <t xml:space="preserve">БУХОРО ВИЛОЯТИ</t>
        </is>
      </c>
      <c r="B94" s="102" t="inlineStr">
        <is>
          <t xml:space="preserve">Бухоро филиали</t>
        </is>
      </c>
      <c r="C94" s="102" t="inlineStr">
        <is>
          <t xml:space="preserve">Обещал</t>
        </is>
      </c>
      <c r="D94" s="102" t="inlineStr">
        <is>
          <t xml:space="preserve">Кр-99062677-2</t>
        </is>
      </c>
      <c r="E94" s="102" t="inlineStr">
        <is>
          <t xml:space="preserve">POCHCHOYEVA ZULAYXO TOLIBJONOVNA</t>
        </is>
      </c>
      <c r="F94" s="102" t="inlineStr">
        <is>
          <t xml:space="preserve">+998932594485 SMS O’ZI, 998952224447 SMS ERI, 998992304600 SMS QAYNONASI, 998995554600 SMS QAYNOTA, 998939564485 узи 2,</t>
        </is>
      </c>
      <c r="G94" s="102" t="inlineStr">
        <is>
          <t xml:space="preserve">BUXORO VILOYAT JONDOR TUMAN IBN SINO MFY ASBOBSOZ KO’CHA 130-UY</t>
        </is>
      </c>
      <c r="H94" s="103">
        <v>7.0</v>
      </c>
      <c r="I94" s="103">
        <v>4279787.38</v>
      </c>
      <c r="K94" s="102" t="inlineStr">
        <is>
          <t xml:space="preserve">Va'da berdi | 35 | 5555825.088054795</t>
        </is>
      </c>
    </row>
    <row r="95">
      <c r="A95" s="102" t="inlineStr">
        <is>
          <t xml:space="preserve">БУХОРО ВИЛОЯТИ</t>
        </is>
      </c>
      <c r="B95" s="102" t="inlineStr">
        <is>
          <t xml:space="preserve">Бухоро филиали</t>
        </is>
      </c>
      <c r="C95" s="102" t="inlineStr">
        <is>
          <t xml:space="preserve">Обещал</t>
        </is>
      </c>
      <c r="D95" s="102" t="inlineStr">
        <is>
          <t xml:space="preserve">Кр-99035221-3</t>
        </is>
      </c>
      <c r="E95" s="102" t="inlineStr">
        <is>
          <t xml:space="preserve">SHUKUROV YUNUS UMAROVICH</t>
        </is>
      </c>
      <c r="F95" s="102" t="inlineStr">
        <is>
          <t xml:space="preserve">998990297718 SMS O’ZI, 998996751234 SMS AYOLI, 998992231806 SMS QAYNONASI, 998992947718 SMS ONASI,</t>
        </is>
      </c>
      <c r="G95" s="102" t="inlineStr">
        <is>
          <t xml:space="preserve">Хужа Мушкин МФЙ, Алпомиш кучаси, 13/2-уй, 7-хонадон</t>
        </is>
      </c>
      <c r="H95" s="103">
        <v>7.0</v>
      </c>
      <c r="I95" s="103">
        <v>3797288.24</v>
      </c>
      <c r="K95" s="102" t="inlineStr">
        <is>
          <t xml:space="preserve">Va'da berdi | 15 | 4756192.459671233</t>
        </is>
      </c>
    </row>
    <row r="96">
      <c r="A96" s="102" t="inlineStr">
        <is>
          <t xml:space="preserve">БУХОРО ВИЛОЯТИ</t>
        </is>
      </c>
      <c r="B96" s="102" t="inlineStr">
        <is>
          <t xml:space="preserve">Бухоро филиали</t>
        </is>
      </c>
      <c r="C96" s="102" t="inlineStr">
        <is>
          <t xml:space="preserve">Обещал</t>
        </is>
      </c>
      <c r="D96" s="102" t="inlineStr">
        <is>
          <t xml:space="preserve">Кр-99027572-1</t>
        </is>
      </c>
      <c r="E96" s="102" t="inlineStr">
        <is>
          <t xml:space="preserve">TO’YBOYEV BEHRUZ LUQMON O’G’LI</t>
        </is>
      </c>
      <c r="F96" s="102" t="inlineStr">
        <is>
          <t xml:space="preserve">99-262-34-44 SMS O'ZI хоразимда харбий , 95-571-45-41  SMS XOTINI, 97-452-30-33  SMS DADASI,</t>
        </is>
      </c>
      <c r="G96" s="102" t="inlineStr">
        <is>
          <t xml:space="preserve">BUXORO VILOYATI G’IJDUVON TUMANI POZAGARI MAXALLASI XARCHXONA KUCHASI 133 UY</t>
        </is>
      </c>
      <c r="H96" s="103">
        <v>11.0</v>
      </c>
      <c r="I96" s="103">
        <v>2921973.59</v>
      </c>
      <c r="K96" s="102" t="inlineStr">
        <is>
          <t xml:space="preserve">Va'da berdi | 4 | 3663423.4540547943</t>
        </is>
      </c>
    </row>
    <row r="97">
      <c r="A97" s="102" t="inlineStr">
        <is>
          <t xml:space="preserve">БУХОРО ВИЛОЯТИ</t>
        </is>
      </c>
      <c r="B97" s="102" t="inlineStr">
        <is>
          <t xml:space="preserve">Бухоро филиали</t>
        </is>
      </c>
      <c r="C97" s="102" t="inlineStr">
        <is>
          <t xml:space="preserve">Обещал</t>
        </is>
      </c>
      <c r="D97" s="102" t="inlineStr">
        <is>
          <t xml:space="preserve">Кр-99037180-2</t>
        </is>
      </c>
      <c r="E97" s="102" t="inlineStr">
        <is>
          <t xml:space="preserve">YULDASHEVA DILNOZA FAXRIDINOVNA</t>
        </is>
      </c>
      <c r="F97" s="102" t="inlineStr">
        <is>
          <t xml:space="preserve">998914076943 SMS OZI, 998907441349 SMS ERI , 998941250707 SMS JIYANI, 998507056161 SMS AMAKISI, +998914076943 SMS O’ZI,</t>
        </is>
      </c>
      <c r="G97" s="102" t="inlineStr">
        <is>
          <t xml:space="preserve">ИСТИКБОЛ МФЙ, ШУРОБОД, 67-УЙ</t>
        </is>
      </c>
      <c r="H97" s="103">
        <v>5.0</v>
      </c>
      <c r="I97" s="103">
        <v>2742706.8</v>
      </c>
      <c r="K97" s="102" t="inlineStr">
        <is>
          <t xml:space="preserve">Va'da berdi | 18 | 3349626.5284931506</t>
        </is>
      </c>
    </row>
    <row r="98">
      <c r="A98" s="102" t="inlineStr">
        <is>
          <t xml:space="preserve">БУХОРО ВИЛОЯТИ</t>
        </is>
      </c>
      <c r="B98" s="102" t="inlineStr">
        <is>
          <t xml:space="preserve">Бухоро филиали</t>
        </is>
      </c>
      <c r="C98" s="102" t="inlineStr">
        <is>
          <t xml:space="preserve">Обещал</t>
        </is>
      </c>
      <c r="D98" s="102" t="inlineStr">
        <is>
          <t xml:space="preserve">Кр-99027688-2</t>
        </is>
      </c>
      <c r="E98" s="102" t="inlineStr">
        <is>
          <t xml:space="preserve">HUSENOV BARNO HASANOVICH</t>
        </is>
      </c>
      <c r="F98" s="102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98" s="102" t="inlineStr">
        <is>
          <t xml:space="preserve">АРАБХОНА МФЙ, АРАБХОНА,</t>
        </is>
      </c>
      <c r="H98" s="103">
        <v>7.0</v>
      </c>
      <c r="I98" s="103">
        <v>670779.48</v>
      </c>
      <c r="K98" s="102" t="inlineStr">
        <is>
          <t xml:space="preserve">Va'da berdi | 5 | 1302705.5112054795</t>
        </is>
      </c>
    </row>
    <row r="99">
      <c r="A99" s="104" t="inlineStr">
        <is>
          <t xml:space="preserve">ЖИЗЗАХ ВИЛОЯТИ</t>
        </is>
      </c>
      <c r="C99" s="104" t="inlineStr">
        <is>
          <t xml:space="preserve">Обещал</t>
        </is>
      </c>
      <c r="D99" s="104" t="inlineStr">
        <is>
          <t xml:space="preserve">Кр-99047637-1</t>
        </is>
      </c>
      <c r="E99" s="104" t="inlineStr">
        <is>
          <t xml:space="preserve">AZIMOV ASADBEK OTABEK O’G’LI</t>
        </is>
      </c>
      <c r="F99" s="104" t="inlineStr">
        <is>
          <t xml:space="preserve">+998905382222 SMS NOMER, 998971120007 SMS O’ZI, 998991937773 begonA EKAN,</t>
        </is>
      </c>
      <c r="G99" s="104" t="inlineStr">
        <is>
          <t xml:space="preserve">JIZZAX VILOYATI JIZZAX SHAHRI TURON MFY   SAYILJOYI KUCHASI 21-UY</t>
        </is>
      </c>
      <c r="H99" s="105">
        <v>73.0</v>
      </c>
      <c r="I99" s="105">
        <v>20202259.54</v>
      </c>
      <c r="K99" s="104" t="inlineStr">
        <is>
          <t xml:space="preserve">Va'da berdi | filyal keliwi kerak</t>
        </is>
      </c>
    </row>
    <row r="100">
      <c r="A100" s="104" t="inlineStr">
        <is>
          <t xml:space="preserve">ЖИЗЗАХ ВИЛОЯТИ</t>
        </is>
      </c>
      <c r="C100" s="104" t="inlineStr">
        <is>
          <t xml:space="preserve">Обещал</t>
        </is>
      </c>
      <c r="D100" s="104" t="inlineStr">
        <is>
          <t xml:space="preserve">Кр-99056937-2</t>
        </is>
      </c>
      <c r="E100" s="104" t="inlineStr">
        <is>
          <t xml:space="preserve">RASHIDOVA NASIBA YAKUBOVNA</t>
        </is>
      </c>
      <c r="F100" s="104" t="inlineStr">
        <is>
          <t xml:space="preserve">998889541771 SMS OZI, 998843817712 SMS OZI2, 998974390219 SMS KELINI,</t>
        </is>
      </c>
      <c r="G100" s="104" t="inlineStr">
        <is>
          <t xml:space="preserve">JIZZAX VILOYATI JIZZAX SHAHAR MIRZO ULUG'BEK MAHALLASI 2-UY 10-XONADON</t>
        </is>
      </c>
      <c r="H100" s="105">
        <v>13.0</v>
      </c>
      <c r="I100" s="105">
        <v>8261002.22</v>
      </c>
      <c r="K100" s="104" t="inlineStr">
        <is>
          <t xml:space="preserve">Va'da berdi | kecgaca tolaydi</t>
        </is>
      </c>
    </row>
    <row r="101">
      <c r="A101" s="104" t="inlineStr">
        <is>
          <t xml:space="preserve">ЖИЗЗАХ ВИЛОЯТИ</t>
        </is>
      </c>
      <c r="C101" s="104" t="inlineStr">
        <is>
          <t xml:space="preserve">Обещал</t>
        </is>
      </c>
      <c r="D101" s="104" t="inlineStr">
        <is>
          <t xml:space="preserve">Кр-99040635-1</t>
        </is>
      </c>
      <c r="E101" s="104" t="inlineStr">
        <is>
          <t xml:space="preserve">JURAYEVA ZULAYXA LUTFULLAYEVNA</t>
        </is>
      </c>
      <c r="F101" s="104" t="inlineStr">
        <is>
          <t xml:space="preserve">998915641958 SMS begona, 998938592525 SMS O`G`LI tolovchisi, 998943543086 SMS O`G`LI 2, 998931940082 SMS O`G`LI 3, 998943174556 SMS ONASI, 998932926008 Tolovchisini xotini,</t>
        </is>
      </c>
      <c r="G101" s="104" t="inlineStr">
        <is>
          <t xml:space="preserve">JIZZAX VILOYATI, DO’STLIK TUMANI, NAVRUZ MFY, IFTIXOR KUCHASI, 11-2 UY</t>
        </is>
      </c>
      <c r="H101" s="105">
        <v>43.0</v>
      </c>
      <c r="I101" s="105">
        <v>8146268.67</v>
      </c>
      <c r="K101" s="104" t="inlineStr">
        <is>
          <t xml:space="preserve">Va'da berdi | bugun tolaydi</t>
        </is>
      </c>
    </row>
    <row r="102">
      <c r="A102" s="104" t="inlineStr">
        <is>
          <t xml:space="preserve">ЖИЗЗАХ ВИЛОЯТИ</t>
        </is>
      </c>
      <c r="C102" s="104" t="inlineStr">
        <is>
          <t xml:space="preserve">Обещал</t>
        </is>
      </c>
      <c r="D102" s="104" t="inlineStr">
        <is>
          <t xml:space="preserve">Кр-99036112-1</t>
        </is>
      </c>
      <c r="E102" s="104" t="inlineStr">
        <is>
          <t xml:space="preserve">O’TASHEV RAVSHAN BOXTIYOR O’G’LI</t>
        </is>
      </c>
      <c r="F102" s="104" t="inlineStr">
        <is>
          <t xml:space="preserve">998991037766 SMS OZI, 998946525295 SMS AKA TOLOVCHI, 998946738436 SMS AYOLI TOLOVCHI, 998944973835 SMS AYOLI, 998958735995 SMS TOLOVCHI,</t>
        </is>
      </c>
      <c r="G102" s="104" t="inlineStr">
        <is>
          <t xml:space="preserve">JIZZAX VILOYATI MIRZACHUL TUMANI PAXTAZOR SHFY BUNYODKOR KUCHASI 38-UY 2-XONADON </t>
        </is>
      </c>
      <c r="H102" s="105">
        <v>44.0</v>
      </c>
      <c r="I102" s="105">
        <v>6856165.76</v>
      </c>
      <c r="K102" s="104" t="inlineStr">
        <is>
          <t xml:space="preserve">Va'da berdi | mowin olingan</t>
        </is>
      </c>
    </row>
    <row r="103">
      <c r="A103" s="104" t="inlineStr">
        <is>
          <t xml:space="preserve">ЖИЗЗАХ ВИЛОЯТИ</t>
        </is>
      </c>
      <c r="C103" s="104" t="inlineStr">
        <is>
          <t xml:space="preserve">Обещал</t>
        </is>
      </c>
      <c r="D103" s="104" t="inlineStr">
        <is>
          <t xml:space="preserve">Кр-99033328-1</t>
        </is>
      </c>
      <c r="E103" s="104" t="inlineStr">
        <is>
          <t xml:space="preserve">XOLBUTAYEV DILMUROD ABDUMALIKOVICH</t>
        </is>
      </c>
      <c r="F103" s="104" t="inlineStr">
        <is>
          <t xml:space="preserve">998915680048 SMS O’ZI, 998994280048 SMS UKASI, 998990280048 SMS AYOLI BEGONA, 998900265356 SMS ONASI,</t>
        </is>
      </c>
      <c r="G103" s="104" t="inlineStr">
        <is>
          <t xml:space="preserve">JIZZAX VILOYATI ZOMIN TUMANI  DASHTOBOD SHAXAR QORATEPA MFY SHIRIN KUCHASI </t>
        </is>
      </c>
      <c r="H103" s="105">
        <v>13.0</v>
      </c>
      <c r="I103" s="105">
        <v>6506790.93</v>
      </c>
      <c r="K103" s="104" t="inlineStr">
        <is>
          <t xml:space="preserve">Va'da berdi | 5 6 gaca tulaydi</t>
        </is>
      </c>
    </row>
    <row r="104">
      <c r="A104" s="104" t="inlineStr">
        <is>
          <t xml:space="preserve">ЖИЗЗАХ ВИЛОЯТИ</t>
        </is>
      </c>
      <c r="C104" s="104" t="inlineStr">
        <is>
          <t xml:space="preserve">Обещал</t>
        </is>
      </c>
      <c r="D104" s="104" t="inlineStr">
        <is>
          <t xml:space="preserve">Кр-99028038-1</t>
        </is>
      </c>
      <c r="E104" s="104" t="inlineStr">
        <is>
          <t xml:space="preserve">XAZRATKULOVA RAYXON TURSUNBAYEVNA</t>
        </is>
      </c>
      <c r="F104" s="104" t="inlineStr">
        <is>
          <t xml:space="preserve">998772725500 SMS OZI, 998951307770 SMS UKASI, 998904928594 SMS ZOLOGATEL,</t>
        </is>
      </c>
      <c r="G104" s="104" t="inlineStr">
        <is>
          <t xml:space="preserve">JIZZAX VILOYATI JIZZAX SHAHRI OBOD MFY XALQLAR DUSTLIGI KUCHASI 101-A UY 23-XONADON</t>
        </is>
      </c>
      <c r="H104" s="105">
        <v>8.0</v>
      </c>
      <c r="I104" s="105">
        <v>5917963.62</v>
      </c>
      <c r="K104" s="104" t="inlineStr">
        <is>
          <t xml:space="preserve">Va'da berdi | wu hafta ohirgaca yopadi timur aka bilan gaplawgan ekan</t>
        </is>
      </c>
    </row>
    <row r="105">
      <c r="A105" s="104" t="inlineStr">
        <is>
          <t xml:space="preserve">ЖИЗЗАХ ВИЛОЯТИ</t>
        </is>
      </c>
      <c r="C105" s="104" t="inlineStr">
        <is>
          <t xml:space="preserve">Обещал</t>
        </is>
      </c>
      <c r="D105" s="104" t="inlineStr">
        <is>
          <t xml:space="preserve">Кр-99005110-6</t>
        </is>
      </c>
      <c r="E105" s="104" t="inlineStr">
        <is>
          <t xml:space="preserve">TURSUNOVA MAXBUBA OLIMJON KIZI</t>
        </is>
      </c>
      <c r="F105" s="104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05" s="104" t="inlineStr">
        <is>
          <t xml:space="preserve">JIZZAX VILOYATI JIZZAX SHAHAR BUNYODKOR .M.F.Y YORQIN KO’CHASI 16-UY</t>
        </is>
      </c>
      <c r="H105" s="105">
        <v>14.0</v>
      </c>
      <c r="I105" s="105">
        <v>5523834.76</v>
      </c>
      <c r="K105" s="104" t="inlineStr">
        <is>
          <t xml:space="preserve">Va'da berdi | bugun tolaydi kecgaca</t>
        </is>
      </c>
    </row>
    <row r="106">
      <c r="A106" s="104" t="inlineStr">
        <is>
          <t xml:space="preserve">ЖИЗЗАХ ВИЛОЯТИ</t>
        </is>
      </c>
      <c r="C106" s="104" t="inlineStr">
        <is>
          <t xml:space="preserve">Обещал</t>
        </is>
      </c>
      <c r="D106" s="104" t="inlineStr">
        <is>
          <t xml:space="preserve">Кр-99038849-1</t>
        </is>
      </c>
      <c r="E106" s="104" t="inlineStr">
        <is>
          <t xml:space="preserve">XASANOV INOMJON USMONOVICH</t>
        </is>
      </c>
      <c r="F106" s="104" t="inlineStr">
        <is>
          <t xml:space="preserve">998977931100 SMS SINGLISI, 998916262046 SMS OZI, 998976831100 SMS SINGLISI 2, 998915665348 SMS AYOLI,</t>
        </is>
      </c>
      <c r="G106" s="104" t="inlineStr">
        <is>
          <t xml:space="preserve">ДУСТЛИК, ДУСТЛИК, Э.АШИРМАТОВ,  uy:Р/С</t>
        </is>
      </c>
      <c r="H106" s="105">
        <v>2.0</v>
      </c>
      <c r="I106" s="105">
        <v>5384444.03</v>
      </c>
      <c r="K106" s="104" t="inlineStr">
        <is>
          <t xml:space="preserve">Va'da berdi | kecgaca tolaydi</t>
        </is>
      </c>
    </row>
    <row r="107">
      <c r="A107" s="104" t="inlineStr">
        <is>
          <t xml:space="preserve">ЖИЗЗАХ ВИЛОЯТИ</t>
        </is>
      </c>
      <c r="C107" s="104" t="inlineStr">
        <is>
          <t xml:space="preserve">Обещал</t>
        </is>
      </c>
      <c r="D107" s="104" t="inlineStr">
        <is>
          <t xml:space="preserve">Кр-99042115-1</t>
        </is>
      </c>
      <c r="E107" s="104" t="inlineStr">
        <is>
          <t xml:space="preserve">MIRZAYEV OYBEK SUNATILLAYEVICH</t>
        </is>
      </c>
      <c r="F107" s="104" t="inlineStr">
        <is>
          <t xml:space="preserve">+998902659695 SMS, 998915909006 SMS, 998974559695 SMS,</t>
        </is>
      </c>
      <c r="G107" s="104" t="inlineStr">
        <is>
          <t xml:space="preserve">JIZZAX VILOYATI SH.RASHIDOV TUMANI TOKCHILIK MFY ZARGARLIK KUCHASI 2-UY</t>
        </is>
      </c>
      <c r="H107" s="105">
        <v>10.0</v>
      </c>
      <c r="I107" s="105">
        <v>4457135.3</v>
      </c>
      <c r="K107" s="104" t="inlineStr">
        <is>
          <t xml:space="preserve">Va'da berdi | ertaga aniq yopad kecgaca</t>
        </is>
      </c>
    </row>
    <row r="108">
      <c r="A108" s="104" t="inlineStr">
        <is>
          <t xml:space="preserve">ЖИЗЗАХ ВИЛОЯТИ</t>
        </is>
      </c>
      <c r="C108" s="104" t="inlineStr">
        <is>
          <t xml:space="preserve">Обещал</t>
        </is>
      </c>
      <c r="D108" s="104" t="inlineStr">
        <is>
          <t xml:space="preserve">Кр-99063504-1</t>
        </is>
      </c>
      <c r="E108" s="104" t="inlineStr">
        <is>
          <t xml:space="preserve">MIRZAYEVA LOBARXON ERGASHEVNA</t>
        </is>
      </c>
      <c r="F108" s="104" t="inlineStr">
        <is>
          <t xml:space="preserve">998933556974 UZI, 998934026974 ERI, 998958832266 TO’LOVCHI,</t>
        </is>
      </c>
      <c r="G108" s="104" t="inlineStr">
        <is>
          <t xml:space="preserve">ТОШКЕСГАН КФЙ, ЛОЙИХАДАГИ КЎЧА,  uy:РАКАМСИЗ</t>
        </is>
      </c>
      <c r="H108" s="105">
        <v>10.0</v>
      </c>
      <c r="I108" s="105">
        <v>4425062.18</v>
      </c>
      <c r="K108" s="104" t="inlineStr">
        <is>
          <t xml:space="preserve">Va'da berdi | duwanba tulaydi</t>
        </is>
      </c>
    </row>
    <row r="109">
      <c r="A109" s="104" t="inlineStr">
        <is>
          <t xml:space="preserve">ЖИЗЗАХ ВИЛОЯТИ</t>
        </is>
      </c>
      <c r="C109" s="104" t="inlineStr">
        <is>
          <t xml:space="preserve">Обещал</t>
        </is>
      </c>
      <c r="D109" s="104" t="inlineStr">
        <is>
          <t xml:space="preserve">Кр-99057340-1</t>
        </is>
      </c>
      <c r="E109" s="104" t="inlineStr">
        <is>
          <t xml:space="preserve">SUYUNOVA UMIDA ILHOM QIZI</t>
        </is>
      </c>
      <c r="F109" s="104" t="inlineStr">
        <is>
          <t xml:space="preserve">998995542023 SMS ERI, 998930913798 SMS UZI, 998943461045 SMS UY, 998901020807 SMS Akasi,</t>
        </is>
      </c>
      <c r="G109" s="104" t="inlineStr">
        <is>
          <t xml:space="preserve">JIZZAX VILOYATI MIRZACHO'L TUMANI IPAK YULI QFY YANGI XAYOT KUCHASI 29-UY</t>
        </is>
      </c>
      <c r="H109" s="105">
        <v>10.0</v>
      </c>
      <c r="I109" s="105">
        <v>3800442.87</v>
      </c>
      <c r="K109" s="104" t="inlineStr">
        <is>
          <t xml:space="preserve">Va'da berdi | 12da tel qiliw kerak</t>
        </is>
      </c>
    </row>
    <row r="110">
      <c r="A110" s="104" t="inlineStr">
        <is>
          <t xml:space="preserve">ЖИЗЗАХ ВИЛОЯТИ</t>
        </is>
      </c>
      <c r="C110" s="104" t="inlineStr">
        <is>
          <t xml:space="preserve">Обещал</t>
        </is>
      </c>
      <c r="D110" s="104" t="inlineStr">
        <is>
          <t xml:space="preserve">Кр-99011601-4</t>
        </is>
      </c>
      <c r="E110" s="104" t="inlineStr">
        <is>
          <t xml:space="preserve">JO’RAQULOV JAVLONJON QAHRAMON O’G’LI</t>
        </is>
      </c>
      <c r="F110" s="104" t="inlineStr">
        <is>
          <t xml:space="preserve">88-126-00-25 SMS UZI, 97-482-53-53 SMS AYOLI, 88-437-53-53 SMS OTASI, 97-127-53-53 SMS AYOLI, 998776406865 SMS Ukasi tolovchi,</t>
        </is>
      </c>
      <c r="G110" s="104" t="inlineStr">
        <is>
          <t xml:space="preserve">JIZZAX VILOYATI JIZZAX TUMANI OLMACHI MAHALLASI OLMACHI KUCHASI 9/9 UY</t>
        </is>
      </c>
      <c r="H110" s="105">
        <v>14.0</v>
      </c>
      <c r="I110" s="105">
        <v>3593058.47</v>
      </c>
      <c r="K110" s="104" t="inlineStr">
        <is>
          <t xml:space="preserve">Va'da berdi | kecga iwdan ciqib filyalga oborb beradi</t>
        </is>
      </c>
    </row>
    <row r="111">
      <c r="A111" s="104" t="inlineStr">
        <is>
          <t xml:space="preserve">ЖИЗЗАХ ВИЛОЯТИ</t>
        </is>
      </c>
      <c r="C111" s="104" t="inlineStr">
        <is>
          <t xml:space="preserve">Обещал</t>
        </is>
      </c>
      <c r="D111" s="104" t="inlineStr">
        <is>
          <t xml:space="preserve">Кр-99062344-1</t>
        </is>
      </c>
      <c r="E111" s="104" t="inlineStr">
        <is>
          <t xml:space="preserve">ALIMOV BAXROM YETMISHOVICH</t>
        </is>
      </c>
      <c r="F111" s="104" t="inlineStr">
        <is>
          <t xml:space="preserve">998959098681 O`ZI, 998959108681 AYOLI, 998956261810 QIZI,</t>
        </is>
      </c>
      <c r="G111" s="104" t="inlineStr">
        <is>
          <t xml:space="preserve">JIZZAX VILOYATI ZARBDOR TUMANI RAVOT MFY PILLAKOR KUCHASI 1-UYI</t>
        </is>
      </c>
      <c r="H111" s="105">
        <v>10.0</v>
      </c>
      <c r="I111" s="105">
        <v>3532551.19</v>
      </c>
      <c r="K111" s="104" t="inlineStr">
        <is>
          <t xml:space="preserve">Va'da berdi | qisman tolov qigan qoganini ertaaga tolaydi</t>
        </is>
      </c>
    </row>
    <row r="112">
      <c r="A112" s="104" t="inlineStr">
        <is>
          <t xml:space="preserve">ЖИЗЗАХ ВИЛОЯТИ</t>
        </is>
      </c>
      <c r="C112" s="104" t="inlineStr">
        <is>
          <t xml:space="preserve">Обещал</t>
        </is>
      </c>
      <c r="D112" s="104" t="inlineStr">
        <is>
          <t xml:space="preserve">Кр-99063773-1</t>
        </is>
      </c>
      <c r="E112" s="104" t="inlineStr">
        <is>
          <t xml:space="preserve">MUHAMADIYEVA GULNORA QIZILOVNA</t>
        </is>
      </c>
      <c r="F112" s="104" t="inlineStr">
        <is>
          <t xml:space="preserve">998911950663 UZI, 998977947748 O’G’LI, 998995406039 O’G’LI,</t>
        </is>
      </c>
      <c r="G112" s="104" t="inlineStr">
        <is>
          <t xml:space="preserve">Жиззахлик МФЙ,  ул.Ш.Рашидов , 24-уй</t>
        </is>
      </c>
      <c r="H112" s="105">
        <v>10.0</v>
      </c>
      <c r="I112" s="105">
        <v>3412267.7</v>
      </c>
      <c r="K112" s="104" t="inlineStr">
        <is>
          <t xml:space="preserve">Va'da berdi | ertaga tolaydi</t>
        </is>
      </c>
    </row>
    <row r="113">
      <c r="A113" s="104" t="inlineStr">
        <is>
          <t xml:space="preserve">ЖИЗЗАХ ВИЛОЯТИ</t>
        </is>
      </c>
      <c r="C113" s="104" t="inlineStr">
        <is>
          <t xml:space="preserve">Обещал</t>
        </is>
      </c>
      <c r="D113" s="104" t="inlineStr">
        <is>
          <t xml:space="preserve">Кр-99042221-2</t>
        </is>
      </c>
      <c r="E113" s="104" t="inlineStr">
        <is>
          <t xml:space="preserve">MAMATQOSIMOV DOSTONJON YUSUF O’G’LI</t>
        </is>
      </c>
      <c r="F113" s="104" t="inlineStr">
        <is>
          <t xml:space="preserve">+998919420024 SMS, 998911963666 SMS, 998919430024 SMS,</t>
        </is>
      </c>
      <c r="G113" s="104" t="inlineStr">
        <is>
          <t xml:space="preserve">JIZZAX VILOYATI JIZZAX SHAHRI ULUG’BEK MFY SHIRIN KUCHASI 16/2-UY</t>
        </is>
      </c>
      <c r="H113" s="105">
        <v>10.0</v>
      </c>
      <c r="I113" s="105">
        <v>3365882.19</v>
      </c>
      <c r="K113" s="104" t="inlineStr">
        <is>
          <t xml:space="preserve">Va'da berdi | bolib bolib tulov qilyapti</t>
        </is>
      </c>
    </row>
    <row r="114">
      <c r="A114" s="104" t="inlineStr">
        <is>
          <t xml:space="preserve">ЖИЗЗАХ ВИЛОЯТИ</t>
        </is>
      </c>
      <c r="C114" s="104" t="inlineStr">
        <is>
          <t xml:space="preserve">Обещал</t>
        </is>
      </c>
      <c r="D114" s="104" t="inlineStr">
        <is>
          <t xml:space="preserve">Кр-99039288-1</t>
        </is>
      </c>
      <c r="E114" s="104" t="inlineStr">
        <is>
          <t xml:space="preserve">YAKUBOV BUNYOD NEMATILLAYEVICH</t>
        </is>
      </c>
      <c r="F114" s="104" t="inlineStr">
        <is>
          <t xml:space="preserve">998904878684 SMS OZI, 998886441986 SMS AYOLI, 998932988684 SMS OZI, 998773450986 SMS SINGLISI,</t>
        </is>
      </c>
      <c r="G114" s="104" t="inlineStr">
        <is>
          <t xml:space="preserve">JIZZAX VILOYATI DUSTLIK TUMANI MEVAZOR QFY LOLAZOR KUCHASI 35-UY </t>
        </is>
      </c>
      <c r="H114" s="105">
        <v>15.0</v>
      </c>
      <c r="I114" s="105">
        <v>3193775.48</v>
      </c>
      <c r="K114" s="104" t="inlineStr">
        <is>
          <t xml:space="preserve">Va'da berdi | bugun tolaydi</t>
        </is>
      </c>
    </row>
    <row r="115">
      <c r="A115" s="104" t="inlineStr">
        <is>
          <t xml:space="preserve">ЖИЗЗАХ ВИЛОЯТИ</t>
        </is>
      </c>
      <c r="C115" s="104" t="inlineStr">
        <is>
          <t xml:space="preserve">Обещал</t>
        </is>
      </c>
      <c r="D115" s="104" t="inlineStr">
        <is>
          <t xml:space="preserve">Кр-99039314-1</t>
        </is>
      </c>
      <c r="E115" s="104" t="inlineStr">
        <is>
          <t xml:space="preserve">IZBOSAROV BUNYODBEK BEHZOD O’G’LI</t>
        </is>
      </c>
      <c r="F115" s="104" t="inlineStr">
        <is>
          <t xml:space="preserve">998919400878 SMS UZI, 998886647070 SMS AKASI, 998991900011 SMS KATTA AKASI, 998996100011 SMS ADASI,</t>
        </is>
      </c>
      <c r="G115" s="104" t="inlineStr">
        <is>
          <t xml:space="preserve">JIZZAX VILOYATI PAXTAKOR TUMANI TOSHKENT MFY NURAFSHON KUCHASI 7/1-UY </t>
        </is>
      </c>
      <c r="H115" s="105">
        <v>14.0</v>
      </c>
      <c r="I115" s="105">
        <v>2480562.27</v>
      </c>
      <c r="K115" s="104" t="inlineStr">
        <is>
          <t xml:space="preserve">Va'da berdi | 20sigaca tolaydi dedi jurasi</t>
        </is>
      </c>
    </row>
    <row r="116">
      <c r="A116" s="104" t="inlineStr">
        <is>
          <t xml:space="preserve">ЖИЗЗАХ ВИЛОЯТИ</t>
        </is>
      </c>
      <c r="C116" s="104" t="inlineStr">
        <is>
          <t xml:space="preserve">Обещал</t>
        </is>
      </c>
      <c r="D116" s="104" t="inlineStr">
        <is>
          <t xml:space="preserve">Кр-99046098-1</t>
        </is>
      </c>
      <c r="E116" s="104" t="inlineStr">
        <is>
          <t xml:space="preserve">RAMAZANOV IXTIYOR BAXTIYOR O’G’LI</t>
        </is>
      </c>
      <c r="F116" s="104" t="inlineStr">
        <is>
          <t xml:space="preserve">998915983004 SMS, 998945960080 SMS, 998950800277 SMS,</t>
        </is>
      </c>
      <c r="G116" s="104" t="inlineStr">
        <is>
          <t xml:space="preserve">JIZZAX VILOYATI, JIZZAX SHAHRI, TINCHLIK MFY, S.KARIMOV KO’CHASI, 5/17-UY</t>
        </is>
      </c>
      <c r="H116" s="105">
        <v>13.0</v>
      </c>
      <c r="I116" s="105">
        <v>2261681.75</v>
      </c>
      <c r="K116" s="104" t="inlineStr">
        <is>
          <t xml:space="preserve">Va'da berdi | ertaga aniq yopad kecgaca</t>
        </is>
      </c>
    </row>
    <row r="117">
      <c r="A117" s="104" t="inlineStr">
        <is>
          <t xml:space="preserve">ЖИЗЗАХ ВИЛОЯТИ</t>
        </is>
      </c>
      <c r="C117" s="104" t="inlineStr">
        <is>
          <t xml:space="preserve">Обещал</t>
        </is>
      </c>
      <c r="D117" s="104" t="inlineStr">
        <is>
          <t xml:space="preserve">Кр-99034257-1</t>
        </is>
      </c>
      <c r="E117" s="104" t="inlineStr">
        <is>
          <t xml:space="preserve">MURADOV SHOKIRJON ABDULLAYEVICH</t>
        </is>
      </c>
      <c r="F117" s="104" t="inlineStr">
        <is>
          <t xml:space="preserve">998950381202 SMS OZI, 998957986998 SMS SINI, 998933680979 SMS AYOLI, 998991677998 SMS KELINI, 998950240408 SMS O’G’LI TO’LOVCHI,</t>
        </is>
      </c>
      <c r="G117" s="104" t="inlineStr">
        <is>
          <t xml:space="preserve">JIZZAX VILOYATI G’ALLAOROL TUMANI MADANIYAT MFY QANGLIOBOD SHAXARCHASI 265-UY </t>
        </is>
      </c>
      <c r="H117" s="105">
        <v>10.0</v>
      </c>
      <c r="I117" s="105">
        <v>2226012.47</v>
      </c>
      <c r="K117" s="104" t="inlineStr">
        <is>
          <t xml:space="preserve">Va'da berdi | bugun qisman tolaydi qoganini ertaga tolaydi</t>
        </is>
      </c>
    </row>
    <row r="118">
      <c r="A118" s="104" t="inlineStr">
        <is>
          <t xml:space="preserve">ЖИЗЗАХ ВИЛОЯТИ</t>
        </is>
      </c>
      <c r="C118" s="104" t="inlineStr">
        <is>
          <t xml:space="preserve">Обещал</t>
        </is>
      </c>
      <c r="D118" s="104" t="inlineStr">
        <is>
          <t xml:space="preserve">Кр-99039656-1</t>
        </is>
      </c>
      <c r="E118" s="104" t="inlineStr">
        <is>
          <t xml:space="preserve">XOLBEKOV ULUG’BEK SULTONBEK O’G’LI</t>
        </is>
      </c>
      <c r="F118" s="104" t="inlineStr">
        <is>
          <t xml:space="preserve">998995620921 SMS OZI, 998919931111 SMS AKASI, 998940131831 SMS TOLOVCHI,</t>
        </is>
      </c>
      <c r="G118" s="104" t="inlineStr">
        <is>
          <t xml:space="preserve">JIZZAX VILOYATI SHAROF RASHIDOV TUMANI QO’SHBARMOQ QFY Q.RUMIY  KUCHASI  2-UY</t>
        </is>
      </c>
      <c r="H118" s="105">
        <v>2.0</v>
      </c>
      <c r="I118" s="105">
        <v>2047668.65</v>
      </c>
      <c r="K118" s="104" t="inlineStr">
        <is>
          <t xml:space="preserve">Va'da berdi | ertaga aniq yopadi bolib tulayapti</t>
        </is>
      </c>
    </row>
    <row r="119">
      <c r="A119" s="104" t="inlineStr">
        <is>
          <t xml:space="preserve">ЖИЗЗАХ ВИЛОЯТИ</t>
        </is>
      </c>
      <c r="C119" s="104" t="inlineStr">
        <is>
          <t xml:space="preserve">Обещал</t>
        </is>
      </c>
      <c r="D119" s="104" t="inlineStr">
        <is>
          <t xml:space="preserve">Кр-99028367-3</t>
        </is>
      </c>
      <c r="E119" s="104" t="inlineStr">
        <is>
          <t xml:space="preserve">KARIMOV BOTIRJON RUZMATOVICH</t>
        </is>
      </c>
      <c r="F119" s="104" t="inlineStr">
        <is>
          <t xml:space="preserve">91-564-03-10 SM S OZI, 91-591-45-24  SMS ATYOLI, 91-564-22-53  SMS QIZI, 95-996-66-77 sms sin,</t>
        </is>
      </c>
      <c r="G119" s="104" t="inlineStr">
        <is>
          <t xml:space="preserve">JIZZAX VILOYATI JIZZAX SHAHAR OBOD MFY FURQAT KUCHASI 28-UY</t>
        </is>
      </c>
      <c r="H119" s="105">
        <v>14.0</v>
      </c>
      <c r="I119" s="105">
        <v>1482189.48</v>
      </c>
      <c r="K119" s="104" t="inlineStr">
        <is>
          <t xml:space="preserve">Va'da berdi | kecgaca tolaydi</t>
        </is>
      </c>
    </row>
    <row r="120">
      <c r="A120" s="104" t="inlineStr">
        <is>
          <t xml:space="preserve">ЖИЗЗАХ ВИЛОЯТИ</t>
        </is>
      </c>
      <c r="C120" s="104" t="inlineStr">
        <is>
          <t xml:space="preserve">Обещал</t>
        </is>
      </c>
      <c r="D120" s="104" t="inlineStr">
        <is>
          <t xml:space="preserve">Кр-99031804-1</t>
        </is>
      </c>
      <c r="E120" s="104" t="inlineStr">
        <is>
          <t xml:space="preserve">USMANOV GAYRAT IMAMOVICH</t>
        </is>
      </c>
      <c r="F120" s="104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120" s="104" t="inlineStr">
        <is>
          <t xml:space="preserve">JIZZAX VILOYATI SH.RASHIDOV TUMANI QO’SHBARMOQ QFY UCHARIQ MAHALLASI ROHAT KUCHASI 15-UY</t>
        </is>
      </c>
      <c r="H120" s="105">
        <v>1.0</v>
      </c>
      <c r="I120" s="105">
        <v>696594.48</v>
      </c>
      <c r="K120" s="104" t="inlineStr">
        <is>
          <t xml:space="preserve">Va'da berdi | ertaga tulaydi</t>
        </is>
      </c>
    </row>
    <row r="121">
      <c r="A121" s="106" t="inlineStr">
        <is>
          <t xml:space="preserve">КАШКАДАРЁ ВИЛОЯТИ</t>
        </is>
      </c>
      <c r="C121" s="106" t="inlineStr">
        <is>
          <t xml:space="preserve">Обещал</t>
        </is>
      </c>
      <c r="D121" s="106" t="inlineStr">
        <is>
          <t xml:space="preserve">Кр-99036435-3</t>
        </is>
      </c>
      <c r="E121" s="106" t="inlineStr">
        <is>
          <t xml:space="preserve">JO’RAQULOV MANSUR QULMUROT O’G’LI</t>
        </is>
      </c>
      <c r="F121" s="106" t="inlineStr">
        <is>
          <t xml:space="preserve">998997330311 SMS O’ZI, 998333400311 SMS AYOLI, 998942976783 SMS O’ZI 2, 998881365522 SMS UKASI ,</t>
        </is>
      </c>
      <c r="G121" s="106" t="inlineStr">
        <is>
          <t xml:space="preserve">ЧИРОКЧИ МФЙ, ЧИРОКЧИ,  uy:Р/С</t>
        </is>
      </c>
      <c r="H121" s="107">
        <v>13.0</v>
      </c>
      <c r="I121" s="107">
        <v>17475594.32</v>
      </c>
      <c r="K121" s="106" t="inlineStr">
        <is>
          <t xml:space="preserve">Va'da berdi | 20 da to'laydi</t>
        </is>
      </c>
    </row>
    <row r="122">
      <c r="A122" s="106" t="inlineStr">
        <is>
          <t xml:space="preserve">КАШКАДАРЁ ВИЛОЯТИ</t>
        </is>
      </c>
      <c r="C122" s="106" t="inlineStr">
        <is>
          <t xml:space="preserve">Обещал</t>
        </is>
      </c>
      <c r="D122" s="106" t="inlineStr">
        <is>
          <t xml:space="preserve">Кр-99035525-2</t>
        </is>
      </c>
      <c r="E122" s="106" t="inlineStr">
        <is>
          <t xml:space="preserve">RO’ZIYEV AZIZJON FARXODOVICH</t>
        </is>
      </c>
      <c r="F122" s="106" t="inlineStr">
        <is>
          <t xml:space="preserve">998903545851 SMS OZI , 998909434667 SMS AYOLI, 998973422225 SMS UKASI, 998717546462 SMS UKASI,</t>
        </is>
      </c>
      <c r="G122" s="106" t="inlineStr">
        <is>
          <t xml:space="preserve">QASHQADARYO VILOYATI SHAHRISABZ SHAHRI KATTACHUTON KO’CHASI 27-UY</t>
        </is>
      </c>
      <c r="H122" s="107">
        <v>10.0</v>
      </c>
      <c r="I122" s="107">
        <v>9849521.69</v>
      </c>
      <c r="K122" s="106" t="inlineStr">
        <is>
          <t xml:space="preserve">Va'da berdi | shanba kuni pulim  bo'ladi to'lavoramn dedi</t>
        </is>
      </c>
    </row>
    <row r="123">
      <c r="A123" s="106" t="inlineStr">
        <is>
          <t xml:space="preserve">КАШКАДАРЁ ВИЛОЯТИ</t>
        </is>
      </c>
      <c r="C123" s="106" t="inlineStr">
        <is>
          <t xml:space="preserve">Обещал</t>
        </is>
      </c>
      <c r="D123" s="106" t="inlineStr">
        <is>
          <t xml:space="preserve">Кр-99038157-1</t>
        </is>
      </c>
      <c r="E123" s="106" t="inlineStr">
        <is>
          <t xml:space="preserve">JUMAYEV ERNAZAR IBRAGIMOVICH</t>
        </is>
      </c>
      <c r="F123" s="106" t="inlineStr">
        <is>
          <t xml:space="preserve">998973170009 SMS OZI  BEGONA, 998972259900 SMS UKASI, 998882209990 SMS OTASI, 998973109990 SMS AKASI   UZIII,</t>
        </is>
      </c>
      <c r="G123" s="106" t="inlineStr">
        <is>
          <t xml:space="preserve">QASHQADARYO VILOYATI MUBORAK TUMANI ISTIQLOL MFY NEFTCHILAR KUCHASI 1-32 UY</t>
        </is>
      </c>
      <c r="H123" s="107">
        <v>3.0</v>
      </c>
      <c r="I123" s="107">
        <v>7515687.1</v>
      </c>
      <c r="K123" s="106" t="inlineStr">
        <is>
          <t xml:space="preserve">Va'da berdi | bugun bittasi pul beradi kartadan yechib ketadi dedi</t>
        </is>
      </c>
    </row>
    <row r="124">
      <c r="A124" s="106" t="inlineStr">
        <is>
          <t xml:space="preserve">КАШКАДАРЁ ВИЛОЯТИ</t>
        </is>
      </c>
      <c r="C124" s="106" t="inlineStr">
        <is>
          <t xml:space="preserve">Обещал</t>
        </is>
      </c>
      <c r="D124" s="106" t="inlineStr">
        <is>
          <t xml:space="preserve">Кр-99012796-5</t>
        </is>
      </c>
      <c r="E124" s="106" t="inlineStr">
        <is>
          <t xml:space="preserve">SATTOROV JOBIR JAMOL O’G’LI</t>
        </is>
      </c>
      <c r="F124" s="106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24" s="106" t="inlineStr">
        <is>
          <t xml:space="preserve">QASHQADARYO VILOYATI KOSON TUMANI PAXTAZOR MFY X TEMIROV KO’CHASI 22-UY</t>
        </is>
      </c>
      <c r="H124" s="107">
        <v>10.0</v>
      </c>
      <c r="I124" s="107">
        <v>6180702.33</v>
      </c>
      <c r="K124" s="106" t="inlineStr">
        <is>
          <t xml:space="preserve">Va'da berdi | 21- kun to'lov bo'ladi dedi</t>
        </is>
      </c>
    </row>
    <row r="125">
      <c r="A125" s="106" t="inlineStr">
        <is>
          <t xml:space="preserve">КАШКАДАРЁ ВИЛОЯТИ</t>
        </is>
      </c>
      <c r="C125" s="106" t="inlineStr">
        <is>
          <t xml:space="preserve">Обещал</t>
        </is>
      </c>
      <c r="D125" s="106" t="inlineStr">
        <is>
          <t xml:space="preserve">Кр-99034170-3</t>
        </is>
      </c>
      <c r="E125" s="106" t="inlineStr">
        <is>
          <t xml:space="preserve">YUSUPOV OBID XOMETOVICH</t>
        </is>
      </c>
      <c r="F125" s="106" t="inlineStr">
        <is>
          <t xml:space="preserve">998883831111 SMS O’ZI, 998973871111 SMS O’G’LI, 998973801991 SMS UKASI, 998912621111 SMS AKASI,</t>
        </is>
      </c>
      <c r="G125" s="106" t="inlineStr">
        <is>
          <t xml:space="preserve">QASHQADARYO VILOYATI SHAXRISABZ TUMANI XONTEPA MFY SHUKRONA 32 UY</t>
        </is>
      </c>
      <c r="H125" s="107">
        <v>10.0</v>
      </c>
      <c r="I125" s="107">
        <v>5901069.16</v>
      </c>
      <c r="K125" s="106" t="inlineStr">
        <is>
          <t xml:space="preserve">Va'da berdi | juma kun abetdn kn yopvoradi</t>
        </is>
      </c>
    </row>
    <row r="126">
      <c r="A126" s="106" t="inlineStr">
        <is>
          <t xml:space="preserve">КАШКАДАРЁ ВИЛОЯТИ</t>
        </is>
      </c>
      <c r="C126" s="106" t="inlineStr">
        <is>
          <t xml:space="preserve">Обещал</t>
        </is>
      </c>
      <c r="D126" s="106" t="inlineStr">
        <is>
          <t xml:space="preserve">Кр-99039293-1</t>
        </is>
      </c>
      <c r="E126" s="106" t="inlineStr">
        <is>
          <t xml:space="preserve">NORBUTAYEVA YULDUZXON BAXTIYAROVNA</t>
        </is>
      </c>
      <c r="F126" s="106" t="inlineStr">
        <is>
          <t xml:space="preserve">998973137733 SMS OZI, 998908668282 SMS OZI, 998993308084 SMS OILASI,</t>
        </is>
      </c>
      <c r="G126" s="106" t="inlineStr">
        <is>
          <t xml:space="preserve">QASHQADARYO VILOYATI QAMASHI TUMANI ZAFAR MFY IFTIXOR KO’CHASI 1/1-UY 21-XONADON</t>
        </is>
      </c>
      <c r="H126" s="107">
        <v>10.0</v>
      </c>
      <c r="I126" s="107">
        <v>5305025.22</v>
      </c>
      <c r="K126" s="106" t="inlineStr">
        <is>
          <t xml:space="preserve">Va'da berdi | erte kechgacha yopamn dedi</t>
        </is>
      </c>
    </row>
    <row r="127">
      <c r="A127" s="106" t="inlineStr">
        <is>
          <t xml:space="preserve">КАШКАДАРЁ ВИЛОЯТИ</t>
        </is>
      </c>
      <c r="C127" s="106" t="inlineStr">
        <is>
          <t xml:space="preserve">Обещал</t>
        </is>
      </c>
      <c r="D127" s="106" t="inlineStr">
        <is>
          <t xml:space="preserve">Кр-99039445-1</t>
        </is>
      </c>
      <c r="E127" s="106" t="inlineStr">
        <is>
          <t xml:space="preserve">MIRZAMURODOV SHOXRUZBEK DAVRON O’G’LI</t>
        </is>
      </c>
      <c r="F127" s="106" t="inlineStr">
        <is>
          <t xml:space="preserve">+998873999404 SMS O’ZI, 998888818005 SMS DOSTI, 998959006035 SMS DOSTI, 998990855744 UZI NEWW,</t>
        </is>
      </c>
      <c r="G127" s="106" t="inlineStr">
        <is>
          <t xml:space="preserve">Чувуллоқ МФЙ, Миллий хунармандлар кучаси, 86-уй</t>
        </is>
      </c>
      <c r="H127" s="107">
        <v>9.0</v>
      </c>
      <c r="I127" s="107">
        <v>4255261.64</v>
      </c>
      <c r="K127" s="106" t="inlineStr">
        <is>
          <t xml:space="preserve">Va'da berdi | dushanba kun tolaydi</t>
        </is>
      </c>
    </row>
    <row r="128">
      <c r="A128" s="106" t="inlineStr">
        <is>
          <t xml:space="preserve">КАШКАДАРЁ ВИЛОЯТИ</t>
        </is>
      </c>
      <c r="C128" s="106" t="inlineStr">
        <is>
          <t xml:space="preserve">Обещал</t>
        </is>
      </c>
      <c r="D128" s="106" t="inlineStr">
        <is>
          <t xml:space="preserve">Кр-99036016-1</t>
        </is>
      </c>
      <c r="E128" s="106" t="inlineStr">
        <is>
          <t xml:space="preserve">NORBOYEV UTKIR KERKIYEVICH</t>
        </is>
      </c>
      <c r="F128" s="106" t="inlineStr">
        <is>
          <t xml:space="preserve">998977715284 SMS O’ZI, 998937090588 SMS AYOLI , 998971152626 SMS DO’STI , 998884982107 SMS DO’STI , 998991912626 SMS TULOVCHI1,</t>
        </is>
      </c>
      <c r="G128" s="106" t="inlineStr">
        <is>
          <t xml:space="preserve">QASHQADARYO VILOYATI QAMASHI TUMANI PASTTOL QISHLOG’I 3/12 XONADON</t>
        </is>
      </c>
      <c r="H128" s="107">
        <v>2.0</v>
      </c>
      <c r="I128" s="107">
        <v>3797862.41</v>
      </c>
      <c r="K128" s="106" t="inlineStr">
        <is>
          <t xml:space="preserve">Va'da berdi | ertaga aniq to'lov bo'ladi dedi</t>
        </is>
      </c>
    </row>
    <row r="129">
      <c r="A129" s="106" t="inlineStr">
        <is>
          <t xml:space="preserve">КАШКАДАРЁ ВИЛОЯТИ</t>
        </is>
      </c>
      <c r="C129" s="106" t="inlineStr">
        <is>
          <t xml:space="preserve">Обещал</t>
        </is>
      </c>
      <c r="D129" s="106" t="inlineStr">
        <is>
          <t xml:space="preserve">Кр-99038081-1</t>
        </is>
      </c>
      <c r="E129" s="106" t="inlineStr">
        <is>
          <t xml:space="preserve">ASHUROV MIRZA URALOVICH</t>
        </is>
      </c>
      <c r="F129" s="106" t="inlineStr">
        <is>
          <t xml:space="preserve">998987750515 SMS OZI, 998880042215 SMS O’G’LI, 998906699171 SMS O’G’LI, 998972747000 SMS UKASI,</t>
        </is>
      </c>
      <c r="G129" s="106" t="inlineStr">
        <is>
          <t xml:space="preserve">QASHQADARYO VILOYATI QARSHI SHAHAR GUNGON MFY MUSA JALIL KUCHASI 48-UY</t>
        </is>
      </c>
      <c r="H129" s="107">
        <v>3.0</v>
      </c>
      <c r="I129" s="107">
        <v>3728488.93</v>
      </c>
      <c r="K129" s="106" t="inlineStr">
        <is>
          <t xml:space="preserve">Va'da berdi | bugun oyligim tushushi kk bugun yopamn dedi 0515</t>
        </is>
      </c>
    </row>
    <row r="130">
      <c r="A130" s="106" t="inlineStr">
        <is>
          <t xml:space="preserve">КАШКАДАРЁ ВИЛОЯТИ</t>
        </is>
      </c>
      <c r="C130" s="106" t="inlineStr">
        <is>
          <t xml:space="preserve">Обещал</t>
        </is>
      </c>
      <c r="D130" s="106" t="inlineStr">
        <is>
          <t xml:space="preserve">Кр-99038818-4</t>
        </is>
      </c>
      <c r="E130" s="106" t="inlineStr">
        <is>
          <t xml:space="preserve">AZIZOV ZAKIR TASHAROVICH</t>
        </is>
      </c>
      <c r="F130" s="106" t="inlineStr">
        <is>
          <t xml:space="preserve">998992562088 SMS O’ZI, 998770306222 SMS O’G’LI, 998972226222 SMS UY   BEGONAA, 998771003949 SMS O'ZI,</t>
        </is>
      </c>
      <c r="G130" s="106" t="inlineStr">
        <is>
          <t xml:space="preserve">КУРГОНЧА МФЙ, ТОР КЎЧАСИ,  uy:28</t>
        </is>
      </c>
      <c r="H130" s="107">
        <v>10.0</v>
      </c>
      <c r="I130" s="107">
        <v>3422858.73</v>
      </c>
      <c r="K130" s="106" t="inlineStr">
        <is>
          <t xml:space="preserve">Va'da berdi | ss=hanba kuni to'liman deb</t>
        </is>
      </c>
    </row>
    <row r="131">
      <c r="A131" s="106" t="inlineStr">
        <is>
          <t xml:space="preserve">КАШКАДАРЁ ВИЛОЯТИ</t>
        </is>
      </c>
      <c r="C131" s="106" t="inlineStr">
        <is>
          <t xml:space="preserve">Обещал</t>
        </is>
      </c>
      <c r="D131" s="106" t="inlineStr">
        <is>
          <t xml:space="preserve">Кр-99035261-1</t>
        </is>
      </c>
      <c r="E131" s="106" t="inlineStr">
        <is>
          <t xml:space="preserve">BOYMATOV ULUG’BEK MUSULMONOVICH</t>
        </is>
      </c>
      <c r="F131" s="106" t="inlineStr">
        <is>
          <t xml:space="preserve">998910081104 SMS OZI, 998997472245 SMS AKASI, 998973868211 SMS ULUG’BEK, 998973800007 SMS AKASI  (BEGONA))),</t>
        </is>
      </c>
      <c r="G131" s="106" t="inlineStr">
        <is>
          <t xml:space="preserve">QASHQADARYO VILOYATI KITOB TUMANI SHARQ YULDUZI MFY RUS QISHLOG’I MADAMIN KUCHASI 653-UY</t>
        </is>
      </c>
      <c r="H131" s="107">
        <v>2.0</v>
      </c>
      <c r="I131" s="107">
        <v>2813692.68</v>
      </c>
      <c r="K131" s="106" t="inlineStr">
        <is>
          <t xml:space="preserve">Va'da berdi | 21 da to'lov qilamn dedi</t>
        </is>
      </c>
    </row>
    <row r="132">
      <c r="A132" s="106" t="inlineStr">
        <is>
          <t xml:space="preserve">КАШКАДАРЁ ВИЛОЯТИ</t>
        </is>
      </c>
      <c r="C132" s="106" t="inlineStr">
        <is>
          <t xml:space="preserve">Обещал</t>
        </is>
      </c>
      <c r="D132" s="106" t="inlineStr">
        <is>
          <t xml:space="preserve">Кр-99020798-2</t>
        </is>
      </c>
      <c r="E132" s="106" t="inlineStr">
        <is>
          <t xml:space="preserve">AZIZOV JASURBEK BAXODIR O’G’LI</t>
        </is>
      </c>
      <c r="F132" s="106" t="inlineStr">
        <is>
          <t xml:space="preserve">998939308088 SMS O’ZI, 998335880100 SMS AKASI, 998342233302 SMS AKASI 2,</t>
        </is>
      </c>
      <c r="G132" s="106" t="inlineStr">
        <is>
          <t xml:space="preserve">QASHQADARYO VILOYATI QARSHI SHAHAR AROVUL MFY JAYXUN 2 KO’CHASI 29- UY</t>
        </is>
      </c>
      <c r="H132" s="107">
        <v>1.0</v>
      </c>
      <c r="I132" s="107">
        <v>2760594.64</v>
      </c>
      <c r="K132" s="106" t="inlineStr">
        <is>
          <t xml:space="preserve">Va'da berdi | kechgacha to'liman dedi</t>
        </is>
      </c>
    </row>
    <row r="133">
      <c r="A133" s="106" t="inlineStr">
        <is>
          <t xml:space="preserve">КАШКАДАРЁ ВИЛОЯТИ</t>
        </is>
      </c>
      <c r="C133" s="106" t="inlineStr">
        <is>
          <t xml:space="preserve">Обещал</t>
        </is>
      </c>
      <c r="D133" s="106" t="inlineStr">
        <is>
          <t xml:space="preserve">Кр-99031640-1</t>
        </is>
      </c>
      <c r="E133" s="106" t="inlineStr">
        <is>
          <t xml:space="preserve">XO’JAMURODOV ILYOS AHMADOVICH</t>
        </is>
      </c>
      <c r="F133" s="106" t="inlineStr">
        <is>
          <t xml:space="preserve">50-755-84-04  SMS O’ZI, 95-939-91-01  SMS OILASI, 998990919688 SMS TO'LOVCHI AYOLI, 998990910625 SMS TOG'ASI, 998935474488 SMS TO'LOVCHI,</t>
        </is>
      </c>
      <c r="G133" s="106" t="inlineStr">
        <is>
          <t xml:space="preserve">QASHQADARYO VILOYATI NISHON TUMANI GULIBODAM MFY QIRQILOCH QISHLOG’I</t>
        </is>
      </c>
      <c r="H133" s="107">
        <v>7.0</v>
      </c>
      <c r="I133" s="107">
        <v>2210697.42</v>
      </c>
      <c r="K133" s="106" t="inlineStr">
        <is>
          <t xml:space="preserve">Va'da berdi | eriga aytarkan bugun to'lab qo'yarkan</t>
        </is>
      </c>
    </row>
    <row r="134">
      <c r="A134" s="106" t="inlineStr">
        <is>
          <t xml:space="preserve">КАШКАДАРЁ ВИЛОЯТИ</t>
        </is>
      </c>
      <c r="C134" s="106" t="inlineStr">
        <is>
          <t xml:space="preserve">Обещал</t>
        </is>
      </c>
      <c r="D134" s="106" t="inlineStr">
        <is>
          <t xml:space="preserve">Кр-99033686-1</t>
        </is>
      </c>
      <c r="E134" s="106" t="inlineStr">
        <is>
          <t xml:space="preserve">CHORIYEVA SHOHNOZA ABDURASHIDOVNA</t>
        </is>
      </c>
      <c r="F134" s="106" t="inlineStr">
        <is>
          <t xml:space="preserve">998957777748 узи, 998932222234 аели, 998991289300 дадаси, 998990405493 онаси,</t>
        </is>
      </c>
      <c r="G134" s="106" t="inlineStr">
        <is>
          <t xml:space="preserve">QASHQADARYO VILOYATI DEHQONOBOD TUMANI QURG’ONTOSH MFY GALA KUCHASI 100-UY</t>
        </is>
      </c>
      <c r="H134" s="107">
        <v>10.0</v>
      </c>
      <c r="I134" s="107">
        <v>2209042.67</v>
      </c>
      <c r="K134" s="106" t="inlineStr">
        <is>
          <t xml:space="preserve">Va'da berdi | shanba kuni yopvoradi</t>
        </is>
      </c>
    </row>
    <row r="135">
      <c r="A135" s="106" t="inlineStr">
        <is>
          <t xml:space="preserve">КАШКАДАРЁ ВИЛОЯТИ</t>
        </is>
      </c>
      <c r="C135" s="106" t="inlineStr">
        <is>
          <t xml:space="preserve">Обещал</t>
        </is>
      </c>
      <c r="D135" s="106" t="inlineStr">
        <is>
          <t xml:space="preserve">Кр-99038157-2</t>
        </is>
      </c>
      <c r="E135" s="106" t="inlineStr">
        <is>
          <t xml:space="preserve">JUMAYEV ERNAZAR IBRAGIMOVICH</t>
        </is>
      </c>
      <c r="F135" s="106" t="inlineStr">
        <is>
          <t xml:space="preserve">998973170009 SMS OZI  BEGONA, 998972259900 SMS UKASI, 998882209990 SMS OTASI, 998973109990 SMS AKASI   UZIII,</t>
        </is>
      </c>
      <c r="G135" s="106" t="inlineStr">
        <is>
          <t xml:space="preserve">QASHQADARYO VILOYATI MUBORAK TUMANI ISTIQLOL MFY NEFTCHILAR KUCHASI 1-32 UY</t>
        </is>
      </c>
      <c r="H135" s="107">
        <v>10.0</v>
      </c>
      <c r="I135" s="107">
        <v>1524951.25</v>
      </c>
      <c r="K135" s="106" t="inlineStr">
        <is>
          <t xml:space="preserve">Va'da berdi | bugun bittasi pul beradi kartadan yechib ketadi dedi</t>
        </is>
      </c>
    </row>
    <row r="136">
      <c r="A136" s="106" t="inlineStr">
        <is>
          <t xml:space="preserve">КАШКАДАРЁ ВИЛОЯТИ</t>
        </is>
      </c>
      <c r="C136" s="106" t="inlineStr">
        <is>
          <t xml:space="preserve">Обещал</t>
        </is>
      </c>
      <c r="D136" s="106" t="inlineStr">
        <is>
          <t xml:space="preserve">Кр-99037785-1</t>
        </is>
      </c>
      <c r="E136" s="106" t="inlineStr">
        <is>
          <t xml:space="preserve">ESHBAYEV ADXAM JOVLI O’G’LI</t>
        </is>
      </c>
      <c r="F136" s="106" t="inlineStr">
        <is>
          <t xml:space="preserve">998976703494 SMS OZI, 998884860002 SMS AKASI, 998886792168 SMS UKASI, 998771091102 SMS ALISHER AKA OZIMIZI XODIM,</t>
        </is>
      </c>
      <c r="G136" s="106" t="inlineStr">
        <is>
          <t xml:space="preserve">QASHQADARYO VILOYATI NISHON TUMANI UMR BUNYODKORI MFY MUSTAQILLIK KUCHASI 20-UY</t>
        </is>
      </c>
      <c r="H136" s="107">
        <v>10.0</v>
      </c>
      <c r="I136" s="107">
        <v>1464235.1</v>
      </c>
      <c r="K136" s="106" t="inlineStr">
        <is>
          <t xml:space="preserve">Va'da berdi | yopvoradi buni ertaga</t>
        </is>
      </c>
    </row>
    <row r="137">
      <c r="A137" s="106" t="inlineStr">
        <is>
          <t xml:space="preserve">КАШКАДАРЁ ВИЛОЯТИ</t>
        </is>
      </c>
      <c r="C137" s="106" t="inlineStr">
        <is>
          <t xml:space="preserve">Обещал</t>
        </is>
      </c>
      <c r="D137" s="106" t="inlineStr">
        <is>
          <t xml:space="preserve">Кр-99020517-11</t>
        </is>
      </c>
      <c r="E137" s="106" t="inlineStr">
        <is>
          <t xml:space="preserve">PRIMOV TOLMASBEK SHERMATOVICH</t>
        </is>
      </c>
      <c r="F137" s="106" t="inlineStr">
        <is>
          <t xml:space="preserve">97-229-20-44 SMS ruslan ukasi , 97-311-44-40 SMS BEGONA EKAN, 97-001-20-44 SMS OGLI, 88-200-20-78 SMS TULOVCHI TOLMASBEK,</t>
        </is>
      </c>
      <c r="G137" s="106" t="inlineStr">
        <is>
          <t xml:space="preserve">QASHQADARYO VILOYATI KOSON TUMANI DARCHA MFY PO’LATI QISHLOG’I 5-UY</t>
        </is>
      </c>
      <c r="H137" s="107">
        <v>13.0</v>
      </c>
      <c r="I137" s="107">
        <v>1401440.24</v>
      </c>
      <c r="K137" s="106" t="inlineStr">
        <is>
          <t xml:space="preserve">Va'da berdi | dushanba kun</t>
        </is>
      </c>
    </row>
    <row r="138">
      <c r="A138" s="106" t="inlineStr">
        <is>
          <t xml:space="preserve">КАШКАДАРЁ ВИЛОЯТИ</t>
        </is>
      </c>
      <c r="C138" s="106" t="inlineStr">
        <is>
          <t xml:space="preserve">Обещал</t>
        </is>
      </c>
      <c r="D138" s="106" t="inlineStr">
        <is>
          <t xml:space="preserve">Кр-99033487-3</t>
        </is>
      </c>
      <c r="E138" s="106" t="inlineStr">
        <is>
          <t xml:space="preserve">SHODMONOVA BAXTIGUL ABDIQAYUM QIZI</t>
        </is>
      </c>
      <c r="F138" s="106" t="inlineStr">
        <is>
          <t xml:space="preserve">998908957040 SMS O’ZI, 998908797040 SMS OILASI, 998935250601 SMS, 998995719343 SMS, 998955556474 SMS TO'LOVCHI FAQAT SHUNGA QILINSIN, 998973102809 SMS Eldor tolovchi,</t>
        </is>
      </c>
      <c r="G138" s="106" t="inlineStr">
        <is>
          <t xml:space="preserve">QASHQADARYO VILOYATI QARSHI TUMANI PATRON MFY PATRON QISHLOG’I 112-UY</t>
        </is>
      </c>
      <c r="H138" s="107">
        <v>10.0</v>
      </c>
      <c r="I138" s="107">
        <v>1393483.64</v>
      </c>
      <c r="K138" s="106" t="inlineStr">
        <is>
          <t xml:space="preserve">Va'da berdi | xozir to'liman dedi</t>
        </is>
      </c>
    </row>
    <row r="139">
      <c r="A139" s="106" t="inlineStr">
        <is>
          <t xml:space="preserve">КАШКАДАРЁ ВИЛОЯТИ</t>
        </is>
      </c>
      <c r="C139" s="106" t="inlineStr">
        <is>
          <t xml:space="preserve">Обещал</t>
        </is>
      </c>
      <c r="D139" s="106" t="inlineStr">
        <is>
          <t xml:space="preserve">Кр-99020517-10</t>
        </is>
      </c>
      <c r="E139" s="106" t="inlineStr">
        <is>
          <t xml:space="preserve">PRIMOV TOLMASBEK SHERMATOVICH</t>
        </is>
      </c>
      <c r="F139" s="106" t="inlineStr">
        <is>
          <t xml:space="preserve">97-229-20-44 SMS ruslan ukasi , 97-311-44-40 SMS BEGONA EKAN, 97-001-20-44 SMS OGLI, 88-200-20-78 SMS TULOVCHI TOLMASBEK,</t>
        </is>
      </c>
      <c r="G139" s="106" t="inlineStr">
        <is>
          <t xml:space="preserve">QASHQADARYO VILOYATI KOSON TUMANI DARCHA MFY PO’LATI QISHLOG’I 5-UY</t>
        </is>
      </c>
      <c r="H139" s="107">
        <v>3.0</v>
      </c>
      <c r="I139" s="107">
        <v>1173771.74</v>
      </c>
      <c r="K139" s="106" t="inlineStr">
        <is>
          <t xml:space="preserve">Va'da berdi | dushanba kun</t>
        </is>
      </c>
    </row>
    <row r="140">
      <c r="A140" s="106" t="inlineStr">
        <is>
          <t xml:space="preserve">КАШКАДАРЁ ВИЛОЯТИ</t>
        </is>
      </c>
      <c r="C140" s="106" t="inlineStr">
        <is>
          <t xml:space="preserve">Обещал</t>
        </is>
      </c>
      <c r="D140" s="106" t="inlineStr">
        <is>
          <t xml:space="preserve">Кр-99037888-1</t>
        </is>
      </c>
      <c r="E140" s="106" t="inlineStr">
        <is>
          <t xml:space="preserve">BOLTAYEVA ZUHRA AHMAD QIZI</t>
        </is>
      </c>
      <c r="F140" s="106" t="inlineStr">
        <is>
          <t xml:space="preserve">998945290771 SMS OZI, 998914576968 SMS SINGLISI BEGONA, 998932700506 SMS OPASI, 998944590080 SMS AKASI  UZIII,</t>
        </is>
      </c>
      <c r="G140" s="106" t="inlineStr">
        <is>
          <t xml:space="preserve">QASHQADARYO VILOYATI MUBORAK TUMANI YOSHLIK MFY MR-N 2, 1/2 DOM 29 KVARTIRA</t>
        </is>
      </c>
      <c r="H140" s="107">
        <v>9.0</v>
      </c>
      <c r="I140" s="107">
        <v>1014178.92</v>
      </c>
      <c r="K140" s="106" t="inlineStr">
        <is>
          <t xml:space="preserve">Va'da berdi | dushanbaga to'liman deb</t>
        </is>
      </c>
    </row>
    <row r="141">
      <c r="A141" s="106" t="inlineStr">
        <is>
          <t xml:space="preserve">КАШКАДАРЁ ВИЛОЯТИ</t>
        </is>
      </c>
      <c r="C141" s="106" t="inlineStr">
        <is>
          <t xml:space="preserve">Обещал</t>
        </is>
      </c>
      <c r="D141" s="106" t="inlineStr">
        <is>
          <t xml:space="preserve">Кр-99020517-7</t>
        </is>
      </c>
      <c r="E141" s="106" t="inlineStr">
        <is>
          <t xml:space="preserve">PRIMOV TOLMASBEK SHERMATOVICH</t>
        </is>
      </c>
      <c r="F141" s="106" t="inlineStr">
        <is>
          <t xml:space="preserve">97-229-20-44 SMS ruslan ukasi , 97-311-44-40 SMS BEGONA EKAN, 97-001-20-44 SMS OGLI, 88-200-20-78 SMS TULOVCHI TOLMASBEK,</t>
        </is>
      </c>
      <c r="G141" s="106" t="inlineStr">
        <is>
          <t xml:space="preserve">QASHQADARYO VILOYATI KOSON TUMANI DARCHA MFY PO’LATI QISHLOG’I 5-UY</t>
        </is>
      </c>
      <c r="H141" s="107">
        <v>10.0</v>
      </c>
      <c r="I141" s="107">
        <v>869495.38</v>
      </c>
      <c r="K141" s="106" t="inlineStr">
        <is>
          <t xml:space="preserve">Va'da berdi | dushanba kun</t>
        </is>
      </c>
    </row>
    <row r="142">
      <c r="A142" s="106" t="inlineStr">
        <is>
          <t xml:space="preserve">КАШКАДАРЁ ВИЛОЯТИ</t>
        </is>
      </c>
      <c r="C142" s="106" t="inlineStr">
        <is>
          <t xml:space="preserve">Обещал</t>
        </is>
      </c>
      <c r="D142" s="106" t="inlineStr">
        <is>
          <t xml:space="preserve">Кр-99039600-1</t>
        </is>
      </c>
      <c r="E142" s="106" t="inlineStr">
        <is>
          <t xml:space="preserve">SAFAROV JAMSHIDBEK HASAN O’G’LI</t>
        </is>
      </c>
      <c r="F142" s="106" t="inlineStr">
        <is>
          <t xml:space="preserve">998770752671 SMS OZI, 999877859596 SMS TOLOVCHI, 998777859695 SMS TOLOVCHIN AYOLI, 998901671013 SMS UY,</t>
        </is>
      </c>
      <c r="G142" s="106" t="inlineStr">
        <is>
          <t xml:space="preserve">QASHQADARYO VILOYATI QAMASHI TUMANI QOLCHIN QFY 46 UY</t>
        </is>
      </c>
      <c r="H142" s="107">
        <v>3.0</v>
      </c>
      <c r="I142" s="107">
        <v>867618.93</v>
      </c>
      <c r="K142" s="106" t="inlineStr">
        <is>
          <t xml:space="preserve">Va'da berdi | seshanba kun to'liman dedi</t>
        </is>
      </c>
    </row>
    <row r="143">
      <c r="A143" s="108" t="inlineStr">
        <is>
          <t xml:space="preserve">КОРАКАЛПОГИСТОН РЕСПУБЛИКАСИ</t>
        </is>
      </c>
      <c r="C143" s="108" t="inlineStr">
        <is>
          <t xml:space="preserve">Обещал</t>
        </is>
      </c>
      <c r="D143" s="108" t="inlineStr">
        <is>
          <t xml:space="preserve">Кр-99062886-3</t>
        </is>
      </c>
      <c r="E143" s="108" t="inlineStr">
        <is>
          <t xml:space="preserve">AYTMURATOV BAXIT DJANABAYEVICH</t>
        </is>
      </c>
      <c r="F143" s="108" t="inlineStr">
        <is>
          <t xml:space="preserve">+998933067303 OZI, 998932023938 OGLI, 998996823509 OYALI, 998939677376 OZII NEWWW,</t>
        </is>
      </c>
      <c r="G143" s="108" t="inlineStr">
        <is>
          <t xml:space="preserve">QORAQALPOGISTON RES SHUMBOY TUMANI ORJAP MFY AQ ALTIN KUSHASI 8 UY</t>
        </is>
      </c>
      <c r="H143" s="109">
        <v>73.0</v>
      </c>
      <c r="I143" s="109">
        <v>13643799.98</v>
      </c>
      <c r="K143" s="108" t="inlineStr">
        <is>
          <t xml:space="preserve">Va'da berdi | ALMATIDA AYOLI TO'LAYDI OY OXIRI | 1459</t>
        </is>
      </c>
    </row>
    <row r="144">
      <c r="A144" s="108" t="inlineStr">
        <is>
          <t xml:space="preserve">КОРАКАЛПОГИСТОН РЕСПУБЛИКАСИ</t>
        </is>
      </c>
      <c r="C144" s="108" t="inlineStr">
        <is>
          <t xml:space="preserve">Обещал</t>
        </is>
      </c>
      <c r="D144" s="108" t="inlineStr">
        <is>
          <t xml:space="preserve">Кр-99062730-1</t>
        </is>
      </c>
      <c r="E144" s="108" t="inlineStr">
        <is>
          <t xml:space="preserve">ABATOV ABDIJAMSHIT ABATOVICH</t>
        </is>
      </c>
      <c r="F144" s="108" t="inlineStr">
        <is>
          <t xml:space="preserve">998905940750 SMS ONASI, 998905943727 SMS OZI, 998913740123 SMS OZI 2, 998913919850 SMS AYOLI,</t>
        </is>
      </c>
      <c r="G144" s="108" t="inlineStr">
        <is>
          <t xml:space="preserve">QORAQALPOG’SITON NUKUS  SHAHRI UZUNKO’L MFY TABIS KOCHASI 43 UY</t>
        </is>
      </c>
      <c r="H144" s="109">
        <v>13.0</v>
      </c>
      <c r="I144" s="109">
        <v>11345261.8</v>
      </c>
      <c r="K144" s="108" t="inlineStr">
        <is>
          <t xml:space="preserve">Va'da berdi | SMSDA GAPLASHDEK KECHA PUL TUSHISHI BN YOPAMAN DEGANDLILA | 1428</t>
        </is>
      </c>
    </row>
    <row r="145">
      <c r="A145" s="108" t="inlineStr">
        <is>
          <t xml:space="preserve">КОРАКАЛПОГИСТОН РЕСПУБЛИКАСИ</t>
        </is>
      </c>
      <c r="C145" s="108" t="inlineStr">
        <is>
          <t xml:space="preserve">Обещал</t>
        </is>
      </c>
      <c r="D145" s="108" t="inlineStr">
        <is>
          <t xml:space="preserve">Кр-99056260-1</t>
        </is>
      </c>
      <c r="E145" s="108" t="inlineStr">
        <is>
          <t xml:space="preserve">ABDIKALIKOV DASTAN BOSTANOVICH</t>
        </is>
      </c>
      <c r="F145" s="108" t="inlineStr">
        <is>
          <t xml:space="preserve">998887079454 SMS OZI, 998970010096 SMS AKASI, 998888018881 SMS UKASI,</t>
        </is>
      </c>
      <c r="G145" s="108" t="inlineStr">
        <is>
          <t xml:space="preserve">QARAQALPOGISTON RES NUKUS SHAHAR SHIMBAY SHAYXANA MFY KOKLEMZAR KUSHASI 113 UY 38 KVARTIRA </t>
        </is>
      </c>
      <c r="H145" s="109">
        <v>13.0</v>
      </c>
      <c r="I145" s="109">
        <v>9718527.95</v>
      </c>
      <c r="K145" s="108" t="inlineStr">
        <is>
          <t xml:space="preserve">Va'da berdi | OYLIGIMDAN TO'LEMAN DEDI 20CHIDA | 1253</t>
        </is>
      </c>
    </row>
    <row r="146">
      <c r="A146" s="108" t="inlineStr">
        <is>
          <t xml:space="preserve">КОРАКАЛПОГИСТОН РЕСПУБЛИКАСИ</t>
        </is>
      </c>
      <c r="C146" s="108" t="inlineStr">
        <is>
          <t xml:space="preserve">Обещал</t>
        </is>
      </c>
      <c r="D146" s="108" t="inlineStr">
        <is>
          <t xml:space="preserve">Кр-99060314-1</t>
        </is>
      </c>
      <c r="E146" s="108" t="inlineStr">
        <is>
          <t xml:space="preserve">JUMABEKOV SALAMAT TURGANBAEVICH</t>
        </is>
      </c>
      <c r="F146" s="108" t="inlineStr">
        <is>
          <t xml:space="preserve">998939404748 узи, 998915647717 аели, 998939619771 кизи, 998933029918 угли,</t>
        </is>
      </c>
      <c r="G146" s="108" t="inlineStr">
        <is>
          <t xml:space="preserve">QORAQALPOGISTON RESPUBLIKASI NUKUS SHAHAR JUOAZSHI MFY TASQIRMAN KUSHASI 4 UY  </t>
        </is>
      </c>
      <c r="H146" s="109">
        <v>13.0</v>
      </c>
      <c r="I146" s="109">
        <v>7639209.53</v>
      </c>
      <c r="K146" s="108" t="inlineStr">
        <is>
          <t xml:space="preserve">Va'da berdi | OYLIGIMMI OLSAM TO'LOV QILIB BERAMAN DEYABDILA O'ZI  O'GLI BN GAPLASHDIM AYTIB QO'YAMAN DEDIALA | 1355</t>
        </is>
      </c>
    </row>
    <row r="147">
      <c r="A147" s="108" t="inlineStr">
        <is>
          <t xml:space="preserve">КОРАКАЛПОГИСТОН РЕСПУБЛИКАСИ</t>
        </is>
      </c>
      <c r="C147" s="108" t="inlineStr">
        <is>
          <t xml:space="preserve">Обещал</t>
        </is>
      </c>
      <c r="D147" s="108" t="inlineStr">
        <is>
          <t xml:space="preserve">Кр-99041232-2</t>
        </is>
      </c>
      <c r="E147" s="108" t="inlineStr">
        <is>
          <t xml:space="preserve">SHILMANOV TAXIR BAXTIYAROVICH</t>
        </is>
      </c>
      <c r="F147" s="108" t="inlineStr">
        <is>
          <t xml:space="preserve">998912677077 SMS OZI, 998904224422 SMS DOSTI, 998919277077 SMS DOSTI2, 998912657077 SMS DSTI 3,</t>
        </is>
      </c>
      <c r="G147" s="108" t="inlineStr">
        <is>
          <t xml:space="preserve">QORAQALPOGISTON RESPUBLIKASI NUKUS SHAHAR ALMAZAR MFY XAQIYQATLIQ KUCHASI 7/2</t>
        </is>
      </c>
      <c r="H147" s="109">
        <v>3.0</v>
      </c>
      <c r="I147" s="109">
        <v>6742573.64</v>
      </c>
      <c r="K147" s="108" t="inlineStr">
        <is>
          <t xml:space="preserve">Va'da berdi | TGSIGA YOZDIM | 974</t>
        </is>
      </c>
    </row>
    <row r="148">
      <c r="A148" s="108" t="inlineStr">
        <is>
          <t xml:space="preserve">КОРАКАЛПОГИСТОН РЕСПУБЛИКАСИ</t>
        </is>
      </c>
      <c r="C148" s="108" t="inlineStr">
        <is>
          <t xml:space="preserve">Обещал</t>
        </is>
      </c>
      <c r="D148" s="108" t="inlineStr">
        <is>
          <t xml:space="preserve">Кр-99026306-2</t>
        </is>
      </c>
      <c r="E148" s="108" t="inlineStr">
        <is>
          <t xml:space="preserve">ABDURAXMANOV SANJAR SADULLAYEVICH</t>
        </is>
      </c>
      <c r="F148" s="108" t="inlineStr">
        <is>
          <t xml:space="preserve">99-775-55-05 SMS O'ZI, 91-436-90-03  SMS UKASI begona, 99-348-90-03 SMS tulovchi , 998990247010 SMS ukasi tulovchi,</t>
        </is>
      </c>
      <c r="G148" s="108" t="inlineStr">
        <is>
          <t xml:space="preserve">QORAQALPOG’ISTON RESPUBLIKASI BERUNIY TUMANI BUNYODKOR MAXALLASI N.KUBRO KUCHASI 10 UY</t>
        </is>
      </c>
      <c r="H148" s="109">
        <v>8.0</v>
      </c>
      <c r="I148" s="109">
        <v>5789332.88</v>
      </c>
      <c r="K148" s="108" t="inlineStr">
        <is>
          <t xml:space="preserve">Va'da berdi | BUGUN TO'LOV QILAMAN BUGUN OYLIGIM TUSHADI KARTAMDAN YECHADI DEDI | 154</t>
        </is>
      </c>
    </row>
    <row r="149">
      <c r="A149" s="108" t="inlineStr">
        <is>
          <t xml:space="preserve">КОРАКАЛПОГИСТОН РЕСПУБЛИКАСИ</t>
        </is>
      </c>
      <c r="C149" s="108" t="inlineStr">
        <is>
          <t xml:space="preserve">Обещал</t>
        </is>
      </c>
      <c r="D149" s="108" t="inlineStr">
        <is>
          <t xml:space="preserve">Кр-99062856-1</t>
        </is>
      </c>
      <c r="E149" s="108" t="inlineStr">
        <is>
          <t xml:space="preserve">EGAMBERDIYEVA UMIDA KASIMOVNA</t>
        </is>
      </c>
      <c r="F149" s="108" t="inlineStr">
        <is>
          <t xml:space="preserve">+998883582424 SMS UZI, 998885005655 SMS QAYNONASI, 998996814160 SMS QAYNOPASI,</t>
        </is>
      </c>
      <c r="G149" s="108" t="inlineStr">
        <is>
          <t xml:space="preserve">КОРАКАЛПОГИСТОН РЕСПУБЛИКАСИ ТУРТКУЛ ТУМАНИ ТИНЧЛИК МФЙ, ЭРКИН КЎЧАСИ,  uy:49</t>
        </is>
      </c>
      <c r="H149" s="109">
        <v>10.0</v>
      </c>
      <c r="I149" s="109">
        <v>5734647.5</v>
      </c>
      <c r="K149" s="108" t="inlineStr">
        <is>
          <t xml:space="preserve">Va'da berdi | 5655 QO'SHNISI BN GAPLASHDIM BILMAYMAN DEDILA OZI BN GAPLASHA OLMADIM MAHLLASIGA CHIQDIM ULARAM BILMAYDI FUQARO ROSSIYADA FILIAL VATSABDAN GAPLASHDI OY OXIRIGA DEDILA | 1450</t>
        </is>
      </c>
    </row>
    <row r="150">
      <c r="A150" s="108" t="inlineStr">
        <is>
          <t xml:space="preserve">КОРАКАЛПОГИСТОН РЕСПУБЛИКАСИ</t>
        </is>
      </c>
      <c r="C150" s="108" t="inlineStr">
        <is>
          <t xml:space="preserve">Обещал</t>
        </is>
      </c>
      <c r="D150" s="108" t="inlineStr">
        <is>
          <t xml:space="preserve">Кр-99061501-1</t>
        </is>
      </c>
      <c r="E150" s="108" t="inlineStr">
        <is>
          <t xml:space="preserve">JOLDIBAEV NARTAY TABINBAEVICH</t>
        </is>
      </c>
      <c r="F150" s="108" t="inlineStr">
        <is>
          <t xml:space="preserve">998991188928 узи, 998995849029 аели, 998932002889 кизи, 998997028990 угли,</t>
        </is>
      </c>
      <c r="G150" s="108" t="inlineStr">
        <is>
          <t xml:space="preserve">QORAQALPOGISTON RES KEGIYLI TUMANI JANA BAZAR MFY BAXITLI EL KUSHASI 15 UY </t>
        </is>
      </c>
      <c r="H150" s="109">
        <v>10.0</v>
      </c>
      <c r="I150" s="109">
        <v>5398341.16</v>
      </c>
      <c r="K150" s="108" t="inlineStr">
        <is>
          <t xml:space="preserve">Va'da berdi | BUGUN ERTAGA VRACH QILISH SHARTMAS 20KUNIDA OYLIKDAN | 1377</t>
        </is>
      </c>
    </row>
    <row r="151">
      <c r="A151" s="108" t="inlineStr">
        <is>
          <t xml:space="preserve">КОРАКАЛПОГИСТОН РЕСПУБЛИКАСИ</t>
        </is>
      </c>
      <c r="C151" s="108" t="inlineStr">
        <is>
          <t xml:space="preserve">Обещал</t>
        </is>
      </c>
      <c r="D151" s="108" t="inlineStr">
        <is>
          <t xml:space="preserve">Кр-99049371-1</t>
        </is>
      </c>
      <c r="E151" s="108" t="inlineStr">
        <is>
          <t xml:space="preserve">TOREMURATOVA GULAYIM AYAPBERGENOVNA</t>
        </is>
      </c>
      <c r="F151" s="108" t="inlineStr">
        <is>
          <t xml:space="preserve">998907369948 OZI, 998913007873 OGLI, 998946853336 QIZI, 998913837073 ogli neww,</t>
        </is>
      </c>
      <c r="G151" s="108" t="inlineStr">
        <is>
          <t xml:space="preserve">Qaraqalpogiston Respublikasi Xojayli tumani Kulap OFY Shiraq kushasi 13 uy</t>
        </is>
      </c>
      <c r="H151" s="109">
        <v>43.0</v>
      </c>
      <c r="I151" s="109">
        <v>5370428.96</v>
      </c>
      <c r="K151" s="108" t="inlineStr">
        <is>
          <t xml:space="preserve">Va'da berdi | OZI QOZOQDA TELGRAMDAN GAPLASHDIM OY OXIRIDA OYLIK OLAMAN DEDILA KELINI BN GAPLASHDIM U HAM AYTAMAN DEDILA | 1168</t>
        </is>
      </c>
    </row>
    <row r="152">
      <c r="A152" s="108" t="inlineStr">
        <is>
          <t xml:space="preserve">КОРАКАЛПОГИСТОН РЕСПУБЛИКАСИ</t>
        </is>
      </c>
      <c r="C152" s="108" t="inlineStr">
        <is>
          <t xml:space="preserve">Обещал</t>
        </is>
      </c>
      <c r="D152" s="108" t="inlineStr">
        <is>
          <t xml:space="preserve">Кр-99057450-1</t>
        </is>
      </c>
      <c r="E152" s="108" t="inlineStr">
        <is>
          <t xml:space="preserve">BEKIMOV GULIMBAY YERKABAYEVICH</t>
        </is>
      </c>
      <c r="F152" s="108" t="inlineStr">
        <is>
          <t xml:space="preserve">998996622374 SMS O'ZI, 998912711974 SMS O'ZI 2, 998977965585 SMS AYOLI,</t>
        </is>
      </c>
      <c r="G152" s="108" t="inlineStr">
        <is>
          <t xml:space="preserve">BERUNIY TUMANI</t>
        </is>
      </c>
      <c r="H152" s="109">
        <v>10.0</v>
      </c>
      <c r="I152" s="109">
        <v>5252758.15</v>
      </c>
      <c r="K152" s="108" t="inlineStr">
        <is>
          <t xml:space="preserve">Va'da berdi | 20-25 OYLIKDAN  O'G'LI TO'LAYDI | 1296</t>
        </is>
      </c>
    </row>
    <row r="153">
      <c r="A153" s="108" t="inlineStr">
        <is>
          <t xml:space="preserve">КОРАКАЛПОГИСТОН РЕСПУБЛИКАСИ</t>
        </is>
      </c>
      <c r="C153" s="108" t="inlineStr">
        <is>
          <t xml:space="preserve">Обещал</t>
        </is>
      </c>
      <c r="D153" s="108" t="inlineStr">
        <is>
          <t xml:space="preserve">Кр-99044140-3</t>
        </is>
      </c>
      <c r="E153" s="108" t="inlineStr">
        <is>
          <t xml:space="preserve">BAEKEEV BERIK MUXAMBETKARIMOVICH</t>
        </is>
      </c>
      <c r="F153" s="108" t="inlineStr">
        <is>
          <t xml:space="preserve">998884871988 OZI, 998970008892 OYALI, 998978889288 UKASI,</t>
        </is>
      </c>
      <c r="G153" s="108" t="inlineStr">
        <is>
          <t xml:space="preserve">ХАКИМ-АТА МФЙ, МСГ ХАКИМ-АТА, С,АЛЛАНИЯЗОВ,  uy:Р/З</t>
        </is>
      </c>
      <c r="H153" s="109">
        <v>10.0</v>
      </c>
      <c r="I153" s="109">
        <v>5193400.58</v>
      </c>
      <c r="K153" s="108" t="inlineStr">
        <is>
          <t xml:space="preserve">Va'da berdi | 28DA BANESADA ISHLEDI | 1084</t>
        </is>
      </c>
    </row>
    <row r="154">
      <c r="A154" s="108" t="inlineStr">
        <is>
          <t xml:space="preserve">КОРАКАЛПОГИСТОН РЕСПУБЛИКАСИ</t>
        </is>
      </c>
      <c r="C154" s="108" t="inlineStr">
        <is>
          <t xml:space="preserve">Обещал</t>
        </is>
      </c>
      <c r="D154" s="108" t="inlineStr">
        <is>
          <t xml:space="preserve">Кр-99054583-1</t>
        </is>
      </c>
      <c r="E154" s="108" t="inlineStr">
        <is>
          <t xml:space="preserve">ATABAYEVA JEREN AXMETOVNA</t>
        </is>
      </c>
      <c r="F154" s="108" t="inlineStr">
        <is>
          <t xml:space="preserve">998912601332 SMS OZI, 998953495323 SMS OGLI, 989521723262 SMS OGLI 2, 998941477205 SMS ONASI,</t>
        </is>
      </c>
      <c r="G154" s="108" t="inlineStr">
        <is>
          <t xml:space="preserve">QORAQOLPOG’ISTON RESPUBLIKASI TO’RTKO’L TUMANI BOG’YOP MFY GAGARIN KO’CHASI 101-UY</t>
        </is>
      </c>
      <c r="H154" s="109">
        <v>10.0</v>
      </c>
      <c r="I154" s="109">
        <v>5119933.12</v>
      </c>
      <c r="K154" s="108" t="inlineStr">
        <is>
          <t xml:space="preserve">Va'da berdi | BU BOZORDA ISHLAYDI BO'LIB BO'LIB TO'LYABDI O'G'LI BN GAPLASHDIM | 1238</t>
        </is>
      </c>
    </row>
    <row r="155">
      <c r="A155" s="108" t="inlineStr">
        <is>
          <t xml:space="preserve">КОРАКАЛПОГИСТОН РЕСПУБЛИКАСИ</t>
        </is>
      </c>
      <c r="C155" s="108" t="inlineStr">
        <is>
          <t xml:space="preserve">Обещал</t>
        </is>
      </c>
      <c r="D155" s="108" t="inlineStr">
        <is>
          <t xml:space="preserve">Кр-99042637-1</t>
        </is>
      </c>
      <c r="E155" s="108" t="inlineStr">
        <is>
          <t xml:space="preserve">ASKAROVA ULZADA DJAKSIMURATOVNA</t>
        </is>
      </c>
      <c r="F155" s="108" t="inlineStr">
        <is>
          <t xml:space="preserve">998332704595 KELINI, 998913068791 QIZI, 998913906944 OZI,</t>
        </is>
      </c>
      <c r="G155" s="108" t="inlineStr">
        <is>
          <t xml:space="preserve">Кун нуры МФЙ, Мархамат кучаси, 10-уй</t>
        </is>
      </c>
      <c r="H155" s="109">
        <v>10.0</v>
      </c>
      <c r="I155" s="109">
        <v>5067547.49</v>
      </c>
      <c r="K155" s="108" t="inlineStr">
        <is>
          <t xml:space="preserve">Va'da berdi | MAHALLASIGA CHIQDIM LEKIN U YERDA YASHAMAS EKAN TOSHKENTDA YASHAYDI VA OY OXIRIDA TO'LOV QILADI FERMADA ISHLAYDI FILIAL KARTASIGA TASHAB BERADI EKAN | 1052</t>
        </is>
      </c>
    </row>
    <row r="156">
      <c r="A156" s="108" t="inlineStr">
        <is>
          <t xml:space="preserve">КОРАКАЛПОГИСТОН РЕСПУБЛИКАСИ</t>
        </is>
      </c>
      <c r="C156" s="108" t="inlineStr">
        <is>
          <t xml:space="preserve">Обещал</t>
        </is>
      </c>
      <c r="D156" s="108" t="inlineStr">
        <is>
          <t xml:space="preserve">Кр-99063426-1</t>
        </is>
      </c>
      <c r="E156" s="108" t="inlineStr">
        <is>
          <t xml:space="preserve">YULDASHEVA ZULAYXA TURSUNBOYEVNA</t>
        </is>
      </c>
      <c r="F156" s="108" t="inlineStr">
        <is>
          <t xml:space="preserve">998500178083 OZI, 998995680099 KELINI, 998997450099 OGLI,</t>
        </is>
      </c>
      <c r="G156" s="108" t="inlineStr">
        <is>
          <t xml:space="preserve">QORAQALPOGISTON RES AMUDARYO TUMANI SHAYKOL OFY 7- SHAQSHA 3 UY</t>
        </is>
      </c>
      <c r="H156" s="109">
        <v>10.0</v>
      </c>
      <c r="I156" s="109">
        <v>4773672.54</v>
      </c>
      <c r="K156" s="108" t="inlineStr">
        <is>
          <t xml:space="preserve">Va'da berdi | 20 KUNIGA UKASI  ROSSIYADA ISHLEDI OWA YERDAN TASHAB BERADI | 1556</t>
        </is>
      </c>
    </row>
    <row r="157">
      <c r="A157" s="108" t="inlineStr">
        <is>
          <t xml:space="preserve">КОРАКАЛПОГИСТОН РЕСПУБЛИКАСИ</t>
        </is>
      </c>
      <c r="C157" s="108" t="inlineStr">
        <is>
          <t xml:space="preserve">Обещал</t>
        </is>
      </c>
      <c r="D157" s="108" t="inlineStr">
        <is>
          <t xml:space="preserve">Кр-99042828-1</t>
        </is>
      </c>
      <c r="E157" s="108" t="inlineStr">
        <is>
          <t xml:space="preserve">KALANDAROV MANSUR MAXMUDOVICH</t>
        </is>
      </c>
      <c r="F157" s="108" t="inlineStr">
        <is>
          <t xml:space="preserve">+998912558828 SMS UZI, 998551028828 SMS UYI, 998992628828 SMS UKASI,</t>
        </is>
      </c>
      <c r="G157" s="108" t="inlineStr">
        <is>
          <t xml:space="preserve">КОРАКАЛПОГИСТОН РЕСПУБЛИКАСИ БЕРУНИЙ ТУМАНИ ШИМАМ ҚФЙ, КУК-КУЗ АХОЛИ ПУНКТИ,  uy:Р/С</t>
        </is>
      </c>
      <c r="H157" s="109">
        <v>10.0</v>
      </c>
      <c r="I157" s="109">
        <v>4704859.26</v>
      </c>
      <c r="K157" s="108" t="inlineStr">
        <is>
          <t xml:space="preserve">Va'da berdi | ERTAGA OYISI TO'LOV QILIB BERAMAN DEB VADA VB | 1066</t>
        </is>
      </c>
    </row>
    <row r="158">
      <c r="A158" s="108" t="inlineStr">
        <is>
          <t xml:space="preserve">КОРАКАЛПОГИСТОН РЕСПУБЛИКАСИ</t>
        </is>
      </c>
      <c r="C158" s="108" t="inlineStr">
        <is>
          <t xml:space="preserve">Обещал</t>
        </is>
      </c>
      <c r="D158" s="108" t="inlineStr">
        <is>
          <t xml:space="preserve">Кр-99019952-6</t>
        </is>
      </c>
      <c r="E158" s="108" t="inlineStr">
        <is>
          <t xml:space="preserve">URAZIMBETOVA SHOHISTA GULIMBAYEVNA</t>
        </is>
      </c>
      <c r="F158" s="108" t="inlineStr">
        <is>
          <t xml:space="preserve">99-186-59-19  SMS UZI, 998995033939 SMS ERI, 998940910907 SMS UZI, 998771152010 OGLI,</t>
        </is>
      </c>
      <c r="G158" s="108" t="inlineStr">
        <is>
          <t xml:space="preserve">QORAQALPOG’ISTON RESPUBLIKASI BERUNIY TUMANI BERUNIY OFY GULZOR KO’CHA </t>
        </is>
      </c>
      <c r="H158" s="109">
        <v>15.0</v>
      </c>
      <c r="I158" s="109">
        <v>4483781.88</v>
      </c>
      <c r="K158" s="108" t="inlineStr">
        <is>
          <t xml:space="preserve">Va'da berdi | SMS YOZDIM | 85</t>
        </is>
      </c>
    </row>
    <row r="159">
      <c r="A159" s="108" t="inlineStr">
        <is>
          <t xml:space="preserve">КОРАКАЛПОГИСТОН РЕСПУБЛИКАСИ</t>
        </is>
      </c>
      <c r="C159" s="108" t="inlineStr">
        <is>
          <t xml:space="preserve">Обещал</t>
        </is>
      </c>
      <c r="D159" s="108" t="inlineStr">
        <is>
          <t xml:space="preserve">Кр-99041972-1</t>
        </is>
      </c>
      <c r="E159" s="108" t="inlineStr">
        <is>
          <t xml:space="preserve">TORENIYAZOV IKLASBAY PISHENOVICH</t>
        </is>
      </c>
      <c r="F159" s="108" t="inlineStr">
        <is>
          <t xml:space="preserve">+998907017280 OZI, 998904201880 OYALI, 998992005100 OGLI,</t>
        </is>
      </c>
      <c r="G159" s="108" t="inlineStr">
        <is>
          <t xml:space="preserve">Республика Каракалпакстан, Ходжейлийский район, Бунёдкор МФЙ, ул. Касип-ауыл, дом 34</t>
        </is>
      </c>
      <c r="H159" s="109">
        <v>10.0</v>
      </c>
      <c r="I159" s="109">
        <v>4285570.57</v>
      </c>
      <c r="K159" s="108" t="inlineStr">
        <is>
          <t xml:space="preserve">Va'da berdi | 20KUNI OYLIGIMDAN TO'LEMAN DEDI QISMAN TO'LADILA  XOTINI BN GAPLASHDIM JUDA QO'POL EKAN MOLDE GAPIRDI O'ZIYAM BEZNESMEN EKAN | 1037</t>
        </is>
      </c>
    </row>
    <row r="160">
      <c r="A160" s="108" t="inlineStr">
        <is>
          <t xml:space="preserve">КОРАКАЛПОГИСТОН РЕСПУБЛИКАСИ</t>
        </is>
      </c>
      <c r="C160" s="108" t="inlineStr">
        <is>
          <t xml:space="preserve">Обещал</t>
        </is>
      </c>
      <c r="D160" s="108" t="inlineStr">
        <is>
          <t xml:space="preserve">Кр-99042377-1</t>
        </is>
      </c>
      <c r="E160" s="108" t="inlineStr">
        <is>
          <t xml:space="preserve">DJEKSENBAEVA IRINA DJANBIRAEVNA</t>
        </is>
      </c>
      <c r="F160" s="108" t="inlineStr">
        <is>
          <t xml:space="preserve">998882145959 OZI, 998904244011 OGLI, 998919332729 QIZI,</t>
        </is>
      </c>
      <c r="G160" s="108" t="inlineStr">
        <is>
          <t xml:space="preserve">QARAQALPOGISTON RESPUBLIKASI NUKUS SHAHAR  Nauriz MFY, Minar ko’chasi, 8-uy</t>
        </is>
      </c>
      <c r="H160" s="109">
        <v>10.0</v>
      </c>
      <c r="I160" s="109">
        <v>4229053.59</v>
      </c>
      <c r="K160" s="108" t="inlineStr">
        <is>
          <t xml:space="preserve">Va'da berdi | SMS YOZDIM | 1051</t>
        </is>
      </c>
    </row>
    <row r="161">
      <c r="A161" s="108" t="inlineStr">
        <is>
          <t xml:space="preserve">КОРАКАЛПОГИСТОН РЕСПУБЛИКАСИ</t>
        </is>
      </c>
      <c r="C161" s="108" t="inlineStr">
        <is>
          <t xml:space="preserve">Обещал</t>
        </is>
      </c>
      <c r="D161" s="108" t="inlineStr">
        <is>
          <t xml:space="preserve">Кр-99028629-1</t>
        </is>
      </c>
      <c r="E161" s="108" t="inlineStr">
        <is>
          <t xml:space="preserve">SEYDEMETOVA GULJAXAN XOJAKMETOVNA</t>
        </is>
      </c>
      <c r="F161" s="108" t="inlineStr">
        <is>
          <t xml:space="preserve">91-383-84-00  SMS UZI MOL VAPSHE, 99-505-85-94  SMS MUJ, 90-735-54-61  SMS MAMA, 90-651-63-93  SMS SESTRA, 998885233999 akasi, 998913808594 SMS ERI, 998913808594 OZI 2,</t>
        </is>
      </c>
      <c r="G161" s="108" t="inlineStr">
        <is>
          <t xml:space="preserve">QORAQALPOGISTON RESPUBLIKASI CHIMBOY TUMANI T.SERIMBETOV 112</t>
        </is>
      </c>
      <c r="H161" s="109">
        <v>1.0</v>
      </c>
      <c r="I161" s="109">
        <v>4226278.6</v>
      </c>
      <c r="K161" s="108" t="inlineStr">
        <is>
          <t xml:space="preserve">Va'da berdi | BU BAQIRGAN KECHA BUGUNGA DEB BAQIRGAN TEL QILISHEZAM WARTAMAS DEB | 209</t>
        </is>
      </c>
    </row>
    <row r="162">
      <c r="A162" s="108" t="inlineStr">
        <is>
          <t xml:space="preserve">КОРАКАЛПОГИСТОН РЕСПУБЛИКАСИ</t>
        </is>
      </c>
      <c r="C162" s="108" t="inlineStr">
        <is>
          <t xml:space="preserve">Обещал</t>
        </is>
      </c>
      <c r="D162" s="108" t="inlineStr">
        <is>
          <t xml:space="preserve">Кр-99041208-1</t>
        </is>
      </c>
      <c r="E162" s="108" t="inlineStr">
        <is>
          <t xml:space="preserve">ZARIEVA ZUXIRA NASIROVNA</t>
        </is>
      </c>
      <c r="F162" s="108" t="inlineStr">
        <is>
          <t xml:space="preserve">998905926568 OZI SMS, 998913755131 KELINI, 998991559339 OGLI,</t>
        </is>
      </c>
      <c r="G162" s="108" t="inlineStr">
        <is>
          <t xml:space="preserve">НАВРУЗ МФЙ, НАУРЫЗ МФЙ, МИЗДАКХАН КЎЧАСИ,  uy:56</t>
        </is>
      </c>
      <c r="H162" s="109">
        <v>10.0</v>
      </c>
      <c r="I162" s="109">
        <v>4195138.48</v>
      </c>
      <c r="K162" s="108" t="inlineStr">
        <is>
          <t xml:space="preserve">Va'da berdi | 20KUNI O'G'LI OYLIGIDAN | 972</t>
        </is>
      </c>
    </row>
    <row r="163">
      <c r="A163" s="108" t="inlineStr">
        <is>
          <t xml:space="preserve">КОРАКАЛПОГИСТОН РЕСПУБЛИКАСИ</t>
        </is>
      </c>
      <c r="C163" s="108" t="inlineStr">
        <is>
          <t xml:space="preserve">Обещал</t>
        </is>
      </c>
      <c r="D163" s="108" t="inlineStr">
        <is>
          <t xml:space="preserve">Кр-99062628-1</t>
        </is>
      </c>
      <c r="E163" s="108" t="inlineStr">
        <is>
          <t xml:space="preserve">QALEKEEV QURBANBAY GENJEMURATOVICH</t>
        </is>
      </c>
      <c r="F163" s="108" t="inlineStr">
        <is>
          <t xml:space="preserve">998337368081 OZI, 998912685205 AYOLI, 998996892535 OGLI, 998997573480 OGLI,</t>
        </is>
      </c>
      <c r="G163" s="108" t="inlineStr">
        <is>
          <t xml:space="preserve">QORAQALPOGISTON RES SHUMANAY TUMANI NAWRIZ MFY OZBEKISTAN KUSHASI 14 UY </t>
        </is>
      </c>
      <c r="H163" s="109">
        <v>14.0</v>
      </c>
      <c r="I163" s="109">
        <v>4192360.37</v>
      </c>
      <c r="K163" s="108" t="inlineStr">
        <is>
          <t xml:space="preserve">Va'da berdi | FILIAL BORDI  20KUNI AVANSDAN TASHAB BERAMAN DEDILA | 1411</t>
        </is>
      </c>
    </row>
    <row r="164">
      <c r="A164" s="108" t="inlineStr">
        <is>
          <t xml:space="preserve">КОРАКАЛПОГИСТОН РЕСПУБЛИКАСИ</t>
        </is>
      </c>
      <c r="C164" s="108" t="inlineStr">
        <is>
          <t xml:space="preserve">Обещал</t>
        </is>
      </c>
      <c r="D164" s="108" t="inlineStr">
        <is>
          <t xml:space="preserve">Кр-99040858-1</t>
        </is>
      </c>
      <c r="E164" s="108" t="inlineStr">
        <is>
          <t xml:space="preserve">ZIYAUOV SALAMAT MINAJATDINOVICH</t>
        </is>
      </c>
      <c r="F164" s="108" t="inlineStr">
        <is>
          <t xml:space="preserve">998900954989 sms ozi, 998907280424 sms onasi, 998951650684 sms ayoli, 998944330084 SMS UZI 2,</t>
        </is>
      </c>
      <c r="G164" s="108" t="inlineStr">
        <is>
          <t xml:space="preserve">НАУРЫЗ МФЙ, ЛОЛА КЎЧАСИ,  uy:46</t>
        </is>
      </c>
      <c r="H164" s="109">
        <v>10.0</v>
      </c>
      <c r="I164" s="109">
        <v>3855324.18</v>
      </c>
      <c r="K164" s="108" t="inlineStr">
        <is>
          <t xml:space="preserve">Va'da berdi | ROSSIYADA AYOLI BN GAPLASHDIM TO'LOV QILAMIZ 2KUNDA ERIM PUL OLADILA DEYABDI | 931</t>
        </is>
      </c>
    </row>
    <row r="165">
      <c r="A165" s="108" t="inlineStr">
        <is>
          <t xml:space="preserve">КОРАКАЛПОГИСТОН РЕСПУБЛИКАСИ</t>
        </is>
      </c>
      <c r="C165" s="108" t="inlineStr">
        <is>
          <t xml:space="preserve">Обещал</t>
        </is>
      </c>
      <c r="D165" s="108" t="inlineStr">
        <is>
          <t xml:space="preserve">Кр-99041705-1</t>
        </is>
      </c>
      <c r="E165" s="108" t="inlineStr">
        <is>
          <t xml:space="preserve">UTEBAEV KOMEKBAY TOREBAEVICH</t>
        </is>
      </c>
      <c r="F165" s="108" t="inlineStr">
        <is>
          <t xml:space="preserve">+998913790226 смс ozi, 998777063706 sms qizi, 998913704273 sms ayoli, 998930739701 sms kelini,</t>
        </is>
      </c>
      <c r="G165" s="108" t="inlineStr">
        <is>
          <t xml:space="preserve">НАУПИР МФЙ, НУКУС ШАХАР, КУС ЖОЛЫ,  uy:44</t>
        </is>
      </c>
      <c r="H165" s="109">
        <v>10.0</v>
      </c>
      <c r="I165" s="109">
        <v>3501232.57</v>
      </c>
      <c r="K165" s="108" t="inlineStr">
        <is>
          <t xml:space="preserve">Va'da berdi | FUQARO ROSSIYADA 20KUNIDA YOPADI | 1014</t>
        </is>
      </c>
    </row>
    <row r="166">
      <c r="A166" s="108" t="inlineStr">
        <is>
          <t xml:space="preserve">КОРАКАЛПОГИСТОН РЕСПУБЛИКАСИ</t>
        </is>
      </c>
      <c r="C166" s="108" t="inlineStr">
        <is>
          <t xml:space="preserve">Обещал</t>
        </is>
      </c>
      <c r="D166" s="108" t="inlineStr">
        <is>
          <t xml:space="preserve">Кр-99057361-1</t>
        </is>
      </c>
      <c r="E166" s="108" t="inlineStr">
        <is>
          <t xml:space="preserve">KULUMBETOVA ZIYADA JUMABAYEVNA</t>
        </is>
      </c>
      <c r="F166" s="108" t="inlineStr">
        <is>
          <t xml:space="preserve">998906500325 oZI, 990977988897 o'G'LI, 998551084615 UY, 998972291204 QIZI,</t>
        </is>
      </c>
      <c r="G166" s="108" t="inlineStr">
        <is>
          <t xml:space="preserve">QORAQALPOGISTON RESPUBLIKASI XOJAYLI TUMANI</t>
        </is>
      </c>
      <c r="H166" s="109">
        <v>10.0</v>
      </c>
      <c r="I166" s="109">
        <v>3185495.96</v>
      </c>
      <c r="K166" s="108" t="inlineStr">
        <is>
          <t xml:space="preserve">Va'da berdi | KUYOVI BALNESAGA TUSHIB QOLIBDI 20-25GA TO'LOV QILIB BERAMAN DEDILA | 1277</t>
        </is>
      </c>
    </row>
    <row r="167">
      <c r="A167" s="108" t="inlineStr">
        <is>
          <t xml:space="preserve">КОРАКАЛПОГИСТОН РЕСПУБЛИКАСИ</t>
        </is>
      </c>
      <c r="C167" s="108" t="inlineStr">
        <is>
          <t xml:space="preserve">Обещал</t>
        </is>
      </c>
      <c r="D167" s="108" t="inlineStr">
        <is>
          <t xml:space="preserve">Кр-99041840-1</t>
        </is>
      </c>
      <c r="E167" s="108" t="inlineStr">
        <is>
          <t xml:space="preserve">ABDULLAYEV MUSA XUDAYBERGENOVICH</t>
        </is>
      </c>
      <c r="F167" s="108" t="inlineStr">
        <is>
          <t xml:space="preserve">998907096778 AKASI, 998994583521 OYALI, 998994587888 OZI,</t>
        </is>
      </c>
      <c r="G167" s="108" t="inlineStr">
        <is>
          <t xml:space="preserve">Qaraqalpogiston Respublikasi Xojayli tumani Juzimzar MFY Jenis kushasi 36uy</t>
        </is>
      </c>
      <c r="H167" s="109">
        <v>10.0</v>
      </c>
      <c r="I167" s="109">
        <v>3112268.72</v>
      </c>
      <c r="K167" s="108" t="inlineStr">
        <is>
          <t xml:space="preserve">Va'da berdi | ROSSA JOVRADI PULIM BO'LGANDA TO'LEMAN DEB FOIZELA KO'P DEB BUGUNGA TO'LOV QILIB BERADILA | 1024</t>
        </is>
      </c>
    </row>
    <row r="168">
      <c r="A168" s="108" t="inlineStr">
        <is>
          <t xml:space="preserve">КОРАКАЛПОГИСТОН РЕСПУБЛИКАСИ</t>
        </is>
      </c>
      <c r="C168" s="108" t="inlineStr">
        <is>
          <t xml:space="preserve">Обещал</t>
        </is>
      </c>
      <c r="D168" s="108" t="inlineStr">
        <is>
          <t xml:space="preserve">Кр-99048733-1</t>
        </is>
      </c>
      <c r="E168" s="108" t="inlineStr">
        <is>
          <t xml:space="preserve">MAMBETNAZAROV ILXAMBEK BEKMURZAEVICH</t>
        </is>
      </c>
      <c r="F168" s="108" t="inlineStr">
        <is>
          <t xml:space="preserve">998907070002 SMS UZI, 998912670007 SMS UZI 2 BEGONA , 998907090003 xotini newww,</t>
        </is>
      </c>
      <c r="G168" s="108" t="inlineStr">
        <is>
          <t xml:space="preserve">NUKUS SHAHAR</t>
        </is>
      </c>
      <c r="H168" s="109">
        <v>10.0</v>
      </c>
      <c r="I168" s="109">
        <v>2645923.37</v>
      </c>
      <c r="K168" s="108" t="inlineStr">
        <is>
          <t xml:space="preserve">Va'da berdi | XOTINI BN GAPLASHDIM ERI QOZOQDA TO'LOV QILAMIZ AYATAMAN DEDI BUGUNGAAAA | 1150</t>
        </is>
      </c>
    </row>
    <row r="169">
      <c r="A169" s="108" t="inlineStr">
        <is>
          <t xml:space="preserve">КОРАКАЛПОГИСТОН РЕСПУБЛИКАСИ</t>
        </is>
      </c>
      <c r="C169" s="108" t="inlineStr">
        <is>
          <t xml:space="preserve">Обещал</t>
        </is>
      </c>
      <c r="D169" s="108" t="inlineStr">
        <is>
          <t xml:space="preserve">Кр-99064007-1</t>
        </is>
      </c>
      <c r="E169" s="108" t="inlineStr">
        <is>
          <t xml:space="preserve">BAYMANOV JABBORBERGAN CHARSHAMBAYEVICH</t>
        </is>
      </c>
      <c r="F169" s="108" t="inlineStr">
        <is>
          <t xml:space="preserve">998775502106 OGLI, 998876700430 OGLI, 998887687400 OZI,</t>
        </is>
      </c>
      <c r="G169" s="108" t="inlineStr">
        <is>
          <t xml:space="preserve">QORAQALPOGISTON RES AMUDARYO TUMANI ORTA QALA OFY 12- KITOB KOSHASI 1 UY</t>
        </is>
      </c>
      <c r="H169" s="109">
        <v>10.0</v>
      </c>
      <c r="I169" s="109">
        <v>2571853.44</v>
      </c>
      <c r="K169" s="108" t="inlineStr">
        <is>
          <t xml:space="preserve">Va'da berdi | 20KUNI TO'LOV QILAMAN OYLIGIMMI OVOLEY XUSUSIY TASHKILOTDA ISHLEMAN DEDI | 1631</t>
        </is>
      </c>
    </row>
    <row r="170">
      <c r="A170" s="108" t="inlineStr">
        <is>
          <t xml:space="preserve">КОРАКАЛПОГИСТОН РЕСПУБЛИКАСИ</t>
        </is>
      </c>
      <c r="C170" s="108" t="inlineStr">
        <is>
          <t xml:space="preserve">Обещал</t>
        </is>
      </c>
      <c r="D170" s="108" t="inlineStr">
        <is>
          <t xml:space="preserve">Кр-99047619-1</t>
        </is>
      </c>
      <c r="E170" s="108" t="inlineStr">
        <is>
          <t xml:space="preserve">BEKMURATOV ARAPBAY JUMABAEVICH</t>
        </is>
      </c>
      <c r="F170" s="108" t="inlineStr">
        <is>
          <t xml:space="preserve">998907023971 OZI, 998912717211 OYALI, 998991019597 OGLI, 998771441995 OGLI NEWWW,</t>
        </is>
      </c>
      <c r="G170" s="108" t="inlineStr">
        <is>
          <t xml:space="preserve">Qaraqalpogiston Respublikasi Xojayli tumani Bunyodkor MFY Ramazan kushasi 32 uy</t>
        </is>
      </c>
      <c r="H170" s="109">
        <v>10.0</v>
      </c>
      <c r="I170" s="109">
        <v>2555824.69</v>
      </c>
      <c r="K170" s="108" t="inlineStr">
        <is>
          <t xml:space="preserve">Va'da berdi | BU OYLIGIM TUSHUSHU KERAK TUSHGANI YUUQ O'G'RILIK QILIB TO'LAYMI DEB JAHL QILIB QO'YIB QO'YDI | 1139</t>
        </is>
      </c>
    </row>
    <row r="171">
      <c r="A171" s="108" t="inlineStr">
        <is>
          <t xml:space="preserve">КОРАКАЛПОГИСТОН РЕСПУБЛИКАСИ</t>
        </is>
      </c>
      <c r="C171" s="108" t="inlineStr">
        <is>
          <t xml:space="preserve">Обещал</t>
        </is>
      </c>
      <c r="D171" s="108" t="inlineStr">
        <is>
          <t xml:space="preserve">Кр-99039669-1</t>
        </is>
      </c>
      <c r="E171" s="108" t="inlineStr">
        <is>
          <t xml:space="preserve">SEYILXANOV MUSTAPA KAZAKBAEVICH</t>
        </is>
      </c>
      <c r="F171" s="108" t="inlineStr">
        <is>
          <t xml:space="preserve">998990232960 SMS OZI, 998977890866 SMS AYOLI, 998975006617 SMS QIZI, 998913409124 SMS QIZI,</t>
        </is>
      </c>
      <c r="G171" s="108" t="inlineStr">
        <is>
          <t xml:space="preserve">QARAQALPOGISTON RES KEGIYLI TUMANI IYSHAN KALA SSG IYSHAN QALA KUSHASI 5 UY</t>
        </is>
      </c>
      <c r="H171" s="109">
        <v>1.0</v>
      </c>
      <c r="I171" s="109">
        <v>2544401.82</v>
      </c>
      <c r="K171" s="108" t="inlineStr">
        <is>
          <t xml:space="preserve">Va'da berdi | QOZOQDA ISHLAYDI O'G'LI KASAL EKAN XOTINI BN GAPLASHDIM ERTAGA TASHAB BERAMIZ DEDILA | 823</t>
        </is>
      </c>
    </row>
    <row r="172">
      <c r="A172" s="108" t="inlineStr">
        <is>
          <t xml:space="preserve">КОРАКАЛПОГИСТОН РЕСПУБЛИКАСИ</t>
        </is>
      </c>
      <c r="C172" s="108" t="inlineStr">
        <is>
          <t xml:space="preserve">Обещал</t>
        </is>
      </c>
      <c r="D172" s="108" t="inlineStr">
        <is>
          <t xml:space="preserve">Кр-99032690-1</t>
        </is>
      </c>
      <c r="E172" s="108" t="inlineStr">
        <is>
          <t xml:space="preserve">JIENBAYEV AZAMAT MUYATDINOVICH</t>
        </is>
      </c>
      <c r="F172" s="108" t="inlineStr">
        <is>
          <t xml:space="preserve">998994531103 SMS O’ZI, 998935201103 SMS XOTINI, 998937161103 SMS AKASI, 998995061103 SMS OTASI,</t>
        </is>
      </c>
      <c r="G172" s="108" t="inlineStr">
        <is>
          <t xml:space="preserve">QORAQALPOGISTON RESP TAXTAKOPIR TUMANI BERDAQ 61 UY</t>
        </is>
      </c>
      <c r="H172" s="109">
        <v>2.0</v>
      </c>
      <c r="I172" s="109">
        <v>2511146.75</v>
      </c>
      <c r="K172" s="108" t="inlineStr">
        <is>
          <t xml:space="preserve">Va'da berdi | BUGUNGA DEB VADA BERDILA | 363</t>
        </is>
      </c>
    </row>
    <row r="173">
      <c r="A173" s="108" t="inlineStr">
        <is>
          <t xml:space="preserve">КОРАКАЛПОГИСТОН РЕСПУБЛИКАСИ</t>
        </is>
      </c>
      <c r="C173" s="108" t="inlineStr">
        <is>
          <t xml:space="preserve">Обещал</t>
        </is>
      </c>
      <c r="D173" s="108" t="inlineStr">
        <is>
          <t xml:space="preserve">Кр-99036100-1</t>
        </is>
      </c>
      <c r="E173" s="108" t="inlineStr">
        <is>
          <t xml:space="preserve">ABDULLAYEVA MIRIGUL NURATDINOVNA</t>
        </is>
      </c>
      <c r="F173" s="108" t="inlineStr">
        <is>
          <t xml:space="preserve">998907143236 SMS O’ZI, 998975607788 SMS TO’LOVCHISI, 998991652295 SMS ERI, 998913026364 SMS O’G’LI,</t>
        </is>
      </c>
      <c r="G173" s="108" t="inlineStr">
        <is>
          <t xml:space="preserve">QARAQALPOGISTON RES NUKUS SHAHAR NAWBAHAR MFY AYDAR KOL KUSHASI 52 UY</t>
        </is>
      </c>
      <c r="H173" s="109">
        <v>1.0</v>
      </c>
      <c r="I173" s="109">
        <v>2224853.6</v>
      </c>
      <c r="K173" s="108" t="inlineStr">
        <is>
          <t xml:space="preserve">Va'da berdi | BUGUNGA VADA BERGAN BU FILIALGA BORAMAN DEDILA | 558</t>
        </is>
      </c>
    </row>
    <row r="174">
      <c r="A174" s="108" t="inlineStr">
        <is>
          <t xml:space="preserve">КОРАКАЛПОГИСТОН РЕСПУБЛИКАСИ</t>
        </is>
      </c>
      <c r="C174" s="108" t="inlineStr">
        <is>
          <t xml:space="preserve">Обещал</t>
        </is>
      </c>
      <c r="D174" s="108" t="inlineStr">
        <is>
          <t xml:space="preserve">Кр-99048734-1</t>
        </is>
      </c>
      <c r="E174" s="108" t="inlineStr">
        <is>
          <t xml:space="preserve">BERDIALIEV MURAT KUBEISINOVICH</t>
        </is>
      </c>
      <c r="F174" s="108" t="inlineStr">
        <is>
          <t xml:space="preserve">998904247787 OYALI, 998906633888 OGLI, 998907037787 OZI,</t>
        </is>
      </c>
      <c r="G174" s="108" t="inlineStr">
        <is>
          <t xml:space="preserve">Qaraqalpogiston Respublikasi Nukus shahar Samanbay MFY Toktaw kushasi 25 uy</t>
        </is>
      </c>
      <c r="H174" s="109">
        <v>10.0</v>
      </c>
      <c r="I174" s="109">
        <v>2150554.94</v>
      </c>
      <c r="K174" s="108" t="inlineStr">
        <is>
          <t xml:space="preserve">Va'da berdi | TAKSICHI BU BO'LIB BO'LIB TO'LAYABDILA BUGUN KECHGA YANA TO'LAYDI | 1151</t>
        </is>
      </c>
    </row>
    <row r="175">
      <c r="A175" s="108" t="inlineStr">
        <is>
          <t xml:space="preserve">КОРАКАЛПОГИСТОН РЕСПУБЛИКАСИ</t>
        </is>
      </c>
      <c r="C175" s="108" t="inlineStr">
        <is>
          <t xml:space="preserve">Обещал</t>
        </is>
      </c>
      <c r="D175" s="108" t="inlineStr">
        <is>
          <t xml:space="preserve">Кр-99035767-1</t>
        </is>
      </c>
      <c r="E175" s="108" t="inlineStr">
        <is>
          <t xml:space="preserve">DJUMANIYAZOV XUJAAXMAD BERDIBAYEVICH</t>
        </is>
      </c>
      <c r="F175" s="108" t="inlineStr">
        <is>
          <t xml:space="preserve">998974749400 SMS OZI(Begona), 998336771006 SMS UY, 998975056865 SMS DOSTI(begona), 998331240571 SMS DOSTI,</t>
        </is>
      </c>
      <c r="G175" s="108" t="inlineStr">
        <is>
          <t xml:space="preserve">XORAZM VILOYATI ELLIKQALA TUMANI KASHKURA MAXALLASI YOSH KUCH KUCHASI 2 UY</t>
        </is>
      </c>
      <c r="H175" s="109">
        <v>15.0</v>
      </c>
      <c r="I175" s="109">
        <v>2120990.03</v>
      </c>
      <c r="K175" s="108" t="inlineStr">
        <is>
          <t xml:space="preserve">Va'da berdi | 20KUNIGA TASHAB BERAMAN DEYABDILA OYLIGIM DAN DEB OCHIRDILA | 529</t>
        </is>
      </c>
    </row>
    <row r="176">
      <c r="A176" s="108" t="inlineStr">
        <is>
          <t xml:space="preserve">КОРАКАЛПОГИСТОН РЕСПУБЛИКАСИ</t>
        </is>
      </c>
      <c r="C176" s="108" t="inlineStr">
        <is>
          <t xml:space="preserve">Обещал</t>
        </is>
      </c>
      <c r="D176" s="108" t="inlineStr">
        <is>
          <t xml:space="preserve">Кр-99033360-1</t>
        </is>
      </c>
      <c r="E176" s="108" t="inlineStr">
        <is>
          <t xml:space="preserve">ABDURAHIMOV ALIJON RUSTAM O’G’LI</t>
        </is>
      </c>
      <c r="F176" s="108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76" s="108" t="inlineStr">
        <is>
          <t xml:space="preserve">QARAQALPOGISTON RES AMUDARYO TUMANI TOLQIN OFY MARIFATSHILAR KUSHASI 27 UY</t>
        </is>
      </c>
      <c r="H176" s="109">
        <v>10.0</v>
      </c>
      <c r="I176" s="109">
        <v>1894150.92</v>
      </c>
      <c r="K176" s="108" t="inlineStr">
        <is>
          <t xml:space="preserve">Va'da berdi | TO'LOLMEMAN HOZIR BIT TIYIN PULIM YUQ LEKIN 2-3KUNDA HARAKAT QILIB YOPAMAN DEDI | 388</t>
        </is>
      </c>
    </row>
    <row r="177">
      <c r="A177" s="108" t="inlineStr">
        <is>
          <t xml:space="preserve">КОРАКАЛПОГИСТОН РЕСПУБЛИКАСИ</t>
        </is>
      </c>
      <c r="C177" s="108" t="inlineStr">
        <is>
          <t xml:space="preserve">Обещал</t>
        </is>
      </c>
      <c r="D177" s="108" t="inlineStr">
        <is>
          <t xml:space="preserve">Кр-99063086-1</t>
        </is>
      </c>
      <c r="E177" s="108" t="inlineStr">
        <is>
          <t xml:space="preserve">SHAMURATOV KUTLIMURAT ARZIMURAT ULI</t>
        </is>
      </c>
      <c r="F177" s="108" t="inlineStr">
        <is>
          <t xml:space="preserve">998974749675 OZI, 998885059675 ONASI, 998993425995 SINGLISI, 998973559675 UKASI,</t>
        </is>
      </c>
      <c r="G177" s="108" t="inlineStr">
        <is>
          <t xml:space="preserve">QORAQALPOGISTON RES QARAOZEK TUMANI A.DOSNAZAROV MFY KIZIL KUM KUSHASI 17 UY  </t>
        </is>
      </c>
      <c r="H177" s="109">
        <v>10.0</v>
      </c>
      <c r="I177" s="109">
        <v>1840290.9</v>
      </c>
      <c r="K177" s="108" t="inlineStr">
        <is>
          <t xml:space="preserve">Va'da berdi | MAGAZINDA SOTUVCHI TOSHKENTDA ONASI BN GAPLASHDIM 20KUNI OYLIGIDAN TO'LAYDI DEDI | 1497</t>
        </is>
      </c>
    </row>
    <row r="178">
      <c r="A178" s="108" t="inlineStr">
        <is>
          <t xml:space="preserve">КОРАКАЛПОГИСТОН РЕСПУБЛИКАСИ</t>
        </is>
      </c>
      <c r="C178" s="108" t="inlineStr">
        <is>
          <t xml:space="preserve">Обещал</t>
        </is>
      </c>
      <c r="D178" s="108" t="inlineStr">
        <is>
          <t xml:space="preserve">Кр-99040984-1</t>
        </is>
      </c>
      <c r="E178" s="108" t="inlineStr">
        <is>
          <t xml:space="preserve">UTAROV JAKSILIK DJITESOVICH</t>
        </is>
      </c>
      <c r="F178" s="108" t="inlineStr">
        <is>
          <t xml:space="preserve">998913033891 SMS OZI, 998913917972 SMS AYOLI, 998991941402 SMS OGLI,</t>
        </is>
      </c>
      <c r="G178" s="108" t="inlineStr">
        <is>
          <t xml:space="preserve">NUKUS SHAHRI</t>
        </is>
      </c>
      <c r="H178" s="109">
        <v>13.0</v>
      </c>
      <c r="I178" s="109">
        <v>1683040.14</v>
      </c>
      <c r="K178" s="108" t="inlineStr">
        <is>
          <t xml:space="preserve">Va'da berdi | o'zi ishsiz  20kuni ayoli oylik oladi wundan to'layman deyabdila | 943</t>
        </is>
      </c>
    </row>
    <row r="179">
      <c r="A179" s="108" t="inlineStr">
        <is>
          <t xml:space="preserve">КОРАКАЛПОГИСТОН РЕСПУБЛИКАСИ</t>
        </is>
      </c>
      <c r="C179" s="108" t="inlineStr">
        <is>
          <t xml:space="preserve">Обещал</t>
        </is>
      </c>
      <c r="D179" s="108" t="inlineStr">
        <is>
          <t xml:space="preserve">Кр-99041583-1</t>
        </is>
      </c>
      <c r="E179" s="108" t="inlineStr">
        <is>
          <t xml:space="preserve">ATAMURATOVA ZAURE KENESBAEVNA</t>
        </is>
      </c>
      <c r="F179" s="108" t="inlineStr">
        <is>
          <t xml:space="preserve">+998913926462 OZI,</t>
        </is>
      </c>
      <c r="G179" s="108" t="inlineStr">
        <is>
          <t xml:space="preserve">Моншаклы МФЙ, Улугбек кучаси, 34-уй</t>
        </is>
      </c>
      <c r="H179" s="109">
        <v>10.0</v>
      </c>
      <c r="I179" s="109">
        <v>1439849.98</v>
      </c>
      <c r="K179" s="108" t="inlineStr">
        <is>
          <t xml:space="preserve">Va'da berdi | KO'TARMAYABDI  O'RINBOSAR AKA TANISHI GAPLASHIBDI TO'LAYDI EKAN | 1011</t>
        </is>
      </c>
    </row>
    <row r="180">
      <c r="A180" s="108" t="inlineStr">
        <is>
          <t xml:space="preserve">КОРАКАЛПОГИСТОН РЕСПУБЛИКАСИ</t>
        </is>
      </c>
      <c r="C180" s="108" t="inlineStr">
        <is>
          <t xml:space="preserve">Обещал</t>
        </is>
      </c>
      <c r="D180" s="108" t="inlineStr">
        <is>
          <t xml:space="preserve">Кр-99032661-1</t>
        </is>
      </c>
      <c r="E180" s="108" t="inlineStr">
        <is>
          <t xml:space="preserve">TLEUMBETOVA DILARAM DUYSENBAYEVNA</t>
        </is>
      </c>
      <c r="F180" s="108" t="inlineStr">
        <is>
          <t xml:space="preserve">998937093732 SMS TO’LOVCHI, 998905951051 SMS TOLOVCHI 2, 998337402818 SMS AKASI, 998932095775 SMS AKASI 2, 998919282212 SMS Ikrom akasi tolovchi , 998919288148 SMS akasi , 998919382212 SMS ozi new , 998933645639 SMS MAHALLA SHUNGA CHIQILSIN , 998921950595 ERI TULOVCHI, 998917170124 XOTINI TO'LOVCHI ,</t>
        </is>
      </c>
      <c r="G180" s="108" t="inlineStr">
        <is>
          <t xml:space="preserve">NUKUS SHAHAR MATEN SIYTNIYZOZ KUSHASI 152A UY  </t>
        </is>
      </c>
      <c r="H180" s="109">
        <v>65.0</v>
      </c>
      <c r="I180" s="109">
        <v>1278329.23</v>
      </c>
      <c r="K180" s="108" t="inlineStr">
        <is>
          <t xml:space="preserve">Va'da berdi | BU ERTAGA DEB VADA BERDI | 362</t>
        </is>
      </c>
    </row>
    <row r="181">
      <c r="A181" s="108" t="inlineStr">
        <is>
          <t xml:space="preserve">КОРАКАЛПОГИСТОН РЕСПУБЛИКАСИ</t>
        </is>
      </c>
      <c r="C181" s="108" t="inlineStr">
        <is>
          <t xml:space="preserve">Обещал</t>
        </is>
      </c>
      <c r="D181" s="108" t="inlineStr">
        <is>
          <t xml:space="preserve">Кр-99038034-1</t>
        </is>
      </c>
      <c r="E181" s="108" t="inlineStr">
        <is>
          <t xml:space="preserve">BEKIMBETOV SHARAPAT MAXSETOVICH</t>
        </is>
      </c>
      <c r="F181" s="108" t="inlineStr">
        <is>
          <t xml:space="preserve">998933681893 SMS OZI, 998939291895 SMS AYOLI, 998932014951 SMS OTASI(begona), 998990380341 SMS ONASI, 998998932014 SMS Otasi, 998932024961 SMS Onasi,</t>
        </is>
      </c>
      <c r="G181" s="108" t="inlineStr">
        <is>
          <t xml:space="preserve">QARAQALPOGISTON RES NUKUS SHAHAR JANA BAZAR MFY KOS KOL KUSHASI 601 B UY </t>
        </is>
      </c>
      <c r="H181" s="109">
        <v>6.0</v>
      </c>
      <c r="I181" s="109">
        <v>976595.89</v>
      </c>
      <c r="K181" s="108" t="inlineStr">
        <is>
          <t xml:space="preserve">Va'da berdi | BU QISMAN TO'LADI BUGUN YANA TO'LAYDI SMS YOZDIM | 673</t>
        </is>
      </c>
    </row>
    <row r="182">
      <c r="A182" s="108" t="inlineStr">
        <is>
          <t xml:space="preserve">КОРАКАЛПОГИСТОН РЕСПУБЛИКАСИ</t>
        </is>
      </c>
      <c r="C182" s="108" t="inlineStr">
        <is>
          <t xml:space="preserve">Обещал</t>
        </is>
      </c>
      <c r="D182" s="108" t="inlineStr">
        <is>
          <t xml:space="preserve">Кр-99019952-8</t>
        </is>
      </c>
      <c r="E182" s="108" t="inlineStr">
        <is>
          <t xml:space="preserve">URAZIMBETOVA SHOHISTA GULIMBAYEVNA</t>
        </is>
      </c>
      <c r="F182" s="108" t="inlineStr">
        <is>
          <t xml:space="preserve">99-186-59-19  SMS UZI, 998995033939 SMS ERI, 998940910907 SMS UZI, 998771152010 OGLI,</t>
        </is>
      </c>
      <c r="G182" s="108" t="inlineStr">
        <is>
          <t xml:space="preserve">QORAQALPOG’ISTON RESPUBLIKASI BERUNIY TUMANI BERUNIY OFY GULZOR KO’CHA </t>
        </is>
      </c>
      <c r="H182" s="109">
        <v>14.0</v>
      </c>
      <c r="I182" s="109">
        <v>736259.75</v>
      </c>
      <c r="K182" s="108" t="inlineStr">
        <is>
          <t xml:space="preserve">Va'da berdi | SMS YOZDIM | 86</t>
        </is>
      </c>
    </row>
    <row r="183">
      <c r="A183" s="108" t="inlineStr">
        <is>
          <t xml:space="preserve">КОРАКАЛПОГИСТОН РЕСПУБЛИКАСИ</t>
        </is>
      </c>
      <c r="C183" s="108" t="inlineStr">
        <is>
          <t xml:space="preserve">Обещал</t>
        </is>
      </c>
      <c r="D183" s="108" t="inlineStr">
        <is>
          <t xml:space="preserve">Кр-99030419-1</t>
        </is>
      </c>
      <c r="E183" s="108" t="inlineStr">
        <is>
          <t xml:space="preserve">SHERIPBAYEV RO’ZIMBOY JUMANIYOZ O’G’LI</t>
        </is>
      </c>
      <c r="F183" s="108" t="inlineStr">
        <is>
          <t xml:space="preserve">88-306-18-12  SMS O’ZI, 88-507-44-54  SMS ONASI, 91-265-54-59  SMS DUSTI, 99-952-06-66  SMS DUSTI 2 GAPLASHMAYABDI EKAN, 998913051812 SMS O'ZI, 998885001812 SMS UZi new,</t>
        </is>
      </c>
      <c r="G183" s="108" t="inlineStr">
        <is>
          <t xml:space="preserve">QORAQALPOG’ISTON RESPUBLIKASI TO’RTKO’L TUMANI TOZOBOG’YOP MAXALLASI YANGIBOG’ KUCHASI 259 UY</t>
        </is>
      </c>
      <c r="I183" s="109">
        <v>705565.89</v>
      </c>
      <c r="K183" s="108" t="inlineStr">
        <is>
          <t xml:space="preserve">Va'da berdi | TELEGRAMDAN GAPLASHDIM HAFTA OXIRIGA DEDILA BUGUNGA TAWAB BERING DEB YOZDIM | 275</t>
        </is>
      </c>
    </row>
    <row r="184">
      <c r="A184" s="108" t="inlineStr">
        <is>
          <t xml:space="preserve">КОРАКАЛПОГИСТОН РЕСПУБЛИКАСИ</t>
        </is>
      </c>
      <c r="C184" s="108" t="inlineStr">
        <is>
          <t xml:space="preserve">Обещал</t>
        </is>
      </c>
      <c r="D184" s="108" t="inlineStr">
        <is>
          <t xml:space="preserve">Кр-99054971-1</t>
        </is>
      </c>
      <c r="E184" s="108" t="inlineStr">
        <is>
          <t xml:space="preserve">SAPARNIYAZOV ABATBAY AUYEZBAYEVICH</t>
        </is>
      </c>
      <c r="F184" s="108" t="inlineStr">
        <is>
          <t xml:space="preserve">998331346724 SMS  OZI, 998992978025 SMS OYALI, 998936871998 SMS O'G'LI, 998944768865 SMS QIZI, 998912671001 SMS NEW ,</t>
        </is>
      </c>
      <c r="G184" s="108" t="inlineStr">
        <is>
          <t xml:space="preserve">QARAQALPOGISTON RES NUKUS SHADLI AWIL MFY ALTIN TAJ KUSHASI 17 UY </t>
        </is>
      </c>
      <c r="H184" s="109">
        <v>10.0</v>
      </c>
      <c r="I184" s="109">
        <v>603790.2</v>
      </c>
      <c r="K184" s="108" t="inlineStr">
        <is>
          <t xml:space="preserve">Va'da berdi | 1998 BEGONA 8865 XOTINI BN GAPLASHDIM HOZIR ISHDAMAN DEDI BORIB AYTAMAN TO'LAYMIZ DEDI ERI ERTAGA | 1240</t>
        </is>
      </c>
    </row>
    <row r="185">
      <c r="A185" s="108" t="inlineStr">
        <is>
          <t xml:space="preserve">КОРАКАЛПОГИСТОН РЕСПУБЛИКАСИ</t>
        </is>
      </c>
      <c r="C185" s="108" t="inlineStr">
        <is>
          <t xml:space="preserve">Обещал</t>
        </is>
      </c>
      <c r="D185" s="108" t="inlineStr">
        <is>
          <t xml:space="preserve">Кр-99052913-1</t>
        </is>
      </c>
      <c r="E185" s="108" t="inlineStr">
        <is>
          <t xml:space="preserve">SAPARIMBETOVA DILARA ARTIKBAEVNA</t>
        </is>
      </c>
      <c r="F185" s="108" t="inlineStr">
        <is>
          <t xml:space="preserve">998918730764 SMS OZI, 998913750057 SMS OGLI, 998137175772 SMS OGLI 2, 998919289383 SMS QIZI, 998885022001 O'G'LI,</t>
        </is>
      </c>
      <c r="G185" s="108" t="inlineStr">
        <is>
          <t xml:space="preserve">QARAQALPOGISTON RES NUKUS SHAHAR JAYXUN MFY QIZIL UY KUSHASI 50 A UY </t>
        </is>
      </c>
      <c r="H185" s="109">
        <v>10.0</v>
      </c>
      <c r="I185" s="109">
        <v>573746.36</v>
      </c>
      <c r="K185" s="108" t="inlineStr">
        <is>
          <t xml:space="preserve">Va'da berdi | O'G'LIM TO'LEDI HOZIR PULI YUQ EDI BOLISHI BN TO'LAYMIZ DEYABDI | 1212</t>
        </is>
      </c>
    </row>
    <row r="186">
      <c r="A186" s="110" t="inlineStr">
        <is>
          <t xml:space="preserve">НАВОИЙ ВИЛОЯТИ</t>
        </is>
      </c>
      <c r="C186" s="110" t="inlineStr">
        <is>
          <t xml:space="preserve">Обещал</t>
        </is>
      </c>
      <c r="D186" s="110" t="inlineStr">
        <is>
          <t xml:space="preserve">Кр-99063368-1</t>
        </is>
      </c>
      <c r="E186" s="110" t="inlineStr">
        <is>
          <t xml:space="preserve">SHODIYEV G’ULOM BOBOYOROVICH</t>
        </is>
      </c>
      <c r="F186" s="110" t="inlineStr">
        <is>
          <t xml:space="preserve">998501569527 O’G’LI, 998880859593 O’ZI, 998932797793 KICHIK O’G’LI,</t>
        </is>
      </c>
      <c r="G186" s="110" t="inlineStr">
        <is>
          <t xml:space="preserve">NAVOIY VILOYATI,NAVBAHOR TUMANI,XASHMAN MFY,QO’RG’ONTEPA  KOCHASI,70 UY</t>
        </is>
      </c>
      <c r="H186" s="111">
        <v>10.0</v>
      </c>
      <c r="I186" s="111">
        <v>6414130.62</v>
      </c>
      <c r="K186" s="110" t="inlineStr">
        <is>
          <t xml:space="preserve">Va'da berdi | ertaga tolov qiladi kotta ogli</t>
        </is>
      </c>
    </row>
    <row r="187">
      <c r="A187" s="110" t="inlineStr">
        <is>
          <t xml:space="preserve">НАВОИЙ ВИЛОЯТИ</t>
        </is>
      </c>
      <c r="C187" s="110" t="inlineStr">
        <is>
          <t xml:space="preserve">Обещал</t>
        </is>
      </c>
      <c r="D187" s="110" t="inlineStr">
        <is>
          <t xml:space="preserve">Кр-99035137-1</t>
        </is>
      </c>
      <c r="E187" s="110" t="inlineStr">
        <is>
          <t xml:space="preserve">SHARIPOVA SHOXSANAM QULMANOVNA</t>
        </is>
      </c>
      <c r="F187" s="110" t="inlineStr">
        <is>
          <t xml:space="preserve">998913302232 SMS O’ZI alisheraka ozimizzi xodim , 998997919190 SMS XOJAYINI , 998913302232 SMS O’ZI , 998936699696 SMS Alisher aka uzimizni xodim,</t>
        </is>
      </c>
      <c r="G187" s="110" t="inlineStr">
        <is>
          <t xml:space="preserve">NAVOIY VILOYATI KALOVAT MFY</t>
        </is>
      </c>
      <c r="H187" s="111">
        <v>8.0</v>
      </c>
      <c r="I187" s="111">
        <v>5823993.99</v>
      </c>
      <c r="K187" s="110" t="inlineStr">
        <is>
          <t xml:space="preserve">Va'da berdi</t>
        </is>
      </c>
    </row>
    <row r="188">
      <c r="A188" s="110" t="inlineStr">
        <is>
          <t xml:space="preserve">НАВОИЙ ВИЛОЯТИ</t>
        </is>
      </c>
      <c r="C188" s="110" t="inlineStr">
        <is>
          <t xml:space="preserve">Обещал</t>
        </is>
      </c>
      <c r="D188" s="110" t="inlineStr">
        <is>
          <t xml:space="preserve">Кр-99043204-3</t>
        </is>
      </c>
      <c r="E188" s="110" t="inlineStr">
        <is>
          <t xml:space="preserve">JUMAYEV ULUGBEK NEGMURODOVICH</t>
        </is>
      </c>
      <c r="F188" s="110" t="inlineStr">
        <is>
          <t xml:space="preserve">+998959603353 SMS UZI, 998700311935 UGLI, 998878397744 UZI 2 NOMERI, 998952281158 AYOLI,</t>
        </is>
      </c>
      <c r="G188" s="110" t="inlineStr">
        <is>
          <t xml:space="preserve">NAVOIY VILOYATI,KARMANA TUMANI,DEGARON MFY,TEPAARIQ KUCHASI,30 UY</t>
        </is>
      </c>
      <c r="H188" s="111">
        <v>10.0</v>
      </c>
      <c r="I188" s="111">
        <v>5097555.73</v>
      </c>
      <c r="K188" s="110" t="inlineStr">
        <is>
          <t xml:space="preserve">Va'da berdi | bugun pulini olim tolavoradi</t>
        </is>
      </c>
    </row>
    <row r="189">
      <c r="A189" s="110" t="inlineStr">
        <is>
          <t xml:space="preserve">НАВОИЙ ВИЛОЯТИ</t>
        </is>
      </c>
      <c r="C189" s="110" t="inlineStr">
        <is>
          <t xml:space="preserve">Обещал</t>
        </is>
      </c>
      <c r="D189" s="110" t="inlineStr">
        <is>
          <t xml:space="preserve">Кр-99034721-1</t>
        </is>
      </c>
      <c r="E189" s="110" t="inlineStr">
        <is>
          <t xml:space="preserve">CHORIYEV AZIZJON YULDOSHEVICH</t>
        </is>
      </c>
      <c r="F189" s="110" t="inlineStr">
        <is>
          <t xml:space="preserve">998883220044 SMS OZI, 998999510500 SMS OPASI, 998902350505 SMS AKASI, 998939500080 SMS UY,</t>
        </is>
      </c>
      <c r="G189" s="110" t="inlineStr">
        <is>
          <t xml:space="preserve">NAVOIY VILOYATI QIZILTEPA TUMANI ZARMETAN MFY KURGONTEPA QISHLOG’I 4 UY</t>
        </is>
      </c>
      <c r="H189" s="111">
        <v>10.0</v>
      </c>
      <c r="I189" s="111">
        <v>3933875.71</v>
      </c>
      <c r="K189" s="110" t="inlineStr">
        <is>
          <t xml:space="preserve">Va'da berdi | ertaga</t>
        </is>
      </c>
    </row>
    <row r="190">
      <c r="A190" s="110" t="inlineStr">
        <is>
          <t xml:space="preserve">НАВОИЙ ВИЛОЯТИ</t>
        </is>
      </c>
      <c r="C190" s="110" t="inlineStr">
        <is>
          <t xml:space="preserve">Обещал</t>
        </is>
      </c>
      <c r="D190" s="110" t="inlineStr">
        <is>
          <t xml:space="preserve">Кр-99030758-1</t>
        </is>
      </c>
      <c r="E190" s="110" t="inlineStr">
        <is>
          <t xml:space="preserve">BOBOYEV SAYYOD RAXIMOVICH</t>
        </is>
      </c>
      <c r="F190" s="110" t="inlineStr">
        <is>
          <t xml:space="preserve">99-556-83-44  SMS O’ZI, 99-516-78-86  SMS AYOLI , 99-967-26-24  SMS SIN , 95-132-22-03  SMS SIN 2 , 998995038828 SMS JIYANI TOLOVCHI ,</t>
        </is>
      </c>
      <c r="G190" s="110" t="inlineStr">
        <is>
          <t xml:space="preserve">NAVOIY VILOYATI NUROTA TUMANI SENTOB MFY SENTOB QISHLOG’I </t>
        </is>
      </c>
      <c r="H190" s="111">
        <v>3.0</v>
      </c>
      <c r="I190" s="111">
        <v>2981308.85</v>
      </c>
      <c r="K190" s="110" t="inlineStr">
        <is>
          <t xml:space="preserve">Va'da berdi | ertaga tolov qilib qoyaman ddi</t>
        </is>
      </c>
    </row>
    <row r="191">
      <c r="A191" s="110" t="inlineStr">
        <is>
          <t xml:space="preserve">НАВОИЙ ВИЛОЯТИ</t>
        </is>
      </c>
      <c r="C191" s="110" t="inlineStr">
        <is>
          <t xml:space="preserve">Обещал</t>
        </is>
      </c>
      <c r="D191" s="110" t="inlineStr">
        <is>
          <t xml:space="preserve">Кр-99027864-1</t>
        </is>
      </c>
      <c r="E191" s="110" t="inlineStr">
        <is>
          <t xml:space="preserve">CHULIYEVA DILDORA NEMATILLO QIZI</t>
        </is>
      </c>
      <c r="F191" s="110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91" s="110" t="inlineStr">
        <is>
          <t xml:space="preserve">NAVOIY VILOYATI NAVBAXOR TUMANI HALOVAT-TEPA MFY ELPARVAR KO’CHASI 77-UY</t>
        </is>
      </c>
      <c r="H191" s="111">
        <v>3.0</v>
      </c>
      <c r="I191" s="111">
        <v>1561417.83</v>
      </c>
      <c r="K191" s="110" t="inlineStr">
        <is>
          <t xml:space="preserve">Va'da berdi | man bilan aloqada telofonini kotarib turipti ogilm bugun yopvorsa kerak ddi</t>
        </is>
      </c>
    </row>
    <row r="192">
      <c r="A192" s="110" t="inlineStr">
        <is>
          <t xml:space="preserve">НАВОИЙ ВИЛОЯТИ</t>
        </is>
      </c>
      <c r="C192" s="110" t="inlineStr">
        <is>
          <t xml:space="preserve">Обещал</t>
        </is>
      </c>
      <c r="D192" s="110" t="inlineStr">
        <is>
          <t xml:space="preserve">Кр-99064028-1</t>
        </is>
      </c>
      <c r="E192" s="110" t="inlineStr">
        <is>
          <t xml:space="preserve">BOLTAYEV UKTAMJON IBODILLOYEVICH</t>
        </is>
      </c>
      <c r="F192" s="110" t="inlineStr">
        <is>
          <t xml:space="preserve">998907319493 AYOLI, 998992749373 DADASI, 998995829229 O’ZI,</t>
        </is>
      </c>
      <c r="G192" s="110" t="inlineStr">
        <is>
          <t xml:space="preserve">NAQSHBANDIY 30 A UY</t>
        </is>
      </c>
      <c r="H192" s="111">
        <v>10.0</v>
      </c>
      <c r="I192" s="111">
        <v>983029.76</v>
      </c>
      <c r="K192" s="110" t="inlineStr">
        <is>
          <t xml:space="preserve">Va'da berdi | bugun soat 3-4lada</t>
        </is>
      </c>
    </row>
    <row r="193">
      <c r="A193" s="110" t="inlineStr">
        <is>
          <t xml:space="preserve">НАВОИЙ ВИЛОЯТИ</t>
        </is>
      </c>
      <c r="C193" s="110" t="inlineStr">
        <is>
          <t xml:space="preserve">Обещал</t>
        </is>
      </c>
      <c r="D193" s="110" t="inlineStr">
        <is>
          <t xml:space="preserve">Кр-99035085-3</t>
        </is>
      </c>
      <c r="E193" s="110" t="inlineStr">
        <is>
          <t xml:space="preserve">FARMONOV AZIM BAXTIYOROVICH</t>
        </is>
      </c>
      <c r="F193" s="110" t="inlineStr">
        <is>
          <t xml:space="preserve">998932789282 SMS OZI, 998996750553 SMS OTASI, 998931738287 SMS XOTINI,</t>
        </is>
      </c>
      <c r="G193" s="110" t="inlineStr">
        <is>
          <t xml:space="preserve">NAVOIY VILOYATI NAVBAXOR TUMANI SARBOZOR MFY YANGIQO’RG’ON 77-UY</t>
        </is>
      </c>
      <c r="H193" s="111">
        <v>14.0</v>
      </c>
      <c r="I193" s="111">
        <v>457696.79</v>
      </c>
      <c r="K193" s="110" t="inlineStr">
        <is>
          <t xml:space="preserve">Va'da berdi | soat 6 gacham</t>
        </is>
      </c>
    </row>
    <row r="194">
      <c r="A194" s="112" t="inlineStr">
        <is>
          <t xml:space="preserve">НАМАНГАН ВИЛОЯТИ</t>
        </is>
      </c>
      <c r="C194" s="112" t="inlineStr">
        <is>
          <t xml:space="preserve">Обещал</t>
        </is>
      </c>
      <c r="D194" s="112" t="inlineStr">
        <is>
          <t xml:space="preserve">Кр-99027270-2</t>
        </is>
      </c>
      <c r="E194" s="112" t="inlineStr">
        <is>
          <t xml:space="preserve">ISLOMOV MAMADALIXON TOLIBXON O’G’LI</t>
        </is>
      </c>
      <c r="F194" s="112" t="inlineStr">
        <is>
          <t xml:space="preserve">95-000-22-92 SMS O'ZI, 99-398-23-92 SMS OZ'I 2, 91-365-08-04 SMS AYOLI, 91-355-24-41 SMS UKASI, 93-490-51-33 ozi ,</t>
        </is>
      </c>
      <c r="G194" s="112" t="inlineStr">
        <is>
          <t xml:space="preserve">NAMANGAN VILOYATI KOSONSOY TUMANI CHINDOVUL QFY ZAMONDOSH MFY 110-UY</t>
        </is>
      </c>
      <c r="H194" s="113">
        <v>38.0</v>
      </c>
      <c r="I194" s="113">
        <v>7644771.11</v>
      </c>
      <c r="K194" s="112" t="inlineStr">
        <is>
          <t xml:space="preserve">Va'da berdi | bugun tolab berarkan | Стандартрый</t>
        </is>
      </c>
    </row>
    <row r="195">
      <c r="A195" s="112" t="inlineStr">
        <is>
          <t xml:space="preserve">НАМАНГАН ВИЛОЯТИ</t>
        </is>
      </c>
      <c r="C195" s="112" t="inlineStr">
        <is>
          <t xml:space="preserve">Обещал</t>
        </is>
      </c>
      <c r="D195" s="112" t="inlineStr">
        <is>
          <t xml:space="preserve">Кр-99031356-1</t>
        </is>
      </c>
      <c r="E195" s="112" t="inlineStr">
        <is>
          <t xml:space="preserve">NAJMUTDINOV ILXOM ODILXANOVICH</t>
        </is>
      </c>
      <c r="F195" s="112" t="inlineStr">
        <is>
          <t xml:space="preserve">91-052-70-73  SMS OZI, 90-551-31-48  SMS OZI 2, 69-221-50-02  SMS UY, 90-599-89-89  SMS OZI 3, +998776680451 SMS O’ZI, 998957196160 ozi new new,</t>
        </is>
      </c>
      <c r="G195" s="112" t="inlineStr">
        <is>
          <t xml:space="preserve">NAMANGAN VILOYATI NAMANGAN SHAHAR  GULBOG’ MFY GULBOG’ KO’CHA 15 UY</t>
        </is>
      </c>
      <c r="H195" s="113">
        <v>15.0</v>
      </c>
      <c r="I195" s="113">
        <v>6661253.76</v>
      </c>
      <c r="K195" s="112" t="inlineStr">
        <is>
          <t xml:space="preserve">Va'da berdi | ertaga tolab berarkan | Стандартрый</t>
        </is>
      </c>
    </row>
    <row r="196">
      <c r="A196" s="112" t="inlineStr">
        <is>
          <t xml:space="preserve">НАМАНГАН ВИЛОЯТИ</t>
        </is>
      </c>
      <c r="C196" s="112" t="inlineStr">
        <is>
          <t xml:space="preserve">Обещал</t>
        </is>
      </c>
      <c r="D196" s="112" t="inlineStr">
        <is>
          <t xml:space="preserve">Кр-99038768-1</t>
        </is>
      </c>
      <c r="E196" s="112" t="inlineStr">
        <is>
          <t xml:space="preserve">NIZAMOV KOBIL KOSIMOVICH</t>
        </is>
      </c>
      <c r="F196" s="112" t="inlineStr">
        <is>
          <t xml:space="preserve">998507006187 SMS OZI, 998957077157 SMS UYI, 998905980606 SMS ONASI, 998900500507 SMS UKASI,</t>
        </is>
      </c>
      <c r="G196" s="112" t="inlineStr">
        <is>
          <t xml:space="preserve">NAMANGAN SHAXAR YANGI HAYOT MFY O’RIKZOR KO’CHASI TUPIK-5 13-UY</t>
        </is>
      </c>
      <c r="H196" s="113">
        <v>8.0</v>
      </c>
      <c r="I196" s="113">
        <v>4417662.02</v>
      </c>
      <c r="K196" s="112" t="inlineStr">
        <is>
          <t xml:space="preserve">Va'da berdi | bugun tolab qoyarkan | Стандартрый</t>
        </is>
      </c>
    </row>
    <row r="197">
      <c r="A197" s="112" t="inlineStr">
        <is>
          <t xml:space="preserve">НАМАНГАН ВИЛОЯТИ</t>
        </is>
      </c>
      <c r="C197" s="112" t="inlineStr">
        <is>
          <t xml:space="preserve">Обещал</t>
        </is>
      </c>
      <c r="D197" s="112" t="inlineStr">
        <is>
          <t xml:space="preserve">Кр-99036116-1</t>
        </is>
      </c>
      <c r="E197" s="112" t="inlineStr">
        <is>
          <t xml:space="preserve">YOQUBJONOV BUNYODBEK MO’YDINJON O’G’LI</t>
        </is>
      </c>
      <c r="F197" s="112" t="inlineStr">
        <is>
          <t xml:space="preserve">998972301115 SMS O’ZI, 998954512000 SMS ZALOGADATEL 1, 998972300801 SMS ZALOGADATEL 2 TO'LOVCHI SHOXRUX, 998954511404 SMS , 998973713530 SMS ozi yengi nomer,</t>
        </is>
      </c>
      <c r="G197" s="112" t="inlineStr">
        <is>
          <t xml:space="preserve">NAMANGAN VILOYATI TO’RAQO’RG’ON TUMANIYAKKATOM MFY OQIBAT KO’CHA 10 UY</t>
        </is>
      </c>
      <c r="H197" s="113">
        <v>1.0</v>
      </c>
      <c r="I197" s="113">
        <v>3884525.2</v>
      </c>
      <c r="K197" s="112" t="inlineStr">
        <is>
          <t xml:space="preserve">Va'da berdi | ertaga ertalab tolab berarkan | Стандартрый</t>
        </is>
      </c>
    </row>
    <row r="198">
      <c r="A198" s="112" t="inlineStr">
        <is>
          <t xml:space="preserve">НАМАНГАН ВИЛОЯТИ</t>
        </is>
      </c>
      <c r="C198" s="112" t="inlineStr">
        <is>
          <t xml:space="preserve">Обещал</t>
        </is>
      </c>
      <c r="D198" s="112" t="inlineStr">
        <is>
          <t xml:space="preserve">Кр-99021267-4</t>
        </is>
      </c>
      <c r="E198" s="112" t="inlineStr">
        <is>
          <t xml:space="preserve">TOXIROV AZIZBEK AVAZBEK O’G’LI</t>
        </is>
      </c>
      <c r="F198" s="112" t="inlineStr">
        <is>
          <t xml:space="preserve">97-758-02-02 SMS BEGONA EKAN, 94-611-46-45 SMS OZI, 99-879-56-56 SMS ADASI, 88-700-75-74 SMS UKASI, 998772100909 SMS TOLOV QILISH BO,</t>
        </is>
      </c>
      <c r="G198" s="112" t="inlineStr">
        <is>
          <t xml:space="preserve">NAMANGAN VILOYATI NORIN TUMANI YANGI FARG’NA KO’CHASI 3 UY</t>
        </is>
      </c>
      <c r="H198" s="113">
        <v>10.0</v>
      </c>
      <c r="I198" s="113">
        <v>2946315.14</v>
      </c>
      <c r="K198" s="112" t="inlineStr">
        <is>
          <t xml:space="preserve">Va'da berdi | bugun kechroq tolab berarkan | Стандартрый</t>
        </is>
      </c>
    </row>
    <row r="199">
      <c r="A199" s="112" t="inlineStr">
        <is>
          <t xml:space="preserve">НАМАНГАН ВИЛОЯТИ</t>
        </is>
      </c>
      <c r="C199" s="112" t="inlineStr">
        <is>
          <t xml:space="preserve">Обещал</t>
        </is>
      </c>
      <c r="D199" s="112" t="inlineStr">
        <is>
          <t xml:space="preserve">Кр-99036051-1</t>
        </is>
      </c>
      <c r="E199" s="112" t="inlineStr">
        <is>
          <t xml:space="preserve">SHARIPOVA MUNOJATXON ABDUXAMID QIZI</t>
        </is>
      </c>
      <c r="F199" s="112" t="inlineStr">
        <is>
          <t xml:space="preserve">998932726710 SMS OZI, 998994796363 SMS ERI, 998975552551 SMS SHERIGI, 998937788883 SMS SHERIGI,</t>
        </is>
      </c>
      <c r="G199" s="112" t="inlineStr">
        <is>
          <t xml:space="preserve">NAMANGAN VILOYATI NAMANGAN SHAHAR TADBIRKOR MFY YOSHLIK KO’CHA 45 UY 39 XONADON</t>
        </is>
      </c>
      <c r="H199" s="113">
        <v>3.0</v>
      </c>
      <c r="I199" s="113">
        <v>1655372.67</v>
      </c>
      <c r="K199" s="112" t="inlineStr">
        <is>
          <t xml:space="preserve">Va'da berdi | bugun tolarkan | Хороший</t>
        </is>
      </c>
    </row>
    <row r="200">
      <c r="A200" s="112" t="inlineStr">
        <is>
          <t xml:space="preserve">НАМАНГАН ВИЛОЯТИ</t>
        </is>
      </c>
      <c r="C200" s="112" t="inlineStr">
        <is>
          <t xml:space="preserve">Обещал</t>
        </is>
      </c>
      <c r="D200" s="112" t="inlineStr">
        <is>
          <t xml:space="preserve">Кр-99031356-2</t>
        </is>
      </c>
      <c r="E200" s="112" t="inlineStr">
        <is>
          <t xml:space="preserve">NAJMUTDINOV ILXOM ODILXANOVICH</t>
        </is>
      </c>
      <c r="F200" s="112" t="inlineStr">
        <is>
          <t xml:space="preserve">91-052-70-73  SMS OZI, 90-551-31-48  SMS OZI 2, 69-221-50-02  SMS UY, 90-599-89-89  SMS OZI 3, +998776680451 SMS O’ZI, 998957196160 ozi new new,</t>
        </is>
      </c>
      <c r="G200" s="112" t="inlineStr">
        <is>
          <t xml:space="preserve">NAMANGAN VILOYATI NAMANGAN SHAHAR  GULBOG’ MFY GULBOG’ KO’CHA 15 UY</t>
        </is>
      </c>
      <c r="H200" s="113">
        <v>10.0</v>
      </c>
      <c r="I200" s="113">
        <v>1048802.55</v>
      </c>
      <c r="K200" s="112" t="inlineStr">
        <is>
          <t xml:space="preserve">Va'da berdi | ertaga tolab berarkan | Стандартрый</t>
        </is>
      </c>
    </row>
    <row r="201">
      <c r="A201" s="112" t="inlineStr">
        <is>
          <t xml:space="preserve">НАМАНГАН ВИЛОЯТИ</t>
        </is>
      </c>
      <c r="C201" s="112" t="inlineStr">
        <is>
          <t xml:space="preserve">Обещал</t>
        </is>
      </c>
      <c r="D201" s="112" t="inlineStr">
        <is>
          <t xml:space="preserve">Кр-99046371-1</t>
        </is>
      </c>
      <c r="E201" s="112" t="inlineStr">
        <is>
          <t xml:space="preserve">ABDUXALILOV ASADBEK OYBEK O’G’LI</t>
        </is>
      </c>
      <c r="F201" s="112" t="inlineStr">
        <is>
          <t xml:space="preserve">+998932675161 SMS OZI, 998942776656 SMS OTASI, 998943079979 SMS UKASI,</t>
        </is>
      </c>
      <c r="G201" s="112" t="inlineStr">
        <is>
          <t xml:space="preserve">NAMANGAN VILOYATI UYCHI TUMANI XURRIYAT MFY S.MAMADALIYEVA KO’CHASI 29-UY</t>
        </is>
      </c>
      <c r="H201" s="113">
        <v>10.0</v>
      </c>
      <c r="I201" s="113">
        <v>1048771.73</v>
      </c>
      <c r="K201" s="112" t="inlineStr">
        <is>
          <t xml:space="preserve">Va'da berdi | yopildi | Стандартрый</t>
        </is>
      </c>
    </row>
    <row r="202">
      <c r="A202" s="112" t="inlineStr">
        <is>
          <t xml:space="preserve">НАМАНГАН ВИЛОЯТИ</t>
        </is>
      </c>
      <c r="C202" s="112" t="inlineStr">
        <is>
          <t xml:space="preserve">Обещал</t>
        </is>
      </c>
      <c r="D202" s="112" t="inlineStr">
        <is>
          <t xml:space="preserve">Кр-99062909-2</t>
        </is>
      </c>
      <c r="E202" s="112" t="inlineStr">
        <is>
          <t xml:space="preserve">AZIZOV ZAKRIYO MUXAMATOVICH</t>
        </is>
      </c>
      <c r="F202" s="112" t="inlineStr">
        <is>
          <t xml:space="preserve">+998999160100 SMS O’ZI, 998911836800 SMS UY,</t>
        </is>
      </c>
      <c r="G202" s="112" t="inlineStr">
        <is>
          <t xml:space="preserve">НАМАНГАН ВИЛОЯТИ ЯНГИ НАМАНГАН ТУМАНИ КЕЛАЖАК ТОНГИ МФЙ 5-КУЗГУ КЎЧАСИ 1-УЙ</t>
        </is>
      </c>
      <c r="H202" s="113">
        <v>10.0</v>
      </c>
      <c r="I202" s="113">
        <v>813351.66</v>
      </c>
      <c r="K202" s="112" t="inlineStr">
        <is>
          <t xml:space="preserve">Va'da berdi | yopildi | Стандартрый</t>
        </is>
      </c>
    </row>
    <row r="203">
      <c r="A203" s="114" t="inlineStr">
        <is>
          <t xml:space="preserve">САМАРКАНД ВИЛОЯТИ</t>
        </is>
      </c>
      <c r="C203" s="114" t="inlineStr">
        <is>
          <t xml:space="preserve">Обещал</t>
        </is>
      </c>
      <c r="D203" s="114" t="inlineStr">
        <is>
          <t xml:space="preserve">Кр-99035549-1</t>
        </is>
      </c>
      <c r="E203" s="114" t="inlineStr">
        <is>
          <t xml:space="preserve">EBODULLAYEVA DURDONA SHAHRIDINOVNA</t>
        </is>
      </c>
      <c r="F203" s="114" t="inlineStr">
        <is>
          <t xml:space="preserve">998770287773 SMS OZI, 998936166662 SMS AYOLI, 998947566565 SMStulovchi , 998940037948 SMS ERI,</t>
        </is>
      </c>
      <c r="G203" s="114" t="inlineStr">
        <is>
          <t xml:space="preserve">SAMARQAND VILOYATI SAMARQAND SHAHAR QQORASUV-2 MASSIVI BAHODIR YALANGTUSH MFY 168 UY 32-XONADON</t>
        </is>
      </c>
      <c r="H203" s="115">
        <v>147.0</v>
      </c>
      <c r="I203" s="115">
        <v>40957087.9</v>
      </c>
      <c r="K203" s="114" t="inlineStr">
        <is>
          <t xml:space="preserve">Va'da berdi | muamoli klkent</t>
        </is>
      </c>
    </row>
    <row r="204">
      <c r="A204" s="114" t="inlineStr">
        <is>
          <t xml:space="preserve">САМАРКАНД ВИЛОЯТИ</t>
        </is>
      </c>
      <c r="C204" s="114" t="inlineStr">
        <is>
          <t xml:space="preserve">Обещал</t>
        </is>
      </c>
      <c r="D204" s="114" t="inlineStr">
        <is>
          <t xml:space="preserve">Кр-99035656-3</t>
        </is>
      </c>
      <c r="E204" s="114" t="inlineStr">
        <is>
          <t xml:space="preserve">BO’LTAKOV SHUXRAT ACHILBAYEVICH</t>
        </is>
      </c>
      <c r="F204" s="114" t="inlineStr">
        <is>
          <t xml:space="preserve">998953970709 SMS OZI, 998902821188 SMS AKASI, 998533320702 SMS OZI, 998947670902 SMS UYI, 998953109692 УЗИ ШУНГА КЛИЛАР ,</t>
        </is>
      </c>
      <c r="G204" s="114" t="inlineStr">
        <is>
          <t xml:space="preserve">SAMARQAND VILOYATI JOMBOY TUMANI SHIRINKENT MFY ELATON QISHLOG'I 1-TOR KUCHA 1-UY JOMBOY TUMANI</t>
        </is>
      </c>
      <c r="H204" s="115">
        <v>13.0</v>
      </c>
      <c r="I204" s="115">
        <v>15461643.8</v>
      </c>
      <c r="K204" s="114" t="inlineStr">
        <is>
          <t xml:space="preserve">Va'da berdi | dushanba atolid 2 ta krediti yopilad</t>
        </is>
      </c>
    </row>
    <row r="205">
      <c r="A205" s="114" t="inlineStr">
        <is>
          <t xml:space="preserve">САМАРКАНД ВИЛОЯТИ</t>
        </is>
      </c>
      <c r="C205" s="114" t="inlineStr">
        <is>
          <t xml:space="preserve">Обещал</t>
        </is>
      </c>
      <c r="D205" s="114" t="inlineStr">
        <is>
          <t xml:space="preserve">Кр-99049145-1</t>
        </is>
      </c>
      <c r="E205" s="114" t="inlineStr">
        <is>
          <t xml:space="preserve">NURIMOVA SHAXLO IBADULLAYEVNA</t>
        </is>
      </c>
      <c r="F205" s="114" t="inlineStr">
        <is>
          <t xml:space="preserve">+998953109692 SMS OZI, 998955792070 SMS UYI, 998972858189 SMS ERI,</t>
        </is>
      </c>
      <c r="G205" s="114" t="inlineStr">
        <is>
          <t xml:space="preserve">SAMARQAND VILOYATI PASTDARG’OM TUMANI QATORTERAK MFY QATORTERAK QISHLOG’I 64-UY</t>
        </is>
      </c>
      <c r="H205" s="115">
        <v>10.0</v>
      </c>
      <c r="I205" s="115">
        <v>9380958.75</v>
      </c>
      <c r="K205" s="114" t="inlineStr">
        <is>
          <t xml:space="preserve">Va'da berdi | 2 chi krediti bu dushanba yopad ikkalasiniyam</t>
        </is>
      </c>
    </row>
    <row r="206">
      <c r="A206" s="114" t="inlineStr">
        <is>
          <t xml:space="preserve">САМАРКАНД ВИЛОЯТИ</t>
        </is>
      </c>
      <c r="C206" s="114" t="inlineStr">
        <is>
          <t xml:space="preserve">Обещал</t>
        </is>
      </c>
      <c r="D206" s="114" t="inlineStr">
        <is>
          <t xml:space="preserve">Кр-99006415-2</t>
        </is>
      </c>
      <c r="E206" s="114" t="inlineStr">
        <is>
          <t xml:space="preserve">BOLIYEV ORIP XATAMOVICH</t>
        </is>
      </c>
      <c r="F206" s="114" t="inlineStr">
        <is>
          <t xml:space="preserve">99-202-58-88 SMS UKASI, sindor jovob SMS QIZI , 998938136568 SMS TULOVCHI, 998974055213 SMS OZI, 998991475888 SMS UKASI,</t>
        </is>
      </c>
      <c r="G206" s="114" t="inlineStr">
        <is>
          <t xml:space="preserve">SAMARQAND VILOYATI PASTDARG’OM TUMANI QUSHQUDUQ MFY ISTIQLOL KO’CHASI 76-UY</t>
        </is>
      </c>
      <c r="H206" s="115">
        <v>10.0</v>
      </c>
      <c r="I206" s="115">
        <v>6240709.37</v>
      </c>
      <c r="K206" s="114" t="inlineStr">
        <is>
          <t xml:space="preserve">Va'da berdi | filial bollari yopadi</t>
        </is>
      </c>
    </row>
    <row r="207">
      <c r="A207" s="114" t="inlineStr">
        <is>
          <t xml:space="preserve">САМАРКАНД ВИЛОЯТИ</t>
        </is>
      </c>
      <c r="C207" s="114" t="inlineStr">
        <is>
          <t xml:space="preserve">Обещал</t>
        </is>
      </c>
      <c r="D207" s="114" t="inlineStr">
        <is>
          <t xml:space="preserve">Кр-99060719-2</t>
        </is>
      </c>
      <c r="E207" s="114" t="inlineStr">
        <is>
          <t xml:space="preserve">SADINOV JAMOLIDDIN SHAVKATOVICH</t>
        </is>
      </c>
      <c r="F207" s="114" t="inlineStr">
        <is>
          <t xml:space="preserve">+998870107789 SMS OZI, 998885773077 SMS AYOLI, 998940770186 SMS AKASI,</t>
        </is>
      </c>
      <c r="G207" s="114" t="inlineStr">
        <is>
          <t xml:space="preserve">SAMQARQAND VILOYATI PASTDARG’OM TUMANI TEMIRXUJA MFY BAGBONLAR KUCHASI 357-UY</t>
        </is>
      </c>
      <c r="H207" s="115">
        <v>10.0</v>
      </c>
      <c r="I207" s="115">
        <v>4277485.0</v>
      </c>
      <c r="K207" s="114" t="inlineStr">
        <is>
          <t xml:space="preserve">Va'da berdi | avariya bolgan bu klent oydan oyga otmey yopaman</t>
        </is>
      </c>
    </row>
    <row r="208">
      <c r="A208" s="114" t="inlineStr">
        <is>
          <t xml:space="preserve">САМАРКАНД ВИЛОЯТИ</t>
        </is>
      </c>
      <c r="C208" s="114" t="inlineStr">
        <is>
          <t xml:space="preserve">Обещал</t>
        </is>
      </c>
      <c r="D208" s="114" t="inlineStr">
        <is>
          <t xml:space="preserve">Кр-99036138-1</t>
        </is>
      </c>
      <c r="E208" s="114" t="inlineStr">
        <is>
          <t xml:space="preserve">XATOMOV SAIDUSMAN XOLSAITOVICH</t>
        </is>
      </c>
      <c r="F208" s="114" t="inlineStr">
        <is>
          <t xml:space="preserve">998942435937 SMS OZI, 998947882991 SMS OGLI, 998945314577 SMS AYOLI, 998930033909 SMS OGLI KICHIK,</t>
        </is>
      </c>
      <c r="G208" s="114" t="inlineStr">
        <is>
          <t xml:space="preserve">SAMARQAND VILOYATI JOMBOY TUMANI BESH BOLA MFY BEKBO'TA QYF </t>
        </is>
      </c>
      <c r="H208" s="115">
        <v>1.0</v>
      </c>
      <c r="I208" s="115">
        <v>4223778.78</v>
      </c>
      <c r="K208" s="114" t="inlineStr">
        <is>
          <t xml:space="preserve">Va'da berdi | 2 kunda tolid tuya sotib</t>
        </is>
      </c>
    </row>
    <row r="209">
      <c r="A209" s="114" t="inlineStr">
        <is>
          <t xml:space="preserve">САМАРКАНД ВИЛОЯТИ</t>
        </is>
      </c>
      <c r="C209" s="114" t="inlineStr">
        <is>
          <t xml:space="preserve">Обещал</t>
        </is>
      </c>
      <c r="D209" s="114" t="inlineStr">
        <is>
          <t xml:space="preserve">Кр-99063322-2</t>
        </is>
      </c>
      <c r="E209" s="114" t="inlineStr">
        <is>
          <t xml:space="preserve">UTABAYEV JONIBEK ILXOMOVICH</t>
        </is>
      </c>
      <c r="F209" s="114" t="inlineStr">
        <is>
          <t xml:space="preserve">998901922133 SMS OPASI, 998910394407 SMS, 998915214468 SMM UYI, 998995267774 SMS OZI,</t>
        </is>
      </c>
      <c r="G209" s="114" t="inlineStr">
        <is>
          <t xml:space="preserve">SAMARQAND VILOYATI KATTAQO’RG’ON SHAHAR YERMSCHIT MFY BUNYODKOR KUCHASI 6 A DOM 1 KORPUS 1 KVARTERA</t>
        </is>
      </c>
      <c r="H209" s="115">
        <v>10.0</v>
      </c>
      <c r="I209" s="115">
        <v>4159401.88</v>
      </c>
      <c r="K209" s="114" t="inlineStr">
        <is>
          <t xml:space="preserve">Va'da berdi | ertaga toliq tolov</t>
        </is>
      </c>
    </row>
    <row r="210">
      <c r="A210" s="114" t="inlineStr">
        <is>
          <t xml:space="preserve">САМАРКАНД ВИЛОЯТИ</t>
        </is>
      </c>
      <c r="C210" s="114" t="inlineStr">
        <is>
          <t xml:space="preserve">Обещал</t>
        </is>
      </c>
      <c r="D210" s="114" t="inlineStr">
        <is>
          <t xml:space="preserve">Кр-99046120-1</t>
        </is>
      </c>
      <c r="E210" s="114" t="inlineStr">
        <is>
          <t xml:space="preserve">KARIMOV NURJON ADHAM O’G’LI</t>
        </is>
      </c>
      <c r="F210" s="114" t="inlineStr">
        <is>
          <t xml:space="preserve">+998979360722 SMS OZI, 998500048835 SMS UYI, 998930364525 SMS AKASI, 998944111279 SMS DADASI,</t>
        </is>
      </c>
      <c r="G210" s="114" t="inlineStr">
        <is>
          <t xml:space="preserve">SAMARQAND VILOYATI QO’SHRABOD TUMANI XONNAZAR MFY</t>
        </is>
      </c>
      <c r="H210" s="115">
        <v>13.0</v>
      </c>
      <c r="I210" s="115">
        <v>3442946.22</v>
      </c>
      <c r="K210" s="114" t="inlineStr">
        <is>
          <t xml:space="preserve">Va'da berdi | ertadan 1 kun ham otmid vada berdi</t>
        </is>
      </c>
    </row>
    <row r="211">
      <c r="A211" s="114" t="inlineStr">
        <is>
          <t xml:space="preserve">САМАРКАНД ВИЛОЯТИ</t>
        </is>
      </c>
      <c r="C211" s="114" t="inlineStr">
        <is>
          <t xml:space="preserve">Обещал</t>
        </is>
      </c>
      <c r="D211" s="114" t="inlineStr">
        <is>
          <t xml:space="preserve">Кр-99027786-1</t>
        </is>
      </c>
      <c r="E211" s="114" t="inlineStr">
        <is>
          <t xml:space="preserve">TEMIROV OLIMSHER JAXONGIR O’G’LI</t>
        </is>
      </c>
      <c r="F211" s="114" t="inlineStr">
        <is>
          <t xml:space="preserve">998947420451 SMS OZI кариндоши, 998905021015 SMS AYOLI, 998901951510 SMS O'ZI 2, 998907420451 SMS ISHXONASI, 998949977497 узи ,</t>
        </is>
      </c>
      <c r="G211" s="114" t="inlineStr">
        <is>
          <t xml:space="preserve">SAMARQAND VILOYATI PASTDARG’OM TUMANI PULATCHI QFY OLMAZOR MFY XALOVAT KO’CHASI 80-UY</t>
        </is>
      </c>
      <c r="H211" s="115">
        <v>8.0</v>
      </c>
      <c r="I211" s="115">
        <v>3047606.77</v>
      </c>
      <c r="K211" s="114" t="inlineStr">
        <is>
          <t xml:space="preserve">Va'da berdi | ruldaman db narmalni gaplashmayapti</t>
        </is>
      </c>
    </row>
    <row r="212">
      <c r="A212" s="114" t="inlineStr">
        <is>
          <t xml:space="preserve">САМАРКАНД ВИЛОЯТИ</t>
        </is>
      </c>
      <c r="C212" s="114" t="inlineStr">
        <is>
          <t xml:space="preserve">Обещал</t>
        </is>
      </c>
      <c r="D212" s="114" t="inlineStr">
        <is>
          <t xml:space="preserve">Кр-99040360-1</t>
        </is>
      </c>
      <c r="E212" s="114" t="inlineStr">
        <is>
          <t xml:space="preserve">KUSHMURODOV RASHID XUROZOVICH</t>
        </is>
      </c>
      <c r="F212" s="114" t="inlineStr">
        <is>
          <t xml:space="preserve">+998936002584 SMS O’ZI, 998505003878 SMS AKASI 2, 998935692069 SMS AKASI, 998501202552 SMS TULOVCHI, 998889007404 SMS AYOLI, 998919650304 SMS AKASI,</t>
        </is>
      </c>
      <c r="G212" s="114" t="inlineStr">
        <is>
          <t xml:space="preserve">SAMARQAND VILOYATI PAYARIQ TUMANI BAXRIN MFY SARXOUS KUCHASI 71-UY</t>
        </is>
      </c>
      <c r="H212" s="115">
        <v>10.0</v>
      </c>
      <c r="I212" s="115">
        <v>2705220.05</v>
      </c>
      <c r="K212" s="114" t="inlineStr">
        <is>
          <t xml:space="preserve">Va'da berdi</t>
        </is>
      </c>
    </row>
    <row r="213">
      <c r="A213" s="114" t="inlineStr">
        <is>
          <t xml:space="preserve">САМАРКАНД ВИЛОЯТИ</t>
        </is>
      </c>
      <c r="C213" s="114" t="inlineStr">
        <is>
          <t xml:space="preserve">Обещал</t>
        </is>
      </c>
      <c r="D213" s="114" t="inlineStr">
        <is>
          <t xml:space="preserve">Кр-99034407-1</t>
        </is>
      </c>
      <c r="E213" s="114" t="inlineStr">
        <is>
          <t xml:space="preserve">SHODIYEV YUNUS ZIYOYEVICH</t>
        </is>
      </c>
      <c r="F213" s="114" t="inlineStr">
        <is>
          <t xml:space="preserve">998937673633 SMS O’ZI, 998939967812 SMS AYOLI, 998904649211 SMS O’G’LI,</t>
        </is>
      </c>
      <c r="G213" s="114" t="inlineStr">
        <is>
          <t xml:space="preserve">SAMARQAND VILOYATI TAYLOQ TUMANI XITOYUZ MFY XITOYUZ QISHLOG’I GULOBOD KO’CHASI 41-UY</t>
        </is>
      </c>
      <c r="H213" s="115">
        <v>3.0</v>
      </c>
      <c r="I213" s="115">
        <v>2006353.77</v>
      </c>
      <c r="K213" s="114" t="inlineStr">
        <is>
          <t xml:space="preserve">Va'da berdi | yakshanba kuni tolov boladi</t>
        </is>
      </c>
    </row>
    <row r="214">
      <c r="A214" s="114" t="inlineStr">
        <is>
          <t xml:space="preserve">САМАРКАНД ВИЛОЯТИ</t>
        </is>
      </c>
      <c r="C214" s="114" t="inlineStr">
        <is>
          <t xml:space="preserve">Обещал</t>
        </is>
      </c>
      <c r="D214" s="114" t="inlineStr">
        <is>
          <t xml:space="preserve">Кр-99036059-1</t>
        </is>
      </c>
      <c r="E214" s="114" t="inlineStr">
        <is>
          <t xml:space="preserve">SINDAROVA SHAXRINISO ANVAROVNA</t>
        </is>
      </c>
      <c r="F214" s="114" t="inlineStr">
        <is>
          <t xml:space="preserve">998951923051 SMS O’ZI, 998932380012 SMS XAMKASBI, 998903314201 SMS XAMKASBI 2, 998972020301 SMS QARINDOSHI,</t>
        </is>
      </c>
      <c r="G214" s="114" t="inlineStr">
        <is>
          <t xml:space="preserve">SAMARQAND VILOYATI PAYARIQ TUMANI BO’STON O’YMOVUT Q/Q</t>
        </is>
      </c>
      <c r="H214" s="115">
        <v>3.0</v>
      </c>
      <c r="I214" s="115">
        <v>1916997.24</v>
      </c>
      <c r="K214" s="114" t="inlineStr">
        <is>
          <t xml:space="preserve">Va'da berdi | 20 lun oyligi tushadi srazu tolid</t>
        </is>
      </c>
    </row>
    <row r="215">
      <c r="A215" s="114" t="inlineStr">
        <is>
          <t xml:space="preserve">САМАРКАНД ВИЛОЯТИ</t>
        </is>
      </c>
      <c r="C215" s="114" t="inlineStr">
        <is>
          <t xml:space="preserve">Обещал</t>
        </is>
      </c>
      <c r="D215" s="114" t="inlineStr">
        <is>
          <t xml:space="preserve">Кр-99005214-4</t>
        </is>
      </c>
      <c r="E215" s="114" t="inlineStr">
        <is>
          <t xml:space="preserve">KARIMOV JAMSHID BAXROM-O’G’LI</t>
        </is>
      </c>
      <c r="F215" s="114" t="inlineStr">
        <is>
          <t xml:space="preserve">99-839-30-90 SMS UZI, 99-057-89-82 SMS mama, 90-808-05-53 SMS jena, 97-724-50-50 SMS TOLOVCHI HUMOYUN ,</t>
        </is>
      </c>
      <c r="G215" s="114" t="inlineStr">
        <is>
          <t xml:space="preserve">SAMARQAND VILOYATI KATTAQO’RG’ON SHAHAR O’ZBEKISTON KO’CHASI 174 UY</t>
        </is>
      </c>
      <c r="H215" s="115">
        <v>10.0</v>
      </c>
      <c r="I215" s="115">
        <v>1858166.56</v>
      </c>
      <c r="K215" s="114" t="inlineStr">
        <is>
          <t xml:space="preserve">Va'da berdi | yopad</t>
        </is>
      </c>
    </row>
    <row r="216">
      <c r="A216" s="114" t="inlineStr">
        <is>
          <t xml:space="preserve">САМАРКАНД ВИЛОЯТИ</t>
        </is>
      </c>
      <c r="C216" s="114" t="inlineStr">
        <is>
          <t xml:space="preserve">Обещал</t>
        </is>
      </c>
      <c r="D216" s="114" t="inlineStr">
        <is>
          <t xml:space="preserve">Кр-99025772-8</t>
        </is>
      </c>
      <c r="E216" s="114" t="inlineStr">
        <is>
          <t xml:space="preserve">SHAROPOV SHERZOD O’RUNOVICH</t>
        </is>
      </c>
      <c r="F216" s="114" t="inlineStr">
        <is>
          <t xml:space="preserve">99-193-84-84  SMS UZI, 90-600-66-78 SMS ZALOGADATEL, 90-600-66-78 SMS UYI, 99-161-66-78  SMS UKASI 2, +998991938484 SMS OZI,</t>
        </is>
      </c>
      <c r="G216" s="114" t="inlineStr">
        <is>
          <t xml:space="preserve">SAMARQAND VILOYATI URGUT TUMANI DUSTLIK MFY A.TEMUR KUCHASI 83-UY</t>
        </is>
      </c>
      <c r="H216" s="115">
        <v>13.0</v>
      </c>
      <c r="I216" s="115">
        <v>1726116.9</v>
      </c>
      <c r="K216" s="114" t="inlineStr">
        <is>
          <t xml:space="preserve">Va'da berdi</t>
        </is>
      </c>
    </row>
    <row r="217">
      <c r="A217" s="114" t="inlineStr">
        <is>
          <t xml:space="preserve">САМАРКАНД ВИЛОЯТИ</t>
        </is>
      </c>
      <c r="C217" s="114" t="inlineStr">
        <is>
          <t xml:space="preserve">Обещал</t>
        </is>
      </c>
      <c r="D217" s="114" t="inlineStr">
        <is>
          <t xml:space="preserve">Кр-99027716-2</t>
        </is>
      </c>
      <c r="E217" s="114" t="inlineStr">
        <is>
          <t xml:space="preserve">SHAVAYEV XAFIZ ILIMDAR O’G’LI</t>
        </is>
      </c>
      <c r="F217" s="114" t="inlineStr">
        <is>
          <t xml:space="preserve">97-926-88-84 SMS AMAKISI FILIAR, 90-224-13-24 SMS OZI, 91-529-11-88 SMS DADASI, 99-949-11-88 SMS AYASI, 998915492288 мирза туловчи , 998771861177 mirza bc,</t>
        </is>
      </c>
      <c r="G217" s="114" t="inlineStr">
        <is>
          <t xml:space="preserve">SAMARQAND VILOYATI SAMARQAND SHAHRI XUNARMANDLAR MFY SPITAMENSHOX KUCHASI 14-UY</t>
        </is>
      </c>
      <c r="H217" s="115">
        <v>14.0</v>
      </c>
      <c r="I217" s="115">
        <v>1577670.55</v>
      </c>
      <c r="K217" s="114" t="inlineStr">
        <is>
          <t xml:space="preserve">Va'da berdi | ertaga tolab beradi</t>
        </is>
      </c>
    </row>
    <row r="218">
      <c r="A218" s="114" t="inlineStr">
        <is>
          <t xml:space="preserve">САМАРКАНД ВИЛОЯТИ</t>
        </is>
      </c>
      <c r="C218" s="114" t="inlineStr">
        <is>
          <t xml:space="preserve">Обещал</t>
        </is>
      </c>
      <c r="D218" s="114" t="inlineStr">
        <is>
          <t xml:space="preserve">Кр-99022843-2</t>
        </is>
      </c>
      <c r="E218" s="114" t="inlineStr">
        <is>
          <t xml:space="preserve">RAHMONOV FARHOD ALISHER O’G’LI</t>
        </is>
      </c>
      <c r="F218" s="114" t="inlineStr">
        <is>
          <t xml:space="preserve">97-565-35-59  SMS UZI, 93-339-02-80  SMS UZI 2, 93-035-39-25  SMS AKASI, 97-283-73-16  SMS ONASI,</t>
        </is>
      </c>
      <c r="G218" s="114" t="inlineStr">
        <is>
          <t xml:space="preserve">SAMARQAND VILOYATI NARPAY TUMANI TOSHRABOD QFY ISTIQLOL MFY 352-UY</t>
        </is>
      </c>
      <c r="H218" s="115">
        <v>2.0</v>
      </c>
      <c r="I218" s="115">
        <v>1435478.39</v>
      </c>
      <c r="K218" s="114" t="inlineStr">
        <is>
          <t xml:space="preserve">Va'da berdi | bugun tolov qiladi akasi vada berdi</t>
        </is>
      </c>
    </row>
    <row r="219">
      <c r="A219" s="114" t="inlineStr">
        <is>
          <t xml:space="preserve">САМАРКАНД ВИЛОЯТИ</t>
        </is>
      </c>
      <c r="C219" s="114" t="inlineStr">
        <is>
          <t xml:space="preserve">Обещал</t>
        </is>
      </c>
      <c r="D219" s="114" t="inlineStr">
        <is>
          <t xml:space="preserve">Кр-99045552-2</t>
        </is>
      </c>
      <c r="E219" s="114" t="inlineStr">
        <is>
          <t xml:space="preserve">SODIQOV SAIDUMAR FURQAT O’G’LI</t>
        </is>
      </c>
      <c r="F219" s="114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19" s="114" t="inlineStr">
        <is>
          <t xml:space="preserve">SAMARQAND VILOYATI NUROBOD TUMANI MASHAL MFY DALABOG’ KUCHASI 126-UY</t>
        </is>
      </c>
      <c r="H219" s="115">
        <v>10.0</v>
      </c>
      <c r="I219" s="115">
        <v>1250884.28</v>
      </c>
      <c r="K219" s="114" t="inlineStr">
        <is>
          <t xml:space="preserve">Va'da berdi | filialga borib ruxsat ob keldi kin ro tolashga</t>
        </is>
      </c>
    </row>
    <row r="220">
      <c r="A220" s="114" t="inlineStr">
        <is>
          <t xml:space="preserve">САМАРКАНД ВИЛОЯТИ</t>
        </is>
      </c>
      <c r="C220" s="114" t="inlineStr">
        <is>
          <t xml:space="preserve">Обещал</t>
        </is>
      </c>
      <c r="D220" s="114" t="inlineStr">
        <is>
          <t xml:space="preserve">Кр-99025772-7</t>
        </is>
      </c>
      <c r="E220" s="114" t="inlineStr">
        <is>
          <t xml:space="preserve">SHAROPOV SHERZOD O’RUNOVICH</t>
        </is>
      </c>
      <c r="F220" s="114" t="inlineStr">
        <is>
          <t xml:space="preserve">99-193-84-84  SMS UZI, 90-600-66-78 SMS ZALOGADATEL, 90-600-66-78 SMS UYI, 99-161-66-78  SMS UKASI 2, +998991938484 SMS OZI,</t>
        </is>
      </c>
      <c r="G220" s="114" t="inlineStr">
        <is>
          <t xml:space="preserve">SAMARQAND VILOYATI URGUT TUMANI DUSTLIK MFY A.TEMUR KUCHASI 83-UY</t>
        </is>
      </c>
      <c r="I220" s="115">
        <v>1247329.17</v>
      </c>
      <c r="K220" s="114" t="inlineStr">
        <is>
          <t xml:space="preserve">Va'da berdi | 2 kundan kinga</t>
        </is>
      </c>
    </row>
    <row r="221">
      <c r="A221" s="114" t="inlineStr">
        <is>
          <t xml:space="preserve">САМАРКАНД ВИЛОЯТИ</t>
        </is>
      </c>
      <c r="C221" s="114" t="inlineStr">
        <is>
          <t xml:space="preserve">Обещал</t>
        </is>
      </c>
      <c r="D221" s="114" t="inlineStr">
        <is>
          <t xml:space="preserve">Кр-99030240-4</t>
        </is>
      </c>
      <c r="E221" s="114" t="inlineStr">
        <is>
          <t xml:space="preserve">BABAJONOV MASHIROB OLMASOVICH</t>
        </is>
      </c>
      <c r="F221" s="114" t="inlineStr">
        <is>
          <t xml:space="preserve">50-552-16-74  SMS O’ZI, 93-045-82-83  SMS UKASI JASUR TULOVCHI , 93-037-26-83  SMS AYOLI, 93-990-90-27 SMS UYI, 998949032282 SMS ukasi tulovchi,</t>
        </is>
      </c>
      <c r="G221" s="114" t="inlineStr">
        <is>
          <t xml:space="preserve">SAMARQAND VIL PASTDARG'OM TUM P.BOG'ANALI QISHLOG'I YANGI UZBEKISTON koch</t>
        </is>
      </c>
      <c r="H221" s="115">
        <v>10.0</v>
      </c>
      <c r="I221" s="115">
        <v>1175899.73</v>
      </c>
      <c r="K221" s="114" t="inlineStr">
        <is>
          <t xml:space="preserve">Va'da berdi | ertaga toliq yopad</t>
        </is>
      </c>
    </row>
    <row r="222">
      <c r="A222" s="114" t="inlineStr">
        <is>
          <t xml:space="preserve">САМАРКАНД ВИЛОЯТИ</t>
        </is>
      </c>
      <c r="C222" s="114" t="inlineStr">
        <is>
          <t xml:space="preserve">Обещал</t>
        </is>
      </c>
      <c r="D222" s="114" t="inlineStr">
        <is>
          <t xml:space="preserve">Кр-99033239-3</t>
        </is>
      </c>
      <c r="E222" s="114" t="inlineStr">
        <is>
          <t xml:space="preserve">KOBILOV XURSHED SHUXRATOVICH</t>
        </is>
      </c>
      <c r="F222" s="114" t="inlineStr">
        <is>
          <t xml:space="preserve">998941333868 SMS O’ZI, 998942822026 SMS AKASI TO’LOVCHI, 998991364741 SMS UY, 998933388883 SMS AYOLI,</t>
        </is>
      </c>
      <c r="G222" s="114" t="inlineStr">
        <is>
          <t xml:space="preserve">SAMARQAND VILOYATI SAMARQAND SHAHRI PARRANDACHILIK MFY </t>
        </is>
      </c>
      <c r="H222" s="115">
        <v>10.0</v>
      </c>
      <c r="I222" s="115">
        <v>1007206.5</v>
      </c>
      <c r="K222" s="114" t="inlineStr">
        <is>
          <t xml:space="preserve">Va'da berdi | ertaga 5 gacha tolov qiladi tolovchi ayolini nomerini ishlatyapti</t>
        </is>
      </c>
    </row>
    <row r="223">
      <c r="A223" s="114" t="inlineStr">
        <is>
          <t xml:space="preserve">САМАРКАНД ВИЛОЯТИ</t>
        </is>
      </c>
      <c r="C223" s="114" t="inlineStr">
        <is>
          <t xml:space="preserve">Обещал</t>
        </is>
      </c>
      <c r="D223" s="114" t="inlineStr">
        <is>
          <t xml:space="preserve">Кр-99035569-2</t>
        </is>
      </c>
      <c r="E223" s="114" t="inlineStr">
        <is>
          <t xml:space="preserve">MANSUROV NODIRBEK SIROJITDINOVICH</t>
        </is>
      </c>
      <c r="F223" s="114" t="inlineStr">
        <is>
          <t xml:space="preserve">998992365131 SMS OZI, 998942265131 SMS AYOLI, 998992984910 SMS OPASI, 998423551312 SMS OZI,</t>
        </is>
      </c>
      <c r="G223" s="114" t="inlineStr">
        <is>
          <t xml:space="preserve">SAMARQAND VILOYATI NARPAY TUMANI KOZIKENT MFY DAMCHA KUCHASI 139-UY</t>
        </is>
      </c>
      <c r="H223" s="115">
        <v>14.0</v>
      </c>
      <c r="I223" s="115">
        <v>818162.24</v>
      </c>
      <c r="K223" s="114" t="inlineStr">
        <is>
          <t xml:space="preserve">Va'da berdi | 4 gacha tolov</t>
        </is>
      </c>
    </row>
    <row r="224">
      <c r="A224" s="114" t="inlineStr">
        <is>
          <t xml:space="preserve">САМАРКАНД ВИЛОЯТИ</t>
        </is>
      </c>
      <c r="C224" s="114" t="inlineStr">
        <is>
          <t xml:space="preserve">Обещал</t>
        </is>
      </c>
      <c r="D224" s="114" t="inlineStr">
        <is>
          <t xml:space="preserve">Кр-99055726-1</t>
        </is>
      </c>
      <c r="E224" s="114" t="inlineStr">
        <is>
          <t xml:space="preserve">TO’RAYEVA ZUMRAD JO’RABEK QIZI</t>
        </is>
      </c>
      <c r="F224" s="114" t="inlineStr">
        <is>
          <t xml:space="preserve">998997767207 SMS  ERI , 998995857802 SMS OZI , 998979180228 SMS UYI, 998904638777 SMS UKASI,</t>
        </is>
      </c>
      <c r="G224" s="114" t="inlineStr">
        <is>
          <t xml:space="preserve">SAMARQAND VILOYATI PASTDARG'OM TUMANI IIB томонидан 09.03.2017 йилда берилган</t>
        </is>
      </c>
      <c r="H224" s="115">
        <v>10.0</v>
      </c>
      <c r="I224" s="115">
        <v>659613.96</v>
      </c>
      <c r="K224" s="114" t="inlineStr">
        <is>
          <t xml:space="preserve">Va'da berdi | ukasi bn gaplashilindi bugun tolov qiladi aytad</t>
        </is>
      </c>
    </row>
    <row r="225">
      <c r="A225" s="114" t="inlineStr">
        <is>
          <t xml:space="preserve">САМАРКАНД ВИЛОЯТИ</t>
        </is>
      </c>
      <c r="C225" s="114" t="inlineStr">
        <is>
          <t xml:space="preserve">Обещал</t>
        </is>
      </c>
      <c r="D225" s="114" t="inlineStr">
        <is>
          <t xml:space="preserve">Кр-99057434-1</t>
        </is>
      </c>
      <c r="E225" s="114" t="inlineStr">
        <is>
          <t xml:space="preserve">AKRAMOV KOMIL MAVLONOVICH</t>
        </is>
      </c>
      <c r="F225" s="114" t="inlineStr">
        <is>
          <t xml:space="preserve">998996215271 SMS UZI, 998994131573 SMS AYOLI, 998993114953 SMS UGLI, 998953469498 SMS UYI,</t>
        </is>
      </c>
      <c r="G225" s="114" t="inlineStr">
        <is>
          <t xml:space="preserve">SAMARQAND VILOYATI OQDARYO TUMANI DO'STLIK MFY YANGI QISHLOQ QISHLOG'I</t>
        </is>
      </c>
      <c r="H225" s="115">
        <v>10.0</v>
      </c>
      <c r="I225" s="115">
        <v>647118.83</v>
      </c>
      <c r="K225" s="114" t="inlineStr">
        <is>
          <t xml:space="preserve">Va'da berdi | bugun tolid</t>
        </is>
      </c>
    </row>
    <row r="226">
      <c r="A226" s="114" t="inlineStr">
        <is>
          <t xml:space="preserve">САМАРКАНД ВИЛОЯТИ</t>
        </is>
      </c>
      <c r="C226" s="114" t="inlineStr">
        <is>
          <t xml:space="preserve">Обещал</t>
        </is>
      </c>
      <c r="D226" s="114" t="inlineStr">
        <is>
          <t xml:space="preserve">Кр-99040360-2</t>
        </is>
      </c>
      <c r="E226" s="114" t="inlineStr">
        <is>
          <t xml:space="preserve">KUSHMURODOV RASHID XUROZOVICH</t>
        </is>
      </c>
      <c r="F226" s="114" t="inlineStr">
        <is>
          <t xml:space="preserve">+998936002584 SMS O’ZI, 998505003878 SMS AKASI 2, 998935692069 SMS AKASI, 998501202552 SMS TULOVCHI, 998889007404 SMS AYOLI, 998919650304 SMS AKASI,</t>
        </is>
      </c>
      <c r="G226" s="114" t="inlineStr">
        <is>
          <t xml:space="preserve">SAMARQAND VILOYATI PAYARIQ TUMANI BAXRIN MFY SARXOUS KUCHASI 71-UY</t>
        </is>
      </c>
      <c r="H226" s="115">
        <v>10.0</v>
      </c>
      <c r="I226" s="115">
        <v>575789.3</v>
      </c>
      <c r="K226" s="114" t="inlineStr">
        <is>
          <t xml:space="preserve">Va'da berdi</t>
        </is>
      </c>
    </row>
    <row r="227">
      <c r="A227" s="114" t="inlineStr">
        <is>
          <t xml:space="preserve">САМАРКАНД ВИЛОЯТИ</t>
        </is>
      </c>
      <c r="C227" s="114" t="inlineStr">
        <is>
          <t xml:space="preserve">Обещал</t>
        </is>
      </c>
      <c r="D227" s="114" t="inlineStr">
        <is>
          <t xml:space="preserve">Кр-99004885-4</t>
        </is>
      </c>
      <c r="E227" s="114" t="inlineStr">
        <is>
          <t xml:space="preserve">USMONOVA GULJAXON ABDIJABBOROVNA</t>
        </is>
      </c>
      <c r="F227" s="114" t="inlineStr">
        <is>
          <t xml:space="preserve">99-038-39-85 SMS UZI, 99-131-46-67 SMS HO’JAYINI, 99-448-74-56 SMS DADASI SHU ODAMGA TEL QILINMASIN 2 GURIPPA NOGIRON MAZZASI BOMIY QOVOTI, 99-413-90-93 SMS UKASI TANIMASIKAN , 99-131-46-67 SMS eri,</t>
        </is>
      </c>
      <c r="G227" s="114" t="inlineStr">
        <is>
          <t xml:space="preserve">SAMARQAND VILOYATI ISHTIHON TUMANI O’RTA QISHLOQ Q.F.Y QO’RSHIQ QISHLOG’I 33-UY</t>
        </is>
      </c>
      <c r="H227" s="115">
        <v>1.0</v>
      </c>
      <c r="I227" s="115">
        <v>294493.61</v>
      </c>
      <c r="K227" s="114" t="inlineStr">
        <is>
          <t xml:space="preserve">Va'da berdi | bugun tolavorad</t>
        </is>
      </c>
    </row>
    <row r="228">
      <c r="A228" s="114" t="inlineStr">
        <is>
          <t xml:space="preserve">САМАРКАНД ВИЛОЯТИ</t>
        </is>
      </c>
      <c r="C228" s="114" t="inlineStr">
        <is>
          <t xml:space="preserve">Обещал</t>
        </is>
      </c>
      <c r="D228" s="114" t="inlineStr">
        <is>
          <t xml:space="preserve">Кр-99040012-1</t>
        </is>
      </c>
      <c r="E228" s="114" t="inlineStr">
        <is>
          <t xml:space="preserve">QURBONOVA MOXIGUL MELIQULOVNA</t>
        </is>
      </c>
      <c r="F228" s="114" t="inlineStr">
        <is>
          <t xml:space="preserve">999895870313 SMS OZI, 998889384114 SMS ERI, 998883670313 SMS OGLI, 998993764700 SMS UYI,</t>
        </is>
      </c>
      <c r="G228" s="114" t="inlineStr">
        <is>
          <t xml:space="preserve">SAMARQAND VILOYATI URGUT TUMANI QORATEPA MFY QUZICHI QISHLOG'I </t>
        </is>
      </c>
      <c r="I228" s="115">
        <v>49577.2</v>
      </c>
      <c r="K228" s="114" t="inlineStr">
        <is>
          <t xml:space="preserve">Va'da berdi | abetdan kin tolid</t>
        </is>
      </c>
    </row>
    <row r="229">
      <c r="A229" s="116" t="inlineStr">
        <is>
          <t xml:space="preserve">СУРХОНДАРЁ ВИЛОЯТИ</t>
        </is>
      </c>
      <c r="C229" s="116" t="inlineStr">
        <is>
          <t xml:space="preserve">Обещал</t>
        </is>
      </c>
      <c r="D229" s="116" t="inlineStr">
        <is>
          <t xml:space="preserve">Кр-99031106-8</t>
        </is>
      </c>
      <c r="E229" s="116" t="inlineStr">
        <is>
          <t xml:space="preserve">ESHONQULOVA MALOXAT DONIYOROVNA</t>
        </is>
      </c>
      <c r="F229" s="116" t="inlineStr">
        <is>
          <t xml:space="preserve">998994258000 SMS O’ZI TULOVCHI, 998998278000 SMS OZI, 97-076-99-01  SMS SINGLISI, 998770889901 SMS uzi new raqami, 998996799892 SMS UKASI, 998997113009 SMS O’ZI,</t>
        </is>
      </c>
      <c r="G229" s="116" t="inlineStr">
        <is>
          <t xml:space="preserve">SH.RASHIDOV 186-UY 7-XONADON</t>
        </is>
      </c>
      <c r="H229" s="117">
        <v>104.0</v>
      </c>
      <c r="I229" s="117">
        <v>74884300.73</v>
      </c>
      <c r="K229" s="116" t="inlineStr">
        <is>
          <t xml:space="preserve">Va'da berdi | abror ogan | 305</t>
        </is>
      </c>
    </row>
    <row r="230">
      <c r="A230" s="116" t="inlineStr">
        <is>
          <t xml:space="preserve">СУРХОНДАРЁ ВИЛОЯТИ</t>
        </is>
      </c>
      <c r="C230" s="116" t="inlineStr">
        <is>
          <t xml:space="preserve">Обещал</t>
        </is>
      </c>
      <c r="D230" s="116" t="inlineStr">
        <is>
          <t xml:space="preserve">Кр-99062062-1</t>
        </is>
      </c>
      <c r="E230" s="116" t="inlineStr">
        <is>
          <t xml:space="preserve">QAMBAROV ZUXRUDDIN IKROMIDDIN O’G’LI</t>
        </is>
      </c>
      <c r="F230" s="116" t="inlineStr">
        <is>
          <t xml:space="preserve">998997113009 SMS Шахноз тўловчи,</t>
        </is>
      </c>
      <c r="G230" s="116" t="inlineStr">
        <is>
          <t xml:space="preserve">SURXONDARYO VILOYATI DENOV SHAHRI NURLI MANZIL MFY MADANIYAT 152-UY 27-XONADON</t>
        </is>
      </c>
      <c r="H230" s="117">
        <v>104.0</v>
      </c>
      <c r="I230" s="117">
        <v>65116938.63</v>
      </c>
      <c r="K230" s="116" t="inlineStr">
        <is>
          <t xml:space="preserve">Va'da berdi | wahnoz tolidi | 1396</t>
        </is>
      </c>
    </row>
    <row r="231">
      <c r="A231" s="116" t="inlineStr">
        <is>
          <t xml:space="preserve">СУРХОНДАРЁ ВИЛОЯТИ</t>
        </is>
      </c>
      <c r="C231" s="116" t="inlineStr">
        <is>
          <t xml:space="preserve">Обещал</t>
        </is>
      </c>
      <c r="D231" s="116" t="inlineStr">
        <is>
          <t xml:space="preserve">Кр-99035360-1</t>
        </is>
      </c>
      <c r="E231" s="116" t="inlineStr">
        <is>
          <t xml:space="preserve">JO’RAYEV ILYOS SHAXRIYOROVICH</t>
        </is>
      </c>
      <c r="F231" s="116" t="inlineStr">
        <is>
          <t xml:space="preserve">998973507711 SMS O’ZI, 999880757000 SMS UY, 998771073599 SMS OILASI, 998919095500 SMS AKASI, 998500088102 SMS UZI 2,</t>
        </is>
      </c>
      <c r="G231" s="116" t="inlineStr">
        <is>
          <t xml:space="preserve">SURXONDARYO VILOYATI DENOV TUMANI FARG’ONA QFY OLOVUDDIN MFY SHAXROBOD 27-UY</t>
        </is>
      </c>
      <c r="H231" s="117">
        <v>93.0</v>
      </c>
      <c r="I231" s="117">
        <v>46898956.53</v>
      </c>
      <c r="K231" s="116" t="inlineStr">
        <is>
          <t xml:space="preserve">Va'da berdi | abror olgan | 508</t>
        </is>
      </c>
    </row>
    <row r="232">
      <c r="A232" s="116" t="inlineStr">
        <is>
          <t xml:space="preserve">СУРХОНДАРЁ ВИЛОЯТИ</t>
        </is>
      </c>
      <c r="C232" s="116" t="inlineStr">
        <is>
          <t xml:space="preserve">Обещал</t>
        </is>
      </c>
      <c r="D232" s="116" t="inlineStr">
        <is>
          <t xml:space="preserve">Кр-99038710-1</t>
        </is>
      </c>
      <c r="E232" s="116" t="inlineStr">
        <is>
          <t xml:space="preserve">MURATOV JALOLIDDIN FAZLIDDIN O’G’LI</t>
        </is>
      </c>
      <c r="F232" s="116" t="inlineStr">
        <is>
          <t xml:space="preserve">998330007577 SMS OZI, 998997577136 SMS OZI , 998777779397 SMS OTASI,</t>
        </is>
      </c>
      <c r="G232" s="116" t="inlineStr">
        <is>
          <t xml:space="preserve">SURAXNDARYO VILOYATI DENOV TUMANI OLAYURT KO’CHASI 29-UY</t>
        </is>
      </c>
      <c r="H232" s="117">
        <v>162.0</v>
      </c>
      <c r="I232" s="117">
        <v>43817088.18</v>
      </c>
      <c r="K232" s="116" t="inlineStr">
        <is>
          <t xml:space="preserve">Va'da berdi | shaxnoz ogan | 718</t>
        </is>
      </c>
    </row>
    <row r="233">
      <c r="A233" s="116" t="inlineStr">
        <is>
          <t xml:space="preserve">СУРХОНДАРЁ ВИЛОЯТИ</t>
        </is>
      </c>
      <c r="C233" s="116" t="inlineStr">
        <is>
          <t xml:space="preserve">Обещал</t>
        </is>
      </c>
      <c r="D233" s="116" t="inlineStr">
        <is>
          <t xml:space="preserve">Кр-99028747-1</t>
        </is>
      </c>
      <c r="E233" s="116" t="inlineStr">
        <is>
          <t xml:space="preserve">PIRMATOV SHOMUROD EGAMBERDI O’G’LI</t>
        </is>
      </c>
      <c r="F233" s="116" t="inlineStr">
        <is>
          <t xml:space="preserve">99-169-60-68 SMS uzi, 95-257-44-05 SMS akasi, 91-991-09-67 SMS uy, 77-173-73-89 SMS oilasi,</t>
        </is>
      </c>
      <c r="G233" s="116" t="inlineStr">
        <is>
          <t xml:space="preserve">SURXONDARYO VILOYATI DENOV TUMANI</t>
        </is>
      </c>
      <c r="H233" s="117">
        <v>182.0</v>
      </c>
      <c r="I233" s="117">
        <v>28020402.5</v>
      </c>
      <c r="K233" s="116" t="inlineStr">
        <is>
          <t xml:space="preserve">Va'da berdi | abror tolo qlad | 212</t>
        </is>
      </c>
    </row>
    <row r="234">
      <c r="A234" s="116" t="inlineStr">
        <is>
          <t xml:space="preserve">СУРХОНДАРЁ ВИЛОЯТИ</t>
        </is>
      </c>
      <c r="C234" s="116" t="inlineStr">
        <is>
          <t xml:space="preserve">Обещал</t>
        </is>
      </c>
      <c r="D234" s="116" t="inlineStr">
        <is>
          <t xml:space="preserve">Кр-99047243-1</t>
        </is>
      </c>
      <c r="E234" s="116" t="inlineStr">
        <is>
          <t xml:space="preserve">XOLMO’MINOV ZAFARBEK ILHOM O’G’LI</t>
        </is>
      </c>
      <c r="F234" s="116" t="inlineStr">
        <is>
          <t xml:space="preserve">+998931295565 SMS O’ZI, 998774107913 SMS ONASI, 998935993630 SMS TO'LOVCHI,</t>
        </is>
      </c>
      <c r="G234" s="116" t="inlineStr">
        <is>
          <t xml:space="preserve">ТОРЗОР КУЧАСИ 13А УЙ</t>
        </is>
      </c>
      <c r="H234" s="117">
        <v>164.0</v>
      </c>
      <c r="I234" s="117">
        <v>26394832.44</v>
      </c>
      <c r="K234" s="116" t="inlineStr">
        <is>
          <t xml:space="preserve">Va'da berdi | abror tolaga | 1128</t>
        </is>
      </c>
    </row>
    <row r="235">
      <c r="A235" s="116" t="inlineStr">
        <is>
          <t xml:space="preserve">СУРХОНДАРЁ ВИЛОЯТИ</t>
        </is>
      </c>
      <c r="C235" s="116" t="inlineStr">
        <is>
          <t xml:space="preserve">Обещал</t>
        </is>
      </c>
      <c r="D235" s="116" t="inlineStr">
        <is>
          <t xml:space="preserve">Кр-99024295-1</t>
        </is>
      </c>
      <c r="E235" s="116" t="inlineStr">
        <is>
          <t xml:space="preserve">QAHHOROVA MA’RIFAT AMONOVNA</t>
        </is>
      </c>
      <c r="F235" s="116" t="inlineStr">
        <is>
          <t xml:space="preserve">+998937270186 SMS O’ZI, 998947131008 SMS QIZI, 998990866375 SMS O’ZI,</t>
        </is>
      </c>
      <c r="G235" s="116" t="inlineStr">
        <is>
          <t xml:space="preserve">ШЕРОБОД ТУМАН САРИҚАМИШ ҚФЙ, МЕХРОБОД МФЙ, СЕПЛОН КУЧ uy:51А</t>
        </is>
      </c>
      <c r="H235" s="117">
        <v>164.0</v>
      </c>
      <c r="I235" s="117">
        <v>25469078.54</v>
      </c>
      <c r="K235" s="116" t="inlineStr">
        <is>
          <t xml:space="preserve">Va'da berdi | oy oxrgaca yopaman dd | 127</t>
        </is>
      </c>
    </row>
    <row r="236">
      <c r="A236" s="116" t="inlineStr">
        <is>
          <t xml:space="preserve">СУРХОНДАРЁ ВИЛОЯТИ</t>
        </is>
      </c>
      <c r="C236" s="116" t="inlineStr">
        <is>
          <t xml:space="preserve">Обещал</t>
        </is>
      </c>
      <c r="D236" s="116" t="inlineStr">
        <is>
          <t xml:space="preserve">Кр-99032943-1</t>
        </is>
      </c>
      <c r="E236" s="116" t="inlineStr">
        <is>
          <t xml:space="preserve">RAXIMBADALOV ALISHER NAMAZALIYEVICH</t>
        </is>
      </c>
      <c r="F236" s="116" t="inlineStr">
        <is>
          <t xml:space="preserve">998978490308 SMS O’ZI, 998995767713 SMS OTASI, 998904101090 SMS ONASI, 998950442969 SMS AMAKISI,</t>
        </is>
      </c>
      <c r="G236" s="116" t="inlineStr">
        <is>
          <t xml:space="preserve">SURXONDARYO VILOYATI UZUN TUMANI ITTIFOQ MFY SHODLIK KO’CHASI 98-UY</t>
        </is>
      </c>
      <c r="H236" s="117">
        <v>148.0</v>
      </c>
      <c r="I236" s="117">
        <v>20532398.33</v>
      </c>
      <c r="K236" s="116" t="inlineStr">
        <is>
          <t xml:space="preserve">Va'da berdi | abrorga tolaga | 371</t>
        </is>
      </c>
    </row>
    <row r="237">
      <c r="A237" s="116" t="inlineStr">
        <is>
          <t xml:space="preserve">СУРХОНДАРЁ ВИЛОЯТИ</t>
        </is>
      </c>
      <c r="C237" s="116" t="inlineStr">
        <is>
          <t xml:space="preserve">Обещал</t>
        </is>
      </c>
      <c r="D237" s="116" t="inlineStr">
        <is>
          <t xml:space="preserve">Кр-99037217-1</t>
        </is>
      </c>
      <c r="E237" s="116" t="inlineStr">
        <is>
          <t xml:space="preserve">XUDOYBERDIYEV RUSTAM ASHIROVICH</t>
        </is>
      </c>
      <c r="F237" s="116" t="inlineStr">
        <is>
          <t xml:space="preserve">998888080583 SMS OZI, 998952608388 SMS UKASI, 998952688984 SMS AKASI, 998990619488 SMS UY,</t>
        </is>
      </c>
      <c r="G237" s="116" t="inlineStr">
        <is>
          <t xml:space="preserve">SURXONDARYO VILOYATI DENOV TUMANI SH.RASHIDOV  SIU OQQO’RG’ON MFY TONYULDUZU  112-UY</t>
        </is>
      </c>
      <c r="H237" s="117">
        <v>133.0</v>
      </c>
      <c r="I237" s="117">
        <v>20054550.4</v>
      </c>
      <c r="K237" s="116" t="inlineStr">
        <is>
          <t xml:space="preserve">Va'da berdi | Shaxnoz olgan | 623</t>
        </is>
      </c>
    </row>
    <row r="238">
      <c r="A238" s="116" t="inlineStr">
        <is>
          <t xml:space="preserve">СУРХОНДАРЁ ВИЛОЯТИ</t>
        </is>
      </c>
      <c r="C238" s="116" t="inlineStr">
        <is>
          <t xml:space="preserve">Обещал</t>
        </is>
      </c>
      <c r="D238" s="116" t="inlineStr">
        <is>
          <t xml:space="preserve">Кр-99029760-1</t>
        </is>
      </c>
      <c r="E238" s="116" t="inlineStr">
        <is>
          <t xml:space="preserve">MENGNAROV ERKIN DJABBAROVICH</t>
        </is>
      </c>
      <c r="F238" s="116" t="inlineStr">
        <is>
          <t xml:space="preserve">90-294-46-11 uzi, 97-331-00-95 UY, 88-617-09-99 OILASI, 998959405510 SMS OGLI ,</t>
        </is>
      </c>
      <c r="G238" s="116" t="inlineStr">
        <is>
          <t xml:space="preserve">SURXANDARYO VILOYATI DENOV TUMANI CHUQURQISHLOQ MFY SURXONOBOD KO’CHASI 58-UY</t>
        </is>
      </c>
      <c r="H238" s="117">
        <v>122.0</v>
      </c>
      <c r="I238" s="117">
        <v>19463413.93</v>
      </c>
      <c r="K238" s="116" t="inlineStr">
        <is>
          <t xml:space="preserve">Va'da berdi | abror ogan | 255</t>
        </is>
      </c>
    </row>
    <row r="239">
      <c r="A239" s="116" t="inlineStr">
        <is>
          <t xml:space="preserve">СУРХОНДАРЁ ВИЛОЯТИ</t>
        </is>
      </c>
      <c r="C239" s="116" t="inlineStr">
        <is>
          <t xml:space="preserve">Обещал</t>
        </is>
      </c>
      <c r="D239" s="116" t="inlineStr">
        <is>
          <t xml:space="preserve">Кр-99044052-1</t>
        </is>
      </c>
      <c r="E239" s="116" t="inlineStr">
        <is>
          <t xml:space="preserve">DJABBOROVA NODIRA MELIQULOVNA</t>
        </is>
      </c>
      <c r="F239" s="116" t="inlineStr">
        <is>
          <t xml:space="preserve">+998887191000 SMS O’ZI, 998902493639 SMS UY, 998910791549 SMS ONASI,</t>
        </is>
      </c>
      <c r="G239" s="116" t="inlineStr">
        <is>
          <t xml:space="preserve">СУРХОНДАРЁ ВИЛОЯТИ ДЕНОВ ТУМАНИ И.ТУРАЕВ СИУ, НАМУНА МФЙ,  uy:48</t>
        </is>
      </c>
      <c r="H239" s="117">
        <v>104.0</v>
      </c>
      <c r="I239" s="117">
        <v>19454322.85</v>
      </c>
      <c r="K239" s="116" t="inlineStr">
        <is>
          <t xml:space="preserve">Va'da berdi | abror ogan | 1080</t>
        </is>
      </c>
    </row>
    <row r="240">
      <c r="A240" s="116" t="inlineStr">
        <is>
          <t xml:space="preserve">СУРХОНДАРЁ ВИЛОЯТИ</t>
        </is>
      </c>
      <c r="C240" s="116" t="inlineStr">
        <is>
          <t xml:space="preserve">Обещал</t>
        </is>
      </c>
      <c r="D240" s="116" t="inlineStr">
        <is>
          <t xml:space="preserve">Кр-99030594-1</t>
        </is>
      </c>
      <c r="E240" s="116" t="inlineStr">
        <is>
          <t xml:space="preserve">SHAIMOV NODIRBEK ISMOILOVICH</t>
        </is>
      </c>
      <c r="F240" s="116" t="inlineStr">
        <is>
          <t xml:space="preserve">97-076-89-99 SMS O’ZI, 97-194-39-99  SMS UKASI, 99-599-99-43  SMS UKASI 2 begona tel qimanglar, 50-071-10-03  SMS UY begona,</t>
        </is>
      </c>
      <c r="G240" s="116" t="inlineStr">
        <is>
          <t xml:space="preserve">SURXONDARYO VILOYATI DENOV TUMANI XAZARBOG QFY CHORGUL MFY TARQULAT KO’CHASI 12-UY</t>
        </is>
      </c>
      <c r="H240" s="117">
        <v>157.0</v>
      </c>
      <c r="I240" s="117">
        <v>18273642.98</v>
      </c>
      <c r="K240" s="116" t="inlineStr">
        <is>
          <t xml:space="preserve">Va'da berdi | abrorga tolaga | 281</t>
        </is>
      </c>
    </row>
    <row r="241">
      <c r="A241" s="116" t="inlineStr">
        <is>
          <t xml:space="preserve">СУРХОНДАРЁ ВИЛОЯТИ</t>
        </is>
      </c>
      <c r="C241" s="116" t="inlineStr">
        <is>
          <t xml:space="preserve">Обещал</t>
        </is>
      </c>
      <c r="D241" s="116" t="inlineStr">
        <is>
          <t xml:space="preserve">Кр-99034176-1</t>
        </is>
      </c>
      <c r="E241" s="116" t="inlineStr">
        <is>
          <t xml:space="preserve">QIYOMOV NAJMIDDIN ZAYNIDDINOVICH</t>
        </is>
      </c>
      <c r="F241" s="116" t="inlineStr">
        <is>
          <t xml:space="preserve">998992936777 SMS O’ZI BEGONA, 998339537475 SMS AYOLI BEGONA, 998947642040 SMS UKASI, 998772030192 SMS O’G’LI, 998944670661 SMS AYOLI, 998700536767 SMS uzi new,</t>
        </is>
      </c>
      <c r="G241" s="116" t="inlineStr">
        <is>
          <t xml:space="preserve">SURXON DARYO VILOYATI SHEROBOD TUMANI GURJAK-1 MFY QORI NIYOZIY KO’CHASI 52-UY</t>
        </is>
      </c>
      <c r="H241" s="117">
        <v>105.0</v>
      </c>
      <c r="I241" s="117">
        <v>16842124.17</v>
      </c>
      <c r="K241" s="116" t="inlineStr">
        <is>
          <t xml:space="preserve">Va'da berdi | qisman qisman tolo qvot | 437</t>
        </is>
      </c>
    </row>
    <row r="242">
      <c r="A242" s="116" t="inlineStr">
        <is>
          <t xml:space="preserve">СУРХОНДАРЁ ВИЛОЯТИ</t>
        </is>
      </c>
      <c r="C242" s="116" t="inlineStr">
        <is>
          <t xml:space="preserve">Обещал</t>
        </is>
      </c>
      <c r="D242" s="116" t="inlineStr">
        <is>
          <t xml:space="preserve">Кр-99038067-1</t>
        </is>
      </c>
      <c r="E242" s="116" t="inlineStr">
        <is>
          <t xml:space="preserve">MURODOVA ZULFINA MIRZOQUL QIZI</t>
        </is>
      </c>
      <c r="F242" s="116" t="inlineStr">
        <is>
          <t xml:space="preserve">998910788393 SMS OZI, 998903783727 SMS QAYNONBASI, 998907497870 SMS SINGLISI,</t>
        </is>
      </c>
      <c r="G242" s="116" t="inlineStr">
        <is>
          <t xml:space="preserve">SURXONDARYO VILOYATI SARIOSIYO TUMANI AIRABORT MFY OQYO'L KUCHASI 1/1-UY 25-XONADON</t>
        </is>
      </c>
      <c r="H242" s="117">
        <v>98.0</v>
      </c>
      <c r="I242" s="117">
        <v>16541520.04</v>
      </c>
      <c r="K242" s="116" t="inlineStr">
        <is>
          <t xml:space="preserve">Va'da berdi | shanba kuniga tolov | 679</t>
        </is>
      </c>
    </row>
    <row r="243">
      <c r="A243" s="116" t="inlineStr">
        <is>
          <t xml:space="preserve">СУРХОНДАРЁ ВИЛОЯТИ</t>
        </is>
      </c>
      <c r="C243" s="116" t="inlineStr">
        <is>
          <t xml:space="preserve">Обещал</t>
        </is>
      </c>
      <c r="D243" s="116" t="inlineStr">
        <is>
          <t xml:space="preserve">Кр-99031556-1</t>
        </is>
      </c>
      <c r="E243" s="116" t="inlineStr">
        <is>
          <t xml:space="preserve">NAMOZOV SHAXOBIDDIN NORMO’MIN O’G’LI</t>
        </is>
      </c>
      <c r="F243" s="116" t="inlineStr">
        <is>
          <t xml:space="preserve">998500060437 SMS O’ZI, 998915137425 SMS DADASI, 998972389298 SMS AKASI, 998970752889 SMS UKASI,</t>
        </is>
      </c>
      <c r="G243" s="116" t="inlineStr">
        <is>
          <t xml:space="preserve">SURXONDARYO VILOYATI UZUN  TUMANI O’ZBEKISTON MFY N.JABOROV KO’CHASI 1-UY  </t>
        </is>
      </c>
      <c r="H243" s="117">
        <v>73.0</v>
      </c>
      <c r="I243" s="117">
        <v>15314377.28</v>
      </c>
      <c r="K243" s="116" t="inlineStr">
        <is>
          <t xml:space="preserve">Va'da berdi | abror ogan | 321</t>
        </is>
      </c>
    </row>
    <row r="244">
      <c r="A244" s="116" t="inlineStr">
        <is>
          <t xml:space="preserve">СУРХОНДАРЁ ВИЛОЯТИ</t>
        </is>
      </c>
      <c r="C244" s="116" t="inlineStr">
        <is>
          <t xml:space="preserve">Обещал</t>
        </is>
      </c>
      <c r="D244" s="116" t="inlineStr">
        <is>
          <t xml:space="preserve">Кр-99028836-1</t>
        </is>
      </c>
      <c r="E244" s="116" t="inlineStr">
        <is>
          <t xml:space="preserve">SALOHOV ABDULQODIR MUHIDDIN O’G’LI</t>
        </is>
      </c>
      <c r="F244" s="116" t="inlineStr">
        <is>
          <t xml:space="preserve">998995394343 SMS OZI, 88-176-56-61   SMS DADASI, 97-863-08-02  SMS ONASI, 77-097-54-97  SMS OSHNOSI,</t>
        </is>
      </c>
      <c r="G244" s="116" t="inlineStr">
        <is>
          <t xml:space="preserve">SURXONDARYO VILOYATI DENOV  TUMANI TOTUVLIK MFY XAYOT  KO’CHASI   40-UY</t>
        </is>
      </c>
      <c r="H244" s="117">
        <v>115.0</v>
      </c>
      <c r="I244" s="117">
        <v>15218949.12</v>
      </c>
      <c r="K244" s="116" t="inlineStr">
        <is>
          <t xml:space="preserve">Va'da berdi | abror tolo qlad | 215</t>
        </is>
      </c>
    </row>
    <row r="245">
      <c r="A245" s="116" t="inlineStr">
        <is>
          <t xml:space="preserve">СУРХОНДАРЁ ВИЛОЯТИ</t>
        </is>
      </c>
      <c r="C245" s="116" t="inlineStr">
        <is>
          <t xml:space="preserve">Обещал</t>
        </is>
      </c>
      <c r="D245" s="116" t="inlineStr">
        <is>
          <t xml:space="preserve">Кр-99032770-1</t>
        </is>
      </c>
      <c r="E245" s="116" t="inlineStr">
        <is>
          <t xml:space="preserve">ZIYAYEVA ZAMIRA ERDONOVNA</t>
        </is>
      </c>
      <c r="F245" s="116" t="inlineStr">
        <is>
          <t xml:space="preserve">998992021978 SMS OZI, 998979719601 SMS OGLI, 998952364545 SMS AZAMAT AKASI, 998952673434 SMS AKSI TOLOVCHI,</t>
        </is>
      </c>
      <c r="G245" s="116" t="inlineStr">
        <is>
          <t xml:space="preserve">SURXONDARYO VILOYATI DENOV TUMANI DENOV SHAHAR JOMIY MFY, MIRXOND 1-UY</t>
        </is>
      </c>
      <c r="H245" s="117">
        <v>164.0</v>
      </c>
      <c r="I245" s="117">
        <v>14891585.04</v>
      </c>
      <c r="K245" s="116" t="inlineStr">
        <is>
          <t xml:space="preserve">Va'da berdi | musurmonni krediti | 366</t>
        </is>
      </c>
    </row>
    <row r="246">
      <c r="A246" s="116" t="inlineStr">
        <is>
          <t xml:space="preserve">СУРХОНДАРЁ ВИЛОЯТИ</t>
        </is>
      </c>
      <c r="C246" s="116" t="inlineStr">
        <is>
          <t xml:space="preserve">Обещал</t>
        </is>
      </c>
      <c r="D246" s="116" t="inlineStr">
        <is>
          <t xml:space="preserve">Кр-99039034-2</t>
        </is>
      </c>
      <c r="E246" s="116" t="inlineStr">
        <is>
          <t xml:space="preserve">MUSURMONOV TOXIR TUYCHU O'G'LI</t>
        </is>
      </c>
      <c r="F246" s="116" t="inlineStr">
        <is>
          <t xml:space="preserve">998978415005 SMS OZI, 998880171892 SMS OZI 2, 998880932593 SMS POCHCHASI, 998885367472 SMS UYI,</t>
        </is>
      </c>
      <c r="G246" s="116" t="inlineStr">
        <is>
          <t xml:space="preserve">SURXONDARYO VILOYATI DENOV TUMANI VODIY MFY SHIFOKORLAR KO’CHASI  87-UY</t>
        </is>
      </c>
      <c r="H246" s="117">
        <v>73.0</v>
      </c>
      <c r="I246" s="117">
        <v>14682691.32</v>
      </c>
      <c r="K246" s="116" t="inlineStr">
        <is>
          <t xml:space="preserve">Va'da berdi | shaxnoz olgan | 749</t>
        </is>
      </c>
    </row>
    <row r="247">
      <c r="A247" s="116" t="inlineStr">
        <is>
          <t xml:space="preserve">СУРХОНДАРЁ ВИЛОЯТИ</t>
        </is>
      </c>
      <c r="C247" s="116" t="inlineStr">
        <is>
          <t xml:space="preserve">Обещал</t>
        </is>
      </c>
      <c r="D247" s="116" t="inlineStr">
        <is>
          <t xml:space="preserve">Кр-99032282-1</t>
        </is>
      </c>
      <c r="E247" s="116" t="inlineStr">
        <is>
          <t xml:space="preserve">NORMINGLIYEV ABDUMALIK ABDULLAYEVICH</t>
        </is>
      </c>
      <c r="F247" s="116" t="inlineStr">
        <is>
          <t xml:space="preserve">998330105393 SMS O’ZI, 998955554493 SMS UKASI zokir tulovchi, 998991759555 SMS AKASI BEGONA, 998775773093 SMS UY,</t>
        </is>
      </c>
      <c r="G247" s="116" t="inlineStr">
        <is>
          <t xml:space="preserve">SURXONDARYO VILOYATI DENOV TUMANI NONOZOR  MFY GULBOG KO’CHASI 121-UY</t>
        </is>
      </c>
      <c r="H247" s="117">
        <v>164.0</v>
      </c>
      <c r="I247" s="117">
        <v>13890453.35</v>
      </c>
      <c r="K247" s="116" t="inlineStr">
        <is>
          <t xml:space="preserve">Va'da berdi | abror ogan | 344</t>
        </is>
      </c>
    </row>
    <row r="248">
      <c r="A248" s="116" t="inlineStr">
        <is>
          <t xml:space="preserve">СУРХОНДАРЁ ВИЛОЯТИ</t>
        </is>
      </c>
      <c r="C248" s="116" t="inlineStr">
        <is>
          <t xml:space="preserve">Обещал</t>
        </is>
      </c>
      <c r="D248" s="116" t="inlineStr">
        <is>
          <t xml:space="preserve">Кр-99026971-2</t>
        </is>
      </c>
      <c r="E248" s="116" t="inlineStr">
        <is>
          <t xml:space="preserve">YANGIBAYEV RUSLAN ABDUNABIYEVICH</t>
        </is>
      </c>
      <c r="F248" s="116" t="inlineStr">
        <is>
          <t xml:space="preserve">91-716-26-70  OZI begona, 91-573-42-11   UY begona, 90-955-49-49  SMS ISHXONA, 95-779-34-34  SMS O’ZI, 998990269712 SMS ISH JOYI RAXBARI , 917162670997 SMS OZI,</t>
        </is>
      </c>
      <c r="G248" s="116" t="inlineStr">
        <is>
          <t xml:space="preserve">SURXONDARYO VILOYATI DENOV TUMANI XAZARBOG’ QFY OBOD TASMASOY MFY TORTUVLIK KO’CHASI 4-UY</t>
        </is>
      </c>
      <c r="H248" s="117">
        <v>73.0</v>
      </c>
      <c r="I248" s="117">
        <v>13844029.57</v>
      </c>
      <c r="K248" s="116" t="inlineStr">
        <is>
          <t xml:space="preserve">Va'da berdi | iskandar ogan | 164</t>
        </is>
      </c>
    </row>
    <row r="249">
      <c r="A249" s="116" t="inlineStr">
        <is>
          <t xml:space="preserve">СУРХОНДАРЁ ВИЛОЯТИ</t>
        </is>
      </c>
      <c r="C249" s="116" t="inlineStr">
        <is>
          <t xml:space="preserve">Обещал</t>
        </is>
      </c>
      <c r="D249" s="116" t="inlineStr">
        <is>
          <t xml:space="preserve">Кр-99031931-1</t>
        </is>
      </c>
      <c r="E249" s="116" t="inlineStr">
        <is>
          <t xml:space="preserve">KASIMOVA IZZAT USANOVNA</t>
        </is>
      </c>
      <c r="F249" s="116" t="inlineStr">
        <is>
          <t xml:space="preserve">998912285230 SMS O’ZI, 998997782862 SMS KELINI, 998996722862 SMS O’G’LI, 998903156993 SMS begona, 998996722862 SMS ERI,</t>
        </is>
      </c>
      <c r="G249" s="116" t="inlineStr">
        <is>
          <t xml:space="preserve">SURXONDARYO VILOYATI QUMQO’RG’ON TUMANI TO’G’ON MFY PARDA USANOV 37-UY</t>
        </is>
      </c>
      <c r="H249" s="117">
        <v>122.0</v>
      </c>
      <c r="I249" s="117">
        <v>12424186.11</v>
      </c>
      <c r="K249" s="116" t="inlineStr">
        <is>
          <t xml:space="preserve">Va'da berdi | abror ogan | 336</t>
        </is>
      </c>
    </row>
    <row r="250">
      <c r="A250" s="116" t="inlineStr">
        <is>
          <t xml:space="preserve">СУРХОНДАРЁ ВИЛОЯТИ</t>
        </is>
      </c>
      <c r="C250" s="116" t="inlineStr">
        <is>
          <t xml:space="preserve">Обещал</t>
        </is>
      </c>
      <c r="D250" s="116" t="inlineStr">
        <is>
          <t xml:space="preserve">Кр-99022570-7</t>
        </is>
      </c>
      <c r="E250" s="116" t="inlineStr">
        <is>
          <t xml:space="preserve">MAXAMADIYEVA SHAHNOZA RAXMATULLEVNA</t>
        </is>
      </c>
      <c r="F250" s="116" t="inlineStr">
        <is>
          <t xml:space="preserve">998997113009 SMS OZI SHAXNOZA OPANI KREDITI, 99-575-30-09 SMS OPASI, 91-734-30-09 SMS UY,</t>
        </is>
      </c>
      <c r="G250" s="116" t="inlineStr">
        <is>
          <t xml:space="preserve">SURXONDARYO VILOYATI DENOV SHSHAR GULISTON  4-UY</t>
        </is>
      </c>
      <c r="H250" s="117">
        <v>43.0</v>
      </c>
      <c r="I250" s="117">
        <v>12288430.72</v>
      </c>
      <c r="K250" s="116" t="inlineStr">
        <is>
          <t xml:space="preserve">Va'da berdi | oy oxrgaca | 116</t>
        </is>
      </c>
    </row>
    <row r="251">
      <c r="A251" s="116" t="inlineStr">
        <is>
          <t xml:space="preserve">СУРХОНДАРЁ ВИЛОЯТИ</t>
        </is>
      </c>
      <c r="C251" s="116" t="inlineStr">
        <is>
          <t xml:space="preserve">Обещал</t>
        </is>
      </c>
      <c r="D251" s="116" t="inlineStr">
        <is>
          <t xml:space="preserve">Кр-99030613-1</t>
        </is>
      </c>
      <c r="E251" s="116" t="inlineStr">
        <is>
          <t xml:space="preserve">QURBONOV NURSULTON BEGALIYEVICH</t>
        </is>
      </c>
      <c r="F251" s="116" t="inlineStr">
        <is>
          <t xml:space="preserve">998905232918 SMS UY, 998916339707 SMS UKASI ERALI, 998941624149 SMS AYOLI, 998771091897 SMS OZI TOLOVCHI,</t>
        </is>
      </c>
      <c r="G251" s="116" t="inlineStr">
        <is>
          <t xml:space="preserve">SURXONDARYO VILOYATI DENOV  TUMANI XAZARBOG’ QFY QOVUNLI SOY MFY QOVUNLISOY KUCHASI  11-UY</t>
        </is>
      </c>
      <c r="H251" s="117">
        <v>128.0</v>
      </c>
      <c r="I251" s="117">
        <v>11697357.56</v>
      </c>
      <c r="K251" s="116" t="inlineStr">
        <is>
          <t xml:space="preserve">Va'da berdi | abrorga tolaga | 285</t>
        </is>
      </c>
    </row>
    <row r="252">
      <c r="A252" s="116" t="inlineStr">
        <is>
          <t xml:space="preserve">СУРХОНДАРЁ ВИЛОЯТИ</t>
        </is>
      </c>
      <c r="C252" s="116" t="inlineStr">
        <is>
          <t xml:space="preserve">Обещал</t>
        </is>
      </c>
      <c r="D252" s="116" t="inlineStr">
        <is>
          <t xml:space="preserve">Кр-99020863-2</t>
        </is>
      </c>
      <c r="E252" s="116" t="inlineStr">
        <is>
          <t xml:space="preserve">CHORIYEV ZAYNIDDIN XOLIYAROVICH</t>
        </is>
      </c>
      <c r="F252" s="116" t="inlineStr">
        <is>
          <t xml:space="preserve">998919023049 SMS, 998900696865 SMS, 998917170982 SMS UZI begona tel qmela, 998917247993 SMS UY, 998919031981 SMS OILASI, 998919031980 SMS uzi new,</t>
        </is>
      </c>
      <c r="G252" s="116" t="inlineStr">
        <is>
          <t xml:space="preserve">SURXONDARYO VILOYATI QUMQO’RG’ON TUMANI MEXRABOT MFY TEGIRMON ARIQ KO’CHASI 170-UY</t>
        </is>
      </c>
      <c r="H252" s="117">
        <v>73.0</v>
      </c>
      <c r="I252" s="117">
        <v>10015237.55</v>
      </c>
      <c r="K252" s="116" t="inlineStr">
        <is>
          <t xml:space="preserve">Va'da berdi | wahnozga tolaga wahnoz erte db vada bergan ekan | 97</t>
        </is>
      </c>
    </row>
    <row r="253">
      <c r="A253" s="116" t="inlineStr">
        <is>
          <t xml:space="preserve">СУРХОНДАРЁ ВИЛОЯТИ</t>
        </is>
      </c>
      <c r="C253" s="116" t="inlineStr">
        <is>
          <t xml:space="preserve">Обещал</t>
        </is>
      </c>
      <c r="D253" s="116" t="inlineStr">
        <is>
          <t xml:space="preserve">Кр-99035010-1</t>
        </is>
      </c>
      <c r="E253" s="116" t="inlineStr">
        <is>
          <t xml:space="preserve">MALLAYEV MUZAFFAR TOSHNIYAZOVICH</t>
        </is>
      </c>
      <c r="F253" s="116" t="inlineStr">
        <is>
          <t xml:space="preserve">998930038079 SMS OZI, 998941793332 SMS OSHNASI, 998936763332 SMS OSHNASI, 998937972425 SMS NEVARASI,</t>
        </is>
      </c>
      <c r="G253" s="116" t="inlineStr">
        <is>
          <t xml:space="preserve">SURXONDARYO VILOYATI MUZRABOT TUMANI OLMOZOR MFY O’ZBEKISTON KO’CHASI 117-UY</t>
        </is>
      </c>
      <c r="H253" s="117">
        <v>44.0</v>
      </c>
      <c r="I253" s="117">
        <v>8805269.27</v>
      </c>
      <c r="K253" s="116" t="inlineStr">
        <is>
          <t xml:space="preserve">Va'da berdi | 20 siga tolov qlad | 477</t>
        </is>
      </c>
    </row>
    <row r="254">
      <c r="A254" s="116" t="inlineStr">
        <is>
          <t xml:space="preserve">СУРХОНДАРЁ ВИЛОЯТИ</t>
        </is>
      </c>
      <c r="C254" s="116" t="inlineStr">
        <is>
          <t xml:space="preserve">Обещал</t>
        </is>
      </c>
      <c r="D254" s="116" t="inlineStr">
        <is>
          <t xml:space="preserve">Кр-99030658-1</t>
        </is>
      </c>
      <c r="E254" s="116" t="inlineStr">
        <is>
          <t xml:space="preserve">ERGASHOV NURJAHON YORMUXAMMAD O’G’LI</t>
        </is>
      </c>
      <c r="F254" s="116" t="inlineStr">
        <is>
          <t xml:space="preserve">97-656-62-22 SMS, 88-214-29-01  SMS ONASI, 95-969-62-22  SMS DADASI, 99-592-29-01  SMS UY,</t>
        </is>
      </c>
      <c r="G254" s="116" t="inlineStr">
        <is>
          <t xml:space="preserve">SURXONDARYO VILOYATI UZUN TUMANI SERXARAKAT MFY SERXARAKAT  KO’CHASI 9-UY</t>
        </is>
      </c>
      <c r="H254" s="117">
        <v>66.0</v>
      </c>
      <c r="I254" s="117">
        <v>8377928.39</v>
      </c>
      <c r="K254" s="116" t="inlineStr">
        <is>
          <t xml:space="preserve">Va'da berdi | abror ogan | 291</t>
        </is>
      </c>
    </row>
    <row r="255">
      <c r="A255" s="116" t="inlineStr">
        <is>
          <t xml:space="preserve">СУРХОНДАРЁ ВИЛОЯТИ</t>
        </is>
      </c>
      <c r="C255" s="116" t="inlineStr">
        <is>
          <t xml:space="preserve">Обещал</t>
        </is>
      </c>
      <c r="D255" s="116" t="inlineStr">
        <is>
          <t xml:space="preserve">Кр-99038514-1</t>
        </is>
      </c>
      <c r="E255" s="116" t="inlineStr">
        <is>
          <t xml:space="preserve">NORMO‘MINOV FAYZULLA PARDANAZAR O‘G‘LI</t>
        </is>
      </c>
      <c r="F255" s="116" t="inlineStr">
        <is>
          <t xml:space="preserve">998946043889 SMS OZI, 998946103889 SMS AKALARI, 998946613241 SMS AKALARI 2, 998998019181 SMS DADASI, +998946043889 Primary phone from road24,</t>
        </is>
      </c>
      <c r="G255" s="116" t="inlineStr">
        <is>
          <t xml:space="preserve">СУРХОНДАРЁ ВИЛОЯТИ МУЗРАБОТ ТУМАНИ ШАРК ЮЛДУЗИ ҚФЙ, НУРЛИ ХАЁТ МФЙ,  uy:00</t>
        </is>
      </c>
      <c r="H255" s="117">
        <v>45.0</v>
      </c>
      <c r="I255" s="117">
        <v>8149350.52</v>
      </c>
      <c r="K255" s="116" t="inlineStr">
        <is>
          <t xml:space="preserve">Va'da berdi | bugun yopad | 706</t>
        </is>
      </c>
    </row>
    <row r="256">
      <c r="A256" s="116" t="inlineStr">
        <is>
          <t xml:space="preserve">СУРХОНДАРЁ ВИЛОЯТИ</t>
        </is>
      </c>
      <c r="C256" s="116" t="inlineStr">
        <is>
          <t xml:space="preserve">Обещал</t>
        </is>
      </c>
      <c r="D256" s="116" t="inlineStr">
        <is>
          <t xml:space="preserve">Кр-99033334-3</t>
        </is>
      </c>
      <c r="E256" s="116" t="inlineStr">
        <is>
          <t xml:space="preserve">JUMAYEV FAXRIDDIN TOHIR O’G’LI</t>
        </is>
      </c>
      <c r="F256" s="116" t="inlineStr">
        <is>
          <t xml:space="preserve">998771679997 SMS O’ZI, 998917147071 SMS AYOLI, 998917327512 SMS ONASI, 998915817170 SMS QAYNONASI,</t>
        </is>
      </c>
      <c r="G256" s="116" t="inlineStr">
        <is>
          <t xml:space="preserve">SURXONDARYO VILOYATI DENOV SHAHRI SANOATCHILIK MFY BIBIXONIM KO'CHASI 25B-UY</t>
        </is>
      </c>
      <c r="H256" s="117">
        <v>43.0</v>
      </c>
      <c r="I256" s="117">
        <v>7922105.6</v>
      </c>
      <c r="K256" s="116" t="inlineStr">
        <is>
          <t xml:space="preserve">Va'da berdi | duwanb kuni tolo qlad | 387</t>
        </is>
      </c>
    </row>
    <row r="257">
      <c r="A257" s="116" t="inlineStr">
        <is>
          <t xml:space="preserve">СУРХОНДАРЁ ВИЛОЯТИ</t>
        </is>
      </c>
      <c r="C257" s="116" t="inlineStr">
        <is>
          <t xml:space="preserve">Обещал</t>
        </is>
      </c>
      <c r="D257" s="116" t="inlineStr">
        <is>
          <t xml:space="preserve">Кр-99026966-1</t>
        </is>
      </c>
      <c r="E257" s="116" t="inlineStr">
        <is>
          <t xml:space="preserve">KABILOVA ANORXOL XOLIYAROVNA</t>
        </is>
      </c>
      <c r="F257" s="116" t="inlineStr">
        <is>
          <t xml:space="preserve">90-075-05-51 SMS UY, 93-719-05-51  SMS OGLI, 93-919-05-51  SMS OILASI, 998948538586 SMS tulovchi,</t>
        </is>
      </c>
      <c r="G257" s="116" t="inlineStr">
        <is>
          <t xml:space="preserve">SURXONDARYO VILOYATI DENOV TUMANI XAZARBOG’ QFY DUNYO TEPA MFY CHORGUL 47-UY </t>
        </is>
      </c>
      <c r="H257" s="117">
        <v>161.0</v>
      </c>
      <c r="I257" s="117">
        <v>7692558.97</v>
      </c>
      <c r="K257" s="116" t="inlineStr">
        <is>
          <t xml:space="preserve">Va'da berdi | abror ogan | 163</t>
        </is>
      </c>
    </row>
    <row r="258">
      <c r="A258" s="116" t="inlineStr">
        <is>
          <t xml:space="preserve">СУРХОНДАРЁ ВИЛОЯТИ</t>
        </is>
      </c>
      <c r="C258" s="116" t="inlineStr">
        <is>
          <t xml:space="preserve">Обещал</t>
        </is>
      </c>
      <c r="D258" s="116" t="inlineStr">
        <is>
          <t xml:space="preserve">Кр-99031100-2</t>
        </is>
      </c>
      <c r="E258" s="116" t="inlineStr">
        <is>
          <t xml:space="preserve">DO’STQOBILOV BOTIRJON ZOKIRJONOVICH</t>
        </is>
      </c>
      <c r="F258" s="116" t="inlineStr">
        <is>
          <t xml:space="preserve">99-062-17-51 SMS O’ZI, 95-770-09-98  SMS UKASI, 99-258-74-42  SMS ONASI, 88-531-55-47  SMS UY, 998957723696 SMS OZI SHUNGA QILINSIN ,</t>
        </is>
      </c>
      <c r="G258" s="116" t="inlineStr">
        <is>
          <t xml:space="preserve">SURXONDARYO VILOYATI DENOV TUMANI TORTUVLI QFY NAVBAXOR MFY BUXRODINBOLVANI KO’CHASI 53-UY </t>
        </is>
      </c>
      <c r="H258" s="117">
        <v>71.0</v>
      </c>
      <c r="I258" s="117">
        <v>7382880.04</v>
      </c>
      <c r="K258" s="116" t="inlineStr">
        <is>
          <t xml:space="preserve">Va'da berdi | abror ogan | 304</t>
        </is>
      </c>
    </row>
    <row r="259">
      <c r="A259" s="116" t="inlineStr">
        <is>
          <t xml:space="preserve">СУРХОНДАРЁ ВИЛОЯТИ</t>
        </is>
      </c>
      <c r="C259" s="116" t="inlineStr">
        <is>
          <t xml:space="preserve">Обещал</t>
        </is>
      </c>
      <c r="D259" s="116" t="inlineStr">
        <is>
          <t xml:space="preserve">Кр-99024454-4</t>
        </is>
      </c>
      <c r="E259" s="116" t="inlineStr">
        <is>
          <t xml:space="preserve">MADJITOV SUNATULLA ABDIFATTOVICH</t>
        </is>
      </c>
      <c r="F259" s="116" t="inlineStr">
        <is>
          <t xml:space="preserve">998954917979 SMS O'ZI, 50-008-01-09  SMS UY, 93-186-77-79  SMS TURMUSH O’RTOG’I, 99-422-42-88  SMS SHERIGI SUNNAT, 99-598-92-88 SMS SUNNAT 2CHI NOMERI,</t>
        </is>
      </c>
      <c r="G259" s="116" t="inlineStr">
        <is>
          <t xml:space="preserve">SURXONDARYO VILOYATI SARIOSIYO SHAHAR GULZOR  KO’CHASI 4-UY 10-XONADON</t>
        </is>
      </c>
      <c r="H259" s="117">
        <v>164.0</v>
      </c>
      <c r="I259" s="117">
        <v>7260011.41</v>
      </c>
      <c r="K259" s="116" t="inlineStr">
        <is>
          <t xml:space="preserve">Va'da berdi | wahnoz ogan | 128</t>
        </is>
      </c>
    </row>
    <row r="260">
      <c r="A260" s="116" t="inlineStr">
        <is>
          <t xml:space="preserve">СУРХОНДАРЁ ВИЛОЯТИ</t>
        </is>
      </c>
      <c r="C260" s="116" t="inlineStr">
        <is>
          <t xml:space="preserve">Обещал</t>
        </is>
      </c>
      <c r="D260" s="116" t="inlineStr">
        <is>
          <t xml:space="preserve">Кр-99040880-1</t>
        </is>
      </c>
      <c r="E260" s="116" t="inlineStr">
        <is>
          <t xml:space="preserve">USANOV ANARBOY XXX</t>
        </is>
      </c>
      <c r="F260" s="116" t="inlineStr">
        <is>
          <t xml:space="preserve">998919824959 SMS OZI, 998930952477 SMS UYI, 998915816615 SMS OILASI,</t>
        </is>
      </c>
      <c r="G260" s="116" t="inlineStr">
        <is>
          <t xml:space="preserve">SURXONDARYO VILOYATI OLTINSOY TUMANI SHODLIK MAXALLASI YANGI HAYOT KO'CHASI 142-UY</t>
        </is>
      </c>
      <c r="H260" s="117">
        <v>43.0</v>
      </c>
      <c r="I260" s="117">
        <v>7093377.26</v>
      </c>
      <c r="K260" s="116" t="inlineStr">
        <is>
          <t xml:space="preserve">Va'da berdi | ertaga tolov | 934</t>
        </is>
      </c>
    </row>
    <row r="261">
      <c r="A261" s="116" t="inlineStr">
        <is>
          <t xml:space="preserve">СУРХОНДАРЁ ВИЛОЯТИ</t>
        </is>
      </c>
      <c r="C261" s="116" t="inlineStr">
        <is>
          <t xml:space="preserve">Обещал</t>
        </is>
      </c>
      <c r="D261" s="116" t="inlineStr">
        <is>
          <t xml:space="preserve">Кр-99019548-2</t>
        </is>
      </c>
      <c r="E261" s="116" t="inlineStr">
        <is>
          <t xml:space="preserve">BO’RONOV XABIBULLO XUDOYNAZAROVICH</t>
        </is>
      </c>
      <c r="F261" s="116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261" s="116" t="inlineStr">
        <is>
          <t xml:space="preserve">SURXONDARYO VILOYATI DENOV SHAHAR TORTUVLI MFY OYBEK 120 UY</t>
        </is>
      </c>
      <c r="H261" s="117">
        <v>3.0</v>
      </c>
      <c r="I261" s="117">
        <v>7044345.26</v>
      </c>
      <c r="K261" s="116" t="inlineStr">
        <is>
          <t xml:space="preserve">Va'da berdi | kyngi xafta tolo qlad | 74</t>
        </is>
      </c>
    </row>
    <row r="262">
      <c r="A262" s="116" t="inlineStr">
        <is>
          <t xml:space="preserve">СУРХОНДАРЁ ВИЛОЯТИ</t>
        </is>
      </c>
      <c r="C262" s="116" t="inlineStr">
        <is>
          <t xml:space="preserve">Обещал</t>
        </is>
      </c>
      <c r="D262" s="116" t="inlineStr">
        <is>
          <t xml:space="preserve">Кр-99035575-1</t>
        </is>
      </c>
      <c r="E262" s="116" t="inlineStr">
        <is>
          <t xml:space="preserve">AMANOV CHORSHANBI O’ROLOVICH</t>
        </is>
      </c>
      <c r="F262" s="116" t="inlineStr">
        <is>
          <t xml:space="preserve">998770669985 SMS OZI akasi, 998951811145 SMS UKASI, 998771006785 SMS AYOLI, 998888085588 SMS UKASI ozi ,</t>
        </is>
      </c>
      <c r="G262" s="116" t="inlineStr">
        <is>
          <t xml:space="preserve">SURXONDARYO VILOYATI QUMQO’RG’ON  TUMANI QUMQO’RG’ON  QFY CHAYONTEPA MFY X.XOLBAYEV  KO’CHASI 18-UY</t>
        </is>
      </c>
      <c r="H262" s="117">
        <v>56.0</v>
      </c>
      <c r="I262" s="117">
        <v>6986934.52</v>
      </c>
      <c r="K262" s="116" t="inlineStr">
        <is>
          <t xml:space="preserve">Va'da berdi | abror olgan | 515</t>
        </is>
      </c>
    </row>
    <row r="263">
      <c r="A263" s="116" t="inlineStr">
        <is>
          <t xml:space="preserve">СУРХОНДАРЁ ВИЛОЯТИ</t>
        </is>
      </c>
      <c r="C263" s="116" t="inlineStr">
        <is>
          <t xml:space="preserve">Обещал</t>
        </is>
      </c>
      <c r="D263" s="116" t="inlineStr">
        <is>
          <t xml:space="preserve">Кр-99033544-1</t>
        </is>
      </c>
      <c r="E263" s="116" t="inlineStr">
        <is>
          <t xml:space="preserve">KENJAYEV KAMOLIDDIN ZIYADULLAYEVICH</t>
        </is>
      </c>
      <c r="F263" s="116" t="inlineStr">
        <is>
          <t xml:space="preserve">998912337745 SMS O’ZI, 998919085879 SMS ELDOR, 998910083231 SMS ELBEK, 998975342203 SMS AYOLI,</t>
        </is>
      </c>
      <c r="G263" s="116" t="inlineStr">
        <is>
          <t xml:space="preserve">SURXONDARYO VILOYATI DENOV SHAXAR JOMI  MFY PAXTAKOR KO’CHASI 7-UY</t>
        </is>
      </c>
      <c r="H263" s="117">
        <v>66.0</v>
      </c>
      <c r="I263" s="117">
        <v>6918871.83</v>
      </c>
      <c r="K263" s="116" t="inlineStr">
        <is>
          <t xml:space="preserve">Va'da berdi | abrorga tolaga | 407</t>
        </is>
      </c>
    </row>
    <row r="264">
      <c r="A264" s="116" t="inlineStr">
        <is>
          <t xml:space="preserve">СУРХОНДАРЁ ВИЛОЯТИ</t>
        </is>
      </c>
      <c r="C264" s="116" t="inlineStr">
        <is>
          <t xml:space="preserve">Обещал</t>
        </is>
      </c>
      <c r="D264" s="116" t="inlineStr">
        <is>
          <t xml:space="preserve">Кр-99036107-1</t>
        </is>
      </c>
      <c r="E264" s="116" t="inlineStr">
        <is>
          <t xml:space="preserve">ZIKIROV ALISHER KUDRATOVICH</t>
        </is>
      </c>
      <c r="F264" s="116" t="inlineStr">
        <is>
          <t xml:space="preserve">998957668603 SMS O’ZI, 998991970555 SMS JIYANI , 998882444737 AKASI, 998990380351 SMS AYOLI ,</t>
        </is>
      </c>
      <c r="G264" s="116" t="inlineStr">
        <is>
          <t xml:space="preserve">SURXONDARYO VILOYATI DENOV TUMANI ISTIQBOL MFY SATTOR YODGOROV 35-UY </t>
        </is>
      </c>
      <c r="H264" s="117">
        <v>31.0</v>
      </c>
      <c r="I264" s="117">
        <v>6801619.6</v>
      </c>
      <c r="K264" s="116" t="inlineStr">
        <is>
          <t xml:space="preserve">Va'da berdi | 20sanaga tolov | 559</t>
        </is>
      </c>
    </row>
    <row r="265">
      <c r="A265" s="116" t="inlineStr">
        <is>
          <t xml:space="preserve">СУРХОНДАРЁ ВИЛОЯТИ</t>
        </is>
      </c>
      <c r="C265" s="116" t="inlineStr">
        <is>
          <t xml:space="preserve">Обещал</t>
        </is>
      </c>
      <c r="D265" s="116" t="inlineStr">
        <is>
          <t xml:space="preserve">Кр-99019784-3</t>
        </is>
      </c>
      <c r="E265" s="116" t="inlineStr">
        <is>
          <t xml:space="preserve">IBRAGIMOV IKROM TOSHMAMAT O’G’LI</t>
        </is>
      </c>
      <c r="F265" s="116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265" s="116" t="inlineStr">
        <is>
          <t xml:space="preserve">SURXONDARYO VILOYATI UZUN TUMANI CHAQAR MFY CHINOR KO’CHASI  4-UY</t>
        </is>
      </c>
      <c r="H265" s="117">
        <v>10.0</v>
      </c>
      <c r="I265" s="117">
        <v>6759890.03</v>
      </c>
      <c r="K265" s="116" t="inlineStr">
        <is>
          <t xml:space="preserve">Va'da berdi | tgdan gaplawdm wu xafta yopaman dd | 80</t>
        </is>
      </c>
    </row>
    <row r="266">
      <c r="A266" s="116" t="inlineStr">
        <is>
          <t xml:space="preserve">СУРХОНДАРЁ ВИЛОЯТИ</t>
        </is>
      </c>
      <c r="C266" s="116" t="inlineStr">
        <is>
          <t xml:space="preserve">Обещал</t>
        </is>
      </c>
      <c r="D266" s="116" t="inlineStr">
        <is>
          <t xml:space="preserve">Кр-99039689-1</t>
        </is>
      </c>
      <c r="E266" s="116" t="inlineStr">
        <is>
          <t xml:space="preserve">TOGOYMURADOV FARXOD TO’LQINOVICH</t>
        </is>
      </c>
      <c r="F266" s="116" t="inlineStr">
        <is>
          <t xml:space="preserve">998999457409 SMS OZI, 998950787747 SMS OGLI, 998990130098 SMS OGLI,</t>
        </is>
      </c>
      <c r="G266" s="116" t="inlineStr">
        <is>
          <t xml:space="preserve">SURXONDARYO VILOYAT, ANGOR TUMAN FAROVON MFY 20W/200-UY</t>
        </is>
      </c>
      <c r="H266" s="117">
        <v>1.0</v>
      </c>
      <c r="I266" s="117">
        <v>5849855.79</v>
      </c>
      <c r="K266" s="116" t="inlineStr">
        <is>
          <t xml:space="preserve">Va'da berdi | qisman 1 900 000 tolo qld | 826</t>
        </is>
      </c>
    </row>
    <row r="267">
      <c r="A267" s="116" t="inlineStr">
        <is>
          <t xml:space="preserve">СУРХОНДАРЁ ВИЛОЯТИ</t>
        </is>
      </c>
      <c r="C267" s="116" t="inlineStr">
        <is>
          <t xml:space="preserve">Обещал</t>
        </is>
      </c>
      <c r="D267" s="116" t="inlineStr">
        <is>
          <t xml:space="preserve">Кр-99061891-2</t>
        </is>
      </c>
      <c r="E267" s="116" t="inlineStr">
        <is>
          <t xml:space="preserve">NAVRUZOVA ADOLAT MELIKULOVNA</t>
        </is>
      </c>
      <c r="F267" s="116" t="inlineStr">
        <is>
          <t xml:space="preserve">998880439898 SMS QIZI, 998915153070 SMS O’ZI, 998919820709 SMS O’G’LI,</t>
        </is>
      </c>
      <c r="G267" s="116" t="inlineStr">
        <is>
          <t xml:space="preserve">EZGULIK KO’CHASI 38-UY</t>
        </is>
      </c>
      <c r="H267" s="117">
        <v>10.0</v>
      </c>
      <c r="I267" s="117">
        <v>5807223.26</v>
      </c>
      <c r="K267" s="116" t="inlineStr">
        <is>
          <t xml:space="preserve">Va'da berdi | 20 cisidan kyn tolo qlad | 1391</t>
        </is>
      </c>
    </row>
    <row r="268">
      <c r="A268" s="116" t="inlineStr">
        <is>
          <t xml:space="preserve">СУРХОНДАРЁ ВИЛОЯТИ</t>
        </is>
      </c>
      <c r="C268" s="116" t="inlineStr">
        <is>
          <t xml:space="preserve">Обещал</t>
        </is>
      </c>
      <c r="D268" s="116" t="inlineStr">
        <is>
          <t xml:space="preserve">Кр-99037123-1</t>
        </is>
      </c>
      <c r="E268" s="116" t="inlineStr">
        <is>
          <t xml:space="preserve">UMAROV ISROYILJON MAMAJONOVICH</t>
        </is>
      </c>
      <c r="F268" s="116" t="inlineStr">
        <is>
          <t xml:space="preserve">998993451982 SMS OZI, 998885311221 SMS UY, 998900400044 SMS OGLI BEGONA, 998882479680 SMS AKASI, 998975351151 SMS O'ZI , 998772751151 ozi new,</t>
        </is>
      </c>
      <c r="G268" s="116" t="inlineStr">
        <is>
          <t xml:space="preserve">SURXONDARYO VILOYATI DENOV TUMANI TOTUVLI MFY GULBAHOR K’OCHASI 78-UY</t>
        </is>
      </c>
      <c r="H268" s="117">
        <v>45.0</v>
      </c>
      <c r="I268" s="117">
        <v>5798449.86</v>
      </c>
      <c r="K268" s="116" t="inlineStr">
        <is>
          <t xml:space="preserve">Va'da berdi | 19sanaga tolov | 612</t>
        </is>
      </c>
    </row>
    <row r="269">
      <c r="A269" s="116" t="inlineStr">
        <is>
          <t xml:space="preserve">СУРХОНДАРЁ ВИЛОЯТИ</t>
        </is>
      </c>
      <c r="C269" s="116" t="inlineStr">
        <is>
          <t xml:space="preserve">Обещал</t>
        </is>
      </c>
      <c r="D269" s="116" t="inlineStr">
        <is>
          <t xml:space="preserve">Кр-99009967-4</t>
        </is>
      </c>
      <c r="E269" s="116" t="inlineStr">
        <is>
          <t xml:space="preserve">SANGILOVA MOXIRA RAXIMOVNA</t>
        </is>
      </c>
      <c r="F269" s="116" t="inlineStr">
        <is>
          <t xml:space="preserve">97-807-77-97 SMS, 99-678-23-45  SMS O’ZI, 99-360-50-13  SMS JIYANI MIRVALI, 88-808-97-02 SMS UY, 998915163497 SMS UY,</t>
        </is>
      </c>
      <c r="G269" s="116" t="inlineStr">
        <is>
          <t xml:space="preserve">ҚИЗИЛЖАР ҚФЙ, БУЮК ИПАК ЙЎЛИ МФЙ, ҚИЗИЛЖАР ҚФЙ, БУЮК ИПАК ЙЎЛИ МФЙ, БУЮК ИПАК ЙЎЛИ,  uy:Б/Н</t>
        </is>
      </c>
      <c r="H269" s="117">
        <v>43.0</v>
      </c>
      <c r="I269" s="117">
        <v>5626142.7</v>
      </c>
      <c r="K269" s="116" t="inlineStr">
        <is>
          <t xml:space="preserve">Va'da berdi | 20sanaga tolov | 30</t>
        </is>
      </c>
    </row>
    <row r="270">
      <c r="A270" s="116" t="inlineStr">
        <is>
          <t xml:space="preserve">СУРХОНДАРЁ ВИЛОЯТИ</t>
        </is>
      </c>
      <c r="C270" s="116" t="inlineStr">
        <is>
          <t xml:space="preserve">Обещал</t>
        </is>
      </c>
      <c r="D270" s="116" t="inlineStr">
        <is>
          <t xml:space="preserve">Кр-99039423-3</t>
        </is>
      </c>
      <c r="E270" s="116" t="inlineStr">
        <is>
          <t xml:space="preserve">BOZOROVA DILOROM PARDAYEVNA</t>
        </is>
      </c>
      <c r="F270" s="116" t="inlineStr">
        <is>
          <t xml:space="preserve">998975336110 SMS OZI, 998976934380 SMS ERI, 998200102496 SMS QIZI, 998879070696 SMS QIZI2, 998772328206 SMS QIZI TOLOVCHI ,</t>
        </is>
      </c>
      <c r="G270" s="116" t="inlineStr">
        <is>
          <t xml:space="preserve">SURXONDARYO VILOYAT, MUZRABOT TUMAN FIDOKOR MFY AL-FARG’ONIY KO’CHASI 11-UY</t>
        </is>
      </c>
      <c r="H270" s="117">
        <v>10.0</v>
      </c>
      <c r="I270" s="117">
        <v>5610634.62</v>
      </c>
      <c r="K270" s="116" t="inlineStr">
        <is>
          <t xml:space="preserve">Va'da berdi | oyni oxiriga | 786</t>
        </is>
      </c>
    </row>
    <row r="271">
      <c r="A271" s="116" t="inlineStr">
        <is>
          <t xml:space="preserve">СУРХОНДАРЁ ВИЛОЯТИ</t>
        </is>
      </c>
      <c r="C271" s="116" t="inlineStr">
        <is>
          <t xml:space="preserve">Обещал</t>
        </is>
      </c>
      <c r="D271" s="116" t="inlineStr">
        <is>
          <t xml:space="preserve">Кр-99021935-6</t>
        </is>
      </c>
      <c r="E271" s="116" t="inlineStr">
        <is>
          <t xml:space="preserve">AZIMOV UMIDILLA XUDOYBERDIYEVICH</t>
        </is>
      </c>
      <c r="F271" s="116" t="inlineStr">
        <is>
          <t xml:space="preserve">91-573-47-31 SMS, 90-114-11-38  SMS UY, 97-244-63-39 SMS, 91-573-47-31 SMS,</t>
        </is>
      </c>
      <c r="G271" s="116" t="inlineStr">
        <is>
          <t xml:space="preserve">QASHQADARYO VILOYATI DEHQONOBOD TUMANI OQITMA MFY</t>
        </is>
      </c>
      <c r="H271" s="117">
        <v>14.0</v>
      </c>
      <c r="I271" s="117">
        <v>5441826.61</v>
      </c>
      <c r="K271" s="116" t="inlineStr">
        <is>
          <t xml:space="preserve">Va'da berdi | 25 dan kyn toleman dd aslida abror bunga bldrmasdan kredt ogan | 109</t>
        </is>
      </c>
    </row>
    <row r="272">
      <c r="A272" s="116" t="inlineStr">
        <is>
          <t xml:space="preserve">СУРХОНДАРЁ ВИЛОЯТИ</t>
        </is>
      </c>
      <c r="C272" s="116" t="inlineStr">
        <is>
          <t xml:space="preserve">Обещал</t>
        </is>
      </c>
      <c r="D272" s="116" t="inlineStr">
        <is>
          <t xml:space="preserve">Кр-99034990-1</t>
        </is>
      </c>
      <c r="E272" s="116" t="inlineStr">
        <is>
          <t xml:space="preserve">PAYG’AMOV SAMANDAR BAXROM O’G’LI</t>
        </is>
      </c>
      <c r="F272" s="116" t="inlineStr">
        <is>
          <t xml:space="preserve">998930038079 SMS OZI, 998941793332 SMS OTASI, 998936763332 SMS OTASI, 998937972425 SMS UKASI,</t>
        </is>
      </c>
      <c r="G272" s="116" t="inlineStr">
        <is>
          <t xml:space="preserve">SURXONDARYO VILOYATI MUZRABOT TUMANI OLMOZOR MFY O’ZBEKISTON KO’CHASI 44-UY</t>
        </is>
      </c>
      <c r="H272" s="117">
        <v>44.0</v>
      </c>
      <c r="I272" s="117">
        <v>5419738.6</v>
      </c>
      <c r="K272" s="116" t="inlineStr">
        <is>
          <t xml:space="preserve">Va'da berdi | 20 siga tolov qlad | 475</t>
        </is>
      </c>
    </row>
    <row r="273">
      <c r="A273" s="116" t="inlineStr">
        <is>
          <t xml:space="preserve">СУРХОНДАРЁ ВИЛОЯТИ</t>
        </is>
      </c>
      <c r="C273" s="116" t="inlineStr">
        <is>
          <t xml:space="preserve">Обещал</t>
        </is>
      </c>
      <c r="D273" s="116" t="inlineStr">
        <is>
          <t xml:space="preserve">Кр-99031487-1</t>
        </is>
      </c>
      <c r="E273" s="116" t="inlineStr">
        <is>
          <t xml:space="preserve">POYANOV XIMOIDDIN AMIRJONOVICH</t>
        </is>
      </c>
      <c r="F273" s="116" t="inlineStr">
        <is>
          <t xml:space="preserve">998995707222 SMS O’ZI, 998953137053 SMS AYOLI, 998952237022 SMS AKASI, 998770527022 SMS ONASI,</t>
        </is>
      </c>
      <c r="G273" s="116" t="inlineStr">
        <is>
          <t xml:space="preserve">SURXONDARYO VILOYATI DENOV  TUMANI ANBARSOY  QFY O’RTAQISHLOQ  MFY DO’STLIK KO’CHASI 117-UY</t>
        </is>
      </c>
      <c r="H273" s="117">
        <v>59.0</v>
      </c>
      <c r="I273" s="117">
        <v>5155268.53</v>
      </c>
      <c r="K273" s="116" t="inlineStr">
        <is>
          <t xml:space="preserve">Va'da berdi | abror ogan | 320</t>
        </is>
      </c>
    </row>
    <row r="274">
      <c r="A274" s="116" t="inlineStr">
        <is>
          <t xml:space="preserve">СУРХОНДАРЁ ВИЛОЯТИ</t>
        </is>
      </c>
      <c r="C274" s="116" t="inlineStr">
        <is>
          <t xml:space="preserve">Обещал</t>
        </is>
      </c>
      <c r="D274" s="116" t="inlineStr">
        <is>
          <t xml:space="preserve">Кр-99039907-1</t>
        </is>
      </c>
      <c r="E274" s="116" t="inlineStr">
        <is>
          <t xml:space="preserve">MURATALIYEV RUZI ERGASHEVICH</t>
        </is>
      </c>
      <c r="F274" s="116" t="inlineStr">
        <is>
          <t xml:space="preserve">998938885958 SMS OZI, 998938840370 SMS ORTOGI, 998938880370 SMS OGLI, 998944081995 SMS OGLI,</t>
        </is>
      </c>
      <c r="G274" s="116" t="inlineStr">
        <is>
          <t xml:space="preserve">SURXONDARYO VILOYATI, JARQO’RG’ON TUMANI ,NURLIDIYOR MFY, CH. TOSHBOLTAYEV KO’CHASI ,10-UY</t>
        </is>
      </c>
      <c r="H274" s="117">
        <v>10.0</v>
      </c>
      <c r="I274" s="117">
        <v>5086794.92</v>
      </c>
      <c r="K274" s="116" t="inlineStr">
        <is>
          <t xml:space="preserve">Va'da berdi | 24 ciga | 844</t>
        </is>
      </c>
    </row>
    <row r="275">
      <c r="A275" s="116" t="inlineStr">
        <is>
          <t xml:space="preserve">СУРХОНДАРЁ ВИЛОЯТИ</t>
        </is>
      </c>
      <c r="C275" s="116" t="inlineStr">
        <is>
          <t xml:space="preserve">Обещал</t>
        </is>
      </c>
      <c r="D275" s="116" t="inlineStr">
        <is>
          <t xml:space="preserve">Кр-99040217-1</t>
        </is>
      </c>
      <c r="E275" s="116" t="inlineStr">
        <is>
          <t xml:space="preserve">YUSUPOVA ULJON MAMATOVNA</t>
        </is>
      </c>
      <c r="F275" s="116" t="inlineStr">
        <is>
          <t xml:space="preserve">998902252061 SMS OZI, 998995222242 SMS OGLI SHU TULOVCHI FAQAT SHUNGA TEL QILINSIN, 998911913914 SMS JIYANI,</t>
        </is>
      </c>
      <c r="G275" s="116" t="inlineStr">
        <is>
          <t xml:space="preserve">SURXONDARYO VILOYATI OLTINSOY TUMANI XIDIRSHO MFY SOKIN HAYOT KO'CHASI 6-UY</t>
        </is>
      </c>
      <c r="H275" s="117">
        <v>10.0</v>
      </c>
      <c r="I275" s="117">
        <v>4928474.47</v>
      </c>
      <c r="K275" s="116" t="inlineStr">
        <is>
          <t xml:space="preserve">Va'da berdi | 18 ga vada berdi | 873</t>
        </is>
      </c>
    </row>
    <row r="276">
      <c r="A276" s="116" t="inlineStr">
        <is>
          <t xml:space="preserve">СУРХОНДАРЁ ВИЛОЯТИ</t>
        </is>
      </c>
      <c r="C276" s="116" t="inlineStr">
        <is>
          <t xml:space="preserve">Обещал</t>
        </is>
      </c>
      <c r="D276" s="116" t="inlineStr">
        <is>
          <t xml:space="preserve">Кр-99033434-2</t>
        </is>
      </c>
      <c r="E276" s="116" t="inlineStr">
        <is>
          <t xml:space="preserve">KARAYEVA UMIDA SHAMSIDDINOVNA</t>
        </is>
      </c>
      <c r="F276" s="116" t="inlineStr">
        <is>
          <t xml:space="preserve">998953102200 SMS O’ZI, 998996144777 SMS ERI, 998952260624 SMS UKASI, 998995522016 SMS TELEGRAM NOMER,</t>
        </is>
      </c>
      <c r="G276" s="116" t="inlineStr">
        <is>
          <t xml:space="preserve">SURXONDARYO VILOYATI DENOV TUMANI PISTAMOZOR  MFY LOCHIN DEKONCHLIK  51-UY</t>
        </is>
      </c>
      <c r="H276" s="117">
        <v>10.0</v>
      </c>
      <c r="I276" s="117">
        <v>4526968.72</v>
      </c>
      <c r="K276" s="116" t="inlineStr">
        <is>
          <t xml:space="preserve">Va'da berdi | oy oxrgaca yopad yandex taxi qlad mayda mayda yigad | 394</t>
        </is>
      </c>
    </row>
    <row r="277">
      <c r="A277" s="116" t="inlineStr">
        <is>
          <t xml:space="preserve">СУРХОНДАРЁ ВИЛОЯТИ</t>
        </is>
      </c>
      <c r="C277" s="116" t="inlineStr">
        <is>
          <t xml:space="preserve">Обещал</t>
        </is>
      </c>
      <c r="D277" s="116" t="inlineStr">
        <is>
          <t xml:space="preserve">Кр-99032627-1</t>
        </is>
      </c>
      <c r="E277" s="116" t="inlineStr">
        <is>
          <t xml:space="preserve">XAKBERDIYEVA XALIMA XUDAYBERDIYEVNA</t>
        </is>
      </c>
      <c r="F277" s="116" t="inlineStr">
        <is>
          <t xml:space="preserve">998941025191 SMS ONASI, 998941442601 SMS O’ZI, 998880437679 SMS TOG’ASI, 998336731123 SMS YANGASI,</t>
        </is>
      </c>
      <c r="G277" s="116" t="inlineStr">
        <is>
          <t xml:space="preserve">SURXONDARYO VILOYATI SARIOSIYO TUMANI DASHNOBOD KELAJAK SARI MFY KO’CHASI 19-UY</t>
        </is>
      </c>
      <c r="H277" s="117">
        <v>34.0</v>
      </c>
      <c r="I277" s="117">
        <v>4511878.59</v>
      </c>
      <c r="K277" s="116" t="inlineStr">
        <is>
          <t xml:space="preserve">Va'da berdi | wahnoz ogan | 360</t>
        </is>
      </c>
    </row>
    <row r="278">
      <c r="A278" s="116" t="inlineStr">
        <is>
          <t xml:space="preserve">СУРХОНДАРЁ ВИЛОЯТИ</t>
        </is>
      </c>
      <c r="C278" s="116" t="inlineStr">
        <is>
          <t xml:space="preserve">Обещал</t>
        </is>
      </c>
      <c r="D278" s="116" t="inlineStr">
        <is>
          <t xml:space="preserve">Кр-99026309-2</t>
        </is>
      </c>
      <c r="E278" s="116" t="inlineStr">
        <is>
          <t xml:space="preserve">TOJIYEV KAXRAMON BAXTIYAROVICH</t>
        </is>
      </c>
      <c r="F278" s="116" t="inlineStr">
        <is>
          <t xml:space="preserve">98-279-27-00 SMS O'ZI, 998978452200 SMS UY, 94-203-22-00  SMS begona, 91-510-01-93 SMS, 998942032700 WATSAP BOR GERMANIYADA OZI ,</t>
        </is>
      </c>
      <c r="G278" s="116" t="inlineStr">
        <is>
          <t xml:space="preserve">SURXONDARYO VILOYATI DENOV SHAHAR ISTIQLOL  21-UY </t>
        </is>
      </c>
      <c r="H278" s="117">
        <v>77.0</v>
      </c>
      <c r="I278" s="117">
        <v>4466044.06</v>
      </c>
      <c r="K278" s="116" t="inlineStr">
        <is>
          <t xml:space="preserve">Va'da berdi | abror ogan | 155</t>
        </is>
      </c>
    </row>
    <row r="279">
      <c r="A279" s="116" t="inlineStr">
        <is>
          <t xml:space="preserve">СУРХОНДАРЁ ВИЛОЯТИ</t>
        </is>
      </c>
      <c r="C279" s="116" t="inlineStr">
        <is>
          <t xml:space="preserve">Обещал</t>
        </is>
      </c>
      <c r="D279" s="116" t="inlineStr">
        <is>
          <t xml:space="preserve">Кр-99042205-2</t>
        </is>
      </c>
      <c r="E279" s="116" t="inlineStr">
        <is>
          <t xml:space="preserve">ERGASHOVA GULCHEHRA HASANOVNA</t>
        </is>
      </c>
      <c r="F279" s="116" t="inlineStr">
        <is>
          <t xml:space="preserve">998915100210 SMS UY, 998915742909 SMS AYOLI, 998919080869 SMS O’ZI,</t>
        </is>
      </c>
      <c r="G279" s="116" t="inlineStr">
        <is>
          <t xml:space="preserve">СУРХОНДАРЁ ВИЛОЯТИ ШУРЧИ ТУМАНИ ҚЎЛДОШ ҚФЙ, ГУЛИСТОН МФЙ,  uy:68</t>
        </is>
      </c>
      <c r="H279" s="117">
        <v>10.0</v>
      </c>
      <c r="I279" s="117">
        <v>4457775.14</v>
      </c>
      <c r="K279" s="116" t="inlineStr">
        <is>
          <t xml:space="preserve">Va'da berdi | tgdan gaplawebman duwanb kuni tolo qlad ucaskasini sotebdi | 1044</t>
        </is>
      </c>
    </row>
    <row r="280">
      <c r="A280" s="116" t="inlineStr">
        <is>
          <t xml:space="preserve">СУРХОНДАРЁ ВИЛОЯТИ</t>
        </is>
      </c>
      <c r="C280" s="116" t="inlineStr">
        <is>
          <t xml:space="preserve">Обещал</t>
        </is>
      </c>
      <c r="D280" s="116" t="inlineStr">
        <is>
          <t xml:space="preserve">Кр-99017725-6</t>
        </is>
      </c>
      <c r="E280" s="116" t="inlineStr">
        <is>
          <t xml:space="preserve">ALIMOV BEKZOD ERGASHALIYEVICH</t>
        </is>
      </c>
      <c r="F280" s="116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280" s="116" t="inlineStr">
        <is>
          <t xml:space="preserve">SURXONDARYO VILOYATI DENOV TUMANI MINGBULOQ MFY  ABUXOYAT  K’OCHASI  12-UY</t>
        </is>
      </c>
      <c r="H280" s="117">
        <v>10.0</v>
      </c>
      <c r="I280" s="117">
        <v>4439459.35</v>
      </c>
      <c r="K280" s="116" t="inlineStr">
        <is>
          <t xml:space="preserve">Va'da berdi | 20sanaga tolov | 62</t>
        </is>
      </c>
    </row>
    <row r="281">
      <c r="A281" s="116" t="inlineStr">
        <is>
          <t xml:space="preserve">СУРХОНДАРЁ ВИЛОЯТИ</t>
        </is>
      </c>
      <c r="C281" s="116" t="inlineStr">
        <is>
          <t xml:space="preserve">Обещал</t>
        </is>
      </c>
      <c r="D281" s="116" t="inlineStr">
        <is>
          <t xml:space="preserve">Кр-99030616-1</t>
        </is>
      </c>
      <c r="E281" s="116" t="inlineStr">
        <is>
          <t xml:space="preserve">XAMRAYEV SHERZOD AXMADOVICH</t>
        </is>
      </c>
      <c r="F281" s="116" t="inlineStr">
        <is>
          <t xml:space="preserve">93-833-06-96 SMS , 91-576-87-78  SMS UY, 97-808-03-25  SMS UKASI, 50-800-43-81  SMS UKASI 2, 94-553-21-13  SMS OILASI, 998919047851 SMS OZI,</t>
        </is>
      </c>
      <c r="G281" s="116" t="inlineStr">
        <is>
          <t xml:space="preserve">SURXONDARYO VILOYATI SHURCHI TUMANI NAVRUZ MFY 8-MART KO’CHASI 10-UY</t>
        </is>
      </c>
      <c r="H281" s="117">
        <v>6.0</v>
      </c>
      <c r="I281" s="117">
        <v>4136020.85</v>
      </c>
      <c r="K281" s="116" t="inlineStr">
        <is>
          <t xml:space="preserve">Va'da berdi | bugun erte tolo qlad | 288</t>
        </is>
      </c>
    </row>
    <row r="282">
      <c r="A282" s="116" t="inlineStr">
        <is>
          <t xml:space="preserve">СУРХОНДАРЁ ВИЛОЯТИ</t>
        </is>
      </c>
      <c r="C282" s="116" t="inlineStr">
        <is>
          <t xml:space="preserve">Обещал</t>
        </is>
      </c>
      <c r="D282" s="116" t="inlineStr">
        <is>
          <t xml:space="preserve">Кр-99037147-1</t>
        </is>
      </c>
      <c r="E282" s="116" t="inlineStr">
        <is>
          <t xml:space="preserve">BURIYEV DAVRON RAVUTOVICH</t>
        </is>
      </c>
      <c r="F282" s="116" t="inlineStr">
        <is>
          <t xml:space="preserve">998772024402 SMS OZI, 998771244402 SMS UYI, 998996641381 SMS  AKASI, 998915183009 SMS UKASI, 998774124402 SMS AYOLI ,</t>
        </is>
      </c>
      <c r="G282" s="116" t="inlineStr">
        <is>
          <t xml:space="preserve">SURXONDARYO VILOYATI DENOV SHAHAR TOTUVLI OLIY QADIRYAT 47-UY</t>
        </is>
      </c>
      <c r="H282" s="117">
        <v>14.0</v>
      </c>
      <c r="I282" s="117">
        <v>4130862.59</v>
      </c>
      <c r="K282" s="116" t="inlineStr">
        <is>
          <t xml:space="preserve">Va'da berdi | ertaga tolov | 614</t>
        </is>
      </c>
    </row>
    <row r="283">
      <c r="A283" s="116" t="inlineStr">
        <is>
          <t xml:space="preserve">СУРХОНДАРЁ ВИЛОЯТИ</t>
        </is>
      </c>
      <c r="C283" s="116" t="inlineStr">
        <is>
          <t xml:space="preserve">Обещал</t>
        </is>
      </c>
      <c r="D283" s="116" t="inlineStr">
        <is>
          <t xml:space="preserve">Кр-99058385-1</t>
        </is>
      </c>
      <c r="E283" s="116" t="inlineStr">
        <is>
          <t xml:space="preserve">RAXMATOVA MAFTUNA AXMADOVNA</t>
        </is>
      </c>
      <c r="F283" s="116" t="inlineStr">
        <is>
          <t xml:space="preserve">998942349989 SMS ukasi, 998932508896 SMS uzi , 998932735262 SMS dadasi,</t>
        </is>
      </c>
      <c r="G283" s="116" t="inlineStr">
        <is>
          <t xml:space="preserve">DENOV TUMANI</t>
        </is>
      </c>
      <c r="H283" s="117">
        <v>10.0</v>
      </c>
      <c r="I283" s="117">
        <v>4126322.49</v>
      </c>
      <c r="K283" s="116" t="inlineStr">
        <is>
          <t xml:space="preserve">Va'da berdi | kyngi hafta tolo qlad | 1322</t>
        </is>
      </c>
    </row>
    <row r="284">
      <c r="A284" s="116" t="inlineStr">
        <is>
          <t xml:space="preserve">СУРХОНДАРЁ ВИЛОЯТИ</t>
        </is>
      </c>
      <c r="C284" s="116" t="inlineStr">
        <is>
          <t xml:space="preserve">Обещал</t>
        </is>
      </c>
      <c r="D284" s="116" t="inlineStr">
        <is>
          <t xml:space="preserve">Кр-99037453-1</t>
        </is>
      </c>
      <c r="E284" s="116" t="inlineStr">
        <is>
          <t xml:space="preserve">KENJAYEVA FERUZA ISMATOVNA</t>
        </is>
      </c>
      <c r="F284" s="116" t="inlineStr">
        <is>
          <t xml:space="preserve">998991366283 SMS OZI, 998996737181 SMS TOLOVCHI , 998991678777 SMS O’G’LI, 998997725811 SMS O’G’LI,</t>
        </is>
      </c>
      <c r="G284" s="116" t="inlineStr">
        <is>
          <t xml:space="preserve">SURXONDARYO VILOYATI UZUN  TUMANI TOLTO’GAY  MFY IBNISINON 2-UY</t>
        </is>
      </c>
      <c r="H284" s="117">
        <v>1.0</v>
      </c>
      <c r="I284" s="117">
        <v>4092257.26</v>
      </c>
      <c r="K284" s="116" t="inlineStr">
        <is>
          <t xml:space="preserve">Va'da berdi | 20sanaga tolov | 647</t>
        </is>
      </c>
    </row>
    <row r="285">
      <c r="A285" s="116" t="inlineStr">
        <is>
          <t xml:space="preserve">СУРХОНДАРЁ ВИЛОЯТИ</t>
        </is>
      </c>
      <c r="C285" s="116" t="inlineStr">
        <is>
          <t xml:space="preserve">Обещал</t>
        </is>
      </c>
      <c r="D285" s="116" t="inlineStr">
        <is>
          <t xml:space="preserve">Кр-99038817-1</t>
        </is>
      </c>
      <c r="E285" s="116" t="inlineStr">
        <is>
          <t xml:space="preserve">SHAMSUDDINOV JASUR JALOLIDDIN O’G’LI</t>
        </is>
      </c>
      <c r="F285" s="116" t="inlineStr">
        <is>
          <t xml:space="preserve">998905686688 SMS OZI, 998909959607 SMS OZI 2, 998915178817 SMS DADASI, 998500407141 SMS UYI,</t>
        </is>
      </c>
      <c r="G285" s="116" t="inlineStr">
        <is>
          <t xml:space="preserve">SURXONDARYO VILOYATI OLTINSOY TUMANI JOBU MFY NAVRUZ 78-UY</t>
        </is>
      </c>
      <c r="H285" s="117">
        <v>6.0</v>
      </c>
      <c r="I285" s="117">
        <v>3971049.48</v>
      </c>
      <c r="K285" s="116" t="inlineStr">
        <is>
          <t xml:space="preserve">Va'da berdi | 3-4 kunda tolo qlad | 730</t>
        </is>
      </c>
    </row>
    <row r="286">
      <c r="A286" s="116" t="inlineStr">
        <is>
          <t xml:space="preserve">СУРХОНДАРЁ ВИЛОЯТИ</t>
        </is>
      </c>
      <c r="C286" s="116" t="inlineStr">
        <is>
          <t xml:space="preserve">Обещал</t>
        </is>
      </c>
      <c r="D286" s="116" t="inlineStr">
        <is>
          <t xml:space="preserve">Кр-99029033-1</t>
        </is>
      </c>
      <c r="E286" s="116" t="inlineStr">
        <is>
          <t xml:space="preserve">ABDIYEV OYBEK PARDAYEVICH</t>
        </is>
      </c>
      <c r="F286" s="116" t="inlineStr">
        <is>
          <t xml:space="preserve">998993774798 SMS, 998952688798 SMS UY, 998993483065 SMS AKASI, 998904196065 SMS OILASI,</t>
        </is>
      </c>
      <c r="G286" s="116" t="inlineStr">
        <is>
          <t xml:space="preserve">SURXONDARYO VILOYAT SHO’RCHI TUMAN OLIYHIMMAT MFY KATTATEPA 142-UY</t>
        </is>
      </c>
      <c r="H286" s="117">
        <v>77.0</v>
      </c>
      <c r="I286" s="117">
        <v>3909675.17</v>
      </c>
      <c r="K286" s="116" t="inlineStr">
        <is>
          <t xml:space="preserve">Va'da berdi | abror tolo qlad | 219</t>
        </is>
      </c>
    </row>
    <row r="287">
      <c r="A287" s="116" t="inlineStr">
        <is>
          <t xml:space="preserve">СУРХОНДАРЁ ВИЛОЯТИ</t>
        </is>
      </c>
      <c r="C287" s="116" t="inlineStr">
        <is>
          <t xml:space="preserve">Обещал</t>
        </is>
      </c>
      <c r="D287" s="116" t="inlineStr">
        <is>
          <t xml:space="preserve">Кр-99042695-1</t>
        </is>
      </c>
      <c r="E287" s="116" t="inlineStr">
        <is>
          <t xml:space="preserve">XO’JAMUROTOV BEKZOD XO’SHBOQOVICH</t>
        </is>
      </c>
      <c r="F287" s="116" t="inlineStr">
        <is>
          <t xml:space="preserve">+998997210188 SMS O’ZI, 998953138603 SMS O’G’LI, 998995299486 SMS AYOLI,</t>
        </is>
      </c>
      <c r="G287" s="116" t="inlineStr">
        <is>
          <t xml:space="preserve">Сурхандарьинская область, Шерабадский район, Шеробод МСГ, ул. Узбекистан, уч. 102</t>
        </is>
      </c>
      <c r="H287" s="117">
        <v>10.0</v>
      </c>
      <c r="I287" s="117">
        <v>3878858.67</v>
      </c>
      <c r="K287" s="116" t="inlineStr">
        <is>
          <t xml:space="preserve">Va'da berdi | tgdan yozdm rusda ekan 20 cisidan  kyn toledi | 1059</t>
        </is>
      </c>
    </row>
    <row r="288">
      <c r="A288" s="116" t="inlineStr">
        <is>
          <t xml:space="preserve">СУРХОНДАРЁ ВИЛОЯТИ</t>
        </is>
      </c>
      <c r="C288" s="116" t="inlineStr">
        <is>
          <t xml:space="preserve">Обещал</t>
        </is>
      </c>
      <c r="D288" s="116" t="inlineStr">
        <is>
          <t xml:space="preserve">Кр-99028191-1</t>
        </is>
      </c>
      <c r="E288" s="116" t="inlineStr">
        <is>
          <t xml:space="preserve">MUSAYEVA OLIYA TODJIDINOVNA</t>
        </is>
      </c>
      <c r="F288" s="116" t="inlineStr">
        <is>
          <t xml:space="preserve">88-506-09-68 SMS OZI , 99-065-48-66 SMS UY , 33-051-00-20  SMS OGLI , 91-731-46-46 SMS OGLI ,</t>
        </is>
      </c>
      <c r="G288" s="116" t="inlineStr">
        <is>
          <t xml:space="preserve">SURXONDARYO VILOYATI DENOV TUMANI QORAXON QFY NAMUNA MFY TARAKUAT K’OCHASI 49-UY </t>
        </is>
      </c>
      <c r="H288" s="117">
        <v>23.0</v>
      </c>
      <c r="I288" s="117">
        <v>3864426.85</v>
      </c>
      <c r="K288" s="116" t="inlineStr">
        <is>
          <t xml:space="preserve">Va'da berdi | iskandar ogan | 195</t>
        </is>
      </c>
    </row>
    <row r="289">
      <c r="A289" s="116" t="inlineStr">
        <is>
          <t xml:space="preserve">СУРХОНДАРЁ ВИЛОЯТИ</t>
        </is>
      </c>
      <c r="C289" s="116" t="inlineStr">
        <is>
          <t xml:space="preserve">Обещал</t>
        </is>
      </c>
      <c r="D289" s="116" t="inlineStr">
        <is>
          <t xml:space="preserve">Кр-99016214-6</t>
        </is>
      </c>
      <c r="E289" s="116" t="inlineStr">
        <is>
          <t xml:space="preserve">QAYUMOV BOBOXON JUMAYEVICH</t>
        </is>
      </c>
      <c r="F289" s="116" t="inlineStr">
        <is>
          <t xml:space="preserve">97-793-15-12 SMS UZI, 95-501-40-42 SMS UZI , 99-168-92-80 SMS UYI Begona, 998975300046 SMS ONASI,</t>
        </is>
      </c>
      <c r="G289" s="116" t="inlineStr">
        <is>
          <t xml:space="preserve">SOXIBKOR QFY EZGULIK MFY MUSTAQILLIK KO’CHASI 28-UY</t>
        </is>
      </c>
      <c r="H289" s="117">
        <v>10.0</v>
      </c>
      <c r="I289" s="117">
        <v>3582672.44</v>
      </c>
      <c r="K289" s="116" t="inlineStr">
        <is>
          <t xml:space="preserve">Va'da berdi | 20sanaga tolov | 54</t>
        </is>
      </c>
    </row>
    <row r="290">
      <c r="A290" s="116" t="inlineStr">
        <is>
          <t xml:space="preserve">СУРХОНДАРЁ ВИЛОЯТИ</t>
        </is>
      </c>
      <c r="C290" s="116" t="inlineStr">
        <is>
          <t xml:space="preserve">Обещал</t>
        </is>
      </c>
      <c r="D290" s="116" t="inlineStr">
        <is>
          <t xml:space="preserve">Кр-99040377-1</t>
        </is>
      </c>
      <c r="E290" s="116" t="inlineStr">
        <is>
          <t xml:space="preserve">RADJABOV JO’RABEK MAXMUTOVICH</t>
        </is>
      </c>
      <c r="F290" s="116" t="inlineStr">
        <is>
          <t xml:space="preserve">998507795666 SMS OZI, 998992118496 SMS UKASI, 998507218995 SMS AYOLI, 998999484972 SMS QAYTNONASI,</t>
        </is>
      </c>
      <c r="G290" s="116" t="inlineStr">
        <is>
          <t xml:space="preserve">SURXONDARYO VILOYATI DENOV TUMANI ISLOM TO'RAYEV MFY ASRLAR SADOSI  KO'CHASI</t>
        </is>
      </c>
      <c r="H290" s="117">
        <v>10.0</v>
      </c>
      <c r="I290" s="117">
        <v>3580415.5</v>
      </c>
      <c r="K290" s="116" t="inlineStr">
        <is>
          <t xml:space="preserve">Va'da berdi | ertan 11 ga tolo tel qlw kk | 888</t>
        </is>
      </c>
    </row>
    <row r="291">
      <c r="A291" s="116" t="inlineStr">
        <is>
          <t xml:space="preserve">СУРХОНДАРЁ ВИЛОЯТИ</t>
        </is>
      </c>
      <c r="C291" s="116" t="inlineStr">
        <is>
          <t xml:space="preserve">Обещал</t>
        </is>
      </c>
      <c r="D291" s="116" t="inlineStr">
        <is>
          <t xml:space="preserve">Кр-99053658-1</t>
        </is>
      </c>
      <c r="E291" s="116" t="inlineStr">
        <is>
          <t xml:space="preserve">MUROTALIV BEKMUROD XAITMUROT O’G’LI</t>
        </is>
      </c>
      <c r="F291" s="116" t="inlineStr">
        <is>
          <t xml:space="preserve">998773737223 SMS OZI, 998200295964 SMS OZI, 998954405859 SMS OANSI, 998915833844 SMS AKASI, 998950199165 SMS ozi yangisi,</t>
        </is>
      </c>
      <c r="G291" s="116" t="inlineStr">
        <is>
          <t xml:space="preserve">SURXONDARYO VILOYAT QUMQURG’ON TUMAN GULTEPA MFY BOYQISHLOQ KO’CHASI 252-UY</t>
        </is>
      </c>
      <c r="H291" s="117">
        <v>10.0</v>
      </c>
      <c r="I291" s="117">
        <v>3463568.24</v>
      </c>
      <c r="K291" s="116" t="inlineStr">
        <is>
          <t xml:space="preserve">Va'da berdi | 20 dan kyn tolo qlad owa vohti oganma kredtni oyligmga moljallab dd | 1232</t>
        </is>
      </c>
    </row>
    <row r="292">
      <c r="A292" s="116" t="inlineStr">
        <is>
          <t xml:space="preserve">СУРХОНДАРЁ ВИЛОЯТИ</t>
        </is>
      </c>
      <c r="C292" s="116" t="inlineStr">
        <is>
          <t xml:space="preserve">Обещал</t>
        </is>
      </c>
      <c r="D292" s="116" t="inlineStr">
        <is>
          <t xml:space="preserve">Кр-99011713-3</t>
        </is>
      </c>
      <c r="E292" s="116" t="inlineStr">
        <is>
          <t xml:space="preserve">SHOBERDIYEV AKBAR KOMILJON O’G’LI</t>
        </is>
      </c>
      <c r="F292" s="116" t="inlineStr">
        <is>
          <t xml:space="preserve">998902475708 SMS, 998910757408 SMS ISLOM JIYANI , 998900741017 SMS  AXMAD JIYANI, 998880077858 SMS GULCHEXRA AYOLI,</t>
        </is>
      </c>
      <c r="G292" s="116" t="inlineStr">
        <is>
          <t xml:space="preserve">SURXONDARYO VILOYATI QUMQO’RG’ON TUMANI YANGI YER MFY MUSTAQILLIK KO’CHASI 153-UY</t>
        </is>
      </c>
      <c r="H292" s="117">
        <v>28.0</v>
      </c>
      <c r="I292" s="117">
        <v>3456443.15</v>
      </c>
      <c r="K292" s="116" t="inlineStr">
        <is>
          <t xml:space="preserve">Va'da berdi | 18sanaga tolov | 38</t>
        </is>
      </c>
    </row>
    <row r="293">
      <c r="A293" s="116" t="inlineStr">
        <is>
          <t xml:space="preserve">СУРХОНДАРЁ ВИЛОЯТИ</t>
        </is>
      </c>
      <c r="C293" s="116" t="inlineStr">
        <is>
          <t xml:space="preserve">Обещал</t>
        </is>
      </c>
      <c r="D293" s="116" t="inlineStr">
        <is>
          <t xml:space="preserve">Кр-99012058-4</t>
        </is>
      </c>
      <c r="E293" s="116" t="inlineStr">
        <is>
          <t xml:space="preserve">XAITOV KAXRAMON ERGASHOVICH</t>
        </is>
      </c>
      <c r="F293" s="116" t="inlineStr">
        <is>
          <t xml:space="preserve">99-336-87-80 SMS OZI, 99-948-40-81 SMS SHERIGI ERKIN, 99-959-11-12 SMS AKASI ABDUMUROD, 99-595-26-02 SMS UY, +7 921 108 9959 SMS OZI TGSI BOR ,</t>
        </is>
      </c>
      <c r="G293" s="116" t="inlineStr">
        <is>
          <t xml:space="preserve">SURXONDARYO VILOYATI DENOV TUMANI NAVBAHOR MFY G’UZOROBOD KO’CHASI 36-UY</t>
        </is>
      </c>
      <c r="H293" s="117">
        <v>29.0</v>
      </c>
      <c r="I293" s="117">
        <v>3266069.04</v>
      </c>
      <c r="K293" s="116" t="inlineStr">
        <is>
          <t xml:space="preserve">Va'da berdi | dushanba kuniga | 40</t>
        </is>
      </c>
    </row>
    <row r="294">
      <c r="A294" s="116" t="inlineStr">
        <is>
          <t xml:space="preserve">СУРХОНДАРЁ ВИЛОЯТИ</t>
        </is>
      </c>
      <c r="C294" s="116" t="inlineStr">
        <is>
          <t xml:space="preserve">Обещал</t>
        </is>
      </c>
      <c r="D294" s="116" t="inlineStr">
        <is>
          <t xml:space="preserve">Кр-99033460-1</t>
        </is>
      </c>
      <c r="E294" s="116" t="inlineStr">
        <is>
          <t xml:space="preserve">CHORIYEVA NASIBA ABDUSALIM QIZI</t>
        </is>
      </c>
      <c r="F294" s="116" t="inlineStr">
        <is>
          <t xml:space="preserve">998992315902 SMS O’ZI, 998994226734 SMS XUJAYINI, 998995625902 SMS QAYNONASI, 998500990706 SMS QAYNI UKASI,</t>
        </is>
      </c>
      <c r="G294" s="116" t="inlineStr">
        <is>
          <t xml:space="preserve">SURXONDARYO VILOYATI ANGOR TUMAN DEXQONITTIFOQ MFY  USTA-QISHLOQ KO’CHASI 10-UY</t>
        </is>
      </c>
      <c r="H294" s="117">
        <v>7.0</v>
      </c>
      <c r="I294" s="117">
        <v>3016264.89</v>
      </c>
      <c r="K294" s="116" t="inlineStr">
        <is>
          <t xml:space="preserve">Va'da berdi | bugun tolo qlad | 396</t>
        </is>
      </c>
    </row>
    <row r="295">
      <c r="A295" s="116" t="inlineStr">
        <is>
          <t xml:space="preserve">СУРХОНДАРЁ ВИЛОЯТИ</t>
        </is>
      </c>
      <c r="C295" s="116" t="inlineStr">
        <is>
          <t xml:space="preserve">Обещал</t>
        </is>
      </c>
      <c r="D295" s="116" t="inlineStr">
        <is>
          <t xml:space="preserve">Кр-99035581-2</t>
        </is>
      </c>
      <c r="E295" s="116" t="inlineStr">
        <is>
          <t xml:space="preserve">SAYDALIYEV BAXTINUR BAXRIDDIN O’G’LI</t>
        </is>
      </c>
      <c r="F295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95" s="116" t="inlineStr">
        <is>
          <t xml:space="preserve">Сурхондарё вилояти Кизирик Тумани Работак МФЙ, Абдулла Қаххор 1 кучаси, 21...-уй</t>
        </is>
      </c>
      <c r="H295" s="117">
        <v>10.0</v>
      </c>
      <c r="I295" s="117">
        <v>2934343.73</v>
      </c>
      <c r="K295" s="116" t="inlineStr">
        <is>
          <t xml:space="preserve">Va'da berdi | 20 dan kyn tolo qlad | 516</t>
        </is>
      </c>
    </row>
    <row r="296">
      <c r="A296" s="116" t="inlineStr">
        <is>
          <t xml:space="preserve">СУРХОНДАРЁ ВИЛОЯТИ</t>
        </is>
      </c>
      <c r="C296" s="116" t="inlineStr">
        <is>
          <t xml:space="preserve">Обещал</t>
        </is>
      </c>
      <c r="D296" s="116" t="inlineStr">
        <is>
          <t xml:space="preserve">Кр-99057441-1</t>
        </is>
      </c>
      <c r="E296" s="116" t="inlineStr">
        <is>
          <t xml:space="preserve">ISMATULLAYEV SALOXIDDIN SHERALI O’G’LI</t>
        </is>
      </c>
      <c r="F296" s="116" t="inlineStr">
        <is>
          <t xml:space="preserve">998971544440 SMS UZI, 998700137737 SMS UKASI, 998917333337 SMS UY, 998903799208 SMS UY 2,</t>
        </is>
      </c>
      <c r="G296" s="116" t="inlineStr">
        <is>
          <t xml:space="preserve">SURXONDARYO VILOYATI UZUN TUMANI QARASHIQ MFY SHODLIK KO’CHASI  153-UY </t>
        </is>
      </c>
      <c r="H296" s="117">
        <v>10.0</v>
      </c>
      <c r="I296" s="117">
        <v>2849944.14</v>
      </c>
      <c r="K296" s="116" t="inlineStr">
        <is>
          <t xml:space="preserve">Va'da berdi | bugun yo erte tolo qlad | 1295</t>
        </is>
      </c>
    </row>
    <row r="297">
      <c r="A297" s="116" t="inlineStr">
        <is>
          <t xml:space="preserve">СУРХОНДАРЁ ВИЛОЯТИ</t>
        </is>
      </c>
      <c r="C297" s="116" t="inlineStr">
        <is>
          <t xml:space="preserve">Обещал</t>
        </is>
      </c>
      <c r="D297" s="116" t="inlineStr">
        <is>
          <t xml:space="preserve">Кр-99037348-1</t>
        </is>
      </c>
      <c r="E297" s="116" t="inlineStr">
        <is>
          <t xml:space="preserve">OLIMOV UMIDJON XUMOYIDDIN O’G’LI</t>
        </is>
      </c>
      <c r="F297" s="116" t="inlineStr">
        <is>
          <t xml:space="preserve">998942029997 SMS OZI, 998943059997 SMS UY, 998774143444 SMS AKASI, 998932072484 SMS AKASI,</t>
        </is>
      </c>
      <c r="G297" s="116" t="inlineStr">
        <is>
          <t xml:space="preserve">SURXONDARYO VILOYATI QUMQO’RG’ON TUMANI YANGIQISHLOQ  MFY NAFASAD   37-UY</t>
        </is>
      </c>
      <c r="H297" s="117">
        <v>3.0</v>
      </c>
      <c r="I297" s="117">
        <v>2823681.2</v>
      </c>
      <c r="K297" s="116" t="inlineStr">
        <is>
          <t xml:space="preserve">Va'da berdi | jumaga tolov 18 | 633</t>
        </is>
      </c>
    </row>
    <row r="298">
      <c r="A298" s="116" t="inlineStr">
        <is>
          <t xml:space="preserve">СУРХОНДАРЁ ВИЛОЯТИ</t>
        </is>
      </c>
      <c r="C298" s="116" t="inlineStr">
        <is>
          <t xml:space="preserve">Обещал</t>
        </is>
      </c>
      <c r="D298" s="116" t="inlineStr">
        <is>
          <t xml:space="preserve">Кр-99010264-3</t>
        </is>
      </c>
      <c r="E298" s="116" t="inlineStr">
        <is>
          <t xml:space="preserve">RO’ZIYEV XOLIYOR ALLANAZAROVICH</t>
        </is>
      </c>
      <c r="F298" s="116" t="inlineStr">
        <is>
          <t xml:space="preserve">91-582-85-90 SMS, 91-512-64-92  SMS O’G’LI NOMOZ, 91-228-85-09  SMS KELINI MUBORAK, 91-234-52-59 SMS UY,</t>
        </is>
      </c>
      <c r="G298" s="116" t="inlineStr">
        <is>
          <t xml:space="preserve">SURXONDARYO VILOYATI SHO’RCHI TUMANI ALPIMISH QFY TAMADDUM MFY 471-UY</t>
        </is>
      </c>
      <c r="H298" s="117">
        <v>10.0</v>
      </c>
      <c r="I298" s="117">
        <v>2808144.91</v>
      </c>
      <c r="K298" s="116" t="inlineStr">
        <is>
          <t xml:space="preserve">Va'da berdi | kelini kotardi abrorga polni tolaganmiz dd | 31</t>
        </is>
      </c>
    </row>
    <row r="299">
      <c r="A299" s="116" t="inlineStr">
        <is>
          <t xml:space="preserve">СУРХОНДАРЁ ВИЛОЯТИ</t>
        </is>
      </c>
      <c r="C299" s="116" t="inlineStr">
        <is>
          <t xml:space="preserve">Обещал</t>
        </is>
      </c>
      <c r="D299" s="116" t="inlineStr">
        <is>
          <t xml:space="preserve">Кр-99037985-1</t>
        </is>
      </c>
      <c r="E299" s="116" t="inlineStr">
        <is>
          <t xml:space="preserve">RAXMATOV SANJAR SIROJIDDIN O’G’LI</t>
        </is>
      </c>
      <c r="F299" s="116" t="inlineStr">
        <is>
          <t xml:space="preserve">998200079666 SMS OZI, 998770979222 SMS UYI, 998934087282 SMS UKASI, 998990379858 SMS UYI, 998770979222 SMS TOLOVCHI MOSHINANI SHU SOTIB OLGAN ,</t>
        </is>
      </c>
      <c r="G299" s="116" t="inlineStr">
        <is>
          <t xml:space="preserve">SURXONDARYO VILOYATI BOYSUN TUMANI GAZA MFY BIDORKOM 79-UY</t>
        </is>
      </c>
      <c r="H299" s="117">
        <v>10.0</v>
      </c>
      <c r="I299" s="117">
        <v>2738184.04</v>
      </c>
      <c r="K299" s="116" t="inlineStr">
        <is>
          <t xml:space="preserve">Va'da berdi | 20 cisida tolo qlad | 668</t>
        </is>
      </c>
    </row>
    <row r="300">
      <c r="A300" s="116" t="inlineStr">
        <is>
          <t xml:space="preserve">СУРХОНДАРЁ ВИЛОЯТИ</t>
        </is>
      </c>
      <c r="C300" s="116" t="inlineStr">
        <is>
          <t xml:space="preserve">Обещал</t>
        </is>
      </c>
      <c r="D300" s="116" t="inlineStr">
        <is>
          <t xml:space="preserve">Кр-99034309-2</t>
        </is>
      </c>
      <c r="E300" s="116" t="inlineStr">
        <is>
          <t xml:space="preserve">KAMBAROV NIZOMIDDIN IKROMIDDINOVICH</t>
        </is>
      </c>
      <c r="F300" s="116" t="inlineStr">
        <is>
          <t xml:space="preserve">998883310406 SMS OZI, 998885350803 SMS UY, 998882661198 SMS AKASI, 998990157293 SMS UKASI,</t>
        </is>
      </c>
      <c r="G300" s="116" t="inlineStr">
        <is>
          <t xml:space="preserve">Сурхандарьинская область, Денауский район, Фарғона ҚФЙ,  Водий МФЙ, дом 6, кв. 15</t>
        </is>
      </c>
      <c r="H300" s="117">
        <v>10.0</v>
      </c>
      <c r="I300" s="117">
        <v>2716566.4</v>
      </c>
      <c r="K300" s="116" t="inlineStr">
        <is>
          <t xml:space="preserve">Va'da berdi | 20 sidan kyn tolo qlad | 448</t>
        </is>
      </c>
    </row>
    <row r="301">
      <c r="A301" s="116" t="inlineStr">
        <is>
          <t xml:space="preserve">СУРХОНДАРЁ ВИЛОЯТИ</t>
        </is>
      </c>
      <c r="C301" s="116" t="inlineStr">
        <is>
          <t xml:space="preserve">Обещал</t>
        </is>
      </c>
      <c r="D301" s="116" t="inlineStr">
        <is>
          <t xml:space="preserve">Кр-99041348-1</t>
        </is>
      </c>
      <c r="E301" s="116" t="inlineStr">
        <is>
          <t xml:space="preserve">AZIZOV GAFUR MUSAFAROVICH</t>
        </is>
      </c>
      <c r="F301" s="116" t="inlineStr">
        <is>
          <t xml:space="preserve">998915159698 SMS O’ZI, 998919711331 SMS UY, 998995455223 SMS O’G’LI begona,</t>
        </is>
      </c>
      <c r="G301" s="116" t="inlineStr">
        <is>
          <t xml:space="preserve">СУРХОНДАРЁ ВИЛОЯТИ ДЕНОВ ШАХАР, СУФИ ОЛЛОЁР ШФЙ,  uy:74</t>
        </is>
      </c>
      <c r="H301" s="117">
        <v>10.0</v>
      </c>
      <c r="I301" s="117">
        <v>2709221.92</v>
      </c>
      <c r="K301" s="116" t="inlineStr">
        <is>
          <t xml:space="preserve">Va'da berdi | wahnoz tolidi | 988</t>
        </is>
      </c>
    </row>
    <row r="302">
      <c r="A302" s="116" t="inlineStr">
        <is>
          <t xml:space="preserve">СУРХОНДАРЁ ВИЛОЯТИ</t>
        </is>
      </c>
      <c r="C302" s="116" t="inlineStr">
        <is>
          <t xml:space="preserve">Обещал</t>
        </is>
      </c>
      <c r="D302" s="116" t="inlineStr">
        <is>
          <t xml:space="preserve">Кр-99040482-2</t>
        </is>
      </c>
      <c r="E302" s="116" t="inlineStr">
        <is>
          <t xml:space="preserve">XUDAYBERDIYEV MUXAMMADJON KURBANMURATOVICH</t>
        </is>
      </c>
      <c r="F302" s="116" t="inlineStr">
        <is>
          <t xml:space="preserve">998502227177 SMS JIYANI, 998880698118 SMS O’ZI, 998948041917 SMS ONASINI,</t>
        </is>
      </c>
      <c r="G302" s="116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302" s="117">
        <v>10.0</v>
      </c>
      <c r="I302" s="117">
        <v>2706452.4</v>
      </c>
      <c r="K302" s="116" t="inlineStr">
        <is>
          <t xml:space="preserve">Va'da berdi | 2 soatda qisman tolo qlad | 901</t>
        </is>
      </c>
    </row>
    <row r="303">
      <c r="A303" s="116" t="inlineStr">
        <is>
          <t xml:space="preserve">СУРХОНДАРЁ ВИЛОЯТИ</t>
        </is>
      </c>
      <c r="C303" s="116" t="inlineStr">
        <is>
          <t xml:space="preserve">Обещал</t>
        </is>
      </c>
      <c r="D303" s="116" t="inlineStr">
        <is>
          <t xml:space="preserve">Кр-99037169-1</t>
        </is>
      </c>
      <c r="E303" s="116" t="inlineStr">
        <is>
          <t xml:space="preserve">GAYDAROVA SHOIRA YUSUPOVNA</t>
        </is>
      </c>
      <c r="F303" s="116" t="inlineStr">
        <is>
          <t xml:space="preserve">998915185292 SMS OZI, 796268919057 SMS ROSSIYA TELEGRAMI, 998950992302 SMS QIZI, 998970994990 SMS UYI,</t>
        </is>
      </c>
      <c r="G303" s="116" t="inlineStr">
        <is>
          <t xml:space="preserve">SURXONDARYO VILOYATI DENOV TUMANI MEXR OQIBAT MFY SH.RASHIDOV 4-DOM 17-KVARTERA</t>
        </is>
      </c>
      <c r="H303" s="117">
        <v>13.0</v>
      </c>
      <c r="I303" s="117">
        <v>2587583.75</v>
      </c>
      <c r="K303" s="116" t="inlineStr">
        <is>
          <t xml:space="preserve">Va'da berdi | abror olgan | 616</t>
        </is>
      </c>
    </row>
    <row r="304">
      <c r="A304" s="116" t="inlineStr">
        <is>
          <t xml:space="preserve">СУРХОНДАРЁ ВИЛОЯТИ</t>
        </is>
      </c>
      <c r="C304" s="116" t="inlineStr">
        <is>
          <t xml:space="preserve">Обещал</t>
        </is>
      </c>
      <c r="D304" s="116" t="inlineStr">
        <is>
          <t xml:space="preserve">Кр-99022239-5</t>
        </is>
      </c>
      <c r="E304" s="116" t="inlineStr">
        <is>
          <t xml:space="preserve">MAXMUDOV AZAMAT ABDUXALIMOVICH</t>
        </is>
      </c>
      <c r="F304" s="116" t="inlineStr">
        <is>
          <t xml:space="preserve">99-428-85-81 SMS, 93-838-85-01  SMS UY, 91-581-86-56  SMS ZALOGADATEL, 998947851179 shu raqamdan tel qildi azamat ,</t>
        </is>
      </c>
      <c r="G304" s="116" t="inlineStr">
        <is>
          <t xml:space="preserve">SURXONDARYO VILOYATI SARIOSIYO TUMANI SUFIYON QFY NIHOLZOR MFY TINCHLIK K’OCHASI 46-UY</t>
        </is>
      </c>
      <c r="H304" s="117">
        <v>10.0</v>
      </c>
      <c r="I304" s="117">
        <v>2581446.92</v>
      </c>
      <c r="K304" s="116" t="inlineStr">
        <is>
          <t xml:space="preserve">Va'da berdi | 20 cisidan kyn  tolov qlad | 114</t>
        </is>
      </c>
    </row>
    <row r="305">
      <c r="A305" s="116" t="inlineStr">
        <is>
          <t xml:space="preserve">СУРХОНДАРЁ ВИЛОЯТИ</t>
        </is>
      </c>
      <c r="C305" s="116" t="inlineStr">
        <is>
          <t xml:space="preserve">Обещал</t>
        </is>
      </c>
      <c r="D305" s="116" t="inlineStr">
        <is>
          <t xml:space="preserve">Кр-99035839-1</t>
        </is>
      </c>
      <c r="E305" s="116" t="inlineStr">
        <is>
          <t xml:space="preserve">NAZAROV SOATMUROT BOBONAZAROVICH</t>
        </is>
      </c>
      <c r="F305" s="116" t="inlineStr">
        <is>
          <t xml:space="preserve">998904112878 SMS tulovchi quruvchi, 998915861956 SMS OZI, 998915103380 SMS UY, 998952790593 SMS OGLI,</t>
        </is>
      </c>
      <c r="G305" s="116" t="inlineStr">
        <is>
          <t xml:space="preserve">SURXONDARYO VILOYATI DENOV TUMANI XAYRABOD QFY PAXTAKURASH MFY SURXONDARYO KO'CHASI 22-UY</t>
        </is>
      </c>
      <c r="H305" s="117">
        <v>10.0</v>
      </c>
      <c r="I305" s="117">
        <v>2561442.29</v>
      </c>
      <c r="K305" s="116" t="inlineStr">
        <is>
          <t xml:space="preserve">Va'da berdi | soatmuroti ozi bn gaplawdm oglim toledi 3-4 kunda dd | 536</t>
        </is>
      </c>
    </row>
    <row r="306">
      <c r="A306" s="116" t="inlineStr">
        <is>
          <t xml:space="preserve">СУРХОНДАРЁ ВИЛОЯТИ</t>
        </is>
      </c>
      <c r="C306" s="116" t="inlineStr">
        <is>
          <t xml:space="preserve">Обещал</t>
        </is>
      </c>
      <c r="D306" s="116" t="inlineStr">
        <is>
          <t xml:space="preserve">Кр-99035581-5</t>
        </is>
      </c>
      <c r="E306" s="116" t="inlineStr">
        <is>
          <t xml:space="preserve">SAYDALIYEV BAXTINUR BAXRIDDIN O’G’LI</t>
        </is>
      </c>
      <c r="F306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06" s="116" t="inlineStr">
        <is>
          <t xml:space="preserve">Сурхондарё вилояти Кизирик Тумани Работак МФЙ, Абдулла Қаххор 1 кучаси, 21...-уй</t>
        </is>
      </c>
      <c r="H306" s="117">
        <v>10.0</v>
      </c>
      <c r="I306" s="117">
        <v>2457778.99</v>
      </c>
      <c r="K306" s="116" t="inlineStr">
        <is>
          <t xml:space="preserve">Va'da berdi | 20 dan kyn tolo qlad | 518</t>
        </is>
      </c>
    </row>
    <row r="307">
      <c r="A307" s="116" t="inlineStr">
        <is>
          <t xml:space="preserve">СУРХОНДАРЁ ВИЛОЯТИ</t>
        </is>
      </c>
      <c r="C307" s="116" t="inlineStr">
        <is>
          <t xml:space="preserve">Обещал</t>
        </is>
      </c>
      <c r="D307" s="116" t="inlineStr">
        <is>
          <t xml:space="preserve">Кр-99036477-1</t>
        </is>
      </c>
      <c r="E307" s="116" t="inlineStr">
        <is>
          <t xml:space="preserve">MALIKOVA DILFUZA FARXODOVNA</t>
        </is>
      </c>
      <c r="F307" s="116" t="inlineStr">
        <is>
          <t xml:space="preserve">998942626009 SMS OZI, 998888100600 SMS DOSTI, 998919000061 SMS ERI, 998947086666 SMS ERI,</t>
        </is>
      </c>
      <c r="G307" s="116" t="inlineStr">
        <is>
          <t xml:space="preserve">SURXANDARYO VILOYATI SHEROBOD TUMANI HO’JGI MAXALLASI SH.SHOBERDIYEV KUCHASI 59 UY</t>
        </is>
      </c>
      <c r="H307" s="117">
        <v>13.0</v>
      </c>
      <c r="I307" s="117">
        <v>2448258.1</v>
      </c>
      <c r="K307" s="116" t="inlineStr">
        <is>
          <t xml:space="preserve">Va'da berdi | 25 sanaga eri rusda pul tawed | 579</t>
        </is>
      </c>
    </row>
    <row r="308">
      <c r="A308" s="116" t="inlineStr">
        <is>
          <t xml:space="preserve">СУРХОНДАРЁ ВИЛОЯТИ</t>
        </is>
      </c>
      <c r="C308" s="116" t="inlineStr">
        <is>
          <t xml:space="preserve">Обещал</t>
        </is>
      </c>
      <c r="D308" s="116" t="inlineStr">
        <is>
          <t xml:space="preserve">Кр-99028191-2</t>
        </is>
      </c>
      <c r="E308" s="116" t="inlineStr">
        <is>
          <t xml:space="preserve">MUSAYEVA OLIYA TODJIDINOVNA</t>
        </is>
      </c>
      <c r="F308" s="116" t="inlineStr">
        <is>
          <t xml:space="preserve">88-506-09-68 SMS OZI , 99-065-48-66 SMS UY , 33-051-00-20  SMS OGLI , 91-731-46-46 SMS OGLI ,</t>
        </is>
      </c>
      <c r="G308" s="116" t="inlineStr">
        <is>
          <t xml:space="preserve">SURXONDARYO VILOYATI DENOV TUMANI QORAXON QFY NAMUNA MFY TARAKUAT K’OCHASI 49-UY </t>
        </is>
      </c>
      <c r="H308" s="117">
        <v>28.0</v>
      </c>
      <c r="I308" s="117">
        <v>2441517.29</v>
      </c>
      <c r="K308" s="116" t="inlineStr">
        <is>
          <t xml:space="preserve">Va'da berdi | wahnoz ogan | 196</t>
        </is>
      </c>
    </row>
    <row r="309">
      <c r="A309" s="116" t="inlineStr">
        <is>
          <t xml:space="preserve">СУРХОНДАРЁ ВИЛОЯТИ</t>
        </is>
      </c>
      <c r="C309" s="116" t="inlineStr">
        <is>
          <t xml:space="preserve">Обещал</t>
        </is>
      </c>
      <c r="D309" s="116" t="inlineStr">
        <is>
          <t xml:space="preserve">Кр-99033472-1</t>
        </is>
      </c>
      <c r="E309" s="116" t="inlineStr">
        <is>
          <t xml:space="preserve">G’AFUROVA NASIBA XOLTURAYEVNA</t>
        </is>
      </c>
      <c r="F309" s="116" t="inlineStr">
        <is>
          <t xml:space="preserve">998996774455 SMS O’ZI, 998953338683 SMS AYOLI, 998910060804 SMS O’G’LI,</t>
        </is>
      </c>
      <c r="G309" s="116" t="inlineStr">
        <is>
          <t xml:space="preserve">SURXONDARYO VILOYATI DENOV TUMANI QIZILJAR QFY NAMUNA MFY OSIYO  KO’CHASI 114-UY </t>
        </is>
      </c>
      <c r="H309" s="117">
        <v>7.0</v>
      </c>
      <c r="I309" s="117">
        <v>2435903.17</v>
      </c>
      <c r="K309" s="116" t="inlineStr">
        <is>
          <t xml:space="preserve">Va'da berdi | kyng xafta tolo qlad | 398</t>
        </is>
      </c>
    </row>
    <row r="310">
      <c r="A310" s="116" t="inlineStr">
        <is>
          <t xml:space="preserve">СУРХОНДАРЁ ВИЛОЯТИ</t>
        </is>
      </c>
      <c r="C310" s="116" t="inlineStr">
        <is>
          <t xml:space="preserve">Обещал</t>
        </is>
      </c>
      <c r="D310" s="116" t="inlineStr">
        <is>
          <t xml:space="preserve">Кр-99016242-5</t>
        </is>
      </c>
      <c r="E310" s="116" t="inlineStr">
        <is>
          <t xml:space="preserve">XUDAYBERDIYEV AKMAL RUSTAMOVICH</t>
        </is>
      </c>
      <c r="F310" s="116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310" s="116" t="inlineStr">
        <is>
          <t xml:space="preserve">GUZALLIK MFY FARAVONM KO’CHASI 6-UY</t>
        </is>
      </c>
      <c r="H310" s="117">
        <v>3.0</v>
      </c>
      <c r="I310" s="117">
        <v>2424817.22</v>
      </c>
      <c r="K310" s="116" t="inlineStr">
        <is>
          <t xml:space="preserve">Va'da berdi | seshanba kuniga +998882360545 shu nomerdan rassiyadan kelibti | 55</t>
        </is>
      </c>
    </row>
    <row r="311">
      <c r="A311" s="116" t="inlineStr">
        <is>
          <t xml:space="preserve">СУРХОНДАРЁ ВИЛОЯТИ</t>
        </is>
      </c>
      <c r="C311" s="116" t="inlineStr">
        <is>
          <t xml:space="preserve">Обещал</t>
        </is>
      </c>
      <c r="D311" s="116" t="inlineStr">
        <is>
          <t xml:space="preserve">Кр-99038880-1</t>
        </is>
      </c>
      <c r="E311" s="116" t="inlineStr">
        <is>
          <t xml:space="preserve">ULUG’BERDIYEVA SEVARA ESHDAVLATOVNA</t>
        </is>
      </c>
      <c r="F311" s="116" t="inlineStr">
        <is>
          <t xml:space="preserve">998977398486 SMS OZI, 998979078486 SMS UY, 998907472609 SMS AKASI, 998915878454 SMS NAZIR AKA ,</t>
        </is>
      </c>
      <c r="G311" s="116" t="inlineStr">
        <is>
          <t xml:space="preserve">SHO’RCHI TUMANI</t>
        </is>
      </c>
      <c r="H311" s="117">
        <v>2.0</v>
      </c>
      <c r="I311" s="117">
        <v>2373739.1</v>
      </c>
      <c r="K311" s="116" t="inlineStr">
        <is>
          <t xml:space="preserve">Va'da berdi | abror olgan | 740</t>
        </is>
      </c>
    </row>
    <row r="312">
      <c r="A312" s="116" t="inlineStr">
        <is>
          <t xml:space="preserve">СУРХОНДАРЁ ВИЛОЯТИ</t>
        </is>
      </c>
      <c r="C312" s="116" t="inlineStr">
        <is>
          <t xml:space="preserve">Обещал</t>
        </is>
      </c>
      <c r="D312" s="116" t="inlineStr">
        <is>
          <t xml:space="preserve">Кр-99032902-1</t>
        </is>
      </c>
      <c r="E312" s="116" t="inlineStr">
        <is>
          <t xml:space="preserve">ESANOV YODGOR QARSHIYEVICH</t>
        </is>
      </c>
      <c r="F312" s="116" t="inlineStr">
        <is>
          <t xml:space="preserve">998991672595 SMS O’ZI TAKSIST , 998978488808 SMS AKASI, 998932439888 SMS UY, 998997117776 SMS, 998947283030 SMS AKASI,</t>
        </is>
      </c>
      <c r="G312" s="116" t="inlineStr">
        <is>
          <t xml:space="preserve">SURXONDARYO VILOYATI DENOV  OBODON MFY TURON 334-UY</t>
        </is>
      </c>
      <c r="H312" s="117">
        <v>10.0</v>
      </c>
      <c r="I312" s="117">
        <v>2350653.28</v>
      </c>
      <c r="K312" s="116" t="inlineStr">
        <is>
          <t xml:space="preserve">Va'da berdi | mowinga taqiq qoyb qoyilgan bow ofsga kelb xal qlad | 370</t>
        </is>
      </c>
    </row>
    <row r="313">
      <c r="A313" s="116" t="inlineStr">
        <is>
          <t xml:space="preserve">СУРХОНДАРЁ ВИЛОЯТИ</t>
        </is>
      </c>
      <c r="C313" s="116" t="inlineStr">
        <is>
          <t xml:space="preserve">Обещал</t>
        </is>
      </c>
      <c r="D313" s="116" t="inlineStr">
        <is>
          <t xml:space="preserve">Кр-99034163-2</t>
        </is>
      </c>
      <c r="E313" s="116" t="inlineStr">
        <is>
          <t xml:space="preserve">XOLMATOV BEKZOD NORTOJIYEVICH</t>
        </is>
      </c>
      <c r="F313" s="116" t="inlineStr">
        <is>
          <t xml:space="preserve">998910790909 SMS O’ZI, 998951755754 SMS UY, 998919012266 SMS DADASI, 998952757552 SMS UKASI,</t>
        </is>
      </c>
      <c r="G313" s="116" t="inlineStr">
        <is>
          <t xml:space="preserve">SURXONDARYO VILOYATI DENOV TUMANI ZARAFSHON  MFY FIDOKAR K’OCHASI 6- UY</t>
        </is>
      </c>
      <c r="H313" s="117">
        <v>15.0</v>
      </c>
      <c r="I313" s="117">
        <v>2331209.46</v>
      </c>
      <c r="K313" s="116" t="inlineStr">
        <is>
          <t xml:space="preserve">Va'da berdi | bugun filialga borad | 435</t>
        </is>
      </c>
    </row>
    <row r="314">
      <c r="A314" s="116" t="inlineStr">
        <is>
          <t xml:space="preserve">СУРХОНДАРЁ ВИЛОЯТИ</t>
        </is>
      </c>
      <c r="C314" s="116" t="inlineStr">
        <is>
          <t xml:space="preserve">Обещал</t>
        </is>
      </c>
      <c r="D314" s="116" t="inlineStr">
        <is>
          <t xml:space="preserve">Кр-99029526-1</t>
        </is>
      </c>
      <c r="E314" s="116" t="inlineStr">
        <is>
          <t xml:space="preserve">QAYUMOV XASAN XAYRULLAYEVICH</t>
        </is>
      </c>
      <c r="F314" s="116" t="inlineStr">
        <is>
          <t xml:space="preserve">97-693-95-55 SMS , 90-266-26-26  SMS AKASI, 90-266-32-66  SMS ONASI, 77-023-72-32  SMS UY, 998996726826 SMS TOLOVCHI ,</t>
        </is>
      </c>
      <c r="G314" s="116" t="inlineStr">
        <is>
          <t xml:space="preserve">SURXONDARYO VILOYATI DENOV TUMANI  BOBIR MFY  BOBUR 25-UY</t>
        </is>
      </c>
      <c r="H314" s="117">
        <v>3.0</v>
      </c>
      <c r="I314" s="117">
        <v>2325641.03</v>
      </c>
      <c r="K314" s="116" t="inlineStr">
        <is>
          <t xml:space="preserve">Va'da berdi | oy oxrgaca yopad | 242</t>
        </is>
      </c>
    </row>
    <row r="315">
      <c r="A315" s="116" t="inlineStr">
        <is>
          <t xml:space="preserve">СУРХОНДАРЁ ВИЛОЯТИ</t>
        </is>
      </c>
      <c r="C315" s="116" t="inlineStr">
        <is>
          <t xml:space="preserve">Обещал</t>
        </is>
      </c>
      <c r="D315" s="116" t="inlineStr">
        <is>
          <t xml:space="preserve">Кр-99037272-1</t>
        </is>
      </c>
      <c r="E315" s="116" t="inlineStr">
        <is>
          <t xml:space="preserve">YULDOSHEV ULUG’BEK XUDOYBERDI O’G’LI</t>
        </is>
      </c>
      <c r="F315" s="116" t="inlineStr">
        <is>
          <t xml:space="preserve">998885502426 SMS OZI, 998919781202 SMS AKASI , 998919020667 SMS ONASI , 998975348496 SMS OSHNASI ,</t>
        </is>
      </c>
      <c r="G315" s="116" t="inlineStr">
        <is>
          <t xml:space="preserve">SURXONDARYO VILOYATI DENOV TUMANI OZOD MFY OZOD KO’CHASI  6/12-UY  </t>
        </is>
      </c>
      <c r="H315" s="117">
        <v>7.0</v>
      </c>
      <c r="I315" s="117">
        <v>2079460.51</v>
      </c>
      <c r="K315" s="116" t="inlineStr">
        <is>
          <t xml:space="preserve">Va'da berdi | iskandar mowini ogan | 625</t>
        </is>
      </c>
    </row>
    <row r="316">
      <c r="A316" s="116" t="inlineStr">
        <is>
          <t xml:space="preserve">СУРХОНДАРЁ ВИЛОЯТИ</t>
        </is>
      </c>
      <c r="C316" s="116" t="inlineStr">
        <is>
          <t xml:space="preserve">Обещал</t>
        </is>
      </c>
      <c r="D316" s="116" t="inlineStr">
        <is>
          <t xml:space="preserve">Кр-99062762-2</t>
        </is>
      </c>
      <c r="E316" s="116" t="inlineStr">
        <is>
          <t xml:space="preserve">BO’RIYEVA DILFUZA RO’ZIBOYEVNA</t>
        </is>
      </c>
      <c r="F316" s="116" t="inlineStr">
        <is>
          <t xml:space="preserve">+998919107277 SMS O’ZI, 998947994446 SMS ERI,</t>
        </is>
      </c>
      <c r="G316" s="116" t="inlineStr">
        <is>
          <t xml:space="preserve">ТЕРМИЗ ТУМАНИ НУРАФШОН МФЙ, БУНЁДКОР КУЧА  uy:53</t>
        </is>
      </c>
      <c r="H316" s="117">
        <v>10.0</v>
      </c>
      <c r="I316" s="117">
        <v>2051714.79</v>
      </c>
      <c r="K316" s="116" t="inlineStr">
        <is>
          <t xml:space="preserve">Va'da berdi | xojayini cetda iwda ekan pul oliwi bn tawab berad yopad | 1432</t>
        </is>
      </c>
    </row>
    <row r="317">
      <c r="A317" s="116" t="inlineStr">
        <is>
          <t xml:space="preserve">СУРХОНДАРЁ ВИЛОЯТИ</t>
        </is>
      </c>
      <c r="C317" s="116" t="inlineStr">
        <is>
          <t xml:space="preserve">Обещал</t>
        </is>
      </c>
      <c r="D317" s="116" t="inlineStr">
        <is>
          <t xml:space="preserve">Кр-99043043-1</t>
        </is>
      </c>
      <c r="E317" s="116" t="inlineStr">
        <is>
          <t xml:space="preserve">BOYQULOV FIRDAVS ABDUVOXID O’G’LI</t>
        </is>
      </c>
      <c r="F317" s="116" t="inlineStr">
        <is>
          <t xml:space="preserve">998944361003 SMS O’ZI, 998991351177 SMS UY, 998996660094 SMS AKASI,</t>
        </is>
      </c>
      <c r="G317" s="116" t="inlineStr">
        <is>
          <t xml:space="preserve">Сурхандарьинская область, Денауский район, Хазарбоғ СИУ, Чим МСГ, ул. Гулистон, дом 6</t>
        </is>
      </c>
      <c r="H317" s="117">
        <v>10.0</v>
      </c>
      <c r="I317" s="117">
        <v>2027247.44</v>
      </c>
      <c r="K317" s="116" t="inlineStr">
        <is>
          <t xml:space="preserve">Va'da berdi | mowinasn urvogan oy oxrgaca yopad | 1073</t>
        </is>
      </c>
    </row>
    <row r="318">
      <c r="A318" s="116" t="inlineStr">
        <is>
          <t xml:space="preserve">СУРХОНДАРЁ ВИЛОЯТИ</t>
        </is>
      </c>
      <c r="C318" s="116" t="inlineStr">
        <is>
          <t xml:space="preserve">Обещал</t>
        </is>
      </c>
      <c r="D318" s="116" t="inlineStr">
        <is>
          <t xml:space="preserve">Кр-99040374-1</t>
        </is>
      </c>
      <c r="E318" s="116" t="inlineStr">
        <is>
          <t xml:space="preserve">KARSHIYEV TAJIMURAT PRIMOVICH</t>
        </is>
      </c>
      <c r="F318" s="116" t="inlineStr">
        <is>
          <t xml:space="preserve">998993876160 SMS OZI, 998997284700 SMS OGLI, 998991496886 SMS OGLI,</t>
        </is>
      </c>
      <c r="G318" s="116" t="inlineStr">
        <is>
          <t xml:space="preserve">SURXONDARYO VILOYATI QUMQO'RG'ON TUMANI DAVLATSOY MAXALLASI USTALAR KO'CHASI 26-UY</t>
        </is>
      </c>
      <c r="I318" s="117">
        <v>1996808.61</v>
      </c>
      <c r="K318" s="116" t="inlineStr">
        <is>
          <t xml:space="preserve">Va'da berdi | 21 sanaga tolo qlad | 887</t>
        </is>
      </c>
    </row>
    <row r="319">
      <c r="A319" s="116" t="inlineStr">
        <is>
          <t xml:space="preserve">СУРХОНДАРЁ ВИЛОЯТИ</t>
        </is>
      </c>
      <c r="C319" s="116" t="inlineStr">
        <is>
          <t xml:space="preserve">Обещал</t>
        </is>
      </c>
      <c r="D319" s="116" t="inlineStr">
        <is>
          <t xml:space="preserve">Кр-99025697-2</t>
        </is>
      </c>
      <c r="E319" s="116" t="inlineStr">
        <is>
          <t xml:space="preserve">KIPCHAKOV RUSTAM SULTANOVICH</t>
        </is>
      </c>
      <c r="F319" s="116" t="inlineStr">
        <is>
          <t xml:space="preserve">91-134-38-00 SMS, 90-246-76-15 SMS UY, 95-103-38-00 SMS OILASI, 91-967-50-50 SMS O’G’LI,</t>
        </is>
      </c>
      <c r="G319" s="116" t="inlineStr">
        <is>
          <t xml:space="preserve">SURXONDARYO VILOYATI DENOV SHAXAR ISTIQLOL MFY XUSAYN BOYQORO KOCHASI 5-UY</t>
        </is>
      </c>
      <c r="H319" s="117">
        <v>10.0</v>
      </c>
      <c r="I319" s="117">
        <v>1977259.24</v>
      </c>
      <c r="K319" s="116" t="inlineStr">
        <is>
          <t xml:space="preserve">Va'da berdi | abror bn wahnoz tolidi | 147</t>
        </is>
      </c>
    </row>
    <row r="320">
      <c r="A320" s="116" t="inlineStr">
        <is>
          <t xml:space="preserve">СУРХОНДАРЁ ВИЛОЯТИ</t>
        </is>
      </c>
      <c r="C320" s="116" t="inlineStr">
        <is>
          <t xml:space="preserve">Обещал</t>
        </is>
      </c>
      <c r="D320" s="116" t="inlineStr">
        <is>
          <t xml:space="preserve">Кр-99038061-1</t>
        </is>
      </c>
      <c r="E320" s="116" t="inlineStr">
        <is>
          <t xml:space="preserve">NAZRULLAYEV SHUHRAT ABDULLAYEVICH</t>
        </is>
      </c>
      <c r="F320" s="116" t="inlineStr">
        <is>
          <t xml:space="preserve">998505894240 SMS OZI, 998955401190 SMS UYI, 998934306997 SMS UYI, 998952680122 SMS AYOLI,</t>
        </is>
      </c>
      <c r="G320" s="116" t="inlineStr">
        <is>
          <t xml:space="preserve">SURXONDARYO VILOYATI DENOV TUMANI SOXIBKOR MFY OYBARAK 98 UY</t>
        </is>
      </c>
      <c r="H320" s="117">
        <v>6.0</v>
      </c>
      <c r="I320" s="117">
        <v>1975539.04</v>
      </c>
      <c r="K320" s="116" t="inlineStr">
        <is>
          <t xml:space="preserve">Va'da berdi | abror olgan | 677</t>
        </is>
      </c>
    </row>
    <row r="321">
      <c r="A321" s="116" t="inlineStr">
        <is>
          <t xml:space="preserve">СУРХОНДАРЁ ВИЛОЯТИ</t>
        </is>
      </c>
      <c r="C321" s="116" t="inlineStr">
        <is>
          <t xml:space="preserve">Обещал</t>
        </is>
      </c>
      <c r="D321" s="116" t="inlineStr">
        <is>
          <t xml:space="preserve">Кр-99029311-1</t>
        </is>
      </c>
      <c r="E321" s="116" t="inlineStr">
        <is>
          <t xml:space="preserve">RAJABOVA DILAFRUZ ABDUMALIKOVNA</t>
        </is>
      </c>
      <c r="F321" s="116" t="inlineStr">
        <is>
          <t xml:space="preserve">33-377-52-60 SMS, 33-411-04-47  SMS UY, 97-536-30-01  SMS OILASI, 33-719-00-81 SMS ,</t>
        </is>
      </c>
      <c r="G321" s="116" t="inlineStr">
        <is>
          <t xml:space="preserve">SURXONDARYO VILOYATI DENOV TUMANI VODIY MFY FARG’ONA 71-UY</t>
        </is>
      </c>
      <c r="H321" s="117">
        <v>8.0</v>
      </c>
      <c r="I321" s="117">
        <v>1953350.12</v>
      </c>
      <c r="K321" s="116" t="inlineStr">
        <is>
          <t xml:space="preserve">Va'da berdi | wahnozga tolaga | 233</t>
        </is>
      </c>
    </row>
    <row r="322">
      <c r="A322" s="116" t="inlineStr">
        <is>
          <t xml:space="preserve">СУРХОНДАРЁ ВИЛОЯТИ</t>
        </is>
      </c>
      <c r="C322" s="116" t="inlineStr">
        <is>
          <t xml:space="preserve">Обещал</t>
        </is>
      </c>
      <c r="D322" s="116" t="inlineStr">
        <is>
          <t xml:space="preserve">Кр-99033369-1</t>
        </is>
      </c>
      <c r="E322" s="116" t="inlineStr">
        <is>
          <t xml:space="preserve">SHAMANOV XASAN RAVSHAN O’G’LI</t>
        </is>
      </c>
      <c r="F322" s="116" t="inlineStr">
        <is>
          <t xml:space="preserve">998772651883 SMS O’ZI QIBRAYDA KAROBKA SEXDA ISHLIDI , 998930634268 SMS AYOLI, 998507727494 SMS AYOLI2, 998978070064 SMS otasi,</t>
        </is>
      </c>
      <c r="G322" s="116" t="inlineStr">
        <is>
          <t xml:space="preserve">SURXONDARYO VILOYATI TERMIZ SHAHRI ALPOMISH MFY 5-KICHIK DAHA KO’CHASI 12-DOM 20-KVARTIRA</t>
        </is>
      </c>
      <c r="H322" s="117">
        <v>10.0</v>
      </c>
      <c r="I322" s="117">
        <v>1913183.38</v>
      </c>
      <c r="K322" s="116" t="inlineStr">
        <is>
          <t xml:space="preserve">Va'da berdi | kyngi xafta | 389</t>
        </is>
      </c>
    </row>
    <row r="323">
      <c r="A323" s="116" t="inlineStr">
        <is>
          <t xml:space="preserve">СУРХОНДАРЁ ВИЛОЯТИ</t>
        </is>
      </c>
      <c r="C323" s="116" t="inlineStr">
        <is>
          <t xml:space="preserve">Обещал</t>
        </is>
      </c>
      <c r="D323" s="116" t="inlineStr">
        <is>
          <t xml:space="preserve">Кр-99022239-3</t>
        </is>
      </c>
      <c r="E323" s="116" t="inlineStr">
        <is>
          <t xml:space="preserve">MAXMUDOV AZAMAT ABDUXALIMOVICH</t>
        </is>
      </c>
      <c r="F323" s="116" t="inlineStr">
        <is>
          <t xml:space="preserve">99-428-85-81 SMS, 93-838-85-01  SMS UY, 91-581-86-56  SMS ZALOGADATEL, 998947851179 shu raqamdan tel qildi azamat ,</t>
        </is>
      </c>
      <c r="G323" s="116" t="inlineStr">
        <is>
          <t xml:space="preserve">SURXONDARYO VILOYATI SARIOSIYO TUMANI SUFIYON QFY NIHOLZOR MFY TINCHLIK K’OCHASI 46-UY</t>
        </is>
      </c>
      <c r="H323" s="117">
        <v>10.0</v>
      </c>
      <c r="I323" s="117">
        <v>1876409.03</v>
      </c>
      <c r="K323" s="116" t="inlineStr">
        <is>
          <t xml:space="preserve">Va'da berdi | 20 cisidan kyn  tolov qlad | 113</t>
        </is>
      </c>
    </row>
    <row r="324">
      <c r="A324" s="116" t="inlineStr">
        <is>
          <t xml:space="preserve">СУРХОНДАРЁ ВИЛОЯТИ</t>
        </is>
      </c>
      <c r="C324" s="116" t="inlineStr">
        <is>
          <t xml:space="preserve">Обещал</t>
        </is>
      </c>
      <c r="D324" s="116" t="inlineStr">
        <is>
          <t xml:space="preserve">Кр-99027695-1</t>
        </is>
      </c>
      <c r="E324" s="116" t="inlineStr">
        <is>
          <t xml:space="preserve">JO’RAYEV SHERALI AZAMOVICH</t>
        </is>
      </c>
      <c r="F324" s="116" t="inlineStr">
        <is>
          <t xml:space="preserve">94-456-81-79 SMS O'ZI, 91-237-79-81  SMS OG’LI, 91-910-15-76  SMS ZALAGATEL, 90-889-89-62  SMS UY,</t>
        </is>
      </c>
      <c r="G324" s="116" t="inlineStr">
        <is>
          <t xml:space="preserve">SURXONDARYO DENOV TUMANI QORAHON MFY BOG’ISHAMOL KO’CHASI 78-UY</t>
        </is>
      </c>
      <c r="H324" s="117">
        <v>10.0</v>
      </c>
      <c r="I324" s="117">
        <v>1841115.53</v>
      </c>
      <c r="K324" s="116" t="inlineStr">
        <is>
          <t xml:space="preserve">Va'da berdi | abror ogan | 179</t>
        </is>
      </c>
    </row>
    <row r="325">
      <c r="A325" s="116" t="inlineStr">
        <is>
          <t xml:space="preserve">СУРХОНДАРЁ ВИЛОЯТИ</t>
        </is>
      </c>
      <c r="C325" s="116" t="inlineStr">
        <is>
          <t xml:space="preserve">Обещал</t>
        </is>
      </c>
      <c r="D325" s="116" t="inlineStr">
        <is>
          <t xml:space="preserve">Кр-99039843-1</t>
        </is>
      </c>
      <c r="E325" s="116" t="inlineStr">
        <is>
          <t xml:space="preserve">MARDAYEV RUSLAN MAMATALIYEVICH</t>
        </is>
      </c>
      <c r="F325" s="116" t="inlineStr">
        <is>
          <t xml:space="preserve">998970397888 SMS OZI, 998975310659 SMS OTASAI, 998976961461 SMS ONASI, 998886929191 SMS UKASI,</t>
        </is>
      </c>
      <c r="G325" s="116" t="inlineStr">
        <is>
          <t xml:space="preserve">SURXONDARYO VILOYAT MUZRABOT TUMAN XALQYO’LI MFY O’RMON XO’JALIGI KO’CHASI 34-UY</t>
        </is>
      </c>
      <c r="H325" s="117">
        <v>10.0</v>
      </c>
      <c r="I325" s="117">
        <v>1792346.76</v>
      </c>
      <c r="K325" s="116" t="inlineStr">
        <is>
          <t xml:space="preserve">Va'da berdi | 19sanaga tolov | 839</t>
        </is>
      </c>
    </row>
    <row r="326">
      <c r="A326" s="116" t="inlineStr">
        <is>
          <t xml:space="preserve">СУРХОНДАРЁ ВИЛОЯТИ</t>
        </is>
      </c>
      <c r="C326" s="116" t="inlineStr">
        <is>
          <t xml:space="preserve">Обещал</t>
        </is>
      </c>
      <c r="D326" s="116" t="inlineStr">
        <is>
          <t xml:space="preserve">Кр-99030736-2</t>
        </is>
      </c>
      <c r="E326" s="116" t="inlineStr">
        <is>
          <t xml:space="preserve">MAMATMURADOVA SURAYYO XOLMO’MINOVNA</t>
        </is>
      </c>
      <c r="F326" s="116" t="inlineStr">
        <is>
          <t xml:space="preserve">99-258-33-31 SMS O’ZI HARBIY begona , 97-689-76-76  SMS UY, 95-254-38-31  SMS OILASI, 95-238-32-31  SMS,</t>
        </is>
      </c>
      <c r="G326" s="116" t="inlineStr">
        <is>
          <t xml:space="preserve">SURXONDARYO VILOYATI DENOV TUMANI MUQUMIY MFY BOG’ZOR KO’CHASI 2-UY</t>
        </is>
      </c>
      <c r="H326" s="117">
        <v>3.0</v>
      </c>
      <c r="I326" s="117">
        <v>1675812.15</v>
      </c>
      <c r="K326" s="116" t="inlineStr">
        <is>
          <t xml:space="preserve">Va'da berdi | wu xafta tolo qlad | 296</t>
        </is>
      </c>
    </row>
    <row r="327">
      <c r="A327" s="116" t="inlineStr">
        <is>
          <t xml:space="preserve">СУРХОНДАРЁ ВИЛОЯТИ</t>
        </is>
      </c>
      <c r="C327" s="116" t="inlineStr">
        <is>
          <t xml:space="preserve">Обещал</t>
        </is>
      </c>
      <c r="D327" s="116" t="inlineStr">
        <is>
          <t xml:space="preserve">Кр-99037942-1</t>
        </is>
      </c>
      <c r="E327" s="116" t="inlineStr">
        <is>
          <t xml:space="preserve">YODGOROV XAMRO ESHONQULOVICH</t>
        </is>
      </c>
      <c r="F327" s="116" t="inlineStr">
        <is>
          <t xml:space="preserve">998919696012 SMS OZI, 998901201798 SMS UYI, 998991828111 SMS TULOVCHI UG`LI MUHRIDDIN, 998952435111 SMS ONASI,</t>
        </is>
      </c>
      <c r="G327" s="116" t="inlineStr">
        <is>
          <t xml:space="preserve">SURXONDARYO VILOYATI SARIOSIYO TUMANI SHAXRIOBOD MFY SOADATMAN 2-UY</t>
        </is>
      </c>
      <c r="I327" s="117">
        <v>1674909.81</v>
      </c>
      <c r="K327" s="116" t="inlineStr">
        <is>
          <t xml:space="preserve">Va'da berdi | ertaga tolov | 667</t>
        </is>
      </c>
    </row>
    <row r="328">
      <c r="A328" s="116" t="inlineStr">
        <is>
          <t xml:space="preserve">СУРХОНДАРЁ ВИЛОЯТИ</t>
        </is>
      </c>
      <c r="C328" s="116" t="inlineStr">
        <is>
          <t xml:space="preserve">Обещал</t>
        </is>
      </c>
      <c r="D328" s="116" t="inlineStr">
        <is>
          <t xml:space="preserve">Кр-99029526-3</t>
        </is>
      </c>
      <c r="E328" s="116" t="inlineStr">
        <is>
          <t xml:space="preserve">QAYUMOV XASAN XAYRULLAYEVICH</t>
        </is>
      </c>
      <c r="F328" s="116" t="inlineStr">
        <is>
          <t xml:space="preserve">97-693-95-55 SMS , 90-266-26-26  SMS AKASI, 90-266-32-66  SMS ONASI, 77-023-72-32  SMS UY, 998996726826 SMS TOLOVCHI ,</t>
        </is>
      </c>
      <c r="G328" s="116" t="inlineStr">
        <is>
          <t xml:space="preserve">SURXONDARYO VILOYATI DENOV TUMANI  BOBIR MFY  BOBUR 25-UY</t>
        </is>
      </c>
      <c r="H328" s="117">
        <v>10.0</v>
      </c>
      <c r="I328" s="117">
        <v>1625181.97</v>
      </c>
      <c r="K328" s="116" t="inlineStr">
        <is>
          <t xml:space="preserve">Va'da berdi | oy oxrgaca yopad | 243</t>
        </is>
      </c>
    </row>
    <row r="329">
      <c r="A329" s="116" t="inlineStr">
        <is>
          <t xml:space="preserve">СУРХОНДАРЁ ВИЛОЯТИ</t>
        </is>
      </c>
      <c r="C329" s="116" t="inlineStr">
        <is>
          <t xml:space="preserve">Обещал</t>
        </is>
      </c>
      <c r="D329" s="116" t="inlineStr">
        <is>
          <t xml:space="preserve">Кр-99027715-1</t>
        </is>
      </c>
      <c r="E329" s="116" t="inlineStr">
        <is>
          <t xml:space="preserve">SHODMONOVA MAFTUNA OBIDJONOVNA</t>
        </is>
      </c>
      <c r="F329" s="116" t="inlineStr">
        <is>
          <t xml:space="preserve">97-225-11-27 SMS ERI  UQITUVCHI TOLOVCHI , 91-966-11-27 SMS UY, 90-568-35-85 SMS ONASI, 97-551-16-69 SMS ISHXONA,</t>
        </is>
      </c>
      <c r="G329" s="116" t="inlineStr">
        <is>
          <t xml:space="preserve">SURXONDARYO UZUN TUMANI YANGIRO’ZG’OR MFY DO’STLIK KO’CHASI 855-UY</t>
        </is>
      </c>
      <c r="H329" s="117">
        <v>10.0</v>
      </c>
      <c r="I329" s="117">
        <v>1607988.07</v>
      </c>
      <c r="K329" s="116" t="inlineStr">
        <is>
          <t xml:space="preserve">Va'da berdi | abrorga tolaga | 181</t>
        </is>
      </c>
    </row>
    <row r="330">
      <c r="A330" s="116" t="inlineStr">
        <is>
          <t xml:space="preserve">СУРХОНДАРЁ ВИЛОЯТИ</t>
        </is>
      </c>
      <c r="C330" s="116" t="inlineStr">
        <is>
          <t xml:space="preserve">Обещал</t>
        </is>
      </c>
      <c r="D330" s="116" t="inlineStr">
        <is>
          <t xml:space="preserve">Кр-99061106-1</t>
        </is>
      </c>
      <c r="E330" s="116" t="inlineStr">
        <is>
          <t xml:space="preserve">ESHMURODOV JUMMANAZAR ALIMOVICH</t>
        </is>
      </c>
      <c r="F330" s="116" t="inlineStr">
        <is>
          <t xml:space="preserve">998885680272 SMS UY, 998952357793 SMS UZI, 998995853555 SMS OILASI,</t>
        </is>
      </c>
      <c r="G330" s="116" t="inlineStr">
        <is>
          <t xml:space="preserve">SURXONDARYO VILOYATI DENOV TUMANI TOTUVLIK MFY GULLIRANO 74-UY</t>
        </is>
      </c>
      <c r="H330" s="117">
        <v>10.0</v>
      </c>
      <c r="I330" s="117">
        <v>1533268.11</v>
      </c>
      <c r="K330" s="116" t="inlineStr">
        <is>
          <t xml:space="preserve">Va'da berdi | wahnoz tolo qlad | 1376</t>
        </is>
      </c>
    </row>
    <row r="331">
      <c r="A331" s="116" t="inlineStr">
        <is>
          <t xml:space="preserve">СУРХОНДАРЁ ВИЛОЯТИ</t>
        </is>
      </c>
      <c r="C331" s="116" t="inlineStr">
        <is>
          <t xml:space="preserve">Обещал</t>
        </is>
      </c>
      <c r="D331" s="116" t="inlineStr">
        <is>
          <t xml:space="preserve">Кр-99035581-3</t>
        </is>
      </c>
      <c r="E331" s="116" t="inlineStr">
        <is>
          <t xml:space="preserve">SAYDALIYEV BAXTINUR BAXRIDDIN O’G’LI</t>
        </is>
      </c>
      <c r="F331" s="116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31" s="116" t="inlineStr">
        <is>
          <t xml:space="preserve">Сурхондарё вилояти Кизирик Тумани Работак МФЙ, Абдулла Қаххор 1 кучаси, 21...-уй</t>
        </is>
      </c>
      <c r="H331" s="117">
        <v>10.0</v>
      </c>
      <c r="I331" s="117">
        <v>1425548.63</v>
      </c>
      <c r="K331" s="116" t="inlineStr">
        <is>
          <t xml:space="preserve">Va'da berdi | 20 dan kyn tolo qlad | 517</t>
        </is>
      </c>
    </row>
    <row r="332">
      <c r="A332" s="116" t="inlineStr">
        <is>
          <t xml:space="preserve">СУРХОНДАРЁ ВИЛОЯТИ</t>
        </is>
      </c>
      <c r="C332" s="116" t="inlineStr">
        <is>
          <t xml:space="preserve">Обещал</t>
        </is>
      </c>
      <c r="D332" s="116" t="inlineStr">
        <is>
          <t xml:space="preserve">Кр-99030710-1</t>
        </is>
      </c>
      <c r="E332" s="116" t="inlineStr">
        <is>
          <t xml:space="preserve">JUMANAZAROV XUSAN XXX</t>
        </is>
      </c>
      <c r="F332" s="116" t="inlineStr">
        <is>
          <t xml:space="preserve">99-754-22-05 SMS O’ZI, 99-457-96-55  SMS O’ZI, 94-656-19-77  SMS O’GLI, 88-808-34-33 SMS  UY,</t>
        </is>
      </c>
      <c r="G332" s="116" t="inlineStr">
        <is>
          <t xml:space="preserve">SURXONDARYO VILOYATI OLTINSOY  TUMANI OLTINSOY  QFY JIYANBOBO MFY MEYVAZOR   47-UY</t>
        </is>
      </c>
      <c r="H332" s="117">
        <v>3.0</v>
      </c>
      <c r="I332" s="117">
        <v>1423299.2</v>
      </c>
      <c r="K332" s="116" t="inlineStr">
        <is>
          <t xml:space="preserve">Va'da berdi | otasi bn gaplawdm 2-3 kunda tolov qlad | 294</t>
        </is>
      </c>
    </row>
    <row r="333">
      <c r="A333" s="116" t="inlineStr">
        <is>
          <t xml:space="preserve">СУРХОНДАРЁ ВИЛОЯТИ</t>
        </is>
      </c>
      <c r="C333" s="116" t="inlineStr">
        <is>
          <t xml:space="preserve">Обещал</t>
        </is>
      </c>
      <c r="D333" s="116" t="inlineStr">
        <is>
          <t xml:space="preserve">Кр-99063093-1</t>
        </is>
      </c>
      <c r="E333" s="116" t="inlineStr">
        <is>
          <t xml:space="preserve">SHOPULATOV JAHONGIR OTABEK O’G’LI</t>
        </is>
      </c>
      <c r="F333" s="116" t="inlineStr">
        <is>
          <t xml:space="preserve">998937989939 OZI, 998919065400 AKASI,</t>
        </is>
      </c>
      <c r="G333" s="116" t="inlineStr">
        <is>
          <t xml:space="preserve">SURXONDARYO VILOYATI TERMIZ TUMAN JOYJANGAL MFY NURONIY KO’CHASI 102-UY</t>
        </is>
      </c>
      <c r="I333" s="117">
        <v>1354109.55</v>
      </c>
      <c r="K333" s="116" t="inlineStr">
        <is>
          <t xml:space="preserve">Va'da berdi | oy oxirida | 1501</t>
        </is>
      </c>
    </row>
    <row r="334">
      <c r="A334" s="116" t="inlineStr">
        <is>
          <t xml:space="preserve">СУРХОНДАРЁ ВИЛОЯТИ</t>
        </is>
      </c>
      <c r="C334" s="116" t="inlineStr">
        <is>
          <t xml:space="preserve">Обещал</t>
        </is>
      </c>
      <c r="D334" s="116" t="inlineStr">
        <is>
          <t xml:space="preserve">Кр-99007175-2</t>
        </is>
      </c>
      <c r="E334" s="116" t="inlineStr">
        <is>
          <t xml:space="preserve">KOHAROV USMON ERGASHOVICH</t>
        </is>
      </c>
      <c r="F334" s="116" t="inlineStr">
        <is>
          <t xml:space="preserve">91-580-94-59 SMS, 90-747-47-68 SMS XOTINI NILUFDAR OPA, 91-513-87-87 SMS O’G’LI MIROLIM, 99-979-13-85 SMS UY,</t>
        </is>
      </c>
      <c r="G334" s="116" t="inlineStr">
        <is>
          <t xml:space="preserve">SURXONDARYO VILOYATI QUMQO’RG’ON TUMANI NAVBAHOR MFY AT-TERMIZIY KO’CHASI 7-UY</t>
        </is>
      </c>
      <c r="H334" s="117">
        <v>10.0</v>
      </c>
      <c r="I334" s="117">
        <v>1348290.94</v>
      </c>
      <c r="K334" s="116" t="inlineStr">
        <is>
          <t xml:space="preserve">Va'da berdi | keca qisman tolad bugun erte yopad | 20</t>
        </is>
      </c>
    </row>
    <row r="335">
      <c r="A335" s="116" t="inlineStr">
        <is>
          <t xml:space="preserve">СУРХОНДАРЁ ВИЛОЯТИ</t>
        </is>
      </c>
      <c r="C335" s="116" t="inlineStr">
        <is>
          <t xml:space="preserve">Обещал</t>
        </is>
      </c>
      <c r="D335" s="116" t="inlineStr">
        <is>
          <t xml:space="preserve">Кр-99040068-3</t>
        </is>
      </c>
      <c r="E335" s="116" t="inlineStr">
        <is>
          <t xml:space="preserve">BAZAROV AXMAT ESHMAMATOVICH</t>
        </is>
      </c>
      <c r="F335" s="116" t="inlineStr">
        <is>
          <t xml:space="preserve">998973505961 SMS AYOLI, 998976942461 SMS OZI, 998918171212 SMS QIZI, 998976396767 SMS OGLI, 998903579595 SMS UY,</t>
        </is>
      </c>
      <c r="G335" s="116" t="inlineStr">
        <is>
          <t xml:space="preserve">SURXONDARYO VILOYATI DENOV TUMANI OZOD MFY  NURLI HAYOT KO’CHASI 45-UY</t>
        </is>
      </c>
      <c r="H335" s="117">
        <v>10.0</v>
      </c>
      <c r="I335" s="117">
        <v>1295114.34</v>
      </c>
      <c r="K335" s="116" t="inlineStr">
        <is>
          <t xml:space="preserve">Va'da berdi | 22 ga tolo qlad | 858</t>
        </is>
      </c>
    </row>
    <row r="336">
      <c r="A336" s="116" t="inlineStr">
        <is>
          <t xml:space="preserve">СУРХОНДАРЁ ВИЛОЯТИ</t>
        </is>
      </c>
      <c r="C336" s="116" t="inlineStr">
        <is>
          <t xml:space="preserve">Обещал</t>
        </is>
      </c>
      <c r="D336" s="116" t="inlineStr">
        <is>
          <t xml:space="preserve">Кр-99037364-1</t>
        </is>
      </c>
      <c r="E336" s="116" t="inlineStr">
        <is>
          <t xml:space="preserve">MAMARASULOV BAXODIRJON BAXTIYOROVICH</t>
        </is>
      </c>
      <c r="F336" s="116" t="inlineStr">
        <is>
          <t xml:space="preserve">998953305005 SMS, 998951925005 SMS OZI, 998978151968 SMS UY, 998952120535 SMS ,</t>
        </is>
      </c>
      <c r="G336" s="116" t="inlineStr">
        <is>
          <t xml:space="preserve">SURXONDARYO VILOYATI DENOV SHAHAR QUYOSHLIYURT MFY FIRDAVS  1-UY </t>
        </is>
      </c>
      <c r="H336" s="117">
        <v>3.0</v>
      </c>
      <c r="I336" s="117">
        <v>1277712.11</v>
      </c>
      <c r="K336" s="116" t="inlineStr">
        <is>
          <t xml:space="preserve">Va'da berdi | kyngi xafta tolo qlaman dd | 636</t>
        </is>
      </c>
    </row>
    <row r="337">
      <c r="A337" s="116" t="inlineStr">
        <is>
          <t xml:space="preserve">СУРХОНДАРЁ ВИЛОЯТИ</t>
        </is>
      </c>
      <c r="C337" s="116" t="inlineStr">
        <is>
          <t xml:space="preserve">Обещал</t>
        </is>
      </c>
      <c r="D337" s="116" t="inlineStr">
        <is>
          <t xml:space="preserve">Кр-99029195-4</t>
        </is>
      </c>
      <c r="E337" s="116" t="inlineStr">
        <is>
          <t xml:space="preserve">ESHBAYEVA GULBAHOR OMANDAVLATOVNA</t>
        </is>
      </c>
      <c r="F337" s="116" t="inlineStr">
        <is>
          <t xml:space="preserve">998904180270 SMS O’ZI, 998994490270 SMS UY, 998330750020 SMS UKASI, 998993808096 SMS UKASI, 998999661002 SMS TULOVCHI,</t>
        </is>
      </c>
      <c r="G337" s="116" t="inlineStr">
        <is>
          <t xml:space="preserve">SURXONDARYO VILOYATI QUMQURG’ON TUMANI CHUKIRLI MFY BO’LAK TEPA KO’CHASI 28-UY</t>
        </is>
      </c>
      <c r="H337" s="117">
        <v>10.0</v>
      </c>
      <c r="I337" s="117">
        <v>1202412.94</v>
      </c>
      <c r="K337" s="116" t="inlineStr">
        <is>
          <t xml:space="preserve">Va'da berdi | bugun nasb tolo qlad | 229</t>
        </is>
      </c>
    </row>
    <row r="338">
      <c r="A338" s="116" t="inlineStr">
        <is>
          <t xml:space="preserve">СУРХОНДАРЁ ВИЛОЯТИ</t>
        </is>
      </c>
      <c r="C338" s="116" t="inlineStr">
        <is>
          <t xml:space="preserve">Обещал</t>
        </is>
      </c>
      <c r="D338" s="116" t="inlineStr">
        <is>
          <t xml:space="preserve">Кр-99036107-2</t>
        </is>
      </c>
      <c r="E338" s="116" t="inlineStr">
        <is>
          <t xml:space="preserve">ZIKIROV ALISHER KUDRATOVICH</t>
        </is>
      </c>
      <c r="F338" s="116" t="inlineStr">
        <is>
          <t xml:space="preserve">998957668603 SMS O’ZI, 998991970555 SMS JIYANI , 998882444737 AKASI, 998990380351 SMS AYOLI ,</t>
        </is>
      </c>
      <c r="G338" s="116" t="inlineStr">
        <is>
          <t xml:space="preserve">SURXONDARYO VILOYATI DENOV TUMANI ISTIQBOL MFY SATTOR YODGOROV 35-UY </t>
        </is>
      </c>
      <c r="H338" s="117">
        <v>10.0</v>
      </c>
      <c r="I338" s="117">
        <v>1179868.52</v>
      </c>
      <c r="K338" s="116" t="inlineStr">
        <is>
          <t xml:space="preserve">Va'da berdi | 20sanaga tolov | 560</t>
        </is>
      </c>
    </row>
    <row r="339">
      <c r="A339" s="116" t="inlineStr">
        <is>
          <t xml:space="preserve">СУРХОНДАРЁ ВИЛОЯТИ</t>
        </is>
      </c>
      <c r="C339" s="116" t="inlineStr">
        <is>
          <t xml:space="preserve">Обещал</t>
        </is>
      </c>
      <c r="D339" s="116" t="inlineStr">
        <is>
          <t xml:space="preserve">Кр-99032451-1</t>
        </is>
      </c>
      <c r="E339" s="116" t="inlineStr">
        <is>
          <t xml:space="preserve">MAMAJONOVA MAXFUZA SAMIJONOVNA</t>
        </is>
      </c>
      <c r="F339" s="116" t="inlineStr">
        <is>
          <t xml:space="preserve">998942099378 SMS UKASI, 998337682003 SMS O’G’LI, 998992711325 SMS OILASI begona, 998938808307 SMS O’ZI,</t>
        </is>
      </c>
      <c r="G339" s="116" t="inlineStr">
        <is>
          <t xml:space="preserve">SURXONDARYO VILOYATI DENOV TUMANI BUYUK KELAJAK  MFY TURSUNZODA  KO’CHASI 11-UY</t>
        </is>
      </c>
      <c r="H339" s="117">
        <v>9.0</v>
      </c>
      <c r="I339" s="117">
        <v>1113629.8</v>
      </c>
      <c r="K339" s="116" t="inlineStr">
        <is>
          <t xml:space="preserve">Va'da berdi | ukasi tolovci stroykada iwlidi kunlik tolov qlad | 353</t>
        </is>
      </c>
    </row>
    <row r="340">
      <c r="A340" s="116" t="inlineStr">
        <is>
          <t xml:space="preserve">СУРХОНДАРЁ ВИЛОЯТИ</t>
        </is>
      </c>
      <c r="C340" s="116" t="inlineStr">
        <is>
          <t xml:space="preserve">Обещал</t>
        </is>
      </c>
      <c r="D340" s="116" t="inlineStr">
        <is>
          <t xml:space="preserve">Кр-99062784-2</t>
        </is>
      </c>
      <c r="E340" s="116" t="inlineStr">
        <is>
          <t xml:space="preserve">ESHMUMINOV ALLAMUROD PANJI O’G’LI</t>
        </is>
      </c>
      <c r="F340" s="116" t="inlineStr">
        <is>
          <t xml:space="preserve">+998938173666 SMS O’ZI, 998940242987 SMS AKASI, 998990905996 SMS ONASI, 998500056666 uzi new,</t>
        </is>
      </c>
      <c r="G340" s="116" t="inlineStr">
        <is>
          <t xml:space="preserve">ШЕРОБОД ТУМАНИ ЁШЛИК МФЙ, Ш.ЖУМАЕВ КУЧАСИ,  uy:44</t>
        </is>
      </c>
      <c r="H340" s="117">
        <v>10.0</v>
      </c>
      <c r="I340" s="117">
        <v>1110259.56</v>
      </c>
      <c r="K340" s="116" t="inlineStr">
        <is>
          <t xml:space="preserve">Va'da berdi | ownasi bn gaplawdm etaman dd | 1438</t>
        </is>
      </c>
    </row>
    <row r="341">
      <c r="A341" s="116" t="inlineStr">
        <is>
          <t xml:space="preserve">СУРХОНДАРЁ ВИЛОЯТИ</t>
        </is>
      </c>
      <c r="C341" s="116" t="inlineStr">
        <is>
          <t xml:space="preserve">Обещал</t>
        </is>
      </c>
      <c r="D341" s="116" t="inlineStr">
        <is>
          <t xml:space="preserve">Кр-99041744-1</t>
        </is>
      </c>
      <c r="E341" s="116" t="inlineStr">
        <is>
          <t xml:space="preserve">KARIMOVA MADINA SOTTOR QIZI</t>
        </is>
      </c>
      <c r="F341" s="116" t="inlineStr">
        <is>
          <t xml:space="preserve">998975527101 SMS OZI, 998881927101 SMS UY, 999872010159 SMS OILASI, 998785510044 SMS UKASI, 998957737555 SMS ERI,</t>
        </is>
      </c>
      <c r="G341" s="116" t="inlineStr">
        <is>
          <t xml:space="preserve">SURXONDARYO VILOYATI DENOV TUMANI BUYUKIPAK YULI MFY I.KARIMOV 70-UY</t>
        </is>
      </c>
      <c r="H341" s="117">
        <v>10.0</v>
      </c>
      <c r="I341" s="117">
        <v>1024167.26</v>
      </c>
      <c r="K341" s="116" t="inlineStr">
        <is>
          <t xml:space="preserve">Va'da berdi | 20 dan kyn tolo qlad | 1018</t>
        </is>
      </c>
    </row>
    <row r="342">
      <c r="A342" s="116" t="inlineStr">
        <is>
          <t xml:space="preserve">СУРХОНДАРЁ ВИЛОЯТИ</t>
        </is>
      </c>
      <c r="C342" s="116" t="inlineStr">
        <is>
          <t xml:space="preserve">Обещал</t>
        </is>
      </c>
      <c r="D342" s="116" t="inlineStr">
        <is>
          <t xml:space="preserve">Кр-99025118-4</t>
        </is>
      </c>
      <c r="E342" s="116" t="inlineStr">
        <is>
          <t xml:space="preserve">AXMADOV ZUXRIDDIN SHAROFIDDIN O’G’LI</t>
        </is>
      </c>
      <c r="F342" s="116" t="inlineStr">
        <is>
          <t xml:space="preserve">97-550-78-48 SMS O'ZI INSTDA MENEJER BOP ISHLIDI, 88-530-99-95  SMS AKASI begona, 99-974-57-80  SMS AKASI , 990770107210 SMS TOLOVCHI ORTOGI,</t>
        </is>
      </c>
      <c r="G342" s="116" t="inlineStr">
        <is>
          <t xml:space="preserve">SURXONDARYO VILOYATI DENOV TUMANI TOTUVLIK MFY GULIRANO  88-UY</t>
        </is>
      </c>
      <c r="H342" s="117">
        <v>3.0</v>
      </c>
      <c r="I342" s="117">
        <v>950877.04</v>
      </c>
      <c r="K342" s="116" t="inlineStr">
        <is>
          <t xml:space="preserve">Va'da berdi | ortogi bn gaplawdm zuxridn koreada pul tawasa yopad | 135</t>
        </is>
      </c>
    </row>
    <row r="343">
      <c r="A343" s="116" t="inlineStr">
        <is>
          <t xml:space="preserve">СУРХОНДАРЁ ВИЛОЯТИ</t>
        </is>
      </c>
      <c r="C343" s="116" t="inlineStr">
        <is>
          <t xml:space="preserve">Обещал</t>
        </is>
      </c>
      <c r="D343" s="116" t="inlineStr">
        <is>
          <t xml:space="preserve">Кр-99015341-4</t>
        </is>
      </c>
      <c r="E343" s="116" t="inlineStr">
        <is>
          <t xml:space="preserve">SALIMOV UMID UMARJANOVICH</t>
        </is>
      </c>
      <c r="F343" s="116" t="inlineStr">
        <is>
          <t xml:space="preserve">91-517-19-81 SMS, 99-447-19-81 SMS O’ZI begona , 91-232-14-86 SMS UY, 99-320-02-35 SMS, 94-485-18-01 SMS ozi tolovchi begona ,</t>
        </is>
      </c>
      <c r="G343" s="116" t="inlineStr">
        <is>
          <t xml:space="preserve">SURXONDARYO VILOYATI UZUN TUMANI UZUN QFY YANGIRO’ZG’OR MFY SH.RAXMONOV KO’CHASI 48-UY</t>
        </is>
      </c>
      <c r="H343" s="117">
        <v>10.0</v>
      </c>
      <c r="I343" s="117">
        <v>859212.12</v>
      </c>
      <c r="K343" s="116" t="inlineStr">
        <is>
          <t xml:space="preserve">Va'da berdi | abror olgan | 53</t>
        </is>
      </c>
    </row>
    <row r="344">
      <c r="A344" s="116" t="inlineStr">
        <is>
          <t xml:space="preserve">СУРХОНДАРЁ ВИЛОЯТИ</t>
        </is>
      </c>
      <c r="C344" s="116" t="inlineStr">
        <is>
          <t xml:space="preserve">Обещал</t>
        </is>
      </c>
      <c r="D344" s="116" t="inlineStr">
        <is>
          <t xml:space="preserve">Кр-99030613-2</t>
        </is>
      </c>
      <c r="E344" s="116" t="inlineStr">
        <is>
          <t xml:space="preserve">QURBONOV NURSULTON BEGALIYEVICH</t>
        </is>
      </c>
      <c r="F344" s="116" t="inlineStr">
        <is>
          <t xml:space="preserve">998905232918 SMS UY, 998916339707 SMS UKASI ERALI, 998941624149 SMS AYOLI, 998771091897 SMS OZI TOLOVCHI,</t>
        </is>
      </c>
      <c r="G344" s="116" t="inlineStr">
        <is>
          <t xml:space="preserve">SURXONDARYO VILOYATI DENOV  TUMANI XAZARBOG’ QFY QOVUNLI SOY MFY QOVUNLISOY KUCHASI  11-UY</t>
        </is>
      </c>
      <c r="H344" s="117">
        <v>10.0</v>
      </c>
      <c r="I344" s="117">
        <v>782194.38</v>
      </c>
      <c r="K344" s="116" t="inlineStr">
        <is>
          <t xml:space="preserve">Va'da berdi | abrorga tolaga | 286</t>
        </is>
      </c>
    </row>
    <row r="345">
      <c r="A345" s="116" t="inlineStr">
        <is>
          <t xml:space="preserve">СУРХОНДАРЁ ВИЛОЯТИ</t>
        </is>
      </c>
      <c r="C345" s="116" t="inlineStr">
        <is>
          <t xml:space="preserve">Обещал</t>
        </is>
      </c>
      <c r="D345" s="116" t="inlineStr">
        <is>
          <t xml:space="preserve">Кр-99057464-1</t>
        </is>
      </c>
      <c r="E345" s="116" t="inlineStr">
        <is>
          <t xml:space="preserve">MUMINOV G’ULOM NORMURODOVICH</t>
        </is>
      </c>
      <c r="F345" s="116" t="inlineStr">
        <is>
          <t xml:space="preserve">998942650302 SMS UZI, 998937084577 SMS UY, 998940000686 SMS AKASI, 998771100683 SMS OILASI,</t>
        </is>
      </c>
      <c r="G345" s="116" t="inlineStr">
        <is>
          <t xml:space="preserve">SURXONDARYO VILOYATI DENOV TUMANI SOXIBKOR MFY USHOR 30-UY</t>
        </is>
      </c>
      <c r="H345" s="117">
        <v>10.0</v>
      </c>
      <c r="I345" s="117">
        <v>704545.45</v>
      </c>
      <c r="K345" s="116" t="inlineStr">
        <is>
          <t xml:space="preserve">Va'da berdi | 25 gaca tolov qlad | 1300</t>
        </is>
      </c>
    </row>
    <row r="346">
      <c r="A346" s="116" t="inlineStr">
        <is>
          <t xml:space="preserve">СУРХОНДАРЁ ВИЛОЯТИ</t>
        </is>
      </c>
      <c r="C346" s="116" t="inlineStr">
        <is>
          <t xml:space="preserve">Обещал</t>
        </is>
      </c>
      <c r="D346" s="116" t="inlineStr">
        <is>
          <t xml:space="preserve">Кр-99035839-2</t>
        </is>
      </c>
      <c r="E346" s="116" t="inlineStr">
        <is>
          <t xml:space="preserve">NAZAROV SOATMUROT BOBONAZAROVICH</t>
        </is>
      </c>
      <c r="F346" s="116" t="inlineStr">
        <is>
          <t xml:space="preserve">998904112878 SMS tulovchi quruvchi, 998915861956 SMS OZI, 998915103380 SMS UY, 998952790593 SMS OGLI,</t>
        </is>
      </c>
      <c r="G346" s="116" t="inlineStr">
        <is>
          <t xml:space="preserve">SURXONDARYO VILOYATI DENOV TUMANI XAYRABOD QFY PAXTAKURASH MFY SURXONDARYO KO'CHASI 22-UY</t>
        </is>
      </c>
      <c r="H346" s="117">
        <v>10.0</v>
      </c>
      <c r="I346" s="117">
        <v>682907.5</v>
      </c>
      <c r="K346" s="116" t="inlineStr">
        <is>
          <t xml:space="preserve">Va'da berdi | soatmuroti ozi bn gaplawdm oglim toledi 3-4 kunda dd | 537</t>
        </is>
      </c>
    </row>
    <row r="347">
      <c r="A347" s="116" t="inlineStr">
        <is>
          <t xml:space="preserve">СУРХОНДАРЁ ВИЛОЯТИ</t>
        </is>
      </c>
      <c r="C347" s="116" t="inlineStr">
        <is>
          <t xml:space="preserve">Обещал</t>
        </is>
      </c>
      <c r="D347" s="116" t="inlineStr">
        <is>
          <t xml:space="preserve">Кр-99024483-2</t>
        </is>
      </c>
      <c r="E347" s="116" t="inlineStr">
        <is>
          <t xml:space="preserve">DONAYEV OLIM ERGASHEVICH</t>
        </is>
      </c>
      <c r="F347" s="116" t="inlineStr">
        <is>
          <t xml:space="preserve">998994029792 SMS OZI, 998975368566 SMS AKASI, 998992948821 SMS UYI, 998972441330 SMS AKASI,</t>
        </is>
      </c>
      <c r="G347" s="116" t="inlineStr">
        <is>
          <t xml:space="preserve">SURXONDARYO VILOYATI DENOV TUMANI KORAXON MFY KARVANYOLI KO’CHASI 100-UY  </t>
        </is>
      </c>
      <c r="H347" s="117">
        <v>10.0</v>
      </c>
      <c r="I347" s="117">
        <v>581642.53</v>
      </c>
      <c r="K347" s="116" t="inlineStr">
        <is>
          <t xml:space="preserve">Va'da berdi | kartasidan pul yecb ketgan lkn bazaga tuwmadi | 129</t>
        </is>
      </c>
    </row>
    <row r="348">
      <c r="A348" s="116" t="inlineStr">
        <is>
          <t xml:space="preserve">СУРХОНДАРЁ ВИЛОЯТИ</t>
        </is>
      </c>
      <c r="C348" s="116" t="inlineStr">
        <is>
          <t xml:space="preserve">Обещал</t>
        </is>
      </c>
      <c r="D348" s="116" t="inlineStr">
        <is>
          <t xml:space="preserve">Кр-99039613-1</t>
        </is>
      </c>
      <c r="E348" s="116" t="inlineStr">
        <is>
          <t xml:space="preserve">XAMIDOV SHERALI TOXIR O’G’LI</t>
        </is>
      </c>
      <c r="F348" s="116" t="inlineStr">
        <is>
          <t xml:space="preserve">998930779988 SMS OZI  TERMIZ XODIM ,</t>
        </is>
      </c>
      <c r="G348" s="116" t="inlineStr">
        <is>
          <t xml:space="preserve">SURXONDARYO VILOYAT TERMIZ SHAXAR ESKI SHAXAR MYF BIRDAMLIK KO’CHASI 2-BURILISH 52 UY</t>
        </is>
      </c>
      <c r="I348" s="117">
        <v>565490.38</v>
      </c>
      <c r="K348" s="116" t="inlineStr">
        <is>
          <t xml:space="preserve">Va'da berdi | oyni oxirigaca | 813</t>
        </is>
      </c>
    </row>
    <row r="349">
      <c r="A349" s="116" t="inlineStr">
        <is>
          <t xml:space="preserve">СУРХОНДАРЁ ВИЛОЯТИ</t>
        </is>
      </c>
      <c r="C349" s="116" t="inlineStr">
        <is>
          <t xml:space="preserve">Обещал</t>
        </is>
      </c>
      <c r="D349" s="116" t="inlineStr">
        <is>
          <t xml:space="preserve">Кр-99041293-2</t>
        </is>
      </c>
      <c r="E349" s="116" t="inlineStr">
        <is>
          <t xml:space="preserve">MUZRAPOV OTABEK SAYDAXMAT O’G’LI</t>
        </is>
      </c>
      <c r="F349" s="116" t="inlineStr">
        <is>
          <t xml:space="preserve">998904944044 SMS O’ZI, 998915174919 SMS UKASI, 998958852122 SMS UY,</t>
        </is>
      </c>
      <c r="G349" s="116" t="inlineStr">
        <is>
          <t xml:space="preserve">ҚОРЛИҚ ҚФЙ, ҚОРЛИҚ ҚФЙ, ҚОРЛИҚ-1,  uy:34</t>
        </is>
      </c>
      <c r="H349" s="117">
        <v>10.0</v>
      </c>
      <c r="I349" s="117">
        <v>547073.68</v>
      </c>
      <c r="K349" s="116" t="inlineStr">
        <is>
          <t xml:space="preserve">Va'da berdi | 22 larda tolo qlad | 980</t>
        </is>
      </c>
    </row>
    <row r="350">
      <c r="A350" s="116" t="inlineStr">
        <is>
          <t xml:space="preserve">СУРХОНДАРЁ ВИЛОЯТИ</t>
        </is>
      </c>
      <c r="C350" s="116" t="inlineStr">
        <is>
          <t xml:space="preserve">Обещал</t>
        </is>
      </c>
      <c r="D350" s="116" t="inlineStr">
        <is>
          <t xml:space="preserve">Кр-99035156-1</t>
        </is>
      </c>
      <c r="E350" s="116" t="inlineStr">
        <is>
          <t xml:space="preserve">ABDUYEV XODJAAKBAR KARIMOVICH</t>
        </is>
      </c>
      <c r="F350" s="116" t="inlineStr">
        <is>
          <t xml:space="preserve">998952371191 SMS O’ZI nonvoylik qiladi, 998976237477 SMS UY, 998337202515 SMS SHERIGI, 998991085695 SMS ISHXONA,</t>
        </is>
      </c>
      <c r="G350" s="116" t="inlineStr">
        <is>
          <t xml:space="preserve">SURXONDARYO VILOYATI DENOV TUMANI SINA QFY FAYZAOBOD MFY NAFIS 52-UY</t>
        </is>
      </c>
      <c r="H350" s="117">
        <v>7.0</v>
      </c>
      <c r="I350" s="117">
        <v>501690.76</v>
      </c>
      <c r="K350" s="116" t="inlineStr">
        <is>
          <t xml:space="preserve">Va'da berdi | 19sanaga tolov | 485</t>
        </is>
      </c>
    </row>
    <row r="351">
      <c r="A351" s="116" t="inlineStr">
        <is>
          <t xml:space="preserve">СУРХОНДАРЁ ВИЛОЯТИ</t>
        </is>
      </c>
      <c r="C351" s="116" t="inlineStr">
        <is>
          <t xml:space="preserve">Обещал</t>
        </is>
      </c>
      <c r="D351" s="116" t="inlineStr">
        <is>
          <t xml:space="preserve">Кр-99039405-1</t>
        </is>
      </c>
      <c r="E351" s="116" t="inlineStr">
        <is>
          <t xml:space="preserve">XURRAMOV HUSNIDDIN XAYRULLAYEVICH</t>
        </is>
      </c>
      <c r="F351" s="116" t="inlineStr">
        <is>
          <t xml:space="preserve">998884466040 SMS OZI, 998881941101 SMS SHERIGI, 998888720097 SMS ZALOGATEL, 998334200404 SMS OZI,</t>
        </is>
      </c>
      <c r="G351" s="116" t="inlineStr">
        <is>
          <t xml:space="preserve">SURXONDARYO VILOYATI DENOV TUMANI XAYRABOD QFY SHAMOLI MFY TOJIMAHAL 39-UY</t>
        </is>
      </c>
      <c r="H351" s="117">
        <v>10.0</v>
      </c>
      <c r="I351" s="117">
        <v>464607.55</v>
      </c>
      <c r="K351" s="116" t="inlineStr">
        <is>
          <t xml:space="preserve">Va'da berdi | 6ga tolov | 784</t>
        </is>
      </c>
    </row>
    <row r="352">
      <c r="A352" s="116" t="inlineStr">
        <is>
          <t xml:space="preserve">СУРХОНДАРЁ ВИЛОЯТИ</t>
        </is>
      </c>
      <c r="C352" s="116" t="inlineStr">
        <is>
          <t xml:space="preserve">Обещал</t>
        </is>
      </c>
      <c r="D352" s="116" t="inlineStr">
        <is>
          <t xml:space="preserve">Кр-99041288-1</t>
        </is>
      </c>
      <c r="E352" s="116" t="inlineStr">
        <is>
          <t xml:space="preserve">CHORSHANBIYEV UMIDJON ZOIROVICH</t>
        </is>
      </c>
      <c r="F352" s="116" t="inlineStr">
        <is>
          <t xml:space="preserve">+998942650707 SMS O’ZI, 998952330001 SMS OPASI, 998997110001 SMS UKASI,</t>
        </is>
      </c>
      <c r="G352" s="116" t="inlineStr">
        <is>
          <t xml:space="preserve">Ибн Сино, дом 22, кв. 48</t>
        </is>
      </c>
      <c r="H352" s="117">
        <v>10.0</v>
      </c>
      <c r="I352" s="117">
        <v>401452.89</v>
      </c>
      <c r="K352" s="116" t="inlineStr">
        <is>
          <t xml:space="preserve">Va'da berdi | bugun yopad | 979</t>
        </is>
      </c>
    </row>
    <row r="353">
      <c r="A353" s="116" t="inlineStr">
        <is>
          <t xml:space="preserve">СУРХОНДАРЁ ВИЛОЯТИ</t>
        </is>
      </c>
      <c r="C353" s="116" t="inlineStr">
        <is>
          <t xml:space="preserve">Обещал</t>
        </is>
      </c>
      <c r="D353" s="116" t="inlineStr">
        <is>
          <t xml:space="preserve">Кр-99044462-1</t>
        </is>
      </c>
      <c r="E353" s="116" t="inlineStr">
        <is>
          <t xml:space="preserve">QARSHIYEV SHOHRUHBEK TO’LQIN O’G’LI</t>
        </is>
      </c>
      <c r="F353" s="116" t="inlineStr">
        <is>
          <t xml:space="preserve">+998977748999 SMS O’ZI, 998774798999 SMS AKASI, 998937996676 SMS UY,</t>
        </is>
      </c>
      <c r="G353" s="116" t="inlineStr">
        <is>
          <t xml:space="preserve">Сурхандарьинская область, Кизирикский район, Гулобод МСГ, ул. Мустақиллик, дом 31</t>
        </is>
      </c>
      <c r="H353" s="117">
        <v>10.0</v>
      </c>
      <c r="I353" s="117">
        <v>364932.02</v>
      </c>
      <c r="K353" s="116" t="inlineStr">
        <is>
          <t xml:space="preserve">Va'da berdi | bugun tolo qlad | 1095</t>
        </is>
      </c>
    </row>
    <row r="354">
      <c r="A354" s="116" t="inlineStr">
        <is>
          <t xml:space="preserve">СУРХОНДАРЁ ВИЛОЯТИ</t>
        </is>
      </c>
      <c r="C354" s="116" t="inlineStr">
        <is>
          <t xml:space="preserve">Обещал</t>
        </is>
      </c>
      <c r="D354" s="116" t="inlineStr">
        <is>
          <t xml:space="preserve">Кр-99041909-2</t>
        </is>
      </c>
      <c r="E354" s="116" t="inlineStr">
        <is>
          <t xml:space="preserve">XURSANDOV IKROM NEMATULLO O’G’LI</t>
        </is>
      </c>
      <c r="F354" s="116" t="inlineStr">
        <is>
          <t xml:space="preserve">998885991414 SMS O’ZI, 998887642002 SMS SHERIGI, 998972424999 SMS UY,</t>
        </is>
      </c>
      <c r="G354" s="116" t="inlineStr">
        <is>
          <t xml:space="preserve">Сурхандарьинская область, Денауский район, Тасмасой МСГ, ул. Лимонзор-2 берк, дом 6</t>
        </is>
      </c>
      <c r="H354" s="117">
        <v>10.0</v>
      </c>
      <c r="I354" s="117">
        <v>291165.44</v>
      </c>
      <c r="K354" s="116" t="inlineStr">
        <is>
          <t xml:space="preserve">Va'da berdi | erte tolo qlad | 1030</t>
        </is>
      </c>
    </row>
    <row r="355">
      <c r="A355" s="116" t="inlineStr">
        <is>
          <t xml:space="preserve">СУРХОНДАРЁ ВИЛОЯТИ</t>
        </is>
      </c>
      <c r="C355" s="116" t="inlineStr">
        <is>
          <t xml:space="preserve">Обещал</t>
        </is>
      </c>
      <c r="D355" s="116" t="inlineStr">
        <is>
          <t xml:space="preserve">Кр-99029590-1</t>
        </is>
      </c>
      <c r="E355" s="116" t="inlineStr">
        <is>
          <t xml:space="preserve">NASRIDINOV JAMSHED MUSTAFOYEVICH</t>
        </is>
      </c>
      <c r="F355" s="116" t="inlineStr">
        <is>
          <t xml:space="preserve">88-845-88-80 SMS OZI, 91-910-64-68  SMS UKASI, 97-242-68-26 SMS UY, 91-175-92-19 SMS SHERIGI,</t>
        </is>
      </c>
      <c r="G355" s="116" t="inlineStr">
        <is>
          <t xml:space="preserve">SURXONDARYO VILOYATI DENOV TUMANI SINA QFY FAYZABOD MFY DUSPARVAR 44-UY</t>
        </is>
      </c>
      <c r="I355" s="117">
        <v>213324.4</v>
      </c>
      <c r="K355" s="116" t="inlineStr">
        <is>
          <t xml:space="preserve">Va'da berdi | wahnoz ogann | 248</t>
        </is>
      </c>
    </row>
    <row r="356">
      <c r="A356" s="116" t="inlineStr">
        <is>
          <t xml:space="preserve">СУРХОНДАРЁ ВИЛОЯТИ</t>
        </is>
      </c>
      <c r="C356" s="116" t="inlineStr">
        <is>
          <t xml:space="preserve">Обещал</t>
        </is>
      </c>
      <c r="D356" s="116" t="inlineStr">
        <is>
          <t xml:space="preserve">Кр-99041178-2</t>
        </is>
      </c>
      <c r="E356" s="116" t="inlineStr">
        <is>
          <t xml:space="preserve">XUDAYNAZAROV FAXRIDDIN XOLBOY O’G’LI</t>
        </is>
      </c>
      <c r="F356" s="116" t="inlineStr">
        <is>
          <t xml:space="preserve">+998931204895 SMS O’ZI, 998948421212 SMS ONASI, 998992602399 SMS UY,</t>
        </is>
      </c>
      <c r="G356" s="116" t="inlineStr">
        <is>
          <t xml:space="preserve">ОКЖАР КФЙ, БОГАРО МФЙ, ОКЖАР КФЙ, БОГАРО МФЙ, БОГАРО,  uy:00</t>
        </is>
      </c>
      <c r="H356" s="117">
        <v>10.0</v>
      </c>
      <c r="I356" s="117">
        <v>53720.5</v>
      </c>
      <c r="K356" s="116" t="inlineStr">
        <is>
          <t xml:space="preserve">Va'da berdi | bugun yopilad | 967</t>
        </is>
      </c>
    </row>
    <row r="357">
      <c r="A357" s="98" t="inlineStr">
        <is>
          <t xml:space="preserve">ТОШКЕНТ ШАХРИ</t>
        </is>
      </c>
      <c r="C357" s="98" t="inlineStr">
        <is>
          <t xml:space="preserve">Обещал</t>
        </is>
      </c>
      <c r="D357" s="98" t="inlineStr">
        <is>
          <t xml:space="preserve">Кр-99052977-2</t>
        </is>
      </c>
      <c r="E357" s="98" t="inlineStr">
        <is>
          <t xml:space="preserve">XOSHIMOV XOMIDJON XOSIL O’G’LI</t>
        </is>
      </c>
      <c r="F357" s="98" t="inlineStr">
        <is>
          <t xml:space="preserve">998977737667 SMS OZI, 998971200213 SMS AYOLI, 998958181022 SMS DOSTI, 998959758555 SMSHAMKASIBI,</t>
        </is>
      </c>
      <c r="G357" s="98" t="inlineStr">
        <is>
          <t xml:space="preserve">TOSHKENT SHAHAR YUNUSOBOD TUMANI 6-MAVZE,30-UY,2-XONADON</t>
        </is>
      </c>
      <c r="H357" s="99">
        <v>13.0</v>
      </c>
      <c r="I357" s="99">
        <v>10957304.94</v>
      </c>
      <c r="K357" s="98" t="inlineStr">
        <is>
          <t xml:space="preserve">Va'da berdi | moshina sotvotti erta indin yopadi</t>
        </is>
      </c>
    </row>
    <row r="358">
      <c r="A358" s="98" t="inlineStr">
        <is>
          <t xml:space="preserve">ТОШКЕНТ ШАХРИ</t>
        </is>
      </c>
      <c r="C358" s="98" t="inlineStr">
        <is>
          <t xml:space="preserve">Обещал</t>
        </is>
      </c>
      <c r="D358" s="98" t="inlineStr">
        <is>
          <t xml:space="preserve">Кр-99062773-2</t>
        </is>
      </c>
      <c r="E358" s="98" t="inlineStr">
        <is>
          <t xml:space="preserve">SADIKOV BAXROM FAXRIDDINOVICH</t>
        </is>
      </c>
      <c r="F358" s="98" t="inlineStr">
        <is>
          <t xml:space="preserve">998909379991 OZI, 998774447753 AYOLI, 998956856668 ONASI,</t>
        </is>
      </c>
      <c r="G358" s="98" t="inlineStr">
        <is>
          <t xml:space="preserve">TOSHKENT SHAHAR SIRG’ALI TUMANI ESKI JALOYIR MFY ILG’OR KO’CHASI 5-TOR,22-UY</t>
        </is>
      </c>
      <c r="H358" s="99">
        <v>13.0</v>
      </c>
      <c r="I358" s="99">
        <v>9304134.98</v>
      </c>
      <c r="K358" s="98" t="inlineStr">
        <is>
          <t xml:space="preserve">Va'da berdi | 1-2kunda to'lidi</t>
        </is>
      </c>
    </row>
    <row r="359">
      <c r="A359" s="98" t="inlineStr">
        <is>
          <t xml:space="preserve">ТОШКЕНТ ШАХРИ</t>
        </is>
      </c>
      <c r="C359" s="98" t="inlineStr">
        <is>
          <t xml:space="preserve">Обещал</t>
        </is>
      </c>
      <c r="D359" s="98" t="inlineStr">
        <is>
          <t xml:space="preserve">Кр-99033616-2</t>
        </is>
      </c>
      <c r="E359" s="98" t="inlineStr">
        <is>
          <t xml:space="preserve">AKBAROV SHAMSHODBEK SANJAR O’G’LI</t>
        </is>
      </c>
      <c r="F359" s="98" t="inlineStr">
        <is>
          <t xml:space="preserve">998992828111 SMS O’ZI , 998200000019 SMS AKASI, 998999986679 SMS AKASI 2, 998019500172 SMS O’ZI 2,</t>
        </is>
      </c>
      <c r="G359" s="98" t="inlineStr">
        <is>
          <t xml:space="preserve">TOSHKENT SHAHAR YUNUSOBOD TUMANI AMIR TEMUR KO'CHASI 2,</t>
        </is>
      </c>
      <c r="H359" s="99">
        <v>13.0</v>
      </c>
      <c r="I359" s="99">
        <v>9285209.38</v>
      </c>
      <c r="K359" s="98" t="inlineStr">
        <is>
          <t xml:space="preserve">Va'da berdi | dushanbiga to'lidi</t>
        </is>
      </c>
    </row>
    <row r="360">
      <c r="A360" s="98" t="inlineStr">
        <is>
          <t xml:space="preserve">ТОШКЕНТ ШАХРИ</t>
        </is>
      </c>
      <c r="C360" s="98" t="inlineStr">
        <is>
          <t xml:space="preserve">Обещал</t>
        </is>
      </c>
      <c r="D360" s="98" t="inlineStr">
        <is>
          <t xml:space="preserve">Кр-99040899-2</t>
        </is>
      </c>
      <c r="E360" s="98" t="inlineStr">
        <is>
          <t xml:space="preserve">PAK NADEJDA  ANDREYEVNA</t>
        </is>
      </c>
      <c r="F360" s="98" t="inlineStr">
        <is>
          <t xml:space="preserve">998906041146 SMS OZI, 998901680304 SMS OGLI, 998990673231 SMS BOJASI,</t>
        </is>
      </c>
      <c r="G360" s="98" t="inlineStr">
        <is>
          <t xml:space="preserve">TOSHKENT SHAHRI SERGELI TUMANI, XALQABOD MFY, QO’YLIQ 5 MAVZESI, 55 UY, 19 KVARTIRA  </t>
        </is>
      </c>
      <c r="H360" s="99">
        <v>13.0</v>
      </c>
      <c r="I360" s="99">
        <v>9207740.52</v>
      </c>
      <c r="K360" s="98" t="inlineStr">
        <is>
          <t xml:space="preserve">Va'da berdi | 20chigacha to'lidi</t>
        </is>
      </c>
    </row>
    <row r="361">
      <c r="A361" s="98" t="inlineStr">
        <is>
          <t xml:space="preserve">ТОШКЕНТ ШАХРИ</t>
        </is>
      </c>
      <c r="C361" s="98" t="inlineStr">
        <is>
          <t xml:space="preserve">Обещал</t>
        </is>
      </c>
      <c r="D361" s="98" t="inlineStr">
        <is>
          <t xml:space="preserve">Кр-99028656-1</t>
        </is>
      </c>
      <c r="E361" s="98" t="inlineStr">
        <is>
          <t xml:space="preserve">UMARQULOV JASURBEK QAXROMON O’G’LI</t>
        </is>
      </c>
      <c r="F361" s="98" t="inlineStr">
        <is>
          <t xml:space="preserve">99 096-00-96   SMS O'ZI, 33-000-33-96  SMS OZI 2, 98-707-96-90  SMS OZI 3, 93-571-60-93  SMS AKASI JAHONGIR,</t>
        </is>
      </c>
      <c r="G361" s="98" t="inlineStr">
        <is>
          <t xml:space="preserve">TOSHKENT SHAHAR SERGILI TUMANI OLTIN VODIY KOCHASI 11-UY 14 XONADON</t>
        </is>
      </c>
      <c r="H361" s="99">
        <v>153.0</v>
      </c>
      <c r="I361" s="99">
        <v>9089515.26</v>
      </c>
      <c r="K361" s="98" t="inlineStr">
        <is>
          <t xml:space="preserve">Va'da berdi | kechgacha to'lidi</t>
        </is>
      </c>
    </row>
    <row r="362">
      <c r="A362" s="98" t="inlineStr">
        <is>
          <t xml:space="preserve">ТОШКЕНТ ШАХРИ</t>
        </is>
      </c>
      <c r="C362" s="98" t="inlineStr">
        <is>
          <t xml:space="preserve">Обещал</t>
        </is>
      </c>
      <c r="D362" s="98" t="inlineStr">
        <is>
          <t xml:space="preserve">Кр-99028819-5</t>
        </is>
      </c>
      <c r="E362" s="98" t="inlineStr">
        <is>
          <t xml:space="preserve">OLLAKULIYEVA GULANDAM SADULLAYEVNA</t>
        </is>
      </c>
      <c r="F362" s="98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362" s="98" t="inlineStr">
        <is>
          <t xml:space="preserve">TOSHKENT SHAHAR YASHNOBOD TUMANI TUZEL MFY 1-TUZEL MAVZESI 40-UY 32-XONADON</t>
        </is>
      </c>
      <c r="H362" s="99">
        <v>10.0</v>
      </c>
      <c r="I362" s="99">
        <v>6212177.08</v>
      </c>
      <c r="K362" s="98" t="inlineStr">
        <is>
          <t xml:space="preserve">Va'da berdi | bugun kechgacha yopadi</t>
        </is>
      </c>
    </row>
    <row r="363">
      <c r="A363" s="98" t="inlineStr">
        <is>
          <t xml:space="preserve">ТОШКЕНТ ШАХРИ</t>
        </is>
      </c>
      <c r="C363" s="98" t="inlineStr">
        <is>
          <t xml:space="preserve">Обещал</t>
        </is>
      </c>
      <c r="D363" s="98" t="inlineStr">
        <is>
          <t xml:space="preserve">Кр-99063389-1</t>
        </is>
      </c>
      <c r="E363" s="98" t="inlineStr">
        <is>
          <t xml:space="preserve">RUSTAMOVA CHAROS ULUG’BEK QIZI</t>
        </is>
      </c>
      <c r="F363" s="98" t="inlineStr">
        <is>
          <t xml:space="preserve">998910059161 SMS OZI 2, 998977701773 SMS OZI, 998998334455 SMS AKASI,</t>
        </is>
      </c>
      <c r="G363" s="98" t="inlineStr">
        <is>
          <t xml:space="preserve">TOSHKENT SHAHRI XALQABOD MFY QO’YLIK 5 MAVZESI 51-UY 47-XONADON</t>
        </is>
      </c>
      <c r="H363" s="99">
        <v>10.0</v>
      </c>
      <c r="I363" s="99">
        <v>5814533.81</v>
      </c>
      <c r="K363" s="98" t="inlineStr">
        <is>
          <t xml:space="preserve">Va'da berdi | 25chigacha yopad</t>
        </is>
      </c>
    </row>
    <row r="364">
      <c r="A364" s="98" t="inlineStr">
        <is>
          <t xml:space="preserve">ТОШКЕНТ ШАХРИ</t>
        </is>
      </c>
      <c r="C364" s="98" t="inlineStr">
        <is>
          <t xml:space="preserve">Обещал</t>
        </is>
      </c>
      <c r="D364" s="98" t="inlineStr">
        <is>
          <t xml:space="preserve">Кр-99034856-3</t>
        </is>
      </c>
      <c r="E364" s="98" t="inlineStr">
        <is>
          <t xml:space="preserve">DJUMAYEV IXTIYOR JAMGIROVICH</t>
        </is>
      </c>
      <c r="F364" s="98" t="inlineStr">
        <is>
          <t xml:space="preserve">998900143883 SMS O’ZI, 998909450954 SMS AYOLI, 998953136661 SMS QIZI, 998947575888 SMS O’G’LI, 998935392278 SMS OGLI NEW,</t>
        </is>
      </c>
      <c r="G364" s="98" t="inlineStr">
        <is>
          <t xml:space="preserve">TOSHKENT SHAHAR SIRG’ALI TUMANI MADANIYAT MFY,KUYLYUK 5-MAVZESI, 13-UY, 23-XONADON </t>
        </is>
      </c>
      <c r="H364" s="99">
        <v>13.0</v>
      </c>
      <c r="I364" s="99">
        <v>5775181.71</v>
      </c>
      <c r="K364" s="98" t="inlineStr">
        <is>
          <t xml:space="preserve">Va'da berdi | bolib bolib yopib bervottii</t>
        </is>
      </c>
    </row>
    <row r="365">
      <c r="A365" s="98" t="inlineStr">
        <is>
          <t xml:space="preserve">ТОШКЕНТ ШАХРИ</t>
        </is>
      </c>
      <c r="C365" s="98" t="inlineStr">
        <is>
          <t xml:space="preserve">Обещал</t>
        </is>
      </c>
      <c r="D365" s="98" t="inlineStr">
        <is>
          <t xml:space="preserve">Кр-99052417-1</t>
        </is>
      </c>
      <c r="E365" s="98" t="inlineStr">
        <is>
          <t xml:space="preserve">RAXIMBAYEVA NAFISA OLIMJONOVNA</t>
        </is>
      </c>
      <c r="F365" s="98" t="inlineStr">
        <is>
          <t xml:space="preserve">+998999041111 SMS UKASI TO’LOVCHI, 998901593834 SMS O’ZI, 998915487171 SMS UKASI 2,</t>
        </is>
      </c>
      <c r="G365" s="98" t="inlineStr">
        <is>
          <t xml:space="preserve">TOSHKENT SHAXAR SERGILI TUMANI BUNYOD MFY TOSHKENT HALQA AVTAMABIL YO’LI KO’CHASI 2-UY 58-KVARTIRA</t>
        </is>
      </c>
      <c r="I365" s="99">
        <v>5342997.22</v>
      </c>
      <c r="K365" s="98" t="inlineStr">
        <is>
          <t xml:space="preserve">Va'da berdi | dushanba to'lidi</t>
        </is>
      </c>
    </row>
    <row r="366">
      <c r="A366" s="98" t="inlineStr">
        <is>
          <t xml:space="preserve">ТОШКЕНТ ШАХРИ</t>
        </is>
      </c>
      <c r="C366" s="98" t="inlineStr">
        <is>
          <t xml:space="preserve">Обещал</t>
        </is>
      </c>
      <c r="D366" s="98" t="inlineStr">
        <is>
          <t xml:space="preserve">Кр-99037552-2</t>
        </is>
      </c>
      <c r="E366" s="98" t="inlineStr">
        <is>
          <t xml:space="preserve">UMAROV MUZAFFAR YULDOSHEVICH</t>
        </is>
      </c>
      <c r="F366" s="98" t="inlineStr">
        <is>
          <t xml:space="preserve"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G366" s="98" t="inlineStr">
        <is>
          <t xml:space="preserve">TOSHKENT SHAHAR YUNUSOBOD TUMANI TURKISTON MFY,6-MAVZE,30-UY,6-XONADON</t>
        </is>
      </c>
      <c r="H366" s="99">
        <v>10.0</v>
      </c>
      <c r="I366" s="99">
        <v>5066110.25</v>
      </c>
      <c r="K366" s="98" t="inlineStr">
        <is>
          <t xml:space="preserve">Va'da berdi | 3-4kunda to'lidi</t>
        </is>
      </c>
    </row>
    <row r="367">
      <c r="A367" s="98" t="inlineStr">
        <is>
          <t xml:space="preserve">ТОШКЕНТ ШАХРИ</t>
        </is>
      </c>
      <c r="C367" s="98" t="inlineStr">
        <is>
          <t xml:space="preserve">Обещал</t>
        </is>
      </c>
      <c r="D367" s="98" t="inlineStr">
        <is>
          <t xml:space="preserve">Кр-99025377-8</t>
        </is>
      </c>
      <c r="E367" s="98" t="inlineStr">
        <is>
          <t xml:space="preserve">RASULEVA MALIKA MAXAMATOVNA</t>
        </is>
      </c>
      <c r="F367" s="98" t="inlineStr">
        <is>
          <t xml:space="preserve">99-012-54-38 SMS, 95-055-21-06 SMS OZI 2, 99-821-04-08 SMS OGLI MUXAMADAMIN,</t>
        </is>
      </c>
      <c r="G367" s="98" t="inlineStr">
        <is>
          <t xml:space="preserve">TOSHKENT SHAHAR YUNUSOBOD TUMANI YURTOBOD MFY 19- MAVZESI 20-UY 65-XONADON</t>
        </is>
      </c>
      <c r="H367" s="99">
        <v>10.0</v>
      </c>
      <c r="I367" s="99">
        <v>4627115.46</v>
      </c>
      <c r="K367" s="98" t="inlineStr">
        <is>
          <t xml:space="preserve">Va'da berdi</t>
        </is>
      </c>
    </row>
    <row r="368">
      <c r="A368" s="98" t="inlineStr">
        <is>
          <t xml:space="preserve">ТОШКЕНТ ШАХРИ</t>
        </is>
      </c>
      <c r="C368" s="98" t="inlineStr">
        <is>
          <t xml:space="preserve">Обещал</t>
        </is>
      </c>
      <c r="D368" s="98" t="inlineStr">
        <is>
          <t xml:space="preserve">Кр-99002859-4</t>
        </is>
      </c>
      <c r="E368" s="98" t="inlineStr">
        <is>
          <t xml:space="preserve">ERGASHOV MUZAFFAR MURATDJANOVICH</t>
        </is>
      </c>
      <c r="F368" s="98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368" s="98" t="inlineStr">
        <is>
          <t xml:space="preserve">TOSHKENT SHAHAR YUNUSOBOD TUMANI GOLLOLA 34-UY</t>
        </is>
      </c>
      <c r="H368" s="99">
        <v>3.0</v>
      </c>
      <c r="I368" s="99">
        <v>4608247.91</v>
      </c>
      <c r="K368" s="98" t="inlineStr">
        <is>
          <t xml:space="preserve">Va'da berdi</t>
        </is>
      </c>
    </row>
    <row r="369">
      <c r="A369" s="98" t="inlineStr">
        <is>
          <t xml:space="preserve">ТОШКЕНТ ШАХРИ</t>
        </is>
      </c>
      <c r="C369" s="98" t="inlineStr">
        <is>
          <t xml:space="preserve">Обещал</t>
        </is>
      </c>
      <c r="D369" s="98" t="inlineStr">
        <is>
          <t xml:space="preserve">Кр-99037320-2</t>
        </is>
      </c>
      <c r="E369" s="98" t="inlineStr">
        <is>
          <t xml:space="preserve">ZARIFOV FOZILBEK BAXTIYOR O’G’LI</t>
        </is>
      </c>
      <c r="F369" s="98" t="inlineStr">
        <is>
          <t xml:space="preserve">998948797277 SMS OZI, 998945871718 SMS AYOLI, 998940319325 SMS DOSTI, 998944504497 SMS DOSTI,</t>
        </is>
      </c>
      <c r="G369" s="98" t="inlineStr">
        <is>
          <t xml:space="preserve">TOSHKENT SHAHAR YUNUSOBOD TUMANI 8/2-116-UY</t>
        </is>
      </c>
      <c r="H369" s="99">
        <v>10.0</v>
      </c>
      <c r="I369" s="99">
        <v>4287411.64</v>
      </c>
      <c r="K369" s="98" t="inlineStr">
        <is>
          <t xml:space="preserve">Va'da berdi | oyli kutvotti</t>
        </is>
      </c>
    </row>
    <row r="370">
      <c r="A370" s="98" t="inlineStr">
        <is>
          <t xml:space="preserve">ТОШКЕНТ ШАХРИ</t>
        </is>
      </c>
      <c r="C370" s="98" t="inlineStr">
        <is>
          <t xml:space="preserve">Обещал</t>
        </is>
      </c>
      <c r="D370" s="98" t="inlineStr">
        <is>
          <t xml:space="preserve">Кр-99038747-2</t>
        </is>
      </c>
      <c r="E370" s="98" t="inlineStr">
        <is>
          <t xml:space="preserve">AKBARALIYEV ABDUROZIQ RASHIDJON O’G’LI</t>
        </is>
      </c>
      <c r="F370" s="98" t="inlineStr">
        <is>
          <t xml:space="preserve">998901357889 SMS OZI, 998998006254 SMS DOSTI, 998950619903 SMS AKASI, +998901357889 Primary phone from road24,</t>
        </is>
      </c>
      <c r="G370" s="98" t="inlineStr">
        <is>
          <t xml:space="preserve">г. Ташкент, Сергелийский район, ул. Зиекор, 2 проезд, Бирдамлик МСГ, 44- Дом, -</t>
        </is>
      </c>
      <c r="H370" s="99">
        <v>14.0</v>
      </c>
      <c r="I370" s="99">
        <v>4132605.47</v>
      </c>
      <c r="K370" s="98" t="inlineStr">
        <is>
          <t xml:space="preserve">Va'da berdi | oy oxirigacha</t>
        </is>
      </c>
    </row>
    <row r="371">
      <c r="A371" s="98" t="inlineStr">
        <is>
          <t xml:space="preserve">ТОШКЕНТ ШАХРИ</t>
        </is>
      </c>
      <c r="C371" s="98" t="inlineStr">
        <is>
          <t xml:space="preserve">Обещал</t>
        </is>
      </c>
      <c r="D371" s="98" t="inlineStr">
        <is>
          <t xml:space="preserve">Кр-99041239-1</t>
        </is>
      </c>
      <c r="E371" s="98" t="inlineStr">
        <is>
          <t xml:space="preserve">MIRPULATOV ATABEK BAXODIROVICH</t>
        </is>
      </c>
      <c r="F371" s="98" t="inlineStr">
        <is>
          <t xml:space="preserve">+998504404255 SMS OZI, 998335008080 SMS AYOLI, 998977602900 SMS O’G’LI,</t>
        </is>
      </c>
      <c r="G371" s="98" t="inlineStr">
        <is>
          <t xml:space="preserve">г. Ташкент, Юнусабадский район, ул. Исломобод, проезд 6, Исломобод МСГ, 46- Дом, -</t>
        </is>
      </c>
      <c r="H371" s="99">
        <v>3.0</v>
      </c>
      <c r="I371" s="99">
        <v>3698775.67</v>
      </c>
      <c r="K371" s="98" t="inlineStr">
        <is>
          <t xml:space="preserve">Va'da berdi | dushanbi to'lidi</t>
        </is>
      </c>
    </row>
    <row r="372">
      <c r="A372" s="98" t="inlineStr">
        <is>
          <t xml:space="preserve">ТОШКЕНТ ШАХРИ</t>
        </is>
      </c>
      <c r="C372" s="98" t="inlineStr">
        <is>
          <t xml:space="preserve">Обещал</t>
        </is>
      </c>
      <c r="D372" s="98" t="inlineStr">
        <is>
          <t xml:space="preserve">Кр-99038673-2</t>
        </is>
      </c>
      <c r="E372" s="98" t="inlineStr">
        <is>
          <t xml:space="preserve">SHAMSIYEV DONIYOR BAXTIYAROVICH</t>
        </is>
      </c>
      <c r="F372" s="98" t="inlineStr">
        <is>
          <t xml:space="preserve">998981772720 SMS OZI, 998935362720 SMS OZI 2, 998901868135 SMS OTASI,</t>
        </is>
      </c>
      <c r="G372" s="98" t="inlineStr">
        <is>
          <t xml:space="preserve">TOSHKENT SHAHAR SIRG’ALI TUMANI MASSIV O’ZGARISH MOHIDIL 65-UY</t>
        </is>
      </c>
      <c r="H372" s="99">
        <v>10.0</v>
      </c>
      <c r="I372" s="99">
        <v>3517623.09</v>
      </c>
      <c r="K372" s="98" t="inlineStr">
        <is>
          <t xml:space="preserve">Va'da berdi | bugunga</t>
        </is>
      </c>
    </row>
    <row r="373">
      <c r="A373" s="98" t="inlineStr">
        <is>
          <t xml:space="preserve">ТОШКЕНТ ШАХРИ</t>
        </is>
      </c>
      <c r="C373" s="98" t="inlineStr">
        <is>
          <t xml:space="preserve">Обещал</t>
        </is>
      </c>
      <c r="D373" s="98" t="inlineStr">
        <is>
          <t xml:space="preserve">Кр-99017798-7</t>
        </is>
      </c>
      <c r="E373" s="98" t="inlineStr">
        <is>
          <t xml:space="preserve">MAVLYANOVA NARGIZA TAGIROVNA</t>
        </is>
      </c>
      <c r="F373" s="98" t="inlineStr">
        <is>
          <t xml:space="preserve">90-139-55-44 SMS, 90-941-24-91 SMS, 90-808-36-11 SMS, 93-504-22-04 SMS Ozi 2,</t>
        </is>
      </c>
      <c r="G373" s="98" t="inlineStr">
        <is>
          <t xml:space="preserve">Тошкент шахар Юнусобод тумани 14-мавзе 53-уй 55-хонадон</t>
        </is>
      </c>
      <c r="H373" s="99">
        <v>10.0</v>
      </c>
      <c r="I373" s="99">
        <v>3503646.41</v>
      </c>
      <c r="K373" s="98" t="inlineStr">
        <is>
          <t xml:space="preserve">Va'da berdi | 25chigacha to'lidi</t>
        </is>
      </c>
    </row>
    <row r="374">
      <c r="A374" s="98" t="inlineStr">
        <is>
          <t xml:space="preserve">ТОШКЕНТ ШАХРИ</t>
        </is>
      </c>
      <c r="C374" s="98" t="inlineStr">
        <is>
          <t xml:space="preserve">Обещал</t>
        </is>
      </c>
      <c r="D374" s="98" t="inlineStr">
        <is>
          <t xml:space="preserve">Кр-99052350-1</t>
        </is>
      </c>
      <c r="E374" s="98" t="inlineStr">
        <is>
          <t xml:space="preserve">XASANOVA LILIYA AVAZBEKOVNA</t>
        </is>
      </c>
      <c r="F374" s="98" t="inlineStr">
        <is>
          <t xml:space="preserve">998333111103 SMS DADASI, 998334221202 SMS AKASI, 998336860205 SMS OZI, 998996647887 SMS AKAASI 2,</t>
        </is>
      </c>
      <c r="G374" s="98" t="inlineStr">
        <is>
          <t xml:space="preserve">TOSHKENT SHAHAR YASHNABOD TUMANI KATTA QOYLIQ MFY 8-TUYONA KO’CHASI  15-UY</t>
        </is>
      </c>
      <c r="H374" s="99">
        <v>13.0</v>
      </c>
      <c r="I374" s="99">
        <v>3253663.0</v>
      </c>
      <c r="K374" s="98" t="inlineStr">
        <is>
          <t xml:space="preserve">Va'da berdi | akasi bolib bolib tolidi</t>
        </is>
      </c>
    </row>
    <row r="375">
      <c r="A375" s="98" t="inlineStr">
        <is>
          <t xml:space="preserve">ТОШКЕНТ ШАХРИ</t>
        </is>
      </c>
      <c r="C375" s="98" t="inlineStr">
        <is>
          <t xml:space="preserve">Обещал</t>
        </is>
      </c>
      <c r="D375" s="98" t="inlineStr">
        <is>
          <t xml:space="preserve">Кр-99004337-2</t>
        </is>
      </c>
      <c r="E375" s="98" t="inlineStr">
        <is>
          <t xml:space="preserve">GULAMOV AVAZBEK IBAYDULLAYEVICH</t>
        </is>
      </c>
      <c r="F375" s="98" t="inlineStr">
        <is>
          <t xml:space="preserve">99-881-87-77 SMS UZI HAR DOIM ISHLAYDI , 99-004-00-07 SMS UZI, 998909636333 SMS OZI 2, 998998816111 SMS AYOLI,</t>
        </is>
      </c>
      <c r="G375" s="98" t="inlineStr">
        <is>
          <t xml:space="preserve">TOSHKENT SHAHAR SIRG’ALI TUMANI SIRG’ALI 5-51-12</t>
        </is>
      </c>
      <c r="H375" s="99">
        <v>15.0</v>
      </c>
      <c r="I375" s="99">
        <v>3108143.23</v>
      </c>
      <c r="K375" s="98" t="inlineStr">
        <is>
          <t xml:space="preserve">Va'da berdi | bugun yoki ertaga yopadi</t>
        </is>
      </c>
    </row>
    <row r="376">
      <c r="A376" s="98" t="inlineStr">
        <is>
          <t xml:space="preserve">ТОШКЕНТ ШАХРИ</t>
        </is>
      </c>
      <c r="C376" s="98" t="inlineStr">
        <is>
          <t xml:space="preserve">Обещал</t>
        </is>
      </c>
      <c r="D376" s="98" t="inlineStr">
        <is>
          <t xml:space="preserve">Кр-99017842-6</t>
        </is>
      </c>
      <c r="E376" s="98" t="inlineStr">
        <is>
          <t xml:space="preserve">YAKUBJANOV ASADJON AXMADJANOVICH</t>
        </is>
      </c>
      <c r="F376" s="98" t="inlineStr">
        <is>
          <t xml:space="preserve">99-482-80-45  sms OZI, 97-715-15-83  sms AYOLI, 91-008-35-35  sms O'G'LI, 99-482-80-45  sms OZI,</t>
        </is>
      </c>
      <c r="G376" s="98" t="inlineStr">
        <is>
          <t xml:space="preserve">TOSHKENT SHAHRI SERGELI TUMANI</t>
        </is>
      </c>
      <c r="H376" s="99">
        <v>7.0</v>
      </c>
      <c r="I376" s="99">
        <v>2757650.27</v>
      </c>
      <c r="K376" s="98" t="inlineStr">
        <is>
          <t xml:space="preserve">Va'da berdi | shanbi yakshanbiga to'lidi</t>
        </is>
      </c>
    </row>
    <row r="377">
      <c r="A377" s="98" t="inlineStr">
        <is>
          <t xml:space="preserve">ТОШКЕНТ ШАХРИ</t>
        </is>
      </c>
      <c r="C377" s="98" t="inlineStr">
        <is>
          <t xml:space="preserve">Обещал</t>
        </is>
      </c>
      <c r="D377" s="98" t="inlineStr">
        <is>
          <t xml:space="preserve">Кр-99002442-11</t>
        </is>
      </c>
      <c r="E377" s="98" t="inlineStr">
        <is>
          <t xml:space="preserve">FAYZILLAYEV LUTFILLA NARZILLA O’G’LI</t>
        </is>
      </c>
      <c r="F377" s="98" t="inlineStr">
        <is>
          <t xml:space="preserve">93-813-36-36 SMS, 93-813-62-68 SMS XOTINI, 71-220-62-06 sms UY NOMER, 90-126-23-45 SMS SHOHRUX AKA ,</t>
        </is>
      </c>
      <c r="G377" s="98" t="inlineStr">
        <is>
          <t xml:space="preserve">TOSHKENT SHAHAR YUNUSOBOD TUMANI YOSHLIK KUCHASI 26 UY</t>
        </is>
      </c>
      <c r="H377" s="99">
        <v>10.0</v>
      </c>
      <c r="I377" s="99">
        <v>2504980.49</v>
      </c>
      <c r="K377" s="98" t="inlineStr">
        <is>
          <t xml:space="preserve">Va'da berdi | oyni oxirigacha yopadi</t>
        </is>
      </c>
    </row>
    <row r="378">
      <c r="A378" s="98" t="inlineStr">
        <is>
          <t xml:space="preserve">ТОШКЕНТ ШАХРИ</t>
        </is>
      </c>
      <c r="C378" s="98" t="inlineStr">
        <is>
          <t xml:space="preserve">Обещал</t>
        </is>
      </c>
      <c r="D378" s="98" t="inlineStr">
        <is>
          <t xml:space="preserve">Кр-99036235-2</t>
        </is>
      </c>
      <c r="E378" s="98" t="inlineStr">
        <is>
          <t xml:space="preserve">KIRGIZBAYEV JAMSHID VALIJANOVICH</t>
        </is>
      </c>
      <c r="F378" s="98" t="inlineStr">
        <is>
          <t xml:space="preserve">998988000703 SMS O’ZI, 998998615414 SMS O’ZI 2, 998909005414 SMS AYOLI,</t>
        </is>
      </c>
      <c r="G378" s="98" t="inlineStr">
        <is>
          <t xml:space="preserve">мас. Узгариш, дом 1, кв. 213</t>
        </is>
      </c>
      <c r="H378" s="99">
        <v>10.0</v>
      </c>
      <c r="I378" s="99">
        <v>1916086.62</v>
      </c>
      <c r="K378" s="98" t="inlineStr">
        <is>
          <t xml:space="preserve">Va'da berdi | shu hafta to'lidi</t>
        </is>
      </c>
    </row>
    <row r="379">
      <c r="A379" s="98" t="inlineStr">
        <is>
          <t xml:space="preserve">ТОШКЕНТ ШАХРИ</t>
        </is>
      </c>
      <c r="C379" s="98" t="inlineStr">
        <is>
          <t xml:space="preserve">Обещал</t>
        </is>
      </c>
      <c r="D379" s="98" t="inlineStr">
        <is>
          <t xml:space="preserve">Кр-99036278-4</t>
        </is>
      </c>
      <c r="E379" s="98" t="inlineStr">
        <is>
          <t xml:space="preserve">NIG’MONOVA YULDUZXON MUROD QIZI</t>
        </is>
      </c>
      <c r="F379" s="98" t="inlineStr">
        <is>
          <t xml:space="preserve">998970330293 SMS O’ZI, 998771787660 SMS AKASI , 998909660834 SMS KENAYISI , 998956282882 SMS O’ZI 2,</t>
        </is>
      </c>
      <c r="G379" s="98" t="inlineStr">
        <is>
          <t xml:space="preserve">TOSHKENT SHAHRI YUNUSOBOD TUMANI KOZITARNOV 2/9,131 A-XONADON</t>
        </is>
      </c>
      <c r="H379" s="99">
        <v>10.0</v>
      </c>
      <c r="I379" s="99">
        <v>1758525.92</v>
      </c>
      <c r="K379" s="98" t="inlineStr">
        <is>
          <t xml:space="preserve">Va'da berdi | 1-2kunda to'lidi</t>
        </is>
      </c>
    </row>
    <row r="380">
      <c r="A380" s="98" t="inlineStr">
        <is>
          <t xml:space="preserve">ТОШКЕНТ ШАХРИ</t>
        </is>
      </c>
      <c r="C380" s="98" t="inlineStr">
        <is>
          <t xml:space="preserve">Обещал</t>
        </is>
      </c>
      <c r="D380" s="98" t="inlineStr">
        <is>
          <t xml:space="preserve">Кр-99057403-2</t>
        </is>
      </c>
      <c r="E380" s="98" t="inlineStr">
        <is>
          <t xml:space="preserve">ABDULLAYEV DILMUROD DILSHOD O’G’LI</t>
        </is>
      </c>
      <c r="F380" s="98" t="inlineStr">
        <is>
          <t xml:space="preserve">998991013223 SMS OZI, 998977708097 SMS OZI 2, 998993407702 AYOLI, 998933239559 SMS UKASI,</t>
        </is>
      </c>
      <c r="G380" s="98" t="inlineStr">
        <is>
          <t xml:space="preserve">TOSHKENT VILOYATI TOSHKENT SHAHRI YASHNOBOD TUMANI TONG MFY 2-TUZEL MAVZESI 20 XONODON 11 UY</t>
        </is>
      </c>
      <c r="H380" s="99">
        <v>10.0</v>
      </c>
      <c r="I380" s="99">
        <v>1367259.41</v>
      </c>
      <c r="K380" s="98" t="inlineStr">
        <is>
          <t xml:space="preserve">Va'da berdi | bugun yopadi</t>
        </is>
      </c>
    </row>
    <row r="381">
      <c r="A381" s="98" t="inlineStr">
        <is>
          <t xml:space="preserve">ТОШКЕНТ ШАХРИ</t>
        </is>
      </c>
      <c r="C381" s="98" t="inlineStr">
        <is>
          <t xml:space="preserve">Обещал</t>
        </is>
      </c>
      <c r="D381" s="98" t="inlineStr">
        <is>
          <t xml:space="preserve">Кр-99007254-3</t>
        </is>
      </c>
      <c r="E381" s="98" t="inlineStr">
        <is>
          <t xml:space="preserve">OSPANOV AZAT BAXODIROVICH</t>
        </is>
      </c>
      <c r="F381" s="98" t="inlineStr">
        <is>
          <t xml:space="preserve">90-116-63-00 SMS OZI, 90-002-42-58 SMS AYOLI, 90-041-73-94 SMS TULOVCHI, 97-784-74-93 SMS TULOVCHI,</t>
        </is>
      </c>
      <c r="G381" s="98" t="inlineStr">
        <is>
          <t xml:space="preserve">TOSHKENT SHAHAR YUNUSOBOD TUMANI CHINOBOD 8 10-94</t>
        </is>
      </c>
      <c r="H381" s="99">
        <v>10.0</v>
      </c>
      <c r="I381" s="99">
        <v>1338928.64</v>
      </c>
      <c r="K381" s="98" t="inlineStr">
        <is>
          <t xml:space="preserve">Va'da berdi | ertaga 4gacha to'lidi</t>
        </is>
      </c>
    </row>
    <row r="382">
      <c r="A382" s="98" t="inlineStr">
        <is>
          <t xml:space="preserve">ТОШКЕНТ ШАХРИ</t>
        </is>
      </c>
      <c r="C382" s="98" t="inlineStr">
        <is>
          <t xml:space="preserve">Обещал</t>
        </is>
      </c>
      <c r="D382" s="98" t="inlineStr">
        <is>
          <t xml:space="preserve">Кр-99042721-1</t>
        </is>
      </c>
      <c r="E382" s="98" t="inlineStr">
        <is>
          <t xml:space="preserve">JO’RAYEV SHAROFIDDIN NAVRUZ O’G’LI</t>
        </is>
      </c>
      <c r="F382" s="98" t="inlineStr">
        <is>
          <t xml:space="preserve">998330391938 SMS OZI, 998771676734 SMS OZI2, 998975160730 SMS UKASI,</t>
        </is>
      </c>
      <c r="G382" s="98" t="inlineStr">
        <is>
          <t xml:space="preserve">НИЛУФАР МФЙ, СЕРГЕЛИ 2 МАВЗЕСИ,  uy:41 xonadon:38</t>
        </is>
      </c>
      <c r="H382" s="99">
        <v>10.0</v>
      </c>
      <c r="I382" s="99">
        <v>1205608.98</v>
      </c>
      <c r="K382" s="98" t="inlineStr">
        <is>
          <t xml:space="preserve">Va'da berdi | 20chigacha to'lidi</t>
        </is>
      </c>
    </row>
    <row r="383">
      <c r="A383" s="98" t="inlineStr">
        <is>
          <t xml:space="preserve">ТОШКЕНТ ШАХРИ</t>
        </is>
      </c>
      <c r="C383" s="98" t="inlineStr">
        <is>
          <t xml:space="preserve">Обещал</t>
        </is>
      </c>
      <c r="D383" s="98" t="inlineStr">
        <is>
          <t xml:space="preserve">Кр-99041945-3</t>
        </is>
      </c>
      <c r="E383" s="98" t="inlineStr">
        <is>
          <t xml:space="preserve">BEKMATOVA MAXMUDA AKRAMOVNA</t>
        </is>
      </c>
      <c r="F383" s="98" t="inlineStr">
        <is>
          <t xml:space="preserve">998903154326 SMS QIZI, 998903970616 SMS OZI, 998946472100 SMS GAROVCHI, 998977078333 SMS OGLI,</t>
        </is>
      </c>
      <c r="G383" s="98" t="inlineStr">
        <is>
          <t xml:space="preserve">MUYNOQ KO’CHASI 116-UY</t>
        </is>
      </c>
      <c r="H383" s="99">
        <v>10.0</v>
      </c>
      <c r="I383" s="99">
        <v>975922.77</v>
      </c>
      <c r="K383" s="98" t="inlineStr">
        <is>
          <t xml:space="preserve">Va'da berdi | 1-2kunda to'lidi</t>
        </is>
      </c>
    </row>
    <row r="384">
      <c r="A384" s="98" t="inlineStr">
        <is>
          <t xml:space="preserve">ТОШКЕНТ ШАХРИ</t>
        </is>
      </c>
      <c r="C384" s="98" t="inlineStr">
        <is>
          <t xml:space="preserve">Обещал</t>
        </is>
      </c>
      <c r="D384" s="98" t="inlineStr">
        <is>
          <t xml:space="preserve">Кр-99063752-1</t>
        </is>
      </c>
      <c r="E384" s="98" t="inlineStr">
        <is>
          <t xml:space="preserve">AXUNJANOV DAVRON RUSTAMXONOVICH</t>
        </is>
      </c>
      <c r="F384" s="98" t="inlineStr">
        <is>
          <t xml:space="preserve">998950091651 SMS JIYANI, 998991536205 SMS UGLI, 998996150783 SMS UZI,</t>
        </is>
      </c>
      <c r="G384" s="98" t="inlineStr">
        <is>
          <t xml:space="preserve">UYSOLAR 2 UY</t>
        </is>
      </c>
      <c r="H384" s="99">
        <v>13.0</v>
      </c>
      <c r="I384" s="99">
        <v>797327.96</v>
      </c>
      <c r="K384" s="98" t="inlineStr">
        <is>
          <t xml:space="preserve">Va'da berdi | bugunga</t>
        </is>
      </c>
    </row>
    <row r="385">
      <c r="A385" s="98" t="inlineStr">
        <is>
          <t xml:space="preserve">ТОШКЕНТ ШАХРИ</t>
        </is>
      </c>
      <c r="C385" s="98" t="inlineStr">
        <is>
          <t xml:space="preserve">Обещал</t>
        </is>
      </c>
      <c r="D385" s="98" t="inlineStr">
        <is>
          <t xml:space="preserve">Кр-99033141-2</t>
        </is>
      </c>
      <c r="E385" s="98" t="inlineStr">
        <is>
          <t xml:space="preserve">ESHONKULOVA NILUFAR XAYRULLAYEVNA</t>
        </is>
      </c>
      <c r="F385" s="98" t="inlineStr">
        <is>
          <t xml:space="preserve">998900410662 SMS O’ZI, 998990002657 SMS ERI, 998900662701 SMS O’G’LI, 998931101972 SMS O’ZI 2,</t>
        </is>
      </c>
      <c r="G385" s="98" t="inlineStr">
        <is>
          <t xml:space="preserve">TOSHKENT SHAHAR SIRG’ALI TUMANI SERGELI 7-MAVZE    32-UY   47-XONADON</t>
        </is>
      </c>
      <c r="H385" s="99">
        <v>10.0</v>
      </c>
      <c r="I385" s="99">
        <v>590039.46</v>
      </c>
      <c r="K385" s="98" t="inlineStr">
        <is>
          <t xml:space="preserve">Va'da berdi | jumagacha yopadi</t>
        </is>
      </c>
    </row>
    <row r="386">
      <c r="A386" s="98" t="inlineStr">
        <is>
          <t xml:space="preserve">ТОШКЕНТ ШАХРИ</t>
        </is>
      </c>
      <c r="C386" s="98" t="inlineStr">
        <is>
          <t xml:space="preserve">Обещал</t>
        </is>
      </c>
      <c r="D386" s="98" t="inlineStr">
        <is>
          <t xml:space="preserve">Кр-99037018-2</t>
        </is>
      </c>
      <c r="E386" s="98" t="inlineStr">
        <is>
          <t xml:space="preserve">MAKIBAYEV NURGALI GALIYEVICH</t>
        </is>
      </c>
      <c r="F386" s="98" t="inlineStr">
        <is>
          <t xml:space="preserve">998994416166 SMS O’ZI, 998909581919 SMS UKASI, 998990528753 SMS OSHNASI, 998900675004 SMS AYOLI,</t>
        </is>
      </c>
      <c r="G386" s="98" t="inlineStr">
        <is>
          <t xml:space="preserve">TOSHKENT SHAHAR YANGIHAYOT TUMANI CHORTOK MFY, CHORTOK KO’CHASI 34-UY</t>
        </is>
      </c>
      <c r="H386" s="99">
        <v>10.0</v>
      </c>
      <c r="I386" s="99">
        <v>272178.5</v>
      </c>
      <c r="K386" s="98" t="inlineStr">
        <is>
          <t xml:space="preserve">Va'da berdi | bugun yopadi</t>
        </is>
      </c>
    </row>
    <row r="387">
      <c r="A387" s="100" t="inlineStr">
        <is>
          <t xml:space="preserve">ФАРГОНА ВИЛОЯТИ</t>
        </is>
      </c>
      <c r="C387" s="100" t="inlineStr">
        <is>
          <t xml:space="preserve">Обещал</t>
        </is>
      </c>
      <c r="D387" s="100" t="inlineStr">
        <is>
          <t xml:space="preserve">Кр-99060404-1</t>
        </is>
      </c>
      <c r="E387" s="100" t="inlineStr">
        <is>
          <t xml:space="preserve">MAXAMMADOVA ANORAXON BAXODIROVNA</t>
        </is>
      </c>
      <c r="F387" s="100" t="inlineStr">
        <is>
          <t xml:space="preserve">998911111580 ozi, 998910476111 eri, 998919843005 akasi, 998911221777 TULOVCHI AKASI,</t>
        </is>
      </c>
      <c r="G387" s="100" t="inlineStr">
        <is>
          <t xml:space="preserve">Манзил: FARG’ONA VILOYATI QUVA TUMANI GO’ZAL MFY TINCHILIK KO’CHASI 6-UY 27-XONADON</t>
        </is>
      </c>
      <c r="H387" s="101">
        <v>104.0</v>
      </c>
      <c r="I387" s="101">
        <v>51874143.82</v>
      </c>
      <c r="K387" s="100" t="inlineStr">
        <is>
          <t xml:space="preserve">Va'da berdi | BIRJOYDAYDI CHIQAMAN BOSHAB DEDI | 12500000</t>
        </is>
      </c>
    </row>
    <row r="388">
      <c r="A388" s="100" t="inlineStr">
        <is>
          <t xml:space="preserve">ФАРГОНА ВИЛОЯТИ</t>
        </is>
      </c>
      <c r="C388" s="100" t="inlineStr">
        <is>
          <t xml:space="preserve">Обещал</t>
        </is>
      </c>
      <c r="D388" s="100" t="inlineStr">
        <is>
          <t xml:space="preserve">Кр-99041102-2</t>
        </is>
      </c>
      <c r="E388" s="100" t="inlineStr">
        <is>
          <t xml:space="preserve">KADIROVA MAVLUDA ANVAROVNA</t>
        </is>
      </c>
      <c r="F388" s="100" t="inlineStr">
        <is>
          <t xml:space="preserve">998916508656 SMS OZI , 998910478741 SMS O’G’LI, 998916540408 SMS OPASI,</t>
        </is>
      </c>
      <c r="G388" s="100" t="inlineStr">
        <is>
          <t xml:space="preserve">FARG’ONA VILOYATI FARG’ONA SHAHAR TO’QIMACHILAR MFY AFROSIYOB KO’CHASI 2-UY 17-XONADON</t>
        </is>
      </c>
      <c r="H388" s="101">
        <v>104.0</v>
      </c>
      <c r="I388" s="101">
        <v>46534828.5</v>
      </c>
      <c r="K388" s="100" t="inlineStr">
        <is>
          <t xml:space="preserve">Va'da berdi | 11250000</t>
        </is>
      </c>
    </row>
    <row r="389">
      <c r="A389" s="100" t="inlineStr">
        <is>
          <t xml:space="preserve">ФАРГОНА ВИЛОЯТИ</t>
        </is>
      </c>
      <c r="C389" s="100" t="inlineStr">
        <is>
          <t xml:space="preserve">Обещал</t>
        </is>
      </c>
      <c r="D389" s="100" t="inlineStr">
        <is>
          <t xml:space="preserve">Кр-99055167-1</t>
        </is>
      </c>
      <c r="E389" s="100" t="inlineStr">
        <is>
          <t xml:space="preserve">BERDIYEV ODILJON ISLOMJONOVICH</t>
        </is>
      </c>
      <c r="F389" s="100" t="inlineStr">
        <is>
          <t xml:space="preserve">998943536773 SMS, 998200008402 SMS, 998508819593 SMS,</t>
        </is>
      </c>
      <c r="G389" s="100" t="inlineStr">
        <is>
          <t xml:space="preserve">BOG’DOD TUMANI</t>
        </is>
      </c>
      <c r="H389" s="101">
        <v>135.0</v>
      </c>
      <c r="I389" s="101">
        <v>44107737.01</v>
      </c>
      <c r="K389" s="100" t="inlineStr">
        <is>
          <t xml:space="preserve">Va'da berdi | PULINI YECHIB KETGAN PULIM QAYTMAGUNCHA TOLAMIMAN DEYABDI | 10414494.29</t>
        </is>
      </c>
    </row>
    <row r="390">
      <c r="A390" s="100" t="inlineStr">
        <is>
          <t xml:space="preserve">ФАРГОНА ВИЛОЯТИ</t>
        </is>
      </c>
      <c r="C390" s="100" t="inlineStr">
        <is>
          <t xml:space="preserve">Обещал</t>
        </is>
      </c>
      <c r="D390" s="100" t="inlineStr">
        <is>
          <t xml:space="preserve">Кр-99035879-1</t>
        </is>
      </c>
      <c r="E390" s="100" t="inlineStr">
        <is>
          <t xml:space="preserve">OBIYEVA MOHIRA ANVARJON QIZI</t>
        </is>
      </c>
      <c r="F390" s="100" t="inlineStr">
        <is>
          <t xml:space="preserve">998911571991 SMS O’ZI, 998954059090 SMS ERI begana, 998900731111 SMS OPASI begana, 998911053107 SMS OPASI 2, 998906729797 SMS UKASI ,</t>
        </is>
      </c>
      <c r="G390" s="100" t="inlineStr">
        <is>
          <t xml:space="preserve">FARG’ONA VILOYATI RISHTON TUMANI ZOXIDON MFY GULUSTON KO’CHASI</t>
        </is>
      </c>
      <c r="H390" s="101">
        <v>101.0</v>
      </c>
      <c r="I390" s="101">
        <v>22233536.25</v>
      </c>
      <c r="K390" s="100" t="inlineStr">
        <is>
          <t xml:space="preserve">Va'da berdi | 9348178.95</t>
        </is>
      </c>
    </row>
    <row r="391">
      <c r="A391" s="100" t="inlineStr">
        <is>
          <t xml:space="preserve">ФАРГОНА ВИЛОЯТИ</t>
        </is>
      </c>
      <c r="C391" s="100" t="inlineStr">
        <is>
          <t xml:space="preserve">Обещал</t>
        </is>
      </c>
      <c r="D391" s="100" t="inlineStr">
        <is>
          <t xml:space="preserve">Кр-99035634-1</t>
        </is>
      </c>
      <c r="E391" s="100" t="inlineStr">
        <is>
          <t xml:space="preserve">QORABOYEVA GULXUMOR MUXAMMADRO’ZIYEVNA</t>
        </is>
      </c>
      <c r="F391" s="100" t="inlineStr">
        <is>
          <t xml:space="preserve">998908538090 SMS OZI, 998908581817 SMS OGLI, 998916884060 SMS QIZI, 998902934565 SMS JIYANI, 998910207077 KUYOVI TOLOVCHI ,</t>
        </is>
      </c>
      <c r="G391" s="100" t="inlineStr">
        <is>
          <t xml:space="preserve">FARG’ONA VILOYATI BOG’DOD TUMANI MURUVAT MFY YOSH AVLOD KO’CHASI 12-UY 14-XONADON</t>
        </is>
      </c>
      <c r="H391" s="101">
        <v>115.0</v>
      </c>
      <c r="I391" s="101">
        <v>21896916.02</v>
      </c>
      <c r="K391" s="100" t="inlineStr">
        <is>
          <t xml:space="preserve">Va'da berdi | 10716000</t>
        </is>
      </c>
    </row>
    <row r="392">
      <c r="A392" s="100" t="inlineStr">
        <is>
          <t xml:space="preserve">ФАРГОНА ВИЛОЯТИ</t>
        </is>
      </c>
      <c r="C392" s="100" t="inlineStr">
        <is>
          <t xml:space="preserve">Обещал</t>
        </is>
      </c>
      <c r="D392" s="100" t="inlineStr">
        <is>
          <t xml:space="preserve">Кр-99058090-1</t>
        </is>
      </c>
      <c r="E392" s="100" t="inlineStr">
        <is>
          <t xml:space="preserve">YUNUSOVA UMIDA OBIDJON QIZI</t>
        </is>
      </c>
      <c r="F392" s="100" t="inlineStr">
        <is>
          <t xml:space="preserve">998902900988 SMS OZI, 998916681988 SMS QIZI, 998910402015 SMS OGL, 998905812051 SMS OANSI,</t>
        </is>
      </c>
      <c r="G392" s="100" t="inlineStr">
        <is>
          <t xml:space="preserve">FARG’ONA VILOYATI FARG’ONA SHAHAR O’ZBEKISTON MFY A-QODIRIY KO’CHASI 148-UY 26-XONADON</t>
        </is>
      </c>
      <c r="H392" s="101">
        <v>43.0</v>
      </c>
      <c r="I392" s="101">
        <v>13350950.52</v>
      </c>
      <c r="K392" s="100" t="inlineStr">
        <is>
          <t xml:space="preserve">Va'da berdi | KECHGACHA YOPIB QOYADI EKAN | 4019839.41</t>
        </is>
      </c>
    </row>
    <row r="393">
      <c r="A393" s="100" t="inlineStr">
        <is>
          <t xml:space="preserve">ФАРГОНА ВИЛОЯТИ</t>
        </is>
      </c>
      <c r="C393" s="100" t="inlineStr">
        <is>
          <t xml:space="preserve">Обещал</t>
        </is>
      </c>
      <c r="D393" s="100" t="inlineStr">
        <is>
          <t xml:space="preserve">Кр-99040707-1</t>
        </is>
      </c>
      <c r="E393" s="100" t="inlineStr">
        <is>
          <t xml:space="preserve">KABILOVA DILOBA XAKIMOVNA</t>
        </is>
      </c>
      <c r="F393" s="100" t="inlineStr">
        <is>
          <t xml:space="preserve">+998999902233 SMS O’ZI, 998916716784 ERI, 998978828881 O’G’LI 2, 998988887881 O’G’LI,</t>
        </is>
      </c>
      <c r="G393" s="100" t="inlineStr">
        <is>
          <t xml:space="preserve">FARG’ONA VILOYATI FARG’ONA SHAHAR OYBEK MFY P.MAXMUD KO’CHASI 63-XONADON</t>
        </is>
      </c>
      <c r="H393" s="101">
        <v>10.0</v>
      </c>
      <c r="I393" s="101">
        <v>8813925.49</v>
      </c>
      <c r="K393" s="100" t="inlineStr">
        <is>
          <t xml:space="preserve">Va'da berdi | BALITSADA EKAN 20CHILARGA CHIQAMAN BALISHNI PULIMNI OLIB YOPIB BERAMAN DEDI | 2916666.03</t>
        </is>
      </c>
    </row>
    <row r="394">
      <c r="A394" s="100" t="inlineStr">
        <is>
          <t xml:space="preserve">ФАРГОНА ВИЛОЯТИ</t>
        </is>
      </c>
      <c r="C394" s="100" t="inlineStr">
        <is>
          <t xml:space="preserve">Обещал</t>
        </is>
      </c>
      <c r="D394" s="100" t="inlineStr">
        <is>
          <t xml:space="preserve">Кр-99044133-4</t>
        </is>
      </c>
      <c r="E394" s="100" t="inlineStr">
        <is>
          <t xml:space="preserve">BARATALIYEVA SHOIRAXON ALIMJANOVNA</t>
        </is>
      </c>
      <c r="F394" s="100" t="inlineStr">
        <is>
          <t xml:space="preserve">+998917441071 SMS O’ZI, 998701131117 O’G’LI 2, 998916880270 ERI, 998955670345 O’G’LI, 998200217110 OZI NEW,</t>
        </is>
      </c>
      <c r="G394" s="100" t="inlineStr">
        <is>
          <t xml:space="preserve">FARG’ONA VILOYATI BESHARIQ TUMANI NAVBAXOR MFY NAVBAXOR KO’CHASI 134-XONADON</t>
        </is>
      </c>
      <c r="H394" s="101">
        <v>10.0</v>
      </c>
      <c r="I394" s="101">
        <v>8435901.62</v>
      </c>
      <c r="K394" s="100" t="inlineStr">
        <is>
          <t xml:space="preserve">Va'da berdi | OGLI CHETAN PUL JONATISHI KEAK EKAN JONATISHI BILAN TOLEYMIZ DEYABDI | 2708333.02</t>
        </is>
      </c>
    </row>
    <row r="395">
      <c r="A395" s="100" t="inlineStr">
        <is>
          <t xml:space="preserve">ФАРГОНА ВИЛОЯТИ</t>
        </is>
      </c>
      <c r="C395" s="100" t="inlineStr">
        <is>
          <t xml:space="preserve">Обещал</t>
        </is>
      </c>
      <c r="D395" s="100" t="inlineStr">
        <is>
          <t xml:space="preserve">Кр-99063122-1</t>
        </is>
      </c>
      <c r="E395" s="100" t="inlineStr">
        <is>
          <t xml:space="preserve">XOSHIMOV OZODBEK QOSIMOVICH</t>
        </is>
      </c>
      <c r="F395" s="100" t="inlineStr">
        <is>
          <t xml:space="preserve">+998931567009 SMS O’ZI, 998502701901 O’G’LI 2, 998930015484 AYOLI, 998944082929 O’G’LI,</t>
        </is>
      </c>
      <c r="G395" s="100" t="inlineStr">
        <is>
          <t xml:space="preserve">FARG’ONA VILOYATI QUVA TUMANI BO’STON MFY QASHQIR KO’CHASI 82-UY</t>
        </is>
      </c>
      <c r="H395" s="101">
        <v>10.0</v>
      </c>
      <c r="I395" s="101">
        <v>8407671.19</v>
      </c>
      <c r="K395" s="100" t="inlineStr">
        <is>
          <t xml:space="preserve">Va'da berdi | ERTAGA ISHINI BOLIB PULINI OLIB TOLAB QOYADI EKAN | 2499999.89</t>
        </is>
      </c>
    </row>
    <row r="396">
      <c r="A396" s="100" t="inlineStr">
        <is>
          <t xml:space="preserve">ФАРГОНА ВИЛОЯТИ</t>
        </is>
      </c>
      <c r="C396" s="100" t="inlineStr">
        <is>
          <t xml:space="preserve">Обещал</t>
        </is>
      </c>
      <c r="D396" s="100" t="inlineStr">
        <is>
          <t xml:space="preserve">Кр-99050433-2</t>
        </is>
      </c>
      <c r="E396" s="100" t="inlineStr">
        <is>
          <t xml:space="preserve">JALOLOVA UMIDAXON ALIYEVNA</t>
        </is>
      </c>
      <c r="F396" s="100" t="inlineStr">
        <is>
          <t xml:space="preserve">998500406904 O’G’LI, 998916567774 DADASI, 998916586904 O’G’LI, 998916591975 SMS O’ZI,</t>
        </is>
      </c>
      <c r="G396" s="100" t="inlineStr">
        <is>
          <t xml:space="preserve">FARG’ONA VILOYATI FARG’ONA TUMANI XONKIZ MFY SOY BO’YI KO’CHASI 98-UY</t>
        </is>
      </c>
      <c r="H396" s="101">
        <v>10.0</v>
      </c>
      <c r="I396" s="101">
        <v>6610708.92</v>
      </c>
      <c r="K396" s="100" t="inlineStr">
        <is>
          <t xml:space="preserve">Va'da berdi | 5 LARGA QAYTA ALOQA  BITTASI PUL BERISH KERAK EDI BIRISHI BILAN TOLEYMAN DEDI | 2083332.44</t>
        </is>
      </c>
    </row>
    <row r="397">
      <c r="A397" s="100" t="inlineStr">
        <is>
          <t xml:space="preserve">ФАРГОНА ВИЛОЯТИ</t>
        </is>
      </c>
      <c r="C397" s="100" t="inlineStr">
        <is>
          <t xml:space="preserve">Обещал</t>
        </is>
      </c>
      <c r="D397" s="100" t="inlineStr">
        <is>
          <t xml:space="preserve">Кр-99057280-1</t>
        </is>
      </c>
      <c r="E397" s="100" t="inlineStr">
        <is>
          <t xml:space="preserve">MURADOVA GULNOZ TUXTASINOVNA</t>
        </is>
      </c>
      <c r="F397" s="100" t="inlineStr">
        <is>
          <t xml:space="preserve">998200108929 SMS UZI, 998908361292 SMS O'G'LI, 998911121963 SMS ERI, 998905832105 SMS UY, 998918061292 SMS OGLI ,</t>
        </is>
      </c>
      <c r="G397" s="100" t="inlineStr">
        <is>
          <t xml:space="preserve">FARG’ONA VILOYATI MARG’ILON SHAHAR</t>
        </is>
      </c>
      <c r="H397" s="101">
        <v>10.0</v>
      </c>
      <c r="I397" s="101">
        <v>5908187.02</v>
      </c>
      <c r="K397" s="100" t="inlineStr">
        <is>
          <t xml:space="preserve">Va'da berdi | HARAKAT QILEPAN DEYABDI 25GACHA YOPAMAN DEYABDI | 1875000</t>
        </is>
      </c>
    </row>
    <row r="398">
      <c r="A398" s="100" t="inlineStr">
        <is>
          <t xml:space="preserve">ФАРГОНА ВИЛОЯТИ</t>
        </is>
      </c>
      <c r="C398" s="100" t="inlineStr">
        <is>
          <t xml:space="preserve">Обещал</t>
        </is>
      </c>
      <c r="D398" s="100" t="inlineStr">
        <is>
          <t xml:space="preserve">Кр-99041300-1</t>
        </is>
      </c>
      <c r="E398" s="100" t="inlineStr">
        <is>
          <t xml:space="preserve">RAXMONOV ELDORBEK IFTIXORJON O’G’LI</t>
        </is>
      </c>
      <c r="F398" s="100" t="inlineStr">
        <is>
          <t xml:space="preserve">+998906283573 O’ZI, 998911170209 AKASI, 998952250504 DADASI BEGONA, 998959681278 ONASI,</t>
        </is>
      </c>
      <c r="G398" s="100" t="inlineStr">
        <is>
          <t xml:space="preserve">Ферганская область, Фуркатский район, Хайит МСГ, киш. Доғистон, дом 26</t>
        </is>
      </c>
      <c r="H398" s="101">
        <v>10.0</v>
      </c>
      <c r="I398" s="101">
        <v>5813052.53</v>
      </c>
      <c r="K398" s="100" t="inlineStr">
        <is>
          <t xml:space="preserve">Va'da berdi | OZI KOTARMIDI 1278KOTARADI AYTIB QOYAMAN DEYDI | 2476821.26</t>
        </is>
      </c>
    </row>
    <row r="399">
      <c r="A399" s="100" t="inlineStr">
        <is>
          <t xml:space="preserve">ФАРГОНА ВИЛОЯТИ</t>
        </is>
      </c>
      <c r="C399" s="100" t="inlineStr">
        <is>
          <t xml:space="preserve">Обещал</t>
        </is>
      </c>
      <c r="D399" s="100" t="inlineStr">
        <is>
          <t xml:space="preserve">Кр-99063127-1</t>
        </is>
      </c>
      <c r="E399" s="100" t="inlineStr">
        <is>
          <t xml:space="preserve">KENJAYEVA MATLUBA NUMONOVNA</t>
        </is>
      </c>
      <c r="F399" s="100" t="inlineStr">
        <is>
          <t xml:space="preserve">+998932767070 SMS O’ZI, 998772120060 SMS OPASI, 998907833515 UY, 998911176810 KELINI,</t>
        </is>
      </c>
      <c r="G399" s="100" t="inlineStr">
        <is>
          <t xml:space="preserve">FARG’ONA VILOYATI MARG’ILON SHAHAR MAORIF MFY JURAXON SULTONOV 235-UY</t>
        </is>
      </c>
      <c r="H399" s="101">
        <v>10.0</v>
      </c>
      <c r="I399" s="101">
        <v>5604014.63</v>
      </c>
      <c r="K399" s="100" t="inlineStr">
        <is>
          <t xml:space="preserve">Va'da berdi | SIISINI KELINI KOTARDI AYTIB QOYAMAN AYAMGA AYAM AYTADI DEDI | 1666666.04</t>
        </is>
      </c>
    </row>
    <row r="400">
      <c r="A400" s="100" t="inlineStr">
        <is>
          <t xml:space="preserve">ФАРГОНА ВИЛОЯТИ</t>
        </is>
      </c>
      <c r="C400" s="100" t="inlineStr">
        <is>
          <t xml:space="preserve">Обещал</t>
        </is>
      </c>
      <c r="D400" s="100" t="inlineStr">
        <is>
          <t xml:space="preserve">Кр-99034448-1</t>
        </is>
      </c>
      <c r="E400" s="100" t="inlineStr">
        <is>
          <t xml:space="preserve">ASHIROVA MIRA ABBASOVNA</t>
        </is>
      </c>
      <c r="F400" s="100" t="inlineStr">
        <is>
          <t xml:space="preserve">998916509967 SMS O’ZI, 998901621373 SMS O’G’LI, 998907844322 SMS O’G’LI, 998939773993 SMS JIYANI BEGONA,</t>
        </is>
      </c>
      <c r="G400" s="100" t="inlineStr">
        <is>
          <t xml:space="preserve">FARG’ONA VILOYATI FARG’ONA SHAHAR M.ULUG’BEK MFY AXMAD YASSAVIY 50-UY 11-XONADON</t>
        </is>
      </c>
      <c r="H400" s="101">
        <v>3.0</v>
      </c>
      <c r="I400" s="101">
        <v>5542479.42</v>
      </c>
      <c r="K400" s="100" t="inlineStr">
        <is>
          <t xml:space="preserve">Va'da berdi | 3030000</t>
        </is>
      </c>
    </row>
    <row r="401">
      <c r="A401" s="100" t="inlineStr">
        <is>
          <t xml:space="preserve">ФАРГОНА ВИЛОЯТИ</t>
        </is>
      </c>
      <c r="C401" s="100" t="inlineStr">
        <is>
          <t xml:space="preserve">Обещал</t>
        </is>
      </c>
      <c r="D401" s="100" t="inlineStr">
        <is>
          <t xml:space="preserve">Кр-99040371-1</t>
        </is>
      </c>
      <c r="E401" s="100" t="inlineStr">
        <is>
          <t xml:space="preserve">FAYZULLAYEVA MUYASSARXON SAYDUMAROVNA</t>
        </is>
      </c>
      <c r="F401" s="100" t="inlineStr">
        <is>
          <t xml:space="preserve">998507161002 SMS OZI, 998945120202 SMS UY, 998330802006 SMS NEVARASI, 998936402057 SMS OGLI,</t>
        </is>
      </c>
      <c r="G401" s="100" t="inlineStr">
        <is>
          <t xml:space="preserve">FARG’ONA VILOYATI BUVAYDA TUMANI BACHQIR MFY GUZAR KO’CHASI 33-XONADON</t>
        </is>
      </c>
      <c r="H401" s="101">
        <v>10.0</v>
      </c>
      <c r="I401" s="101">
        <v>5266627.69</v>
      </c>
      <c r="K401" s="100" t="inlineStr">
        <is>
          <t xml:space="preserve">Va'da berdi | 18 KUNI 7LARGA QAYTA AOQA TOLOV QILADI EKAN RASIYADAN PULI KELADI | 2424000</t>
        </is>
      </c>
    </row>
    <row r="402">
      <c r="A402" s="100" t="inlineStr">
        <is>
          <t xml:space="preserve">ФАРГОНА ВИЛОЯТИ</t>
        </is>
      </c>
      <c r="C402" s="100" t="inlineStr">
        <is>
          <t xml:space="preserve">Обещал</t>
        </is>
      </c>
      <c r="D402" s="100" t="inlineStr">
        <is>
          <t xml:space="preserve">Кр-99038834-1</t>
        </is>
      </c>
      <c r="E402" s="100" t="inlineStr">
        <is>
          <t xml:space="preserve">ISAQOVA IBODATXON DJO’RAYEVNA</t>
        </is>
      </c>
      <c r="F402" s="100" t="inlineStr">
        <is>
          <t xml:space="preserve">998953948482 SMS OZI, 998990375959 SMS JIYANI, 998911278680 SMS QIZI, 998911222021 SMS KELINI, 998938319390 JIYANI TOLOVCHI ,</t>
        </is>
      </c>
      <c r="G402" s="100" t="inlineStr">
        <is>
          <t xml:space="preserve">FARG’ONA VILOYATI FARG’ONA SHAHAR XAMKORLIK MFY KUKON KO’CHASI 89-UY 26-XONADON</t>
        </is>
      </c>
      <c r="H402" s="101">
        <v>1.0</v>
      </c>
      <c r="I402" s="101">
        <v>4851627.39</v>
      </c>
      <c r="K402" s="100" t="inlineStr">
        <is>
          <t xml:space="preserve">Va'da berdi | 3030000</t>
        </is>
      </c>
    </row>
    <row r="403">
      <c r="A403" s="100" t="inlineStr">
        <is>
          <t xml:space="preserve">ФАРГОНА ВИЛОЯТИ</t>
        </is>
      </c>
      <c r="C403" s="100" t="inlineStr">
        <is>
          <t xml:space="preserve">Обещал</t>
        </is>
      </c>
      <c r="D403" s="100" t="inlineStr">
        <is>
          <t xml:space="preserve">Кр-99063728-1</t>
        </is>
      </c>
      <c r="E403" s="100" t="inlineStr">
        <is>
          <t xml:space="preserve">RAXMATALIYEVA GULXAYO MAVZURJONOVNA</t>
        </is>
      </c>
      <c r="F403" s="100" t="inlineStr">
        <is>
          <t xml:space="preserve">998979559393 OZI, 998337030333 ERI , 998951669090 ERI 2,</t>
        </is>
      </c>
      <c r="G403" s="100" t="inlineStr">
        <is>
          <t xml:space="preserve">SHO`R KOCHASI</t>
        </is>
      </c>
      <c r="H403" s="101">
        <v>13.0</v>
      </c>
      <c r="I403" s="101">
        <v>4611151.26</v>
      </c>
      <c r="K403" s="100" t="inlineStr">
        <is>
          <t xml:space="preserve">Va'da berdi | BOLIB BOLIB TOLAYABDI 1,2KUNDA YOPIB BERAMAN DEYABDI | 1694721.86</t>
        </is>
      </c>
    </row>
    <row r="404">
      <c r="A404" s="100" t="inlineStr">
        <is>
          <t xml:space="preserve">ФАРГОНА ВИЛОЯТИ</t>
        </is>
      </c>
      <c r="C404" s="100" t="inlineStr">
        <is>
          <t xml:space="preserve">Обещал</t>
        </is>
      </c>
      <c r="D404" s="100" t="inlineStr">
        <is>
          <t xml:space="preserve">Кр-99041382-1</t>
        </is>
      </c>
      <c r="E404" s="100" t="inlineStr">
        <is>
          <t xml:space="preserve">KARIMOV ABDURASHIT MAXAMATYUNUSOVICH</t>
        </is>
      </c>
      <c r="F404" s="100" t="inlineStr">
        <is>
          <t xml:space="preserve">998901664100 SMS OZI, 998901803636 SMS AYOLI, 998901632214 SMS ONASI, 998933840630 SMS SHERIGI,</t>
        </is>
      </c>
      <c r="G404" s="100" t="inlineStr">
        <is>
          <t xml:space="preserve">FARG’ONA VILOYATI TOSHLOQ TUMANI ZARKENT MFY ASILOBOD KO’CHASI 3-UY</t>
        </is>
      </c>
      <c r="H404" s="101">
        <v>10.0</v>
      </c>
      <c r="I404" s="101">
        <v>4551006.65</v>
      </c>
      <c r="K404" s="100" t="inlineStr">
        <is>
          <t xml:space="preserve">Va'da berdi | ERTAGA KECHGACHA YOPAMAN UZOGI DEYABDI BOP QOSA BUGNAM YOPIB QOYAMAN DEYABDI | 1562000</t>
        </is>
      </c>
    </row>
    <row r="405">
      <c r="A405" s="100" t="inlineStr">
        <is>
          <t xml:space="preserve">ФАРГОНА ВИЛОЯТИ</t>
        </is>
      </c>
      <c r="C405" s="100" t="inlineStr">
        <is>
          <t xml:space="preserve">Обещал</t>
        </is>
      </c>
      <c r="D405" s="100" t="inlineStr">
        <is>
          <t xml:space="preserve">Кр-99039653-1</t>
        </is>
      </c>
      <c r="E405" s="100" t="inlineStr">
        <is>
          <t xml:space="preserve">DAVRANOVA NARGIZA SHUKIRALIYEVNA</t>
        </is>
      </c>
      <c r="F405" s="100" t="inlineStr">
        <is>
          <t xml:space="preserve">998904053405 SMS OZI, 998503013554 SMS ERI, 998910479933 SMS OGLI, 998910479933 SMS OGLI 2,</t>
        </is>
      </c>
      <c r="G405" s="100" t="inlineStr">
        <is>
          <t xml:space="preserve">FARG’ONA VILOYATI FARG’ONA SHAHAR 22-MUSTAQILIK MFY YORUG’LIK KO’CHASI</t>
        </is>
      </c>
      <c r="H405" s="101">
        <v>1.0</v>
      </c>
      <c r="I405" s="101">
        <v>4500858.36</v>
      </c>
      <c r="K405" s="100" t="inlineStr">
        <is>
          <t xml:space="preserve">Va'da berdi | 2121000</t>
        </is>
      </c>
    </row>
    <row r="406">
      <c r="A406" s="100" t="inlineStr">
        <is>
          <t xml:space="preserve">ФАРГОНА ВИЛОЯТИ</t>
        </is>
      </c>
      <c r="C406" s="100" t="inlineStr">
        <is>
          <t xml:space="preserve">Обещал</t>
        </is>
      </c>
      <c r="D406" s="100" t="inlineStr">
        <is>
          <t xml:space="preserve">Кр-99038703-1</t>
        </is>
      </c>
      <c r="E406" s="100" t="inlineStr">
        <is>
          <t xml:space="preserve">ISROILOV KOMILXON KAMOLXON O’G’LI</t>
        </is>
      </c>
      <c r="F406" s="100" t="inlineStr">
        <is>
          <t xml:space="preserve">998911118181 SMS OZI, 998916559055 SMS AYOLI BEGONA, 998880466662 SMS ONASI, 998911158118 SMS UKASI, 998911169494 SMS qaynukasi,</t>
        </is>
      </c>
      <c r="G406" s="100" t="inlineStr">
        <is>
          <t xml:space="preserve">FARG’ONA VILOYATI FARG’ONA SHAHAR IPAK YO’LI MFY SHABBODA KO’CHASI 91-XONADON</t>
        </is>
      </c>
      <c r="H406" s="101">
        <v>9.0</v>
      </c>
      <c r="I406" s="101">
        <v>4037878.85</v>
      </c>
      <c r="K406" s="100" t="inlineStr">
        <is>
          <t xml:space="preserve">Va'da berdi | 3939394</t>
        </is>
      </c>
    </row>
    <row r="407">
      <c r="A407" s="100" t="inlineStr">
        <is>
          <t xml:space="preserve">ФАРГОНА ВИЛОЯТИ</t>
        </is>
      </c>
      <c r="C407" s="100" t="inlineStr">
        <is>
          <t xml:space="preserve">Обещал</t>
        </is>
      </c>
      <c r="D407" s="100" t="inlineStr">
        <is>
          <t xml:space="preserve">Кр-99049118-2</t>
        </is>
      </c>
      <c r="E407" s="100" t="inlineStr">
        <is>
          <t xml:space="preserve">MAMATQULOV TOJIBOY RO’ZIYEVICH</t>
        </is>
      </c>
      <c r="F407" s="100" t="inlineStr">
        <is>
          <t xml:space="preserve">+998944948128 SMS O’ZI, 998931070281 O’G’LI 2, 998945532052 NEVARASI, 998970420281 O’G’LI, 998930612052 OZI NEW,</t>
        </is>
      </c>
      <c r="G407" s="100" t="inlineStr">
        <is>
          <t xml:space="preserve">FARG’ONA VILOYATI BESHARIQ TUMANI CHIMBOY MFY NAVRO’Z KO’CHASI 107-XONADON</t>
        </is>
      </c>
      <c r="H407" s="101">
        <v>10.0</v>
      </c>
      <c r="I407" s="101">
        <v>4002396.81</v>
      </c>
      <c r="K407" s="100" t="inlineStr">
        <is>
          <t xml:space="preserve">Va'da berdi | BUGUN QISMAN QILADI EKAN QOLGANINI SHANB KUNI KECHGA PULINI OLIB TOLAB QOYADI EKAN | 1249999.53</t>
        </is>
      </c>
    </row>
    <row r="408">
      <c r="A408" s="100" t="inlineStr">
        <is>
          <t xml:space="preserve">ФАРГОНА ВИЛОЯТИ</t>
        </is>
      </c>
      <c r="C408" s="100" t="inlineStr">
        <is>
          <t xml:space="preserve">Обещал</t>
        </is>
      </c>
      <c r="D408" s="100" t="inlineStr">
        <is>
          <t xml:space="preserve">Кр-99031452-1</t>
        </is>
      </c>
      <c r="E408" s="100" t="inlineStr">
        <is>
          <t xml:space="preserve">MUXITDINOVA MAXFUZAXON ABDUVAXOBOVNA</t>
        </is>
      </c>
      <c r="F408" s="100" t="inlineStr">
        <is>
          <t xml:space="preserve">88-864-34-24  SMS O'ZI  NON PATIR SOTADI , 91-282-12-21  SMS AMAKISI TO’LOVCHI , 91-665-15-66  SMS GAROV EGASI , 99-494-11-72 SMS  XOLASI ,</t>
        </is>
      </c>
      <c r="G408" s="100" t="inlineStr">
        <is>
          <t xml:space="preserve">FARG’ONA VILOYATI FAR’ONA SHAHAR AL-XORAZIMIY MFY, AL-XORAZIMIY KO’CHASI 11-UY 54 XONADON</t>
        </is>
      </c>
      <c r="H408" s="101">
        <v>14.0</v>
      </c>
      <c r="I408" s="101">
        <v>3179989.88</v>
      </c>
      <c r="K408" s="100" t="inlineStr">
        <is>
          <t xml:space="preserve">Va'da berdi | 1879000</t>
        </is>
      </c>
    </row>
    <row r="409">
      <c r="A409" s="100" t="inlineStr">
        <is>
          <t xml:space="preserve">ФАРГОНА ВИЛОЯТИ</t>
        </is>
      </c>
      <c r="C409" s="100" t="inlineStr">
        <is>
          <t xml:space="preserve">Обещал</t>
        </is>
      </c>
      <c r="D409" s="100" t="inlineStr">
        <is>
          <t xml:space="preserve">Кр-99039366-1</t>
        </is>
      </c>
      <c r="E409" s="100" t="inlineStr">
        <is>
          <t xml:space="preserve">JURAYEV INOMJON G’ULOMOVICH</t>
        </is>
      </c>
      <c r="F409" s="100" t="inlineStr">
        <is>
          <t xml:space="preserve">998912080108 QIZI, 998940740752 SMS O’ZI, 998949202737 QIZI 2, 998997546688 NABIRASI,</t>
        </is>
      </c>
      <c r="G409" s="100" t="inlineStr">
        <is>
          <t xml:space="preserve">FARG’ONA VILOYATI BUVAYDA TUMANI POSHSHOPIRIM MFY MUSTAQILLIK KO’CHASI 72-UY</t>
        </is>
      </c>
      <c r="H409" s="101">
        <v>10.0</v>
      </c>
      <c r="I409" s="101">
        <v>3106852.6</v>
      </c>
      <c r="K409" s="100" t="inlineStr">
        <is>
          <t xml:space="preserve">Va'da berdi | 1041562.26</t>
        </is>
      </c>
    </row>
    <row r="410">
      <c r="A410" s="100" t="inlineStr">
        <is>
          <t xml:space="preserve">ФАРГОНА ВИЛОЯТИ</t>
        </is>
      </c>
      <c r="C410" s="100" t="inlineStr">
        <is>
          <t xml:space="preserve">Обещал</t>
        </is>
      </c>
      <c r="D410" s="100" t="inlineStr">
        <is>
          <t xml:space="preserve">Кр-99049204-1</t>
        </is>
      </c>
      <c r="E410" s="100" t="inlineStr">
        <is>
          <t xml:space="preserve">ISROILOVA NABIRAXON YUSUPJON QIZI</t>
        </is>
      </c>
      <c r="F410" s="100" t="inlineStr">
        <is>
          <t xml:space="preserve">998913970794 uzi, 998904068676 opasi, 998332042003 eri, 998903630794 ozi new,</t>
        </is>
      </c>
      <c r="G410" s="100" t="inlineStr">
        <is>
          <t xml:space="preserve">FARG’ONA VILOYATI QUVA TUMANI DEXQONOBOD MFY SHO’RMAXALLA KO’CHASI 268-UY</t>
        </is>
      </c>
      <c r="H410" s="101">
        <v>10.0</v>
      </c>
      <c r="I410" s="101">
        <v>2848500.07</v>
      </c>
      <c r="K410" s="100" t="inlineStr">
        <is>
          <t xml:space="preserve">Va'da berdi | 20 KUNI PULI KELADI EKAN KELISHI BILAN TOLAB QOYAMAN DEYABDI | 937429.73</t>
        </is>
      </c>
    </row>
    <row r="411">
      <c r="A411" s="100" t="inlineStr">
        <is>
          <t xml:space="preserve">ФАРГОНА ВИЛОЯТИ</t>
        </is>
      </c>
      <c r="C411" s="100" t="inlineStr">
        <is>
          <t xml:space="preserve">Обещал</t>
        </is>
      </c>
      <c r="D411" s="100" t="inlineStr">
        <is>
          <t xml:space="preserve">Кр-99013236-1</t>
        </is>
      </c>
      <c r="E411" s="100" t="inlineStr">
        <is>
          <t xml:space="preserve">SULTONOV MUXSINJON MUXTOROVICH</t>
        </is>
      </c>
      <c r="F411" s="100" t="inlineStr">
        <is>
          <t xml:space="preserve">998901516164 SMS O’ZI, 998900571609 SMS AYOLI, 998886290123 SMS O’G’LI, 998977535228 SMS UYI, 998970821012 SMS UZI NEW,</t>
        </is>
      </c>
      <c r="G411" s="100" t="inlineStr">
        <is>
          <t xml:space="preserve">FARG’ONA VILOYATI UCHKO’PRIK TUMANI BEGOBOD MFY MUSTAQILIK KO’CHASI 86-XONADON</t>
        </is>
      </c>
      <c r="H411" s="101">
        <v>3.0</v>
      </c>
      <c r="I411" s="101">
        <v>2806495.95</v>
      </c>
      <c r="K411" s="100" t="inlineStr">
        <is>
          <t xml:space="preserve">Va'da berdi | 1515000</t>
        </is>
      </c>
    </row>
    <row r="412">
      <c r="A412" s="100" t="inlineStr">
        <is>
          <t xml:space="preserve">ФАРГОНА ВИЛОЯТИ</t>
        </is>
      </c>
      <c r="C412" s="100" t="inlineStr">
        <is>
          <t xml:space="preserve">Обещал</t>
        </is>
      </c>
      <c r="D412" s="100" t="inlineStr">
        <is>
          <t xml:space="preserve">Кр-99030819-2</t>
        </is>
      </c>
      <c r="E412" s="100" t="inlineStr">
        <is>
          <t xml:space="preserve">OLIMJONOV XURSHID AKRAMJON O’G’LI</t>
        </is>
      </c>
      <c r="F412" s="100" t="inlineStr">
        <is>
          <t xml:space="preserve">91-043-83-83  SMS O’ZI TO'LOVCHI , 90-363-00-13  SMS ONASI , 91-125-57-17  SMS UKASI , 90-632-77-00  SMS O’RTOG’I  , 998907792327 OZI NEW XOTINI,</t>
        </is>
      </c>
      <c r="G412" s="100" t="inlineStr">
        <is>
          <t xml:space="preserve">FARG’ONA VILOYATI FARG’ONA SHAHAR BERUNIY MFY, KIRGULI KO’CHASI 32-UY 1-XONADON </t>
        </is>
      </c>
      <c r="H412" s="101">
        <v>10.0</v>
      </c>
      <c r="I412" s="101">
        <v>2591534.61</v>
      </c>
      <c r="K412" s="100" t="inlineStr">
        <is>
          <t xml:space="preserve">Va'da berdi | 1239083.95</t>
        </is>
      </c>
    </row>
    <row r="413">
      <c r="A413" s="100" t="inlineStr">
        <is>
          <t xml:space="preserve">ФАРГОНА ВИЛОЯТИ</t>
        </is>
      </c>
      <c r="C413" s="100" t="inlineStr">
        <is>
          <t xml:space="preserve">Обещал</t>
        </is>
      </c>
      <c r="D413" s="100" t="inlineStr">
        <is>
          <t xml:space="preserve">Кр-99063550-2</t>
        </is>
      </c>
      <c r="E413" s="100" t="inlineStr">
        <is>
          <t xml:space="preserve">HAJIYEVA IQBOLXON RAIMBERGANOVNA</t>
        </is>
      </c>
      <c r="F413" s="100" t="inlineStr">
        <is>
          <t xml:space="preserve">+998916740111 SMS O’ZI, 998905320111 ERI, 998911116755 QIZI, 998911310828 O’G’LI,</t>
        </is>
      </c>
      <c r="G413" s="100" t="inlineStr">
        <is>
          <t xml:space="preserve">FARG’ONA VILOYATI FARG’ONA SHAHAR A-JOMIY MFY A-JOMIY KO’CHASI 9-UY 11-XONADON</t>
        </is>
      </c>
      <c r="H413" s="101">
        <v>10.0</v>
      </c>
      <c r="I413" s="101">
        <v>2539759.46</v>
      </c>
      <c r="K413" s="100" t="inlineStr">
        <is>
          <t xml:space="preserve">Va'da berdi | 1 LARGACHA TOLAB QOYADI EKAN PERAVALDAN TUSHEPAN TOSHKENTGA YETISHIM BILAN TOLAB QOYAMAN DEYABDI | 1045546.95</t>
        </is>
      </c>
    </row>
    <row r="414">
      <c r="A414" s="100" t="inlineStr">
        <is>
          <t xml:space="preserve">ФАРГОНА ВИЛОЯТИ</t>
        </is>
      </c>
      <c r="C414" s="100" t="inlineStr">
        <is>
          <t xml:space="preserve">Обещал</t>
        </is>
      </c>
      <c r="D414" s="100" t="inlineStr">
        <is>
          <t xml:space="preserve">Кр-99036269-2</t>
        </is>
      </c>
      <c r="E414" s="100" t="inlineStr">
        <is>
          <t xml:space="preserve">TASHPULATOV AVAZJON AKRAMOVICH</t>
        </is>
      </c>
      <c r="F414" s="100" t="inlineStr">
        <is>
          <t xml:space="preserve">998911256909 SMS OZI, 998916797220 SMS OTASI, 998901792328 SMS AYOLI TOLOVCHI , 998911296260 SMS ONASI, +998911256909 Primary phone from road24,</t>
        </is>
      </c>
      <c r="G414" s="100" t="inlineStr">
        <is>
          <t xml:space="preserve">FARG’ONA VILOYATI TOSHLOQ TUMANI FURKAT MFY HUNARMANTLAR KO’CHASI 26-XONADON</t>
        </is>
      </c>
      <c r="H414" s="101">
        <v>10.0</v>
      </c>
      <c r="I414" s="101">
        <v>2160991.07</v>
      </c>
      <c r="K414" s="100" t="inlineStr">
        <is>
          <t xml:space="preserve">Va'da berdi | 837717.91</t>
        </is>
      </c>
    </row>
    <row r="415">
      <c r="A415" s="100" t="inlineStr">
        <is>
          <t xml:space="preserve">ФАРГОНА ВИЛОЯТИ</t>
        </is>
      </c>
      <c r="C415" s="100" t="inlineStr">
        <is>
          <t xml:space="preserve">Обещал</t>
        </is>
      </c>
      <c r="D415" s="100" t="inlineStr">
        <is>
          <t xml:space="preserve">Кр-99062924-1</t>
        </is>
      </c>
      <c r="E415" s="100" t="inlineStr">
        <is>
          <t xml:space="preserve">BOBOYEV MUSINJON ABDILLAYEVICH</t>
        </is>
      </c>
      <c r="F415" s="100" t="inlineStr">
        <is>
          <t xml:space="preserve">+998902741096 SMS O’ZI, 998908373666 KELINI, 998916716616 O’G’LI 2, 998949021511 O’G’LI,</t>
        </is>
      </c>
      <c r="G415" s="100" t="inlineStr">
        <is>
          <t xml:space="preserve">FARG’ONA VILOYATI YOZYOVON TUMANI QOTORTOL MFY AHMAD KO’CHASI 72-UY</t>
        </is>
      </c>
      <c r="H415" s="101">
        <v>10.0</v>
      </c>
      <c r="I415" s="101">
        <v>2159781.48</v>
      </c>
      <c r="K415" s="100" t="inlineStr">
        <is>
          <t xml:space="preserve">Va'da berdi | 5 LARGA QAYTA ALOQA TOLOV QILADI EKAN | 646192.61</t>
        </is>
      </c>
    </row>
    <row r="416">
      <c r="A416" s="100" t="inlineStr">
        <is>
          <t xml:space="preserve">ФАРГОНА ВИЛОЯТИ</t>
        </is>
      </c>
      <c r="C416" s="100" t="inlineStr">
        <is>
          <t xml:space="preserve">Обещал</t>
        </is>
      </c>
      <c r="D416" s="100" t="inlineStr">
        <is>
          <t xml:space="preserve">Кр-99036269-1</t>
        </is>
      </c>
      <c r="E416" s="100" t="inlineStr">
        <is>
          <t xml:space="preserve">TASHPULATOV AVAZJON AKRAMOVICH</t>
        </is>
      </c>
      <c r="F416" s="100" t="inlineStr">
        <is>
          <t xml:space="preserve">998911256909 SMS OZI, 998916797220 SMS OTASI, 998901792328 SMS AYOLI TOLOVCHI , 998911296260 SMS ONASI, +998911256909 Primary phone from road24,</t>
        </is>
      </c>
      <c r="G416" s="100" t="inlineStr">
        <is>
          <t xml:space="preserve">FARG’ONA VILOYATI TOSHLOQ TUMANI FURKAT MFY HUNARMANTLAR KO’CHASI 26-XONADON</t>
        </is>
      </c>
      <c r="I416" s="101">
        <v>2140681.13</v>
      </c>
      <c r="K416" s="100" t="inlineStr">
        <is>
          <t xml:space="preserve">Va'da berdi | 0</t>
        </is>
      </c>
    </row>
    <row r="417">
      <c r="A417" s="100" t="inlineStr">
        <is>
          <t xml:space="preserve">ФАРГОНА ВИЛОЯТИ</t>
        </is>
      </c>
      <c r="C417" s="100" t="inlineStr">
        <is>
          <t xml:space="preserve">Обещал</t>
        </is>
      </c>
      <c r="D417" s="100" t="inlineStr">
        <is>
          <t xml:space="preserve">Кр-99049204-2</t>
        </is>
      </c>
      <c r="E417" s="100" t="inlineStr">
        <is>
          <t xml:space="preserve">ISROILOVA NABIRAXON YUSUPJON QIZI</t>
        </is>
      </c>
      <c r="F417" s="100" t="inlineStr">
        <is>
          <t xml:space="preserve">998913970794 uzi, 998904068676 opasi, 998332042003 eri, 998903630794 ozi new,</t>
        </is>
      </c>
      <c r="G417" s="100" t="inlineStr">
        <is>
          <t xml:space="preserve">FARG’ONA VILOYATI QUVA TUMANI DEXQONOBOD MFY SHO’RMAXALLA KO’CHASI 268-UY</t>
        </is>
      </c>
      <c r="H417" s="101">
        <v>10.0</v>
      </c>
      <c r="I417" s="101">
        <v>2000566.94</v>
      </c>
      <c r="K417" s="100" t="inlineStr">
        <is>
          <t xml:space="preserve">Va'da berdi | 20 KUNI PULI KELADI EKAN KELISHI BILAN TOLAB QOYAMAN DEYABDI | 757575.56</t>
        </is>
      </c>
    </row>
    <row r="418">
      <c r="A418" s="100" t="inlineStr">
        <is>
          <t xml:space="preserve">ФАРГОНА ВИЛОЯТИ</t>
        </is>
      </c>
      <c r="C418" s="100" t="inlineStr">
        <is>
          <t xml:space="preserve">Обещал</t>
        </is>
      </c>
      <c r="D418" s="100" t="inlineStr">
        <is>
          <t xml:space="preserve">Кр-99041932-1</t>
        </is>
      </c>
      <c r="E418" s="100" t="inlineStr">
        <is>
          <t xml:space="preserve">ABDULAHATOV POLVONJON ERGASHALIZODA</t>
        </is>
      </c>
      <c r="F418" s="100" t="inlineStr">
        <is>
          <t xml:space="preserve">+998934559700 SMS O’ZI, 998500956697 AYOLI, 998990955986 SHERIGI, 998990993681 ONASI,</t>
        </is>
      </c>
      <c r="G418" s="100" t="inlineStr">
        <is>
          <t xml:space="preserve">FARG’ONA VILOYATI SO’X TUMANI SO’X MFY CHOR KO’CHASI 144-XONADON</t>
        </is>
      </c>
      <c r="H418" s="101">
        <v>10.0</v>
      </c>
      <c r="I418" s="101">
        <v>1888039.61</v>
      </c>
      <c r="K418" s="100" t="inlineStr">
        <is>
          <t xml:space="preserve">Va'da berdi | 564472.56</t>
        </is>
      </c>
    </row>
    <row r="419">
      <c r="A419" s="100" t="inlineStr">
        <is>
          <t xml:space="preserve">ФАРГОНА ВИЛОЯТИ</t>
        </is>
      </c>
      <c r="C419" s="100" t="inlineStr">
        <is>
          <t xml:space="preserve">Обещал</t>
        </is>
      </c>
      <c r="D419" s="100" t="inlineStr">
        <is>
          <t xml:space="preserve">Кр-99042708-1</t>
        </is>
      </c>
      <c r="E419" s="100" t="inlineStr">
        <is>
          <t xml:space="preserve">ABDIRAXMANOV ABDIRAXIM XO’JAMOVICH</t>
        </is>
      </c>
      <c r="F419" s="100" t="inlineStr">
        <is>
          <t xml:space="preserve">+998911401560 SMS O’ZI, 998903615861 O’G’LI TOLOVCHI SHUNGA QILINSIN , 998930451331 KELINI, 998949710065 AYOLI,</t>
        </is>
      </c>
      <c r="G419" s="100" t="inlineStr">
        <is>
          <t xml:space="preserve">FARG’ONA VILOYATI BUVAYDA TUMANI OQQO’RG’N MFY ARCHAZOR KO’CHASI 7-UY</t>
        </is>
      </c>
      <c r="H419" s="101">
        <v>10.0</v>
      </c>
      <c r="I419" s="101">
        <v>1877146.7</v>
      </c>
      <c r="K419" s="100" t="inlineStr">
        <is>
          <t xml:space="preserve">Va'da berdi | OZI KOTARADI TOLOVCHI KOTARMIYDI AYTAMAN TOLAYDI DEDI | 786437.67</t>
        </is>
      </c>
    </row>
    <row r="420">
      <c r="A420" s="100" t="inlineStr">
        <is>
          <t xml:space="preserve">ФАРГОНА ВИЛОЯТИ</t>
        </is>
      </c>
      <c r="C420" s="100" t="inlineStr">
        <is>
          <t xml:space="preserve">Обещал</t>
        </is>
      </c>
      <c r="D420" s="100" t="inlineStr">
        <is>
          <t xml:space="preserve">Кр-99063815-1</t>
        </is>
      </c>
      <c r="E420" s="100" t="inlineStr">
        <is>
          <t xml:space="preserve">O’RINXO’JAYEV SHERXON URAYIMJON O’G’LI</t>
        </is>
      </c>
      <c r="F420" s="100" t="inlineStr">
        <is>
          <t xml:space="preserve">998504054140 OZI , 998889561114 AYOLI , 998911486696 DADASI , 998912046763 ONASI,</t>
        </is>
      </c>
      <c r="G420" s="100" t="inlineStr">
        <is>
          <t xml:space="preserve">BERUNIY MFY</t>
        </is>
      </c>
      <c r="H420" s="101">
        <v>10.0</v>
      </c>
      <c r="I420" s="101">
        <v>1869189.22</v>
      </c>
      <c r="K420" s="100" t="inlineStr">
        <is>
          <t xml:space="preserve">Va'da berdi | AYOLI BILAN GAPLASHILDI ERI QIRGIZISTONDA EKAN TELAGRAMI OLINDI TELAGRAMDAN CHIQILADI | 756083.61</t>
        </is>
      </c>
    </row>
    <row r="421">
      <c r="A421" s="100" t="inlineStr">
        <is>
          <t xml:space="preserve">ФАРГОНА ВИЛОЯТИ</t>
        </is>
      </c>
      <c r="C421" s="100" t="inlineStr">
        <is>
          <t xml:space="preserve">Обещал</t>
        </is>
      </c>
      <c r="D421" s="100" t="inlineStr">
        <is>
          <t xml:space="preserve">Кр-99032078-3</t>
        </is>
      </c>
      <c r="E421" s="100" t="inlineStr">
        <is>
          <t xml:space="preserve">ABDULLAJONOV XOJIAKBAR OBIDJON O’G’LI</t>
        </is>
      </c>
      <c r="F421" s="100" t="inlineStr">
        <is>
          <t xml:space="preserve">998949997060 SMS O’ZI axrana bolib ishlid , 998947097060 SMS AYOLI, 998948129222 SMS AKASI, 998959709293 SMS KELINI, 998507138440 OZI NEW ,</t>
        </is>
      </c>
      <c r="G421" s="100" t="inlineStr">
        <is>
          <t xml:space="preserve">FARG’ONA VILOYATI FARG’ONA TUMANI MINDONOBOD MFY MADADKOR KO’CHASI 13-XONADON</t>
        </is>
      </c>
      <c r="H421" s="101">
        <v>10.0</v>
      </c>
      <c r="I421" s="101">
        <v>1810781.92</v>
      </c>
      <c r="K421" s="100" t="inlineStr">
        <is>
          <t xml:space="preserve">Va'da berdi | 1296416.31</t>
        </is>
      </c>
    </row>
    <row r="422">
      <c r="A422" s="100" t="inlineStr">
        <is>
          <t xml:space="preserve">ФАРГОНА ВИЛОЯТИ</t>
        </is>
      </c>
      <c r="C422" s="100" t="inlineStr">
        <is>
          <t xml:space="preserve">Обещал</t>
        </is>
      </c>
      <c r="D422" s="100" t="inlineStr">
        <is>
          <t xml:space="preserve">Кр-99035151-1</t>
        </is>
      </c>
      <c r="E422" s="100" t="inlineStr">
        <is>
          <t xml:space="preserve">NORMATOV ASILBEK SHUXRAT O’G’LI</t>
        </is>
      </c>
      <c r="F422" s="100" t="inlineStr">
        <is>
          <t xml:space="preserve">998507746919 SMS O’ZI, 998941682299 SMS ZALOGADETOL, 998991074040 SMS SHERIGI, 998972442020 SMS UKASI,</t>
        </is>
      </c>
      <c r="G422" s="100" t="inlineStr">
        <is>
          <t xml:space="preserve">FARG’ONA VILOYATI QUVA TUMANI O’ROQVOSHI MFY XAMDUSTLIK KO’CHASI 59-XONADON</t>
        </is>
      </c>
      <c r="H422" s="101">
        <v>8.0</v>
      </c>
      <c r="I422" s="101">
        <v>1665613.07</v>
      </c>
      <c r="K422" s="100" t="inlineStr">
        <is>
          <t xml:space="preserve">Va'da berdi | 1510770.58</t>
        </is>
      </c>
    </row>
    <row r="423">
      <c r="A423" s="100" t="inlineStr">
        <is>
          <t xml:space="preserve">ФАРГОНА ВИЛОЯТИ</t>
        </is>
      </c>
      <c r="C423" s="100" t="inlineStr">
        <is>
          <t xml:space="preserve">Обещал</t>
        </is>
      </c>
      <c r="D423" s="100" t="inlineStr">
        <is>
          <t xml:space="preserve">Кр-99033470-1</t>
        </is>
      </c>
      <c r="E423" s="100" t="inlineStr">
        <is>
          <t xml:space="preserve">YO’LDOSHBOYEV MASRURJON MURODJON O’G’LI</t>
        </is>
      </c>
      <c r="F423" s="100" t="inlineStr">
        <is>
          <t xml:space="preserve">998934714131 SMS O’ZI  ozimizzi xodim Donyor , 998945510066 SMS AKASI Tolovchi , 998903030803 SMS AKASI 2,</t>
        </is>
      </c>
      <c r="G423" s="100" t="inlineStr">
        <is>
          <t xml:space="preserve">FARG’ONA VILOYATI RISHTON TUMANI TOSHOG’LIQ MFY MUSTAQILIK KO’CHASI 84-XONADON</t>
        </is>
      </c>
      <c r="H423" s="101">
        <v>7.0</v>
      </c>
      <c r="I423" s="101">
        <v>1647863.57</v>
      </c>
      <c r="K423" s="100" t="inlineStr">
        <is>
          <t xml:space="preserve">Va'da berdi | 909000</t>
        </is>
      </c>
    </row>
    <row r="424">
      <c r="A424" s="100" t="inlineStr">
        <is>
          <t xml:space="preserve">ФАРГОНА ВИЛОЯТИ</t>
        </is>
      </c>
      <c r="C424" s="100" t="inlineStr">
        <is>
          <t xml:space="preserve">Обещал</t>
        </is>
      </c>
      <c r="D424" s="100" t="inlineStr">
        <is>
          <t xml:space="preserve">Кр-99029400-1</t>
        </is>
      </c>
      <c r="E424" s="100" t="inlineStr">
        <is>
          <t xml:space="preserve">MAXKAMOV ATXAMJON RAJABBOYEVICH</t>
        </is>
      </c>
      <c r="F424" s="100" t="inlineStr">
        <is>
          <t xml:space="preserve">97-067-61-00  SMS O’ZI begana, 99-047-97-77  SMS O’G’LI, 91 150-97-77  SMS O’G’LI , 91-694-97-77  SMS KELINI BEGONA,</t>
        </is>
      </c>
      <c r="G424" s="100" t="inlineStr">
        <is>
          <t xml:space="preserve">FARG’ONA VILOYATI DANG’ARA TUMANI ISTIQLOL MFY, BAXT KO’CHASI 80-XONADON</t>
        </is>
      </c>
      <c r="H424" s="101">
        <v>7.0</v>
      </c>
      <c r="I424" s="101">
        <v>1458573.38</v>
      </c>
      <c r="K424" s="100" t="inlineStr">
        <is>
          <t xml:space="preserve">Va'da berdi | 909000</t>
        </is>
      </c>
    </row>
    <row r="425">
      <c r="A425" s="100" t="inlineStr">
        <is>
          <t xml:space="preserve">ФАРГОНА ВИЛОЯТИ</t>
        </is>
      </c>
      <c r="C425" s="100" t="inlineStr">
        <is>
          <t xml:space="preserve">Обещал</t>
        </is>
      </c>
      <c r="D425" s="100" t="inlineStr">
        <is>
          <t xml:space="preserve">Кр-99032963-2</t>
        </is>
      </c>
      <c r="E425" s="100" t="inlineStr">
        <is>
          <t xml:space="preserve">XABIBULLAYEV UMIDJON UBAYDULLO O’G’LI</t>
        </is>
      </c>
      <c r="F425" s="100" t="inlineStr">
        <is>
          <t xml:space="preserve">998916665006 SMS O’ZI, 998903640556 SMS UKASI, 998905805316 SMS AYOLI BEGONA, 998330992429 SMS ONASI,</t>
        </is>
      </c>
      <c r="G425" s="100" t="inlineStr">
        <is>
          <t xml:space="preserve">FARG’ONA VILOYATI FARG’ONA SHAXAR SOHIBKOR MFY YAXSHILIK KO’CHASI 11-XONADON</t>
        </is>
      </c>
      <c r="H425" s="101">
        <v>1.0</v>
      </c>
      <c r="I425" s="101">
        <v>1306191.33</v>
      </c>
      <c r="K425" s="100" t="inlineStr">
        <is>
          <t xml:space="preserve">Va'da berdi | 778573.27</t>
        </is>
      </c>
    </row>
    <row r="426">
      <c r="A426" s="100" t="inlineStr">
        <is>
          <t xml:space="preserve">ФАРГОНА ВИЛОЯТИ</t>
        </is>
      </c>
      <c r="C426" s="100" t="inlineStr">
        <is>
          <t xml:space="preserve">Обещал</t>
        </is>
      </c>
      <c r="D426" s="100" t="inlineStr">
        <is>
          <t xml:space="preserve">Кр-99032078-4</t>
        </is>
      </c>
      <c r="E426" s="100" t="inlineStr">
        <is>
          <t xml:space="preserve">ABDULLAJONOV XOJIAKBAR OBIDJON O’G’LI</t>
        </is>
      </c>
      <c r="F426" s="100" t="inlineStr">
        <is>
          <t xml:space="preserve">998949997060 SMS O’ZI axrana bolib ishlid , 998947097060 SMS AYOLI, 998948129222 SMS AKASI, 998959709293 SMS KELINI, 998507138440 OZI NEW ,</t>
        </is>
      </c>
      <c r="G426" s="100" t="inlineStr">
        <is>
          <t xml:space="preserve">FARG’ONA VILOYATI FARG’ONA TUMANI MINDONOBOD MFY MADADKOR KO’CHASI 13-XONADON</t>
        </is>
      </c>
      <c r="H426" s="101">
        <v>10.0</v>
      </c>
      <c r="I426" s="101">
        <v>1187215.96</v>
      </c>
      <c r="K426" s="100" t="inlineStr">
        <is>
          <t xml:space="preserve">Va'da berdi | 656391.62</t>
        </is>
      </c>
    </row>
    <row r="427">
      <c r="A427" s="102" t="inlineStr">
        <is>
          <t xml:space="preserve">ХОРАЗМ ВИЛОЯТИ</t>
        </is>
      </c>
      <c r="B427" s="102" t="inlineStr">
        <is>
          <t xml:space="preserve">SUPER BRANCH</t>
        </is>
      </c>
      <c r="C427" s="102" t="inlineStr">
        <is>
          <t xml:space="preserve">Обещал</t>
        </is>
      </c>
      <c r="D427" s="102" t="inlineStr">
        <is>
          <t xml:space="preserve">Кр-99018792-4</t>
        </is>
      </c>
      <c r="E427" s="102" t="inlineStr">
        <is>
          <t xml:space="preserve">QALANDAROV RUSLAN KADAMBAYEVICH</t>
        </is>
      </c>
      <c r="F427" s="102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427" s="102" t="inlineStr">
        <is>
          <t xml:space="preserve">XORAZM VILOYATI YANGIBOZOR TUMANI OYOQDO`RMAN QISHLOG`I YANGIOBOD MAXALLASI 92 UY</t>
        </is>
      </c>
      <c r="H427" s="103">
        <v>10.0</v>
      </c>
      <c r="I427" s="103">
        <v>7618860.48</v>
      </c>
      <c r="K427" s="102" t="inlineStr">
        <is>
          <t xml:space="preserve">Va'da berdi | 20 sanadan kegin yopad fermer | 68</t>
        </is>
      </c>
    </row>
    <row r="428">
      <c r="A428" s="102" t="inlineStr">
        <is>
          <t xml:space="preserve">ХОРАЗМ ВИЛОЯТИ</t>
        </is>
      </c>
      <c r="B428" s="102" t="inlineStr">
        <is>
          <t xml:space="preserve">SUPER BRANCH</t>
        </is>
      </c>
      <c r="C428" s="102" t="inlineStr">
        <is>
          <t xml:space="preserve">Обещал</t>
        </is>
      </c>
      <c r="D428" s="102" t="inlineStr">
        <is>
          <t xml:space="preserve">Кр-99040398-2</t>
        </is>
      </c>
      <c r="E428" s="102" t="inlineStr">
        <is>
          <t xml:space="preserve">BOLTAYEV MUSA QURONBOYEVICH</t>
        </is>
      </c>
      <c r="F428" s="102" t="inlineStr">
        <is>
          <t xml:space="preserve">998500971976 SMS OZI, 998996853272 SMS OZI 2, 998992673111 SMS QIZI,</t>
        </is>
      </c>
      <c r="G428" s="102" t="inlineStr">
        <is>
          <t xml:space="preserve">XORAZM VILOYATI XONQA TUMANI G’AYRAT MFY G’AYRAT KUCHASI 46-UY</t>
        </is>
      </c>
      <c r="H428" s="103">
        <v>10.0</v>
      </c>
      <c r="I428" s="103">
        <v>6052681.37</v>
      </c>
      <c r="K428" s="102" t="inlineStr">
        <is>
          <t xml:space="preserve">Va'da berdi | qizi bilan gaplashdim adasi rassiyadekan oylik olib tashavorad | 891</t>
        </is>
      </c>
    </row>
    <row r="429">
      <c r="A429" s="102" t="inlineStr">
        <is>
          <t xml:space="preserve">ХОРАЗМ ВИЛОЯТИ</t>
        </is>
      </c>
      <c r="B429" s="102" t="inlineStr">
        <is>
          <t xml:space="preserve">SUPER BRANCH</t>
        </is>
      </c>
      <c r="C429" s="102" t="inlineStr">
        <is>
          <t xml:space="preserve">Обещал</t>
        </is>
      </c>
      <c r="D429" s="102" t="inlineStr">
        <is>
          <t xml:space="preserve">Кр-99039789-1</t>
        </is>
      </c>
      <c r="E429" s="102" t="inlineStr">
        <is>
          <t xml:space="preserve">SAMANDAROV XAMIDJON OTAXONOVICH</t>
        </is>
      </c>
      <c r="F429" s="102" t="inlineStr">
        <is>
          <t xml:space="preserve">998992020025 SMS OGLI, 998991327264 SMS KELINI, 999893103800 SMS OOZI, 998991468050 SMS AYOLI,</t>
        </is>
      </c>
      <c r="G429" s="102" t="inlineStr">
        <is>
          <t xml:space="preserve">XORAZM VILOYATI YANGIARIQ TUMANI KATTABOG’ QFY KATTABOG’ MFY EZOZ KO’CHASI 21-UY</t>
        </is>
      </c>
      <c r="H429" s="103">
        <v>10.0</v>
      </c>
      <c r="I429" s="103">
        <v>4628316.13</v>
      </c>
      <c r="K429" s="102" t="inlineStr">
        <is>
          <t xml:space="preserve">Va'da berdi | ayoli bilan gaplashtim 1-2 kunda tolov qilib berad ogli | 834</t>
        </is>
      </c>
    </row>
    <row r="430">
      <c r="A430" s="102" t="inlineStr">
        <is>
          <t xml:space="preserve">ХОРАЗМ ВИЛОЯТИ</t>
        </is>
      </c>
      <c r="B430" s="102" t="inlineStr">
        <is>
          <t xml:space="preserve">SUPER BRANCH</t>
        </is>
      </c>
      <c r="C430" s="102" t="inlineStr">
        <is>
          <t xml:space="preserve">Обещал</t>
        </is>
      </c>
      <c r="D430" s="102" t="inlineStr">
        <is>
          <t xml:space="preserve">Кр-99040257-1</t>
        </is>
      </c>
      <c r="E430" s="102" t="inlineStr">
        <is>
          <t xml:space="preserve">KURBANOV UMRBEK UKTAMBAYEVICH</t>
        </is>
      </c>
      <c r="F430" s="102" t="inlineStr">
        <is>
          <t xml:space="preserve">998995641564 SMS OZI, 998991280118 SMS XOTINI, 998952713164 SMS OZI, 998995753164 SMS ISH,</t>
        </is>
      </c>
      <c r="G430" s="102" t="inlineStr">
        <is>
          <t xml:space="preserve">XORAZM VILOYATI URGANCH TUMANI TADQIQOTCHILAR MAXALLASI MARDANOVOR KUCHASI 42 UY</t>
        </is>
      </c>
      <c r="H430" s="103">
        <v>10.0</v>
      </c>
      <c r="I430" s="103">
        <v>4601541.07</v>
      </c>
      <c r="K430" s="102" t="inlineStr">
        <is>
          <t xml:space="preserve">Va'da berdi | ayoli bilan gaplashdim 1-2 kunda yopib berad | 878</t>
        </is>
      </c>
    </row>
    <row r="431">
      <c r="A431" s="102" t="inlineStr">
        <is>
          <t xml:space="preserve">ХОРАЗМ ВИЛОЯТИ</t>
        </is>
      </c>
      <c r="B431" s="102" t="inlineStr">
        <is>
          <t xml:space="preserve">SUPER BRANCH</t>
        </is>
      </c>
      <c r="C431" s="102" t="inlineStr">
        <is>
          <t xml:space="preserve">Обещал</t>
        </is>
      </c>
      <c r="D431" s="102" t="inlineStr">
        <is>
          <t xml:space="preserve">Кр-99039471-1</t>
        </is>
      </c>
      <c r="E431" s="102" t="inlineStr">
        <is>
          <t xml:space="preserve">ABDULLAYEV ABDULLA OCHILOVICH</t>
        </is>
      </c>
      <c r="F431" s="102" t="inlineStr">
        <is>
          <t xml:space="preserve">998500874141 SMS OGLI, 998931311978 SMS OZI begona, 998949984155 SMS OGLI, 998948859669 SMS AYOLI,</t>
        </is>
      </c>
      <c r="G431" s="102" t="inlineStr">
        <is>
          <t xml:space="preserve">XORAZM VILOYATI XONQA TUMANI MANGULIK MFY NAVBAXOR KUCHASI 40-UY</t>
        </is>
      </c>
      <c r="H431" s="103">
        <v>8.0</v>
      </c>
      <c r="I431" s="103">
        <v>3896736.98</v>
      </c>
      <c r="K431" s="102" t="inlineStr">
        <is>
          <t xml:space="preserve">Va'da berdi | 20-sanaga yopib berad | 794</t>
        </is>
      </c>
    </row>
    <row r="432">
      <c r="A432" s="102" t="inlineStr">
        <is>
          <t xml:space="preserve">ХОРАЗМ ВИЛОЯТИ</t>
        </is>
      </c>
      <c r="B432" s="102" t="inlineStr">
        <is>
          <t xml:space="preserve">SUPER BRANCH</t>
        </is>
      </c>
      <c r="C432" s="102" t="inlineStr">
        <is>
          <t xml:space="preserve">Обещал</t>
        </is>
      </c>
      <c r="D432" s="102" t="inlineStr">
        <is>
          <t xml:space="preserve">Кр-99039933-1</t>
        </is>
      </c>
      <c r="E432" s="102" t="inlineStr">
        <is>
          <t xml:space="preserve">ATAJANOV FAXRIDDIN RUZMETOVICH</t>
        </is>
      </c>
      <c r="F432" s="102" t="inlineStr">
        <is>
          <t xml:space="preserve">998918616267 SMS OZI, 998918573148 SMS AYOLI, 998915722424 SMS OGLI, 998339007270 SMS QIZI,</t>
        </is>
      </c>
      <c r="G432" s="102" t="inlineStr">
        <is>
          <t xml:space="preserve">XORAZM VILOYATI XIVA TUMANI CHANASHIK MFY DIYOR KO’CHASI 55-UY</t>
        </is>
      </c>
      <c r="H432" s="103">
        <v>10.0</v>
      </c>
      <c r="I432" s="103">
        <v>3538099.52</v>
      </c>
      <c r="K432" s="102" t="inlineStr">
        <is>
          <t xml:space="preserve">Va'da berdi | qisman tolad qolgani abetdan kegin | 847</t>
        </is>
      </c>
    </row>
    <row r="433">
      <c r="A433" s="102" t="inlineStr">
        <is>
          <t xml:space="preserve">ХОРАЗМ ВИЛОЯТИ</t>
        </is>
      </c>
      <c r="B433" s="102" t="inlineStr">
        <is>
          <t xml:space="preserve">SUPER BRANCH</t>
        </is>
      </c>
      <c r="C433" s="102" t="inlineStr">
        <is>
          <t xml:space="preserve">Обещал</t>
        </is>
      </c>
      <c r="D433" s="102" t="inlineStr">
        <is>
          <t xml:space="preserve">Кр-99040131-1</t>
        </is>
      </c>
      <c r="E433" s="102" t="inlineStr">
        <is>
          <t xml:space="preserve">YUSUPOV SHORIFJON ROMONBERGAN O’G’LI</t>
        </is>
      </c>
      <c r="F433" s="102" t="inlineStr">
        <is>
          <t xml:space="preserve">998999664447 SMS OZI, 998827744472 SMS AYOLI, 998956099999 SMS ISH,</t>
        </is>
      </c>
      <c r="G433" s="102" t="inlineStr">
        <is>
          <t xml:space="preserve">XORAZM VILOYATI URGANCH TUMANI BO’STON MFY MUQUMIY KUCHASI 113</t>
        </is>
      </c>
      <c r="H433" s="103">
        <v>10.0</v>
      </c>
      <c r="I433" s="103">
        <v>3532955.07</v>
      </c>
      <c r="K433" s="102" t="inlineStr">
        <is>
          <t xml:space="preserve">Va'da berdi | bugun yopib berad | 862</t>
        </is>
      </c>
    </row>
    <row r="434">
      <c r="A434" s="102" t="inlineStr">
        <is>
          <t xml:space="preserve">ХОРАЗМ ВИЛОЯТИ</t>
        </is>
      </c>
      <c r="B434" s="102" t="inlineStr">
        <is>
          <t xml:space="preserve">SUPER BRANCH</t>
        </is>
      </c>
      <c r="C434" s="102" t="inlineStr">
        <is>
          <t xml:space="preserve">Обещал</t>
        </is>
      </c>
      <c r="D434" s="102" t="inlineStr">
        <is>
          <t xml:space="preserve">Кр-99040349-1</t>
        </is>
      </c>
      <c r="E434" s="102" t="inlineStr">
        <is>
          <t xml:space="preserve">KARIMOV JAHONGIR SHAROFADDIN O’G’LI</t>
        </is>
      </c>
      <c r="F434" s="102" t="inlineStr">
        <is>
          <t xml:space="preserve">998507157955 SMS OZI, 998952298584 SMS AKASI, 998774088961 SMS OPASI,</t>
        </is>
      </c>
      <c r="G434" s="102" t="inlineStr">
        <is>
          <t xml:space="preserve">XORAZM VILOYATI BOG’OT TUMANI TONG YOG’DU KUCHASI 2 UY </t>
        </is>
      </c>
      <c r="H434" s="103">
        <v>10.0</v>
      </c>
      <c r="I434" s="103">
        <v>3503700.16</v>
      </c>
      <c r="K434" s="102" t="inlineStr">
        <is>
          <t xml:space="preserve">Va'da berdi | qisman tolov qildi | 882</t>
        </is>
      </c>
    </row>
    <row r="435">
      <c r="A435" s="102" t="inlineStr">
        <is>
          <t xml:space="preserve">ХОРАЗМ ВИЛОЯТИ</t>
        </is>
      </c>
      <c r="B435" s="102" t="inlineStr">
        <is>
          <t xml:space="preserve">SUPER BRANCH</t>
        </is>
      </c>
      <c r="C435" s="102" t="inlineStr">
        <is>
          <t xml:space="preserve">Обещал</t>
        </is>
      </c>
      <c r="D435" s="102" t="inlineStr">
        <is>
          <t xml:space="preserve">Кр-99020745-4</t>
        </is>
      </c>
      <c r="E435" s="102" t="inlineStr">
        <is>
          <t xml:space="preserve">JUMANOV OLIMBOY YULDOSHBAYEVICH</t>
        </is>
      </c>
      <c r="F435" s="102" t="inlineStr">
        <is>
          <t xml:space="preserve">998905592535 SMS O’ZI, 998937550083 SMS DO’STI, 998907263177 SMS O’G’LI, 998995890838 SMS O’G’LI (begona),</t>
        </is>
      </c>
      <c r="G435" s="102" t="inlineStr">
        <is>
          <t xml:space="preserve">XORAZM VILOYATI YANGIBOZOR TUMANI BO’STON MAXALLASI ZANGALOBOD KUCHASI 47-UY</t>
        </is>
      </c>
      <c r="H435" s="103">
        <v>10.0</v>
      </c>
      <c r="I435" s="103">
        <v>3329035.84</v>
      </c>
      <c r="K435" s="102" t="inlineStr">
        <is>
          <t xml:space="preserve">Va'da berdi | 20 sanadan kegin yopad fermer | 92</t>
        </is>
      </c>
    </row>
    <row r="436">
      <c r="A436" s="102" t="inlineStr">
        <is>
          <t xml:space="preserve">ХОРАЗМ ВИЛОЯТИ</t>
        </is>
      </c>
      <c r="B436" s="102" t="inlineStr">
        <is>
          <t xml:space="preserve">SUPER BRANCH</t>
        </is>
      </c>
      <c r="C436" s="102" t="inlineStr">
        <is>
          <t xml:space="preserve">Обещал</t>
        </is>
      </c>
      <c r="D436" s="102" t="inlineStr">
        <is>
          <t xml:space="preserve">Кр-99040078-1</t>
        </is>
      </c>
      <c r="E436" s="102" t="inlineStr">
        <is>
          <t xml:space="preserve">ISMAILOVA  LAYLO  PAVLVANNAZAROVNA</t>
        </is>
      </c>
      <c r="F436" s="102" t="inlineStr">
        <is>
          <t xml:space="preserve">998507970380 SMS ERI, 998904330302 SMS AYOLI, 998919192020 SMS OGLI,</t>
        </is>
      </c>
      <c r="G436" s="102" t="inlineStr">
        <is>
          <t xml:space="preserve">URGANCH SHAHRI</t>
        </is>
      </c>
      <c r="H436" s="103">
        <v>14.0</v>
      </c>
      <c r="I436" s="103">
        <v>2911819.83</v>
      </c>
      <c r="K436" s="102" t="inlineStr">
        <is>
          <t xml:space="preserve">Va'da berdi | eri obqoygan yeri borakan ushabi sotvotti | 859</t>
        </is>
      </c>
    </row>
    <row r="437">
      <c r="A437" s="102" t="inlineStr">
        <is>
          <t xml:space="preserve">ХОРАЗМ ВИЛОЯТИ</t>
        </is>
      </c>
      <c r="B437" s="102" t="inlineStr">
        <is>
          <t xml:space="preserve">SUPER BRANCH</t>
        </is>
      </c>
      <c r="C437" s="102" t="inlineStr">
        <is>
          <t xml:space="preserve">Обещал</t>
        </is>
      </c>
      <c r="D437" s="102" t="inlineStr">
        <is>
          <t xml:space="preserve">Кр-99039439-2</t>
        </is>
      </c>
      <c r="E437" s="102" t="inlineStr">
        <is>
          <t xml:space="preserve">YUSUPOV UMRBEK ISMAILOVICH</t>
        </is>
      </c>
      <c r="F437" s="102" t="inlineStr">
        <is>
          <t xml:space="preserve">998957097606 SMS OZI, 998937113111 SMS OZI begona, 998994256205 SMS OGLI 2, 998958772474 SMS AYOLI,</t>
        </is>
      </c>
      <c r="G437" s="102" t="inlineStr">
        <is>
          <t xml:space="preserve">XORAZM VILOYATI URGANCH SHAHRI NAVRUZ MFY FIDOKORLAR KO’CHASI 59-UY</t>
        </is>
      </c>
      <c r="H437" s="103">
        <v>10.0</v>
      </c>
      <c r="I437" s="103">
        <v>2377002.34</v>
      </c>
      <c r="K437" s="102" t="inlineStr">
        <is>
          <t xml:space="preserve">Va'da berdi | qisman tolad | 789</t>
        </is>
      </c>
    </row>
    <row r="438">
      <c r="A438" s="102" t="inlineStr">
        <is>
          <t xml:space="preserve">ХОРАЗМ ВИЛОЯТИ</t>
        </is>
      </c>
      <c r="B438" s="102" t="inlineStr">
        <is>
          <t xml:space="preserve">SUPER BRANCH</t>
        </is>
      </c>
      <c r="C438" s="102" t="inlineStr">
        <is>
          <t xml:space="preserve">Обещал</t>
        </is>
      </c>
      <c r="D438" s="102" t="inlineStr">
        <is>
          <t xml:space="preserve">Кр-99040131-2</t>
        </is>
      </c>
      <c r="E438" s="102" t="inlineStr">
        <is>
          <t xml:space="preserve">YUSUPOV SHORIFJON ROMONBERGAN O’G’LI</t>
        </is>
      </c>
      <c r="F438" s="102" t="inlineStr">
        <is>
          <t xml:space="preserve">998999664447 SMS OZI, 998827744472 SMS AYOLI, 998956099999 SMS ISH,</t>
        </is>
      </c>
      <c r="G438" s="102" t="inlineStr">
        <is>
          <t xml:space="preserve">XORAZM VILOYATI URGANCH TUMANI BO’STON MFY MUQUMIY KUCHASI 113</t>
        </is>
      </c>
      <c r="H438" s="103">
        <v>10.0</v>
      </c>
      <c r="I438" s="103">
        <v>2351744.9</v>
      </c>
      <c r="K438" s="102" t="inlineStr">
        <is>
          <t xml:space="preserve">Va'da berdi | bugun yopib berad | 863</t>
        </is>
      </c>
    </row>
    <row r="439">
      <c r="A439" s="102" t="inlineStr">
        <is>
          <t xml:space="preserve">ХОРАЗМ ВИЛОЯТИ</t>
        </is>
      </c>
      <c r="B439" s="102" t="inlineStr">
        <is>
          <t xml:space="preserve">SUPER BRANCH</t>
        </is>
      </c>
      <c r="C439" s="102" t="inlineStr">
        <is>
          <t xml:space="preserve">Обещал</t>
        </is>
      </c>
      <c r="D439" s="102" t="inlineStr">
        <is>
          <t xml:space="preserve">Кр-99039537-1</t>
        </is>
      </c>
      <c r="E439" s="102" t="inlineStr">
        <is>
          <t xml:space="preserve">JUMANAZAROVA SHAXNOZA ERKINBAYEVNA</t>
        </is>
      </c>
      <c r="F439" s="102" t="inlineStr">
        <is>
          <t xml:space="preserve">998948958980 SM SUZI, 998932001922 SMS SINGLISI, 998505768980 SMS ERI,</t>
        </is>
      </c>
      <c r="G439" s="102" t="inlineStr">
        <is>
          <t xml:space="preserve">XORAZM VILOYATI YANGIARIQ TUMANI UYG’UR MFY TOYXONA KUCHASI 41-UY</t>
        </is>
      </c>
      <c r="H439" s="103">
        <v>7.0</v>
      </c>
      <c r="I439" s="103">
        <v>2132916.3</v>
      </c>
      <c r="K439" s="102" t="inlineStr">
        <is>
          <t xml:space="preserve">20 sanaga eri kelad rassiyadan polni yopad | 803</t>
        </is>
      </c>
    </row>
    <row r="440">
      <c r="A440" s="102" t="inlineStr">
        <is>
          <t xml:space="preserve">ХОРАЗМ ВИЛОЯТИ</t>
        </is>
      </c>
      <c r="B440" s="102" t="inlineStr">
        <is>
          <t xml:space="preserve">SUPER BRANCH</t>
        </is>
      </c>
      <c r="C440" s="102" t="inlineStr">
        <is>
          <t xml:space="preserve">Обещал</t>
        </is>
      </c>
      <c r="D440" s="102" t="inlineStr">
        <is>
          <t xml:space="preserve">Кр-99035832-1</t>
        </is>
      </c>
      <c r="E440" s="102" t="inlineStr">
        <is>
          <t xml:space="preserve">PIRMETOVA SALAMAT RAXIMBAYEVNA</t>
        </is>
      </c>
      <c r="F440" s="102" t="inlineStr">
        <is>
          <t xml:space="preserve">998907192065 SMS OZI, 998919968119 SMS SINGLISI, 998912768610 SMS KELINI, 998912762622 SMS QIZI,</t>
        </is>
      </c>
      <c r="G440" s="102" t="inlineStr">
        <is>
          <t xml:space="preserve">XORAZM VILOYATI SHOVOT TUMANI ZAMONDOSH MFY NIZOMIY KUCHASI 14-UY</t>
        </is>
      </c>
      <c r="I440" s="103">
        <v>1631354.78</v>
      </c>
      <c r="K440" s="102" t="inlineStr">
        <is>
          <t xml:space="preserve">Va'da berdi | 20-21 sanaga yopib berad | 534</t>
        </is>
      </c>
    </row>
    <row r="441">
      <c r="A441" s="102" t="inlineStr">
        <is>
          <t xml:space="preserve">ХОРАЗМ ВИЛОЯТИ</t>
        </is>
      </c>
      <c r="B441" s="102" t="inlineStr">
        <is>
          <t xml:space="preserve">SUPER BRANCH</t>
        </is>
      </c>
      <c r="C441" s="102" t="inlineStr">
        <is>
          <t xml:space="preserve">Обещал</t>
        </is>
      </c>
      <c r="D441" s="102" t="inlineStr">
        <is>
          <t xml:space="preserve">Кр-99038730-1</t>
        </is>
      </c>
      <c r="E441" s="102" t="inlineStr">
        <is>
          <t xml:space="preserve">QURBONNIYOZOV ANVAR ARTIQBOYEVICH</t>
        </is>
      </c>
      <c r="F441" s="102" t="inlineStr">
        <is>
          <t xml:space="preserve">998938690525 SMS OZI, 998942312504 SMS OGLI, 998939480525 SMS XOTINI,</t>
        </is>
      </c>
      <c r="G441" s="102" t="inlineStr">
        <is>
          <t xml:space="preserve">XORAZM VILOYATI YANGIBOZOR TUMANI BOG’OLON MAXALLASI MARDLAR KUCHASI 24 UY</t>
        </is>
      </c>
      <c r="H441" s="103">
        <v>8.0</v>
      </c>
      <c r="I441" s="103">
        <v>1331872.14</v>
      </c>
      <c r="K441" s="102" t="inlineStr">
        <is>
          <t xml:space="preserve">Va'da berdi | bugun kechgacha tolab berad | 720</t>
        </is>
      </c>
    </row>
    <row r="442">
      <c r="A442" s="102" t="inlineStr">
        <is>
          <t xml:space="preserve">ХОРАЗМ ВИЛОЯТИ</t>
        </is>
      </c>
      <c r="B442" s="102" t="inlineStr">
        <is>
          <t xml:space="preserve">SUPER BRANCH</t>
        </is>
      </c>
      <c r="C442" s="102" t="inlineStr">
        <is>
          <t xml:space="preserve">Обещал</t>
        </is>
      </c>
      <c r="D442" s="102" t="inlineStr">
        <is>
          <t xml:space="preserve">Кр-99028290-4</t>
        </is>
      </c>
      <c r="E442" s="102" t="inlineStr">
        <is>
          <t xml:space="preserve">TADJIYEV MASHHURBEK DANIYOR O’G’LI</t>
        </is>
      </c>
      <c r="F442" s="102" t="inlineStr">
        <is>
          <t xml:space="preserve">90-559-39-39 SMS OZI  choyxonada ishlid , 93-285-51-55  SMS DOST TOLOVCHI, 97-091-60-00  SMS DOSTI ,</t>
        </is>
      </c>
      <c r="G442" s="102" t="inlineStr">
        <is>
          <t xml:space="preserve">XORAZM VILOYATI XIVA TUMANI JURYON QFY DAVAK MFY NURJAMOL KO’CHASI 47-UY  </t>
        </is>
      </c>
      <c r="I442" s="103">
        <v>514339.16</v>
      </c>
      <c r="K442" s="102" t="inlineStr">
        <is>
          <t xml:space="preserve">Va'da berdi | Abetdan kegin yopad | 198</t>
        </is>
      </c>
    </row>
    <row r="443">
      <c r="A443" s="102" t="inlineStr">
        <is>
          <t xml:space="preserve">ХОРАЗМ ВИЛОЯТИ</t>
        </is>
      </c>
      <c r="B443" s="102" t="inlineStr">
        <is>
          <t xml:space="preserve">SUPER BRANCH</t>
        </is>
      </c>
      <c r="C443" s="102" t="inlineStr">
        <is>
          <t xml:space="preserve">Обещал</t>
        </is>
      </c>
      <c r="D443" s="102" t="inlineStr">
        <is>
          <t xml:space="preserve">Кр-99036039-1</t>
        </is>
      </c>
      <c r="E443" s="102" t="inlineStr">
        <is>
          <t xml:space="preserve">BEKIYEVA MIYASSAR RAJABOVNA</t>
        </is>
      </c>
      <c r="F443" s="102" t="inlineStr">
        <is>
          <t xml:space="preserve">998997348650 SMS O’ZI , 998992531501 SMS TO’LOVCHISI, 998994236338 SMS ERI, 998995536131 SMS KELINI ,</t>
        </is>
      </c>
      <c r="G443" s="102" t="inlineStr">
        <is>
          <t xml:space="preserve">XORAZM VILOYATI BOG’OT TUMANI BESHARIQ QISHLOG’I GULSHAN MFY BILLUR KO’CHASI 37-UY</t>
        </is>
      </c>
      <c r="I443" s="103">
        <v>120383.98</v>
      </c>
      <c r="K443" s="102" t="inlineStr">
        <is>
          <t xml:space="preserve">Va'da berdi | 15-01 bugun yopad | 550</t>
        </is>
      </c>
    </row>
    <row r="444">
      <c r="A444" s="104" t="inlineStr">
        <is>
          <t xml:space="preserve">ХОРАЗМ ВИЛОЯТИ</t>
        </is>
      </c>
      <c r="B444" s="104" t="inlineStr">
        <is>
          <t xml:space="preserve">Урганч филиали</t>
        </is>
      </c>
      <c r="C444" s="104" t="inlineStr">
        <is>
          <t xml:space="preserve">Обещал</t>
        </is>
      </c>
      <c r="D444" s="104" t="inlineStr">
        <is>
          <t xml:space="preserve">Кр-99040909-1</t>
        </is>
      </c>
      <c r="E444" s="104" t="inlineStr">
        <is>
          <t xml:space="preserve">OTAXONOV DIYORBEK ERGASH O’G’LI</t>
        </is>
      </c>
      <c r="F444" s="104" t="inlineStr">
        <is>
          <t xml:space="preserve">998970150686 SMS OTASI, 998954170093 SMS UZI (BEGONA), 998972392704 SMS AYOLI, 998976052704 SMS UZI, 998880939698 SMS UZI new,</t>
        </is>
      </c>
      <c r="G444" s="104" t="inlineStr">
        <is>
          <t xml:space="preserve">Маданият МФЙ, Мустақиллик кучаси, 37A-уй</t>
        </is>
      </c>
      <c r="H444" s="105">
        <v>15.0</v>
      </c>
      <c r="I444" s="105">
        <v>7558659.06</v>
      </c>
      <c r="K444" s="104" t="inlineStr">
        <is>
          <t xml:space="preserve">Va'da berdi | 1-2 kunda polni yopmoqchi | 938</t>
        </is>
      </c>
    </row>
    <row r="445">
      <c r="A445" s="104" t="inlineStr">
        <is>
          <t xml:space="preserve">ХОРАЗМ ВИЛОЯТИ</t>
        </is>
      </c>
      <c r="B445" s="104" t="inlineStr">
        <is>
          <t xml:space="preserve">Урганч филиали</t>
        </is>
      </c>
      <c r="C445" s="104" t="inlineStr">
        <is>
          <t xml:space="preserve">Обещал</t>
        </is>
      </c>
      <c r="D445" s="104" t="inlineStr">
        <is>
          <t xml:space="preserve">Кр-99034208-1</t>
        </is>
      </c>
      <c r="E445" s="104" t="inlineStr">
        <is>
          <t xml:space="preserve">NORBOYEV NURBEK SHUXRAT O’G’LI</t>
        </is>
      </c>
      <c r="F445" s="104" t="inlineStr">
        <is>
          <t xml:space="preserve">998991710010 SMS OZI, 998999616062 SMS UKASI, 998995071515 SMS AKASI, 998994461983 SMS DOSTI, 998991220010 SMS OTASI,</t>
        </is>
      </c>
      <c r="G445" s="104" t="inlineStr">
        <is>
          <t xml:space="preserve">XORAZM VILOYATI SHOVOT TUMANI GULZOR KUCHASI 20-UY</t>
        </is>
      </c>
      <c r="H445" s="105">
        <v>10.0</v>
      </c>
      <c r="I445" s="105">
        <v>4836487.15</v>
      </c>
      <c r="K445" s="104" t="inlineStr">
        <is>
          <t xml:space="preserve">Va'da berdi | 1-2 kunda qoliga pul kelad id dan tolid | 439</t>
        </is>
      </c>
    </row>
    <row r="446">
      <c r="A446" s="104" t="inlineStr">
        <is>
          <t xml:space="preserve">ХОРАЗМ ВИЛОЯТИ</t>
        </is>
      </c>
      <c r="B446" s="104" t="inlineStr">
        <is>
          <t xml:space="preserve">Урганч филиали</t>
        </is>
      </c>
      <c r="C446" s="104" t="inlineStr">
        <is>
          <t xml:space="preserve">Обещал</t>
        </is>
      </c>
      <c r="D446" s="104" t="inlineStr">
        <is>
          <t xml:space="preserve">Кр-99040804-1</t>
        </is>
      </c>
      <c r="E446" s="104" t="inlineStr">
        <is>
          <t xml:space="preserve">TAJIYEV LAZIZBEK SAPARBAYEVICH</t>
        </is>
      </c>
      <c r="F446" s="104" t="inlineStr">
        <is>
          <t xml:space="preserve">+998907138320 SMS UZI, 998914205742 SMS AYOLI, 998992582701 SMS O’G’LI,</t>
        </is>
      </c>
      <c r="G446" s="104" t="inlineStr">
        <is>
          <t xml:space="preserve">Дўстлик МФЙ, Фаробий кучаси, 9-уй</t>
        </is>
      </c>
      <c r="H446" s="105">
        <v>10.0</v>
      </c>
      <c r="I446" s="105">
        <v>4724186.85</v>
      </c>
      <c r="K446" s="104" t="inlineStr">
        <is>
          <t xml:space="preserve">Va'da berdi | 1-2 kunda tolaberad | 926</t>
        </is>
      </c>
    </row>
    <row r="447">
      <c r="A447" s="104" t="inlineStr">
        <is>
          <t xml:space="preserve">ХОРАЗМ ВИЛОЯТИ</t>
        </is>
      </c>
      <c r="B447" s="104" t="inlineStr">
        <is>
          <t xml:space="preserve">Урганч филиали</t>
        </is>
      </c>
      <c r="C447" s="104" t="inlineStr">
        <is>
          <t xml:space="preserve">Обещал</t>
        </is>
      </c>
      <c r="D447" s="104" t="inlineStr">
        <is>
          <t xml:space="preserve">Кр-99022857-3</t>
        </is>
      </c>
      <c r="E447" s="104" t="inlineStr">
        <is>
          <t xml:space="preserve">JUMANIYOZOV OLIMBOY BAXODIR O’G’LI</t>
        </is>
      </c>
      <c r="F447" s="104" t="inlineStr">
        <is>
          <t xml:space="preserve">88-513-14-00 SMS UZI, 88-456-22-88 SMS OTASI, 93-753-72-88 SMS OTASI, 88-364-57-97 SMS OPASI,</t>
        </is>
      </c>
      <c r="G447" s="104" t="inlineStr">
        <is>
          <t xml:space="preserve">XORAZM VILOYATI YANGIARIQ TUMANI QARMISH QISHLOQI SHIXBOG’I MAXALLASI SHIXBOG’I KUCHASI 104 UY</t>
        </is>
      </c>
      <c r="H447" s="105">
        <v>6.0</v>
      </c>
      <c r="I447" s="105">
        <v>4502319.07</v>
      </c>
      <c r="K447" s="104" t="inlineStr">
        <is>
          <t xml:space="preserve">Va'da berdi | 1-2 kunda yopib berad | 119</t>
        </is>
      </c>
    </row>
    <row r="448">
      <c r="A448" s="104" t="inlineStr">
        <is>
          <t xml:space="preserve">ХОРАЗМ ВИЛОЯТИ</t>
        </is>
      </c>
      <c r="B448" s="104" t="inlineStr">
        <is>
          <t xml:space="preserve">Урганч филиали</t>
        </is>
      </c>
      <c r="C448" s="104" t="inlineStr">
        <is>
          <t xml:space="preserve">Обещал</t>
        </is>
      </c>
      <c r="D448" s="104" t="inlineStr">
        <is>
          <t xml:space="preserve">Кр-99028620-1</t>
        </is>
      </c>
      <c r="E448" s="104" t="inlineStr">
        <is>
          <t xml:space="preserve">MATYAKUBOV RASHID RAXIMBERGANOVICH</t>
        </is>
      </c>
      <c r="F448" s="104" t="inlineStr">
        <is>
          <t xml:space="preserve">95-974-52-02 sms ozi, 77-264-67-67 sms ogli (BEGONA), 95-180-12-18 sms qiz(begona),</t>
        </is>
      </c>
      <c r="G448" s="104" t="inlineStr">
        <is>
          <t xml:space="preserve">XORAZM VILOYATI GURLAN TUMANI BIRLASHGAN QISHLOG’I BIRLASHGAN MAXALLASI XAYRIYAT KUCHASI 52-UY</t>
        </is>
      </c>
      <c r="H448" s="105">
        <v>1.0</v>
      </c>
      <c r="I448" s="105">
        <v>3485712.66</v>
      </c>
      <c r="K448" s="104" t="inlineStr">
        <is>
          <t xml:space="preserve">Va'da berdi | oy oxirigacha tolov qilib berad id orqali | 207</t>
        </is>
      </c>
    </row>
    <row r="449">
      <c r="A449" s="104" t="inlineStr">
        <is>
          <t xml:space="preserve">ХОРАЗМ ВИЛОЯТИ</t>
        </is>
      </c>
      <c r="B449" s="104" t="inlineStr">
        <is>
          <t xml:space="preserve">Урганч филиали</t>
        </is>
      </c>
      <c r="C449" s="104" t="inlineStr">
        <is>
          <t xml:space="preserve">Обещал</t>
        </is>
      </c>
      <c r="D449" s="104" t="inlineStr">
        <is>
          <t xml:space="preserve">Кр-99030305-1</t>
        </is>
      </c>
      <c r="E449" s="104" t="inlineStr">
        <is>
          <t xml:space="preserve">OZODBEKOV MUSABEK SAFARMAT O’G’LI</t>
        </is>
      </c>
      <c r="F449" s="104" t="inlineStr">
        <is>
          <t xml:space="preserve">88-299-15-11  SMS O’ZI, 99-566-51-71 SMS  OTASI, 99-223-31-25  SMS ONASI, 88-923-33-99  SMS YANGASI,</t>
        </is>
      </c>
      <c r="G449" s="104" t="inlineStr">
        <is>
          <t xml:space="preserve">XORAZM VILOYATI XONQA TUMANI NAVXOZ QFY ZINAXOS MFY KUKLAM KUYCHASI 169</t>
        </is>
      </c>
      <c r="H449" s="105">
        <v>13.0</v>
      </c>
      <c r="I449" s="105">
        <v>3406934.58</v>
      </c>
      <c r="K449" s="104" t="inlineStr">
        <is>
          <t xml:space="preserve">Va'da berdi | Adasi bilan gaplashdim 1-2 kunda tyolaberamiz vot | 266</t>
        </is>
      </c>
    </row>
    <row r="450">
      <c r="A450" s="104" t="inlineStr">
        <is>
          <t xml:space="preserve">ХОРАЗМ ВИЛОЯТИ</t>
        </is>
      </c>
      <c r="B450" s="104" t="inlineStr">
        <is>
          <t xml:space="preserve">Урганч филиали</t>
        </is>
      </c>
      <c r="C450" s="104" t="inlineStr">
        <is>
          <t xml:space="preserve">Обещал</t>
        </is>
      </c>
      <c r="D450" s="104" t="inlineStr">
        <is>
          <t xml:space="preserve">Кр-99030607-1</t>
        </is>
      </c>
      <c r="E450" s="104" t="inlineStr">
        <is>
          <t xml:space="preserve">DUSHAMOV AZAMAT QO’SHCHANOVICH</t>
        </is>
      </c>
      <c r="F450" s="104" t="inlineStr">
        <is>
          <t xml:space="preserve">95-780-18-58  SMS O’ZI, 95-641-02-88  SMS O’G’LI, 99-291-50-10  SMS AYOLI, 99-538-13-04 SMS , 998772832202 SMS tolovchi ogli new bic ,</t>
        </is>
      </c>
      <c r="G450" s="104" t="inlineStr">
        <is>
          <t xml:space="preserve">QO’SHKO’PIR TUMANI BAXORISTON MFY OYBEK KUCHASI 49-UY</t>
        </is>
      </c>
      <c r="H450" s="105">
        <v>3.0</v>
      </c>
      <c r="I450" s="105">
        <v>3335915.75</v>
      </c>
      <c r="K450" s="104" t="inlineStr">
        <is>
          <t xml:space="preserve">Va'da berdi | Bugun tolov qilib berad | 284</t>
        </is>
      </c>
    </row>
    <row r="451">
      <c r="A451" s="104" t="inlineStr">
        <is>
          <t xml:space="preserve">ХОРАЗМ ВИЛОЯТИ</t>
        </is>
      </c>
      <c r="B451" s="104" t="inlineStr">
        <is>
          <t xml:space="preserve">Урганч филиали</t>
        </is>
      </c>
      <c r="C451" s="104" t="inlineStr">
        <is>
          <t xml:space="preserve">Обещал</t>
        </is>
      </c>
      <c r="D451" s="104" t="inlineStr">
        <is>
          <t xml:space="preserve">Кр-99030554-1</t>
        </is>
      </c>
      <c r="E451" s="104" t="inlineStr">
        <is>
          <t xml:space="preserve">XO’SINOV XAYRULLA ODILBEK O’G’LI</t>
        </is>
      </c>
      <c r="F451" s="104" t="inlineStr">
        <is>
          <t xml:space="preserve">94-863-64-66 SMS O’ZI, 93-308-64-66 SMS AYOLI(begona), 998930438330 SMS ONASI, 998935187910 SMS OTASI, 998992305824 akasi,</t>
        </is>
      </c>
      <c r="G451" s="104" t="inlineStr">
        <is>
          <t xml:space="preserve">XORAZM VILOYATI XONQA TUMANI OXUNBOBOYEV QFY ISTIQLOL MFYDO’STLIK 185-UY</t>
        </is>
      </c>
      <c r="H451" s="105">
        <v>9.0</v>
      </c>
      <c r="I451" s="105">
        <v>3291485.95</v>
      </c>
      <c r="K451" s="104" t="inlineStr">
        <is>
          <t xml:space="preserve">Va'da berdi | Bolasi  balnisaga tushib qopti 2-3 kun ichida yopib beraman dvotti | 280</t>
        </is>
      </c>
    </row>
    <row r="452">
      <c r="A452" s="104" t="inlineStr">
        <is>
          <t xml:space="preserve">ХОРАЗМ ВИЛОЯТИ</t>
        </is>
      </c>
      <c r="B452" s="104" t="inlineStr">
        <is>
          <t xml:space="preserve">Урганч филиали</t>
        </is>
      </c>
      <c r="C452" s="104" t="inlineStr">
        <is>
          <t xml:space="preserve">Обещал</t>
        </is>
      </c>
      <c r="D452" s="104" t="inlineStr">
        <is>
          <t xml:space="preserve">Кр-99031721-1</t>
        </is>
      </c>
      <c r="E452" s="104" t="inlineStr">
        <is>
          <t xml:space="preserve">SAMANDAROV SHAHZOD MANSURBEK O’G’LI</t>
        </is>
      </c>
      <c r="F452" s="104" t="inlineStr">
        <is>
          <t xml:space="preserve">998932202826 SMS O’ZI, 998975109394 SMS OTASI, 998938509080 SMS ONASI, 998770518959 SMS UKASI, 998946494414 UZI NEWW,</t>
        </is>
      </c>
      <c r="G452" s="104" t="inlineStr">
        <is>
          <t xml:space="preserve">XORAZM VILOYATI URGANCH TUMANI YUQORIBOG’ QFY XAMID OLIMJON MFY SHUKRONA KO’CHASI 4-UY</t>
        </is>
      </c>
      <c r="H452" s="105">
        <v>6.0</v>
      </c>
      <c r="I452" s="105">
        <v>3232528.82</v>
      </c>
      <c r="K452" s="104" t="inlineStr">
        <is>
          <t xml:space="preserve">Va'da berdi | Moshinasi filialda auksionga tayorlanvotti | 324</t>
        </is>
      </c>
    </row>
    <row r="453">
      <c r="A453" s="104" t="inlineStr">
        <is>
          <t xml:space="preserve">ХОРАЗМ ВИЛОЯТИ</t>
        </is>
      </c>
      <c r="B453" s="104" t="inlineStr">
        <is>
          <t xml:space="preserve">Урганч филиали</t>
        </is>
      </c>
      <c r="C453" s="104" t="inlineStr">
        <is>
          <t xml:space="preserve">Обещал</t>
        </is>
      </c>
      <c r="D453" s="104" t="inlineStr">
        <is>
          <t xml:space="preserve">Кр-99050892-2</t>
        </is>
      </c>
      <c r="E453" s="104" t="inlineStr">
        <is>
          <t xml:space="preserve">XALNIYAZOVA GUZAL SATIMBAYEVNA</t>
        </is>
      </c>
      <c r="F453" s="104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453" s="104" t="inlineStr">
        <is>
          <t xml:space="preserve">ХОРАЗМ ВИЛОЯТИ УРГАНЧ ШАХРИ Al-Xorazmiy MFY, Shabnam ko’chasi, 112-uy</t>
        </is>
      </c>
      <c r="H453" s="105">
        <v>10.0</v>
      </c>
      <c r="I453" s="105">
        <v>2963862.87</v>
      </c>
      <c r="K453" s="104" t="inlineStr">
        <is>
          <t xml:space="preserve">Va'da berdi | qisman tolov qildi qolgani ertaga | 1188</t>
        </is>
      </c>
    </row>
    <row r="454">
      <c r="A454" s="104" t="inlineStr">
        <is>
          <t xml:space="preserve">ХОРАЗМ ВИЛОЯТИ</t>
        </is>
      </c>
      <c r="B454" s="104" t="inlineStr">
        <is>
          <t xml:space="preserve">Урганч филиали</t>
        </is>
      </c>
      <c r="C454" s="104" t="inlineStr">
        <is>
          <t xml:space="preserve">Обещал</t>
        </is>
      </c>
      <c r="D454" s="104" t="inlineStr">
        <is>
          <t xml:space="preserve">Кр-99032261-1</t>
        </is>
      </c>
      <c r="E454" s="104" t="inlineStr">
        <is>
          <t xml:space="preserve">QALANDAROV MUNIS IKROMBOYEVICH</t>
        </is>
      </c>
      <c r="F454" s="104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54" s="104" t="inlineStr">
        <is>
          <t xml:space="preserve">XORAZM VILOYATI BO’GOT TUMANI XUNARMAND MFY O’ZBEKISTON KELAJAGI KUCHASI 17-UY</t>
        </is>
      </c>
      <c r="H454" s="105">
        <v>14.0</v>
      </c>
      <c r="I454" s="105">
        <v>2800844.32</v>
      </c>
      <c r="K454" s="104" t="inlineStr">
        <is>
          <t xml:space="preserve">Va'da berdi | Ozi rassiyada 1-2 kunda tolov qilib berad | 341</t>
        </is>
      </c>
    </row>
    <row r="455">
      <c r="A455" s="104" t="inlineStr">
        <is>
          <t xml:space="preserve">ХОРАЗМ ВИЛОЯТИ</t>
        </is>
      </c>
      <c r="B455" s="104" t="inlineStr">
        <is>
          <t xml:space="preserve">Урганч филиали</t>
        </is>
      </c>
      <c r="C455" s="104" t="inlineStr">
        <is>
          <t xml:space="preserve">Обещал</t>
        </is>
      </c>
      <c r="D455" s="104" t="inlineStr">
        <is>
          <t xml:space="preserve">Кр-99052098-1</t>
        </is>
      </c>
      <c r="E455" s="104" t="inlineStr">
        <is>
          <t xml:space="preserve">SULTONNAZIROV SHOXRUX MATKARIMOVICH</t>
        </is>
      </c>
      <c r="F455" s="104" t="inlineStr">
        <is>
          <t xml:space="preserve">+998701324121 SMS UZI, 998930662024 SMS AYOLI, 998974599900 SMS AKASI,</t>
        </is>
      </c>
      <c r="G455" s="104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55" s="105">
        <v>14.0</v>
      </c>
      <c r="I455" s="105">
        <v>2245702.56</v>
      </c>
      <c r="K455" s="104" t="inlineStr">
        <is>
          <t xml:space="preserve">Va'da berdi | qisman tolov qildi | 1193</t>
        </is>
      </c>
    </row>
    <row r="456">
      <c r="A456" s="104" t="inlineStr">
        <is>
          <t xml:space="preserve">ХОРАЗМ ВИЛОЯТИ</t>
        </is>
      </c>
      <c r="B456" s="104" t="inlineStr">
        <is>
          <t xml:space="preserve">Урганч филиали</t>
        </is>
      </c>
      <c r="C456" s="104" t="inlineStr">
        <is>
          <t xml:space="preserve">Обещал</t>
        </is>
      </c>
      <c r="D456" s="104" t="inlineStr">
        <is>
          <t xml:space="preserve">Кр-99040991-1</t>
        </is>
      </c>
      <c r="E456" s="104" t="inlineStr">
        <is>
          <t xml:space="preserve">YULDASHEV ABDURAUF ERGASHEVICH</t>
        </is>
      </c>
      <c r="F456" s="104" t="inlineStr">
        <is>
          <t xml:space="preserve">+998990911604 SMS UZI, 998904355651 SMS ONASI, 998907751279 SMS OTASI,</t>
        </is>
      </c>
      <c r="G456" s="104" t="inlineStr">
        <is>
          <t xml:space="preserve">Хорезмская область, Багатский район, Кулонкорабог ССГ, Кулонкорабог МСГ, ул. Кулоллар, дом 92</t>
        </is>
      </c>
      <c r="H456" s="105">
        <v>15.0</v>
      </c>
      <c r="I456" s="105">
        <v>1814710.79</v>
      </c>
      <c r="K456" s="104" t="inlineStr">
        <is>
          <t xml:space="preserve">Va'da berdi | 20,00das ishdan chiqad | 945</t>
        </is>
      </c>
    </row>
    <row r="457">
      <c r="A457" s="104" t="inlineStr">
        <is>
          <t xml:space="preserve">ХОРАЗМ ВИЛОЯТИ</t>
        </is>
      </c>
      <c r="B457" s="104" t="inlineStr">
        <is>
          <t xml:space="preserve">Урганч филиали</t>
        </is>
      </c>
      <c r="C457" s="104" t="inlineStr">
        <is>
          <t xml:space="preserve">Обещал</t>
        </is>
      </c>
      <c r="D457" s="104" t="inlineStr">
        <is>
          <t xml:space="preserve">Кр-99034288-1</t>
        </is>
      </c>
      <c r="E457" s="104" t="inlineStr">
        <is>
          <t xml:space="preserve">MATNIYAZOVA DILAFRUZ ALIMBAYEVNA</t>
        </is>
      </c>
      <c r="F457" s="104" t="inlineStr">
        <is>
          <t xml:space="preserve">998974592323 SMS ERI  uy quradi usta , 998991510474 SMS O’ZI, 998958984812 SMS O’ZI, 998906630044 SMS ERI(begona), 998992564600 SMS ERI NEW,</t>
        </is>
      </c>
      <c r="G457" s="104" t="inlineStr">
        <is>
          <t xml:space="preserve">XORAZM VILOYATI URGANCH SHAHRI BO’STON MFY GUJUMZOR KO’CHASI 12-UY 3-XONADON</t>
        </is>
      </c>
      <c r="I457" s="105">
        <v>1751748.54</v>
      </c>
      <c r="K457" s="104" t="inlineStr">
        <is>
          <t xml:space="preserve">Va'da berdi | eri bugun tolaberad | 445</t>
        </is>
      </c>
    </row>
    <row r="458">
      <c r="A458" s="104" t="inlineStr">
        <is>
          <t xml:space="preserve">ХОРАЗМ ВИЛОЯТИ</t>
        </is>
      </c>
      <c r="B458" s="104" t="inlineStr">
        <is>
          <t xml:space="preserve">Урганч филиали</t>
        </is>
      </c>
      <c r="C458" s="104" t="inlineStr">
        <is>
          <t xml:space="preserve">Обещал</t>
        </is>
      </c>
      <c r="D458" s="104" t="inlineStr">
        <is>
          <t xml:space="preserve">Кр-99022857-5</t>
        </is>
      </c>
      <c r="E458" s="104" t="inlineStr">
        <is>
          <t xml:space="preserve">JUMANIYOZOV OLIMBOY BAXODIR O’G’LI</t>
        </is>
      </c>
      <c r="F458" s="104" t="inlineStr">
        <is>
          <t xml:space="preserve">88-513-14-00 SMS UZI, 88-456-22-88 SMS OTASI, 93-753-72-88 SMS OTASI, 88-364-57-97 SMS OPASI,</t>
        </is>
      </c>
      <c r="G458" s="104" t="inlineStr">
        <is>
          <t xml:space="preserve">XORAZM VILOYATI YANGIARIQ TUMANI QARMISH QISHLOQI SHIXBOG’I MAXALLASI SHIXBOG’I KUCHASI 104 UY</t>
        </is>
      </c>
      <c r="H458" s="105">
        <v>10.0</v>
      </c>
      <c r="I458" s="105">
        <v>1595496.03</v>
      </c>
      <c r="K458" s="104" t="inlineStr">
        <is>
          <t xml:space="preserve">Va'da berdi | 1-2 kunda yopib berad | 120</t>
        </is>
      </c>
    </row>
    <row r="459">
      <c r="A459" s="104" t="inlineStr">
        <is>
          <t xml:space="preserve">ХОРАЗМ ВИЛОЯТИ</t>
        </is>
      </c>
      <c r="B459" s="104" t="inlineStr">
        <is>
          <t xml:space="preserve">Урганч филиали</t>
        </is>
      </c>
      <c r="C459" s="104" t="inlineStr">
        <is>
          <t xml:space="preserve">Обещал</t>
        </is>
      </c>
      <c r="D459" s="104" t="inlineStr">
        <is>
          <t xml:space="preserve">Кр-99031403-1</t>
        </is>
      </c>
      <c r="E459" s="104" t="inlineStr">
        <is>
          <t xml:space="preserve">SHARIFOV UMRBEK XASANOVICH</t>
        </is>
      </c>
      <c r="F459" s="104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59" s="104" t="inlineStr">
        <is>
          <t xml:space="preserve">XORAZM VILOYATI AL-XORAZMIY MFY SAMARQAND KUCHA 134-UY</t>
        </is>
      </c>
      <c r="H459" s="105">
        <v>15.0</v>
      </c>
      <c r="I459" s="105">
        <v>628268.48</v>
      </c>
      <c r="K459" s="104" t="inlineStr">
        <is>
          <t xml:space="preserve">Va'da berdi | bugn bankdan pul yechib yopad | 313</t>
        </is>
      </c>
    </row>
    <row r="460">
      <c r="A460" s="104" t="inlineStr">
        <is>
          <t xml:space="preserve">ХОРАЗМ ВИЛОЯТИ</t>
        </is>
      </c>
      <c r="B460" s="104" t="inlineStr">
        <is>
          <t xml:space="preserve">Урганч филиали</t>
        </is>
      </c>
      <c r="C460" s="104" t="inlineStr">
        <is>
          <t xml:space="preserve">Обещал</t>
        </is>
      </c>
      <c r="D460" s="104" t="inlineStr">
        <is>
          <t xml:space="preserve">Кр-99040644-2</t>
        </is>
      </c>
      <c r="E460" s="104" t="inlineStr">
        <is>
          <t xml:space="preserve">AVEZOV MAXMUD RUSTAMOVICH</t>
        </is>
      </c>
      <c r="F460" s="104" t="inlineStr">
        <is>
          <t xml:space="preserve">+998770620060 SMS UZI, 998941181977 SMS AYOLI 2, 998959110060 SMS AYOLI,</t>
        </is>
      </c>
      <c r="G460" s="104" t="inlineStr">
        <is>
          <t xml:space="preserve">Хорезмская область, Хазараспский район, Янгибозор ССГ, Алоқали кўл МСГ, ул. Заминдор, дом 109</t>
        </is>
      </c>
      <c r="H460" s="105">
        <v>10.0</v>
      </c>
      <c r="I460" s="105">
        <v>564887.43</v>
      </c>
      <c r="K460" s="104" t="inlineStr">
        <is>
          <t xml:space="preserve">Va'da berdi | bugn kechga tolaberad | 912</t>
        </is>
      </c>
    </row>
    <row r="461">
      <c r="A461" s="104" t="inlineStr">
        <is>
          <t xml:space="preserve">ХОРАЗМ ВИЛОЯТИ</t>
        </is>
      </c>
      <c r="B461" s="104" t="inlineStr">
        <is>
          <t xml:space="preserve">Урганч филиали</t>
        </is>
      </c>
      <c r="C461" s="104" t="inlineStr">
        <is>
          <t xml:space="preserve">Обещал</t>
        </is>
      </c>
      <c r="D461" s="104" t="inlineStr">
        <is>
          <t xml:space="preserve">Кр-99030417-2</t>
        </is>
      </c>
      <c r="E461" s="104" t="inlineStr">
        <is>
          <t xml:space="preserve">ROZIMBETOV XAMDAM BAXADIROVICH</t>
        </is>
      </c>
      <c r="F461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61" s="104" t="inlineStr">
        <is>
          <t xml:space="preserve">ХОРАЗМ ВИЛОЯТИ УРГАНЧ Ш., МАШЪАЛ МФЙ, 176КВАРТАЛ,  uy:241</t>
        </is>
      </c>
      <c r="H461" s="105">
        <v>1.0</v>
      </c>
      <c r="I461" s="105">
        <v>504701.33</v>
      </c>
      <c r="K461" s="104" t="inlineStr">
        <is>
          <t xml:space="preserve">Va'da berdi | onasi bilan gaplashdim bugun yopad | 273</t>
        </is>
      </c>
    </row>
    <row r="462">
      <c r="A462" s="104" t="inlineStr">
        <is>
          <t xml:space="preserve">ХОРАЗМ ВИЛОЯТИ</t>
        </is>
      </c>
      <c r="B462" s="104" t="inlineStr">
        <is>
          <t xml:space="preserve">Урганч филиали</t>
        </is>
      </c>
      <c r="C462" s="104" t="inlineStr">
        <is>
          <t xml:space="preserve">Обещал</t>
        </is>
      </c>
      <c r="D462" s="104" t="inlineStr">
        <is>
          <t xml:space="preserve">Кр-99030615-1</t>
        </is>
      </c>
      <c r="E462" s="104" t="inlineStr">
        <is>
          <t xml:space="preserve">XUDAYBERGANOV MADYAR ALIMOVICH</t>
        </is>
      </c>
      <c r="F462" s="104" t="inlineStr">
        <is>
          <t xml:space="preserve">91-426-02-50  SMS O’ZI, 91-999-40-40  SMS AYOLI, 90-430-44-61  SMS O’G’LI, 95-771-44-61  SMS QIZI,</t>
        </is>
      </c>
      <c r="G462" s="104" t="inlineStr">
        <is>
          <t xml:space="preserve">XORAZM VILOYATI URGANCH TUMANI BO’STON MFY NAVOI KUCHASI 5-UY</t>
        </is>
      </c>
      <c r="H462" s="105">
        <v>6.0</v>
      </c>
      <c r="I462" s="105">
        <v>373724.99</v>
      </c>
      <c r="K462" s="104" t="inlineStr">
        <is>
          <t xml:space="preserve">Va'da berdi | Bugun tolov qilib berad | 287</t>
        </is>
      </c>
    </row>
    <row r="463">
      <c r="A463" s="104" t="inlineStr">
        <is>
          <t xml:space="preserve">ХОРАЗМ ВИЛОЯТИ</t>
        </is>
      </c>
      <c r="B463" s="104" t="inlineStr">
        <is>
          <t xml:space="preserve">Урганч филиали</t>
        </is>
      </c>
      <c r="C463" s="104" t="inlineStr">
        <is>
          <t xml:space="preserve">Обещал</t>
        </is>
      </c>
      <c r="D463" s="104" t="inlineStr">
        <is>
          <t xml:space="preserve">Кр-99030417-3</t>
        </is>
      </c>
      <c r="E463" s="104" t="inlineStr">
        <is>
          <t xml:space="preserve">ROZIMBETOV XAMDAM BAXADIROVICH</t>
        </is>
      </c>
      <c r="F463" s="104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63" s="104" t="inlineStr">
        <is>
          <t xml:space="preserve">ХОРАЗМ ВИЛОЯТИ УРГАНЧ Ш., МАШЪАЛ МФЙ, 176КВАРТАЛ,  uy:241</t>
        </is>
      </c>
      <c r="H463" s="105">
        <v>15.0</v>
      </c>
      <c r="I463" s="105">
        <v>279210.57</v>
      </c>
      <c r="K463" s="104" t="inlineStr">
        <is>
          <t xml:space="preserve">Va'da berdi | onasi bilan gaplashdim bugun yopad | 274</t>
        </is>
      </c>
    </row>
  </sheetData>
  <autoFilter ref="A2:K463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96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Объезд</t>
        </is>
      </c>
      <c r="D3" s="98" t="inlineStr">
        <is>
          <t xml:space="preserve">Кр-99057085-1</t>
        </is>
      </c>
      <c r="E3" s="98" t="inlineStr">
        <is>
          <t xml:space="preserve">YULDASHEVA NILUFAR KAMILOVNA</t>
        </is>
      </c>
      <c r="F3" s="98" t="inlineStr">
        <is>
          <t xml:space="preserve">998872557757 SMS OZI, 998982700122 SMS OGLI, 998772581112 SMS QIZI, 998882331807 SMS JIYANI,</t>
        </is>
      </c>
      <c r="G3" s="98" t="inlineStr">
        <is>
          <t xml:space="preserve">ANDIJON VILOYATI ANDIJON TUMANI ZANGIBOBO MFY PORLOQ KO’CHASI 306-UY</t>
        </is>
      </c>
      <c r="H3" s="99">
        <v>13.0</v>
      </c>
      <c r="I3" s="99">
        <v>15030583.25</v>
      </c>
      <c r="J3" s="99">
        <v>5342465.0</v>
      </c>
      <c r="K3" s="98" t="inlineStr">
        <is>
          <t xml:space="preserve">Uyiga borildi - to'ladi | 5342465.7534246575 | 9688117.5</t>
        </is>
      </c>
    </row>
    <row r="4">
      <c r="A4" s="98" t="inlineStr">
        <is>
          <t xml:space="preserve">АНДИЖОН ВИЛОЯТИ</t>
        </is>
      </c>
      <c r="C4" s="98" t="inlineStr">
        <is>
          <t xml:space="preserve">Дозвон</t>
        </is>
      </c>
      <c r="D4" s="98" t="inlineStr">
        <is>
          <t xml:space="preserve">Кр-99039306-1</t>
        </is>
      </c>
      <c r="E4" s="98" t="inlineStr">
        <is>
          <t xml:space="preserve">ODILJONOV ABDULAZIZ UMIDJON O’G’LI</t>
        </is>
      </c>
      <c r="F4" s="98" t="inlineStr">
        <is>
          <t xml:space="preserve">998934153932 SMS OZI, 998937810042 SMS ONASI, 998937810094 SMS OTASI, 998941051030 SMS AKASI,</t>
        </is>
      </c>
      <c r="G4" s="98" t="inlineStr">
        <is>
          <t xml:space="preserve">ANDIJON VILOYATI ANDIJON SHAHAR  DALVARZIN MFY A.ASHUROV 3-TOR KO’CHASI 4-UY </t>
        </is>
      </c>
      <c r="H4" s="99">
        <v>14.0</v>
      </c>
      <c r="I4" s="99">
        <v>10688765.49</v>
      </c>
      <c r="J4" s="99">
        <v>3835616.0</v>
      </c>
      <c r="K4" s="98" t="inlineStr">
        <is>
          <t xml:space="preserve">To'ladi | 3835616.4383561644 | 6853149.05</t>
        </is>
      </c>
    </row>
    <row r="5">
      <c r="A5" s="98" t="inlineStr">
        <is>
          <t xml:space="preserve">АНДИЖОН ВИЛОЯТИ</t>
        </is>
      </c>
      <c r="C5" s="98" t="inlineStr">
        <is>
          <t xml:space="preserve">Дозвон</t>
        </is>
      </c>
      <c r="D5" s="98" t="inlineStr">
        <is>
          <t xml:space="preserve">Кр-99039609-1</t>
        </is>
      </c>
      <c r="E5" s="98" t="inlineStr">
        <is>
          <t xml:space="preserve">TOJIDINOVA MUXARRAMXON KOBULOVNA</t>
        </is>
      </c>
      <c r="F5" s="98" t="inlineStr">
        <is>
          <t xml:space="preserve">998940331487 SMS OZI, 998950978615 SMS XOJAYINI, 998903870911 SMS OGLI, 998934168183 SMS AKASI,</t>
        </is>
      </c>
      <c r="G5" s="98" t="inlineStr">
        <is>
          <t xml:space="preserve">ANDIJON VILOYATI MARXAMAT TUMANI  MIRISHKOLAR MFY, DORBOZ KO’CHASI 45-UY</t>
        </is>
      </c>
      <c r="H5" s="99">
        <v>3.0</v>
      </c>
      <c r="I5" s="99">
        <v>3360170.03</v>
      </c>
      <c r="J5" s="99">
        <v>410958.0</v>
      </c>
      <c r="K5" s="98" t="inlineStr">
        <is>
          <t xml:space="preserve">To'ladi | 410958.90410958906 | 2949211.13</t>
        </is>
      </c>
    </row>
    <row r="6">
      <c r="A6" s="98" t="inlineStr">
        <is>
          <t xml:space="preserve">АНДИЖОН ВИЛОЯТИ</t>
        </is>
      </c>
      <c r="C6" s="98" t="inlineStr">
        <is>
          <t xml:space="preserve">Объезд</t>
        </is>
      </c>
      <c r="D6" s="98" t="inlineStr">
        <is>
          <t xml:space="preserve">Кр-99037425-1</t>
        </is>
      </c>
      <c r="E6" s="98" t="inlineStr">
        <is>
          <t xml:space="preserve">SHUKUROV QUVONCHBEK XABIBILLAYEVICH</t>
        </is>
      </c>
      <c r="F6" s="98" t="inlineStr">
        <is>
          <t xml:space="preserve">998905271070 SMS OZI, 998901707424 SMS OGLI, 998914865970 SMS AYOLI, 998953475970 SMS QIZI,</t>
        </is>
      </c>
      <c r="G6" s="98" t="inlineStr">
        <is>
          <t xml:space="preserve">ANDIJON VILOYATI ANDIJON TUMANI YUKSALISH MFY YUKSALISH KO’CHASI 19-UY </t>
        </is>
      </c>
      <c r="H6" s="99">
        <v>2.0</v>
      </c>
      <c r="I6" s="99">
        <v>2889861.23</v>
      </c>
      <c r="J6" s="99">
        <v>273972.0</v>
      </c>
      <c r="K6" s="98" t="inlineStr">
        <is>
          <t xml:space="preserve">Uyiga borildi - to'ladi | 273972.602739726 | 2615888.63</t>
        </is>
      </c>
    </row>
    <row r="7">
      <c r="A7" s="98" t="inlineStr">
        <is>
          <t xml:space="preserve">АНДИЖОН ВИЛОЯТИ</t>
        </is>
      </c>
      <c r="C7" s="98" t="inlineStr">
        <is>
          <t xml:space="preserve">Объезд</t>
        </is>
      </c>
      <c r="D7" s="98" t="inlineStr">
        <is>
          <t xml:space="preserve">Кр-99063106-1</t>
        </is>
      </c>
      <c r="E7" s="98" t="inlineStr">
        <is>
          <t xml:space="preserve">SOTVOLDIYEVA MAXMUDAXON QOSIMOVNA</t>
        </is>
      </c>
      <c r="F7" s="98" t="inlineStr">
        <is>
          <t xml:space="preserve">998770492346 OZI, 998931092588 OGLI, 998937212671 OPASI, 998942592770 DUGONASI,</t>
        </is>
      </c>
      <c r="G7" s="98" t="inlineStr">
        <is>
          <t xml:space="preserve">ANDIJON VILOYATI QO’RG’ONTEPA TUMANI UCHQUN MFY ISTIQBOL KO’CHASI 16 UY</t>
        </is>
      </c>
      <c r="H7" s="99">
        <v>10.0</v>
      </c>
      <c r="I7" s="99">
        <v>2695142.29</v>
      </c>
      <c r="J7" s="99">
        <v>821917.0</v>
      </c>
      <c r="K7" s="98" t="inlineStr">
        <is>
          <t xml:space="preserve">Uyiga borildi - to'ladi | 821917.8082191781 | 1873224.48</t>
        </is>
      </c>
    </row>
    <row r="8">
      <c r="A8" s="98" t="inlineStr">
        <is>
          <t xml:space="preserve">АНДИЖОН ВИЛОЯТИ</t>
        </is>
      </c>
      <c r="C8" s="98" t="inlineStr">
        <is>
          <t xml:space="preserve">Дозвон</t>
        </is>
      </c>
      <c r="D8" s="98" t="inlineStr">
        <is>
          <t xml:space="preserve">Кр-99004621-4</t>
        </is>
      </c>
      <c r="E8" s="98" t="inlineStr">
        <is>
          <t xml:space="preserve">NADIROV MURODJON BAXRAMJON O’G’LI</t>
        </is>
      </c>
      <c r="F8" s="98" t="inlineStr">
        <is>
          <t xml:space="preserve">90-543-11-01 SMS, 99-327-66-67 sms танимийди, 90-528-19-14  SMS TANIMASAKAN , 91-175-12-12  SMS ortogi, +998905431101 SMS O’ZI, 998887838780 SMS AKASI, 998946398780 SMS JIYANI ASADBEK, 998977268780 SMS UKASI,</t>
        </is>
      </c>
      <c r="G8" s="98" t="inlineStr">
        <is>
          <t xml:space="preserve">Саноат МФЙ, А.Йулдошев 1 тор кучаси, 37-уй</t>
        </is>
      </c>
      <c r="H8" s="99">
        <v>10.0</v>
      </c>
      <c r="I8" s="99">
        <v>2150272.74</v>
      </c>
      <c r="J8" s="99">
        <v>410958.0</v>
      </c>
      <c r="K8" s="98" t="inlineStr">
        <is>
          <t xml:space="preserve">To'ladi | 410958.90410958906 | 1739313.84</t>
        </is>
      </c>
    </row>
    <row r="9">
      <c r="A9" s="100" t="inlineStr">
        <is>
          <t xml:space="preserve">БУХОРО ВИЛОЯТИ</t>
        </is>
      </c>
      <c r="B9" s="100" t="inlineStr">
        <is>
          <t xml:space="preserve">SUPER BRANCH</t>
        </is>
      </c>
      <c r="C9" s="100" t="inlineStr">
        <is>
          <t xml:space="preserve">Объезд</t>
        </is>
      </c>
      <c r="D9" s="100" t="inlineStr">
        <is>
          <t xml:space="preserve">Кр-99019690-5</t>
        </is>
      </c>
      <c r="E9" s="100" t="inlineStr">
        <is>
          <t xml:space="preserve">HAYDAROV FURQAT RAXMATILLOYEVICH</t>
        </is>
      </c>
      <c r="F9" s="100" t="inlineStr">
        <is>
          <t xml:space="preserve">97-488-07-66  SMS O'ZI, 88-301-90-93  SMS AKASI, 97-296-06-93  SMS UY, 93-841-53-50  SMS AYOLI, 998505999203 SMS O'ZI2,</t>
        </is>
      </c>
      <c r="G9" s="100" t="inlineStr">
        <is>
          <t xml:space="preserve">BUXORO VILOYAT BUXORO SHAHRI BESHKAPPA KO'CHASI 106 UY</t>
        </is>
      </c>
      <c r="H9" s="101">
        <v>7.0</v>
      </c>
      <c r="I9" s="101">
        <v>2199808.54</v>
      </c>
      <c r="J9" s="101">
        <v>2484160.0</v>
      </c>
      <c r="K9" s="100" t="inlineStr">
        <is>
          <t xml:space="preserve">Uyiga borildi - to'ladi | 2 | 2484160.2179178083</t>
        </is>
      </c>
    </row>
    <row r="10">
      <c r="A10" s="100" t="inlineStr">
        <is>
          <t xml:space="preserve">БУХОРО ВИЛОЯТИ</t>
        </is>
      </c>
      <c r="B10" s="100" t="inlineStr">
        <is>
          <t xml:space="preserve">SUPER BRANCH</t>
        </is>
      </c>
      <c r="C10" s="100" t="inlineStr">
        <is>
          <t xml:space="preserve">Объезд</t>
        </is>
      </c>
      <c r="D10" s="100" t="inlineStr">
        <is>
          <t xml:space="preserve">Кр-99019690-6</t>
        </is>
      </c>
      <c r="E10" s="100" t="inlineStr">
        <is>
          <t xml:space="preserve">HAYDAROV FURQAT RAXMATILLOYEVICH</t>
        </is>
      </c>
      <c r="F10" s="100" t="inlineStr">
        <is>
          <t xml:space="preserve">97-488-07-66  SMS O'ZI, 88-301-90-93  SMS AKASI, 97-296-06-93  SMS UY, 93-841-53-50  SMS AYOLI, 998505999203 SMS O'ZI2,</t>
        </is>
      </c>
      <c r="G10" s="100" t="inlineStr">
        <is>
          <t xml:space="preserve">BUXORO VILOYAT BUXORO SHAHRI BESHKAPPA KO'CHASI 106 UY</t>
        </is>
      </c>
      <c r="H10" s="101">
        <v>7.0</v>
      </c>
      <c r="I10" s="101">
        <v>1144641.83</v>
      </c>
      <c r="J10" s="101">
        <v>1277949.0</v>
      </c>
      <c r="K10" s="100" t="inlineStr">
        <is>
          <t xml:space="preserve">Uyiga borildi - to'ladi | 3 | 1277949.4817260276</t>
        </is>
      </c>
    </row>
    <row r="11">
      <c r="A11" s="102" t="inlineStr">
        <is>
          <t xml:space="preserve">БУХОРО ВИЛОЯТИ</t>
        </is>
      </c>
      <c r="B11" s="102" t="inlineStr">
        <is>
          <t xml:space="preserve">Бухоро филиали</t>
        </is>
      </c>
      <c r="C11" s="102" t="inlineStr">
        <is>
          <t xml:space="preserve">Дозвон</t>
        </is>
      </c>
      <c r="D11" s="102" t="inlineStr">
        <is>
          <t xml:space="preserve">Кр-99019690-4</t>
        </is>
      </c>
      <c r="E11" s="102" t="inlineStr">
        <is>
          <t xml:space="preserve">HAYDAROV FURQAT RAXMATILLOYEVICH</t>
        </is>
      </c>
      <c r="F11" s="102" t="inlineStr">
        <is>
          <t xml:space="preserve">97-488-07-66  SMS O'ZI, 88-301-90-93  SMS AKASI, 97-296-06-93  SMS UY, 93-841-53-50  SMS AYOLI, 998505999203 SMS O'ZI2,</t>
        </is>
      </c>
      <c r="G11" s="102" t="inlineStr">
        <is>
          <t xml:space="preserve">BUXORO VILOYAT BUXORO SHAHRI BESHKAPPA KO'CHASI 106 UY</t>
        </is>
      </c>
      <c r="H11" s="103">
        <v>9.0</v>
      </c>
      <c r="I11" s="103">
        <v>1212298.85</v>
      </c>
      <c r="J11" s="103">
        <v>1265879.0</v>
      </c>
      <c r="K11" s="102" t="inlineStr">
        <is>
          <t xml:space="preserve">To'ladi | 1 | 1265879.6719178082</t>
        </is>
      </c>
    </row>
    <row r="12">
      <c r="A12" s="104" t="inlineStr">
        <is>
          <t xml:space="preserve">ЖИЗЗАХ ВИЛОЯТИ</t>
        </is>
      </c>
      <c r="C12" s="104" t="inlineStr">
        <is>
          <t xml:space="preserve">Объезд</t>
        </is>
      </c>
      <c r="D12" s="104" t="inlineStr">
        <is>
          <t xml:space="preserve">Кр-99038833-1</t>
        </is>
      </c>
      <c r="E12" s="104" t="inlineStr">
        <is>
          <t xml:space="preserve">XOSILBEKOV SHUXRAT SAFAROVICH</t>
        </is>
      </c>
      <c r="F12" s="104" t="inlineStr">
        <is>
          <t xml:space="preserve">998941957573 SMS O’ZI, 998935570175 SMS AYOLI, 998945160190 SMS UKASI, 998947277308 SMS SINGLISI,</t>
        </is>
      </c>
      <c r="G12" s="104" t="inlineStr">
        <is>
          <t xml:space="preserve">ZOMIN TUMANI</t>
        </is>
      </c>
      <c r="H12" s="105">
        <v>1.0</v>
      </c>
      <c r="I12" s="105">
        <v>7710283.95</v>
      </c>
      <c r="J12" s="105">
        <v>7710283.95</v>
      </c>
      <c r="K12" s="104" t="inlineStr">
        <is>
          <t xml:space="preserve">Uyiga borildi - to'ladi</t>
        </is>
      </c>
    </row>
    <row r="13">
      <c r="A13" s="104" t="inlineStr">
        <is>
          <t xml:space="preserve">ЖИЗЗАХ ВИЛОЯТИ</t>
        </is>
      </c>
      <c r="C13" s="104" t="inlineStr">
        <is>
          <t xml:space="preserve">Дозвон</t>
        </is>
      </c>
      <c r="D13" s="104" t="inlineStr">
        <is>
          <t xml:space="preserve">Кр-99055031-1</t>
        </is>
      </c>
      <c r="E13" s="104" t="inlineStr">
        <is>
          <t xml:space="preserve">PARDAYEVA XAFIZA AKRAMOVNA</t>
        </is>
      </c>
      <c r="F13" s="104" t="inlineStr">
        <is>
          <t xml:space="preserve">998995900655 SMS OZI, 998997473110 SMS OZI, 998958160926 SMS O'G'LI,</t>
        </is>
      </c>
      <c r="G13" s="104" t="inlineStr">
        <is>
          <t xml:space="preserve">JIZZAX VILOYATI G'ALLAOROL TUMANI MIRZABULOQ QFY NAYMAN KUCHASI 36-UY</t>
        </is>
      </c>
      <c r="H13" s="105">
        <v>10.0</v>
      </c>
      <c r="I13" s="105">
        <v>3028615.26</v>
      </c>
      <c r="J13" s="105">
        <v>3028615.26</v>
      </c>
      <c r="K13" s="104" t="inlineStr">
        <is>
          <t xml:space="preserve">To'ladi</t>
        </is>
      </c>
    </row>
    <row r="14">
      <c r="A14" s="104" t="inlineStr">
        <is>
          <t xml:space="preserve">ЖИЗЗАХ ВИЛОЯТИ</t>
        </is>
      </c>
      <c r="C14" s="104" t="inlineStr">
        <is>
          <t xml:space="preserve">Дозвон</t>
        </is>
      </c>
      <c r="D14" s="104" t="inlineStr">
        <is>
          <t xml:space="preserve">Кр-99052894-1</t>
        </is>
      </c>
      <c r="E14" s="104" t="inlineStr">
        <is>
          <t xml:space="preserve">SUVONQULOV SHAXRIYOR MIRZABEK O’G’LI</t>
        </is>
      </c>
      <c r="F14" s="104" t="inlineStr">
        <is>
          <t xml:space="preserve">998943079900 SMS OZI, 998932800094 SMS AKASI, 998938265665 SMS AKASI 2, 999839712506 SMS UKASI,</t>
        </is>
      </c>
      <c r="G14" s="104" t="inlineStr">
        <is>
          <t xml:space="preserve">JIZZAX VILOYATI SHAROF RASHIDOV TUMANI QANG'LI QFY NURAFSHON MFY OBOD KUCHASI 9-UY</t>
        </is>
      </c>
      <c r="H14" s="105">
        <v>10.0</v>
      </c>
      <c r="I14" s="105">
        <v>2557891.17</v>
      </c>
      <c r="J14" s="105">
        <v>2557891.17</v>
      </c>
      <c r="K14" s="104" t="inlineStr">
        <is>
          <t xml:space="preserve">To'ladi</t>
        </is>
      </c>
    </row>
    <row r="15">
      <c r="A15" s="104" t="inlineStr">
        <is>
          <t xml:space="preserve">ЖИЗЗАХ ВИЛОЯТИ</t>
        </is>
      </c>
      <c r="C15" s="104" t="inlineStr">
        <is>
          <t xml:space="preserve">Объезд</t>
        </is>
      </c>
      <c r="D15" s="104" t="inlineStr">
        <is>
          <t xml:space="preserve">Кр-99041710-1</t>
        </is>
      </c>
      <c r="E15" s="104" t="inlineStr">
        <is>
          <t xml:space="preserve">MAMARAJABOVA ZULOYXA ABDUMALIK QIZI</t>
        </is>
      </c>
      <c r="F15" s="104" t="inlineStr">
        <is>
          <t xml:space="preserve">998339269697 SMS, 998931049616 SMS,</t>
        </is>
      </c>
      <c r="G15" s="104" t="inlineStr">
        <is>
          <t xml:space="preserve">JIZZAX VILOYATI BAXMAL TUMANI TONGOTAR MFY QUSHTEPA QISHLOGI 65-UY</t>
        </is>
      </c>
      <c r="H15" s="105">
        <v>10.0</v>
      </c>
      <c r="I15" s="105">
        <v>2497483.08</v>
      </c>
      <c r="J15" s="105">
        <v>2497483.08</v>
      </c>
      <c r="K15" s="104" t="inlineStr">
        <is>
          <t xml:space="preserve">Uyiga borildi - to'ladi | qisman tolov qildi</t>
        </is>
      </c>
    </row>
    <row r="16">
      <c r="A16" s="104" t="inlineStr">
        <is>
          <t xml:space="preserve">ЖИЗЗАХ ВИЛОЯТИ</t>
        </is>
      </c>
      <c r="C16" s="104" t="inlineStr">
        <is>
          <t xml:space="preserve">Дозвон</t>
        </is>
      </c>
      <c r="D16" s="104" t="inlineStr">
        <is>
          <t xml:space="preserve">Кр-99039329-1</t>
        </is>
      </c>
      <c r="E16" s="104" t="inlineStr">
        <is>
          <t xml:space="preserve">TURSUNMATOV ABDULAZIZ ALIAKBAR O’G’LI</t>
        </is>
      </c>
      <c r="F16" s="104" t="inlineStr">
        <is>
          <t xml:space="preserve">+998947200340 SMS OZI, 998772942607 SMS DADASI, 998990231125 SMS AKASI, 998999992897 SMS UKASI,</t>
        </is>
      </c>
      <c r="G16" s="104" t="inlineStr">
        <is>
          <t xml:space="preserve">МУГОЛ КФЙ, МУГОЛ КФЙ, ЛОЙИХАДАГИ,  uy:Р.С</t>
        </is>
      </c>
      <c r="H16" s="105">
        <v>10.0</v>
      </c>
      <c r="I16" s="105">
        <v>1773514.2</v>
      </c>
      <c r="J16" s="105">
        <v>1773514.2</v>
      </c>
      <c r="K16" s="104" t="inlineStr">
        <is>
          <t xml:space="preserve">To'ladi</t>
        </is>
      </c>
    </row>
    <row r="17">
      <c r="A17" s="104" t="inlineStr">
        <is>
          <t xml:space="preserve">ЖИЗЗАХ ВИЛОЯТИ</t>
        </is>
      </c>
      <c r="C17" s="104" t="inlineStr">
        <is>
          <t xml:space="preserve">Дозвон</t>
        </is>
      </c>
      <c r="D17" s="104" t="inlineStr">
        <is>
          <t xml:space="preserve">Кр-99041692-1</t>
        </is>
      </c>
      <c r="E17" s="104" t="inlineStr">
        <is>
          <t xml:space="preserve">XAYDAROVA MUHABBAT KAMOL QIZI</t>
        </is>
      </c>
      <c r="F17" s="104" t="inlineStr">
        <is>
          <t xml:space="preserve">+998871055002 SMS OZI, 998879530070 SMS AYOLI, 998918910095 SMS AKASI, 998918910095 SMS UKASI,</t>
        </is>
      </c>
      <c r="G17" s="104" t="inlineStr">
        <is>
          <t xml:space="preserve">JIZZAX VILOYATI JIZZAX TUMANI QANGLI MFY FAROVON KUCHASI 36-UY</t>
        </is>
      </c>
      <c r="H17" s="105">
        <v>10.0</v>
      </c>
      <c r="I17" s="105">
        <v>1763084.63</v>
      </c>
      <c r="J17" s="105">
        <v>1763084.63</v>
      </c>
      <c r="K17" s="104" t="inlineStr">
        <is>
          <t xml:space="preserve">To'ladi</t>
        </is>
      </c>
    </row>
    <row r="18">
      <c r="A18" s="104" t="inlineStr">
        <is>
          <t xml:space="preserve">ЖИЗЗАХ ВИЛОЯТИ</t>
        </is>
      </c>
      <c r="C18" s="104" t="inlineStr">
        <is>
          <t xml:space="preserve">Объезд</t>
        </is>
      </c>
      <c r="D18" s="104" t="inlineStr">
        <is>
          <t xml:space="preserve">Кр-99026372-3</t>
        </is>
      </c>
      <c r="E18" s="104" t="inlineStr">
        <is>
          <t xml:space="preserve">ARIPOV FAXRIDDIN JO’MANOVICH</t>
        </is>
      </c>
      <c r="F18" s="104" t="inlineStr">
        <is>
          <t xml:space="preserve">94-138-50-20 SMS UZI , 91-209-90-77 SMS UZI, 94-001-51-35 SMS UY, 91-028-70-28 SMS AYOLI,</t>
        </is>
      </c>
      <c r="G18" s="104" t="inlineStr">
        <is>
          <t xml:space="preserve">JIZZAX VILOYATI MARJONBULOQ SHMB LALMIKOR MFY NAVRO’Z MAHALLASI 60-UY</t>
        </is>
      </c>
      <c r="H18" s="105">
        <v>10.0</v>
      </c>
      <c r="I18" s="105">
        <v>1508602.38</v>
      </c>
      <c r="J18" s="105">
        <v>1508602.38</v>
      </c>
      <c r="K18" s="104" t="inlineStr">
        <is>
          <t xml:space="preserve">Uyiga borildi - to'ladi</t>
        </is>
      </c>
    </row>
    <row r="19">
      <c r="A19" s="104" t="inlineStr">
        <is>
          <t xml:space="preserve">ЖИЗЗАХ ВИЛОЯТИ</t>
        </is>
      </c>
      <c r="C19" s="104" t="inlineStr">
        <is>
          <t xml:space="preserve">Дозвон</t>
        </is>
      </c>
      <c r="D19" s="104" t="inlineStr">
        <is>
          <t xml:space="preserve">Кр-99033516-1</t>
        </is>
      </c>
      <c r="E19" s="104" t="inlineStr">
        <is>
          <t xml:space="preserve">MIRZAMAXMUDOV ODILJON ALLAYOR O’G’LI</t>
        </is>
      </c>
      <c r="F19" s="104" t="inlineStr">
        <is>
          <t xml:space="preserve">998997449700 SMS O’ZI, 998912084455 SMS O’ZI, 998338382297 SMS DO’STI, 998991332871 SMS ONASI, 998950702444 SMS AKASI, 998336669700 SMS OZI YANGI, 998932947066 SMS ABDUNABI ORTOGI,</t>
        </is>
      </c>
      <c r="G19" s="104" t="inlineStr">
        <is>
          <t xml:space="preserve">JIZZAX VILOYATI BAXMAL TUMANI UDAMALI QISHLOG’I 63-UY </t>
        </is>
      </c>
      <c r="H19" s="105">
        <v>3.0</v>
      </c>
      <c r="I19" s="105">
        <v>1079691.82</v>
      </c>
      <c r="J19" s="105">
        <v>1079691.82</v>
      </c>
      <c r="K19" s="104" t="inlineStr">
        <is>
          <t xml:space="preserve">To'ladi</t>
        </is>
      </c>
    </row>
    <row r="20">
      <c r="A20" s="104" t="inlineStr">
        <is>
          <t xml:space="preserve">ЖИЗЗАХ ВИЛОЯТИ</t>
        </is>
      </c>
      <c r="C20" s="104" t="inlineStr">
        <is>
          <t xml:space="preserve">Дозвон</t>
        </is>
      </c>
      <c r="D20" s="104" t="inlineStr">
        <is>
          <t xml:space="preserve">Кр-99046548-1</t>
        </is>
      </c>
      <c r="E20" s="104" t="inlineStr">
        <is>
          <t xml:space="preserve">BOYMURZAYEV HASAN NAZAR O’G’LI</t>
        </is>
      </c>
      <c r="F20" s="104" t="inlineStr">
        <is>
          <t xml:space="preserve">998996766010 узи, 998954330009 укаси, 998919446010 уй,</t>
        </is>
      </c>
      <c r="G20" s="104" t="inlineStr">
        <is>
          <t xml:space="preserve">JIZZAX VILOYATI SHAROF RASHIDOV TUMANI PAXTOBOD QFY YAXTANLIK MAHALLASI </t>
        </is>
      </c>
      <c r="H20" s="105">
        <v>10.0</v>
      </c>
      <c r="I20" s="105">
        <v>793050.32</v>
      </c>
      <c r="J20" s="105">
        <v>793050.32</v>
      </c>
      <c r="K20" s="104" t="inlineStr">
        <is>
          <t xml:space="preserve">To'ladi</t>
        </is>
      </c>
    </row>
    <row r="21">
      <c r="A21" s="104" t="inlineStr">
        <is>
          <t xml:space="preserve">ЖИЗЗАХ ВИЛОЯТИ</t>
        </is>
      </c>
      <c r="C21" s="104" t="inlineStr">
        <is>
          <t xml:space="preserve">Дозвон</t>
        </is>
      </c>
      <c r="D21" s="104" t="inlineStr">
        <is>
          <t xml:space="preserve">Кр-99045797-2</t>
        </is>
      </c>
      <c r="E21" s="104" t="inlineStr">
        <is>
          <t xml:space="preserve">QARSHIBAYEV RUSLAN QAXRAMON O’G’LI</t>
        </is>
      </c>
      <c r="F21" s="104" t="inlineStr">
        <is>
          <t xml:space="preserve">+998900251515 SMS, 998902978487 SMS, 998992408778 SMS,</t>
        </is>
      </c>
      <c r="G21" s="104" t="inlineStr">
        <is>
          <t xml:space="preserve">JIZZAX VILOYATI SH.RASHIDOV TUMANI TOSHKENTLIK MFY QATORTOL KUCHASI 7-UY</t>
        </is>
      </c>
      <c r="H21" s="105">
        <v>10.0</v>
      </c>
      <c r="I21" s="105">
        <v>386582.6</v>
      </c>
      <c r="J21" s="105">
        <v>386582.6</v>
      </c>
      <c r="K21" s="104" t="inlineStr">
        <is>
          <t xml:space="preserve">To'ladi</t>
        </is>
      </c>
    </row>
    <row r="22">
      <c r="A22" s="104" t="inlineStr">
        <is>
          <t xml:space="preserve">ЖИЗЗАХ ВИЛОЯТИ</t>
        </is>
      </c>
      <c r="C22" s="104" t="inlineStr">
        <is>
          <t xml:space="preserve">Дозвон</t>
        </is>
      </c>
      <c r="D22" s="104" t="inlineStr">
        <is>
          <t xml:space="preserve">Кр-99016886-4</t>
        </is>
      </c>
      <c r="E22" s="104" t="inlineStr">
        <is>
          <t xml:space="preserve">NORBOYEV UTKIR XUDOYBOKOVICH</t>
        </is>
      </c>
      <c r="F22" s="104" t="inlineStr">
        <is>
          <t xml:space="preserve">903111781 SMS UZI new, 992851781 SMS AYOLI Begona, 991760374 SMS AKASI, 955557476 SMS AKASI,</t>
        </is>
      </c>
      <c r="G22" s="104" t="inlineStr">
        <is>
          <t xml:space="preserve">JIZZAX VILOYATI ZOMIN TUMANI G'ALLAKOR QFY BAYMOQLI QISHLOG'I YANGI HAYOT KUCHASI 36-UY</t>
        </is>
      </c>
      <c r="H22" s="105">
        <v>1.0</v>
      </c>
      <c r="I22" s="105">
        <v>270598.44</v>
      </c>
      <c r="J22" s="105">
        <v>270598.44</v>
      </c>
      <c r="K22" s="104" t="inlineStr">
        <is>
          <t xml:space="preserve">To'ladi</t>
        </is>
      </c>
    </row>
    <row r="23">
      <c r="A23" s="104" t="inlineStr">
        <is>
          <t xml:space="preserve">ЖИЗЗАХ ВИЛОЯТИ</t>
        </is>
      </c>
      <c r="C23" s="104" t="inlineStr">
        <is>
          <t xml:space="preserve">Дозвон</t>
        </is>
      </c>
      <c r="D23" s="104" t="inlineStr">
        <is>
          <t xml:space="preserve">Кр-99034148-3</t>
        </is>
      </c>
      <c r="E23" s="104" t="inlineStr">
        <is>
          <t xml:space="preserve">SAYFUTDINOVA GAVXAR SHUXRATOVNA</t>
        </is>
      </c>
      <c r="F23" s="104" t="inlineStr">
        <is>
          <t xml:space="preserve">998903111016 SMS OZI, 998976480208 SMS ERI TOLOVCHI, 998912093311 SMS HAMKASBI, 998712267815 SMS UY,</t>
        </is>
      </c>
      <c r="G23" s="104" t="inlineStr">
        <is>
          <t xml:space="preserve">JIZZAX VILOYATI SH.RASHIDOV TUMANI ZIYOKOR QFY M.ESHONQULOV KUCHASI 125-UY </t>
        </is>
      </c>
      <c r="H23" s="105">
        <v>10.0</v>
      </c>
      <c r="I23" s="105">
        <v>193989.59</v>
      </c>
      <c r="J23" s="105">
        <v>193989.59</v>
      </c>
      <c r="K23" s="104" t="inlineStr">
        <is>
          <t xml:space="preserve">To'ladi</t>
        </is>
      </c>
    </row>
    <row r="24">
      <c r="A24" s="104" t="inlineStr">
        <is>
          <t xml:space="preserve">ЖИЗЗАХ ВИЛОЯТИ</t>
        </is>
      </c>
      <c r="C24" s="104" t="inlineStr">
        <is>
          <t xml:space="preserve">Объезд</t>
        </is>
      </c>
      <c r="D24" s="104" t="inlineStr">
        <is>
          <t xml:space="preserve">Кр-99034201-1</t>
        </is>
      </c>
      <c r="E24" s="104" t="inlineStr">
        <is>
          <t xml:space="preserve">OCHILOV TO’LQIN ABDUALIMOVICH</t>
        </is>
      </c>
      <c r="F24" s="104" t="inlineStr">
        <is>
          <t xml:space="preserve">998902294031 SMS OZI, 998915676560 SMS AYOLI, 998912080702 SMS KELINI, 998915960702 SMS SINGLI,</t>
        </is>
      </c>
      <c r="G24" s="104" t="inlineStr">
        <is>
          <t xml:space="preserve">JIZZAX VILOYATI JIZZAX TUMANI QULAMA QFY A.NAVOIY KUCHASI 27-UY </t>
        </is>
      </c>
      <c r="I24" s="105">
        <v>6266.97</v>
      </c>
      <c r="J24" s="105">
        <v>6266.97</v>
      </c>
      <c r="K24" s="104" t="inlineStr">
        <is>
          <t xml:space="preserve">Uyiga borildi - to'ladi</t>
        </is>
      </c>
    </row>
    <row r="25">
      <c r="A25" s="106" t="inlineStr">
        <is>
          <t xml:space="preserve">КАШКАДАРЁ ВИЛОЯТИ</t>
        </is>
      </c>
      <c r="C25" s="106" t="inlineStr">
        <is>
          <t xml:space="preserve">Дозвон</t>
        </is>
      </c>
      <c r="D25" s="106" t="inlineStr">
        <is>
          <t xml:space="preserve">Кр-99041095-1</t>
        </is>
      </c>
      <c r="E25" s="106" t="inlineStr">
        <is>
          <t xml:space="preserve">DJABBAROV NA’MAT MUSTAFAYEVICH</t>
        </is>
      </c>
      <c r="F25" s="106" t="inlineStr">
        <is>
          <t xml:space="preserve">+998973142870 OZI, 998952339919 UYI, 998973129919 O’G’LI TO'LOVCHI,</t>
        </is>
      </c>
      <c r="G25" s="106" t="inlineStr">
        <is>
          <t xml:space="preserve">КАШКАДАРЁ ВИЛОЯТИ КАРШИ ТУМАНИ УЗУМЗОР МФЙ, ЛАГМОН  ҚИШЛОҒИ,  uy:77</t>
        </is>
      </c>
      <c r="H25" s="107">
        <v>10.0</v>
      </c>
      <c r="I25" s="107">
        <v>2502672.12</v>
      </c>
      <c r="J25" s="107">
        <v>2502672.12</v>
      </c>
      <c r="K25" s="106" t="inlineStr">
        <is>
          <t xml:space="preserve">To'ladi</t>
        </is>
      </c>
    </row>
    <row r="26">
      <c r="A26" s="106" t="inlineStr">
        <is>
          <t xml:space="preserve">КАШКАДАРЁ ВИЛОЯТИ</t>
        </is>
      </c>
      <c r="C26" s="106" t="inlineStr">
        <is>
          <t xml:space="preserve">Дозвон</t>
        </is>
      </c>
      <c r="D26" s="106" t="inlineStr">
        <is>
          <t xml:space="preserve">Кр-99035132-1</t>
        </is>
      </c>
      <c r="E26" s="106" t="inlineStr">
        <is>
          <t xml:space="preserve">OCHILOV OYBEK ISROIL O’G’LI</t>
        </is>
      </c>
      <c r="F26" s="106" t="inlineStr">
        <is>
          <t xml:space="preserve">998995008899  SMS O’ZI , 998507575193 SMS UKASI , 998500011995 SMS OILASI , 998507575293  SMS UKASI 2, 998972230068 SMS DADASI,</t>
        </is>
      </c>
      <c r="G26" s="106" t="inlineStr">
        <is>
          <t xml:space="preserve">QASHQADARYO VILOYATI KOSON TUMANI USHOKTEPA MFY USHOKTEPA KUCHASI 21 UY</t>
        </is>
      </c>
      <c r="H26" s="107">
        <v>8.0</v>
      </c>
      <c r="I26" s="107">
        <v>2196036.81</v>
      </c>
      <c r="J26" s="107">
        <v>2196036.81</v>
      </c>
      <c r="K26" s="106" t="inlineStr">
        <is>
          <t xml:space="preserve">To'ladi</t>
        </is>
      </c>
    </row>
    <row r="27">
      <c r="A27" s="106" t="inlineStr">
        <is>
          <t xml:space="preserve">КАШКАДАРЁ ВИЛОЯТИ</t>
        </is>
      </c>
      <c r="C27" s="106" t="inlineStr">
        <is>
          <t xml:space="preserve">Дозвон</t>
        </is>
      </c>
      <c r="D27" s="106" t="inlineStr">
        <is>
          <t xml:space="preserve">Кр-99037164-1</t>
        </is>
      </c>
      <c r="E27" s="106" t="inlineStr">
        <is>
          <t xml:space="preserve">IMOMOV FAYZULLA PARDAYEVICH</t>
        </is>
      </c>
      <c r="F27" s="106" t="inlineStr">
        <is>
          <t xml:space="preserve">998919553110 SMS OZI, 998807931102 SMS OZI 2, 998906672203 SMS OILASI, 998889883110 SMS O’G’LI,</t>
        </is>
      </c>
      <c r="G27" s="106" t="inlineStr">
        <is>
          <t xml:space="preserve">QASHQADARYO VILOYATI YAKKABOG’ TUMANI SEROB MFY MINJIR QISHLOQI</t>
        </is>
      </c>
      <c r="H27" s="107">
        <v>13.0</v>
      </c>
      <c r="I27" s="107">
        <v>2187130.37</v>
      </c>
      <c r="J27" s="107">
        <v>2187130.37</v>
      </c>
      <c r="K27" s="106" t="inlineStr">
        <is>
          <t xml:space="preserve">To'ladi</t>
        </is>
      </c>
    </row>
    <row r="28">
      <c r="A28" s="106" t="inlineStr">
        <is>
          <t xml:space="preserve">КАШКАДАРЁ ВИЛОЯТИ</t>
        </is>
      </c>
      <c r="C28" s="106" t="inlineStr">
        <is>
          <t xml:space="preserve">Объезд</t>
        </is>
      </c>
      <c r="D28" s="106" t="inlineStr">
        <is>
          <t xml:space="preserve">Кр-99037085-2</t>
        </is>
      </c>
      <c r="E28" s="106" t="inlineStr">
        <is>
          <t xml:space="preserve">XAMRAYEVA GULNORA XURRAMOVNA</t>
        </is>
      </c>
      <c r="F28" s="106" t="inlineStr">
        <is>
          <t xml:space="preserve">998979549700 SMS OZI (OG'LI) XUSAN, 998881941597 SMS O’G’LI, 998884287278 SMS UKASI (UZI), 998886757572 SMS AKASI,</t>
        </is>
      </c>
      <c r="G28" s="106" t="inlineStr">
        <is>
          <t xml:space="preserve">QASHQADARYO VILOYATI QARSHI TUMANI MEVAZOR MFY NAVRUZ QURG’ONI SHAHARCHASI 67/1 UY </t>
        </is>
      </c>
      <c r="H28" s="107">
        <v>10.0</v>
      </c>
      <c r="I28" s="107">
        <v>1951671.16</v>
      </c>
      <c r="J28" s="107">
        <v>1951671.16</v>
      </c>
      <c r="K28" s="106" t="inlineStr">
        <is>
          <t xml:space="preserve">Uyiga borildi - to'ladi</t>
        </is>
      </c>
    </row>
    <row r="29">
      <c r="A29" s="106" t="inlineStr">
        <is>
          <t xml:space="preserve">КАШКАДАРЁ ВИЛОЯТИ</t>
        </is>
      </c>
      <c r="C29" s="106" t="inlineStr">
        <is>
          <t xml:space="preserve">Объезд</t>
        </is>
      </c>
      <c r="D29" s="106" t="inlineStr">
        <is>
          <t xml:space="preserve">Кр-99038805-1</t>
        </is>
      </c>
      <c r="E29" s="106" t="inlineStr">
        <is>
          <t xml:space="preserve">ESHQULOV ABROR AZAMATOVICH</t>
        </is>
      </c>
      <c r="F29" s="106" t="inlineStr">
        <is>
          <t xml:space="preserve">998976776676 SMS O’ZI, 998990647161 SMS AYOLI, 998972560232 SMS AKASI , 998947061030 SMS ONASI,</t>
        </is>
      </c>
      <c r="G29" s="106" t="inlineStr">
        <is>
          <t xml:space="preserve">QARSHI TUMANI</t>
        </is>
      </c>
      <c r="H29" s="107">
        <v>6.0</v>
      </c>
      <c r="I29" s="107">
        <v>1414554.52</v>
      </c>
      <c r="J29" s="107">
        <v>1414554.52</v>
      </c>
      <c r="K29" s="106" t="inlineStr">
        <is>
          <t xml:space="preserve">Uyiga borildi - to'ladi</t>
        </is>
      </c>
    </row>
    <row r="30">
      <c r="A30" s="106" t="inlineStr">
        <is>
          <t xml:space="preserve">КАШКАДАРЁ ВИЛОЯТИ</t>
        </is>
      </c>
      <c r="C30" s="106" t="inlineStr">
        <is>
          <t xml:space="preserve">Объезд</t>
        </is>
      </c>
      <c r="D30" s="106" t="inlineStr">
        <is>
          <t xml:space="preserve">Кр-99035313-4</t>
        </is>
      </c>
      <c r="E30" s="106" t="inlineStr">
        <is>
          <t xml:space="preserve">OMONOV RO’YIDDIN ADASH O’G’LI</t>
        </is>
      </c>
      <c r="F30" s="106" t="inlineStr">
        <is>
          <t xml:space="preserve">998906167214 SMS OILASI, 998913830559 SMS AKASI  UZIII TO'LOVCHI, 998993830559 SMS OILASI, 998914682525 SMS UKASI (POCHCHASI),</t>
        </is>
      </c>
      <c r="G30" s="106" t="inlineStr">
        <is>
          <t xml:space="preserve">QASHQADARYO VILOYATI QARSHI TUMANI TINCHLIK MFY PARMITON QISHLOG’I 13-UY</t>
        </is>
      </c>
      <c r="H30" s="107">
        <v>10.0</v>
      </c>
      <c r="I30" s="107">
        <v>1341477.22</v>
      </c>
      <c r="J30" s="107">
        <v>1341477.22</v>
      </c>
      <c r="K30" s="106" t="inlineStr">
        <is>
          <t xml:space="preserve">Uyiga borildi - to'ladi</t>
        </is>
      </c>
    </row>
    <row r="31">
      <c r="A31" s="106" t="inlineStr">
        <is>
          <t xml:space="preserve">КАШКАДАРЁ ВИЛОЯТИ</t>
        </is>
      </c>
      <c r="C31" s="106" t="inlineStr">
        <is>
          <t xml:space="preserve">Объезд</t>
        </is>
      </c>
      <c r="D31" s="106" t="inlineStr">
        <is>
          <t xml:space="preserve">Кр-99035313-2</t>
        </is>
      </c>
      <c r="E31" s="106" t="inlineStr">
        <is>
          <t xml:space="preserve">OMONOV RO’YIDDIN ADASH O’G’LI</t>
        </is>
      </c>
      <c r="F31" s="106" t="inlineStr">
        <is>
          <t xml:space="preserve">998906167214 SMS OILASI, 998913830559 SMS AKASI  UZIII TO'LOVCHI, 998993830559 SMS OILASI, 998914682525 SMS UKASI (POCHCHASI),</t>
        </is>
      </c>
      <c r="G31" s="106" t="inlineStr">
        <is>
          <t xml:space="preserve">QASHQADARYO VILOYATI QARSHI TUMANI TINCHLIK MFY PARMITON QISHLOG’I 13-UY</t>
        </is>
      </c>
      <c r="H31" s="107">
        <v>3.0</v>
      </c>
      <c r="I31" s="107">
        <v>999946.2</v>
      </c>
      <c r="J31" s="107">
        <v>999946.2</v>
      </c>
      <c r="K31" s="106" t="inlineStr">
        <is>
          <t xml:space="preserve">Uyiga borildi - to'ladi</t>
        </is>
      </c>
    </row>
    <row r="32">
      <c r="A32" s="106" t="inlineStr">
        <is>
          <t xml:space="preserve">КАШКАДАРЁ ВИЛОЯТИ</t>
        </is>
      </c>
      <c r="C32" s="106" t="inlineStr">
        <is>
          <t xml:space="preserve">Объезд</t>
        </is>
      </c>
      <c r="D32" s="106" t="inlineStr">
        <is>
          <t xml:space="preserve">Кр-99038004-1</t>
        </is>
      </c>
      <c r="E32" s="106" t="inlineStr">
        <is>
          <t xml:space="preserve">RAXMONOVA NILUFAR RAXMIDDIN QIZI</t>
        </is>
      </c>
      <c r="F32" s="106" t="inlineStr">
        <is>
          <t xml:space="preserve">998889543030 SMS OZI, 998882070694 SMS OILASI, 998979537171 SMS AKASI, 998991689400 SMS AKASI, 998974380089 SMS TO'LOVCHI,</t>
        </is>
      </c>
      <c r="G32" s="106" t="inlineStr">
        <is>
          <t xml:space="preserve">КАШКАДАРЁ ВИЛОЯТИ КОСОН ТУМАНИ Эсабой МФЙ Эсабой кучаси 31-уй</t>
        </is>
      </c>
      <c r="H32" s="107">
        <v>10.0</v>
      </c>
      <c r="I32" s="107">
        <v>779178.8</v>
      </c>
      <c r="J32" s="107">
        <v>779178.8</v>
      </c>
      <c r="K32" s="106" t="inlineStr">
        <is>
          <t xml:space="preserve">Uyiga borildi - to'ladi</t>
        </is>
      </c>
    </row>
    <row r="33">
      <c r="A33" s="106" t="inlineStr">
        <is>
          <t xml:space="preserve">КАШКАДАРЁ ВИЛОЯТИ</t>
        </is>
      </c>
      <c r="C33" s="106" t="inlineStr">
        <is>
          <t xml:space="preserve">Объезд</t>
        </is>
      </c>
      <c r="D33" s="106" t="inlineStr">
        <is>
          <t xml:space="preserve">Кр-99040703-2</t>
        </is>
      </c>
      <c r="E33" s="106" t="inlineStr">
        <is>
          <t xml:space="preserve">SHOMURODOV BEKMUROD SHERQULOVICH</t>
        </is>
      </c>
      <c r="F33" s="106" t="inlineStr">
        <is>
          <t xml:space="preserve">+998934213611 sms uzi , 998333993611 sms ogli, 998773004642 sms ayoli , 998996862082 sms uzi2,</t>
        </is>
      </c>
      <c r="G33" s="106" t="inlineStr">
        <is>
          <t xml:space="preserve">КАЗОКЛИ МФЙ, КАЗОКЛИ,  uy:Р/С</t>
        </is>
      </c>
      <c r="I33" s="107">
        <v>466210.86</v>
      </c>
      <c r="J33" s="107">
        <v>466210.86</v>
      </c>
      <c r="K33" s="106" t="inlineStr">
        <is>
          <t xml:space="preserve">Uyiga borildi - to'ladi</t>
        </is>
      </c>
    </row>
    <row r="34">
      <c r="A34" s="106" t="inlineStr">
        <is>
          <t xml:space="preserve">КАШКАДАРЁ ВИЛОЯТИ</t>
        </is>
      </c>
      <c r="C34" s="106" t="inlineStr">
        <is>
          <t xml:space="preserve">Дозвон</t>
        </is>
      </c>
      <c r="D34" s="106" t="inlineStr">
        <is>
          <t xml:space="preserve">Кр-99057087-1</t>
        </is>
      </c>
      <c r="E34" s="106" t="inlineStr">
        <is>
          <t xml:space="preserve">XAYITOV ZIKIR SHERKULOVICH</t>
        </is>
      </c>
      <c r="F34" s="106" t="inlineStr">
        <is>
          <t xml:space="preserve">998992669600 SMS OZI, 998934260277 SMS AYOLI, 998932305610 SMS UKASI, 998944826069 OG'LI TULOVCHI SHU,</t>
        </is>
      </c>
      <c r="G34" s="106" t="inlineStr">
        <is>
          <t xml:space="preserve">QASHQADARYO VILOYATI KOSON TUMANI MULALI MFY KORABAYIR KUCHASI 11-UY</t>
        </is>
      </c>
      <c r="H34" s="107">
        <v>10.0</v>
      </c>
      <c r="I34" s="107">
        <v>133373.48</v>
      </c>
      <c r="J34" s="107">
        <v>133373.48</v>
      </c>
      <c r="K34" s="106" t="inlineStr">
        <is>
          <t xml:space="preserve">To'ladi</t>
        </is>
      </c>
    </row>
    <row r="35">
      <c r="A35" s="106" t="inlineStr">
        <is>
          <t xml:space="preserve">КАШКАДАРЁ ВИЛОЯТИ</t>
        </is>
      </c>
      <c r="C35" s="106" t="inlineStr">
        <is>
          <t xml:space="preserve">Дозвон</t>
        </is>
      </c>
      <c r="D35" s="106" t="inlineStr">
        <is>
          <t xml:space="preserve">Кр-99036035-1</t>
        </is>
      </c>
      <c r="E35" s="106" t="inlineStr">
        <is>
          <t xml:space="preserve">NIZOMIDDINOV DOSTON RUSTAM O’G’LI</t>
        </is>
      </c>
      <c r="F35" s="106" t="inlineStr">
        <is>
          <t xml:space="preserve">998939041565 SMS O’ZI, 998904280599 SMS OSHNASI, 998934227104 SMS DADASI, 998934211708 SMS UKASI ,</t>
        </is>
      </c>
      <c r="G35" s="106" t="inlineStr">
        <is>
          <t xml:space="preserve">QASHQADARYO VILOYATI QARSHI SHAHRI MAGZON MFY GULBOG’KUCHASI 24-UY</t>
        </is>
      </c>
      <c r="H35" s="107">
        <v>1.0</v>
      </c>
      <c r="I35" s="107">
        <v>17251.88</v>
      </c>
      <c r="J35" s="107">
        <v>17251.88</v>
      </c>
      <c r="K35" s="106" t="inlineStr">
        <is>
          <t xml:space="preserve">To'ladi</t>
        </is>
      </c>
    </row>
    <row r="36">
      <c r="A36" s="108" t="inlineStr">
        <is>
          <t xml:space="preserve">КОРАКАЛПОГИСТОН РЕСПУБЛИКАСИ</t>
        </is>
      </c>
      <c r="C36" s="108" t="inlineStr">
        <is>
          <t xml:space="preserve">Объезд</t>
        </is>
      </c>
      <c r="D36" s="108" t="inlineStr">
        <is>
          <t xml:space="preserve">Кр-99063402-1</t>
        </is>
      </c>
      <c r="E36" s="108" t="inlineStr">
        <is>
          <t xml:space="preserve">JAMGIRBAYEV SHOXZOD XALMURAT ULI</t>
        </is>
      </c>
      <c r="F36" s="108" t="inlineStr">
        <is>
          <t xml:space="preserve">998906527006 OZI, 998913931005 AKASI, 998951773003 AKASI 2,</t>
        </is>
      </c>
      <c r="G36" s="108" t="inlineStr">
        <is>
          <t xml:space="preserve">QARAQALPOGISTON RES NUKUS SHAHAR NAUBAXAR MFY ELI AZAT KUSHASI 15 UY</t>
        </is>
      </c>
      <c r="H36" s="109">
        <v>10.0</v>
      </c>
      <c r="I36" s="109">
        <v>1767587.38</v>
      </c>
      <c r="J36" s="109">
        <v>1767587.38</v>
      </c>
      <c r="K36" s="108" t="inlineStr">
        <is>
          <t xml:space="preserve">Uyiga borildi - to'ladi | 1552</t>
        </is>
      </c>
    </row>
    <row r="37">
      <c r="A37" s="108" t="inlineStr">
        <is>
          <t xml:space="preserve">КОРАКАЛПОГИСТОН РЕСПУБЛИКАСИ</t>
        </is>
      </c>
      <c r="C37" s="108" t="inlineStr">
        <is>
          <t xml:space="preserve">Дозвон</t>
        </is>
      </c>
      <c r="D37" s="108" t="inlineStr">
        <is>
          <t xml:space="preserve">Кр-99064050-1</t>
        </is>
      </c>
      <c r="E37" s="108" t="inlineStr">
        <is>
          <t xml:space="preserve">ESHIMBETOV QUDAYBERGEN AYAPBERGENOVICH</t>
        </is>
      </c>
      <c r="F37" s="108" t="inlineStr">
        <is>
          <t xml:space="preserve">998877084162 OGLI, 998994004162 OZI, 998997484162 OYALI,</t>
        </is>
      </c>
      <c r="G37" s="108" t="inlineStr">
        <is>
          <t xml:space="preserve">QORAQLPOGISTON RES NUKUS SHAHAR  Kutli-konis MFY, Uvaysiy ko’chasi, 18-uy</t>
        </is>
      </c>
      <c r="H37" s="109">
        <v>10.0</v>
      </c>
      <c r="I37" s="109">
        <v>1657657.3</v>
      </c>
      <c r="J37" s="109">
        <v>1657657.3</v>
      </c>
      <c r="K37" s="108" t="inlineStr">
        <is>
          <t xml:space="preserve">To'ladi | KECHA GAPLASHGANDIM BUGUN TO'LAVORIBDILA | 1636</t>
        </is>
      </c>
    </row>
    <row r="38">
      <c r="A38" s="108" t="inlineStr">
        <is>
          <t xml:space="preserve">КОРАКАЛПОГИСТОН РЕСПУБЛИКАСИ</t>
        </is>
      </c>
      <c r="C38" s="108" t="inlineStr">
        <is>
          <t xml:space="preserve">Дозвон</t>
        </is>
      </c>
      <c r="D38" s="108" t="inlineStr">
        <is>
          <t xml:space="preserve">Кр-99041071-1</t>
        </is>
      </c>
      <c r="E38" s="108" t="inlineStr">
        <is>
          <t xml:space="preserve">SABZADAYEV ALLIYAR SMAILOVICH</t>
        </is>
      </c>
      <c r="F38" s="108" t="inlineStr">
        <is>
          <t xml:space="preserve">998933614898 SMS OZI, 998956580267 SMS AYOLI, 998994521515 SMS UGLI,</t>
        </is>
      </c>
      <c r="G38" s="108" t="inlineStr">
        <is>
          <t xml:space="preserve">NUKUS SHAHAR</t>
        </is>
      </c>
      <c r="H38" s="109">
        <v>13.0</v>
      </c>
      <c r="I38" s="109">
        <v>1313001.45</v>
      </c>
      <c r="J38" s="109">
        <v>500000.0</v>
      </c>
      <c r="K38" s="108" t="inlineStr">
        <is>
          <t xml:space="preserve">To'ladi | KECHAA QISMAN TO'LOV QILDI BUGUN 500MING ANORDAN TO'LADI | 956</t>
        </is>
      </c>
    </row>
    <row r="39">
      <c r="A39" s="108" t="inlineStr">
        <is>
          <t xml:space="preserve">КОРАКАЛПОГИСТОН РЕСПУБЛИКАСИ</t>
        </is>
      </c>
      <c r="C39" s="108" t="inlineStr">
        <is>
          <t xml:space="preserve">Дозвон</t>
        </is>
      </c>
      <c r="D39" s="108" t="inlineStr">
        <is>
          <t xml:space="preserve">Кр-99039490-1</t>
        </is>
      </c>
      <c r="E39" s="108" t="inlineStr">
        <is>
          <t xml:space="preserve">SAFARBAYEV SUROJ ROZUMBAYEVICH</t>
        </is>
      </c>
      <c r="F39" s="108" t="inlineStr">
        <is>
          <t xml:space="preserve">998970834467 SMS OZI, 998770929111 SMS AYOLI, 998335387575 SMS DOSTI, 998919911936 SMS OZI 2, 998991193691 SMS OZI NEWW, 998935673747 SMS TO'LOVCHI ,</t>
        </is>
      </c>
      <c r="G39" s="108" t="inlineStr">
        <is>
          <t xml:space="preserve">QORAQALPOG’ISTON RESPUBLIKASI AMUDARYO TUMANI QIZILCHOLI MFY,YOSHLAR HIYOBONI 31-UY,32-XONADON</t>
        </is>
      </c>
      <c r="H39" s="109">
        <v>8.0</v>
      </c>
      <c r="I39" s="109">
        <v>613572.75</v>
      </c>
      <c r="J39" s="109">
        <v>613572.75</v>
      </c>
      <c r="K39" s="108" t="inlineStr">
        <is>
          <t xml:space="preserve">To'ladi | TO'LADI | 798</t>
        </is>
      </c>
    </row>
    <row r="40">
      <c r="A40" s="110" t="inlineStr">
        <is>
          <t xml:space="preserve">НАВОИЙ ВИЛОЯТИ</t>
        </is>
      </c>
      <c r="C40" s="110" t="inlineStr">
        <is>
          <t xml:space="preserve">Дозвон</t>
        </is>
      </c>
      <c r="D40" s="110" t="inlineStr">
        <is>
          <t xml:space="preserve">Кр-99041260-1</t>
        </is>
      </c>
      <c r="E40" s="110" t="inlineStr">
        <is>
          <t xml:space="preserve">ERMAMATOV MAMADIYAR ALIKULOVICH</t>
        </is>
      </c>
      <c r="F40" s="110" t="inlineStr">
        <is>
          <t xml:space="preserve">998940674371 SMS OZI, 998930829871 SMS ONASI, 998883690021 SMS KELINI, 998934611115 SMS QIZI,</t>
        </is>
      </c>
      <c r="G40" s="110" t="inlineStr">
        <is>
          <t xml:space="preserve">NAVOIY VILOYATI ,KONIMEX TUMANI,GULISTON MFY,QUNG'IROT KO'CHASI 38 UY</t>
        </is>
      </c>
      <c r="H40" s="111">
        <v>10.0</v>
      </c>
      <c r="I40" s="111">
        <v>3049333.28</v>
      </c>
      <c r="J40" s="111">
        <v>3049333.28</v>
      </c>
      <c r="K40" s="110" t="inlineStr">
        <is>
          <t xml:space="preserve">To'ladi</t>
        </is>
      </c>
    </row>
    <row r="41">
      <c r="A41" s="110" t="inlineStr">
        <is>
          <t xml:space="preserve">НАВОИЙ ВИЛОЯТИ</t>
        </is>
      </c>
      <c r="C41" s="110" t="inlineStr">
        <is>
          <t xml:space="preserve">Дозвон</t>
        </is>
      </c>
      <c r="D41" s="110" t="inlineStr">
        <is>
          <t xml:space="preserve">Кр-99029541-2</t>
        </is>
      </c>
      <c r="E41" s="110" t="inlineStr">
        <is>
          <t xml:space="preserve">ISMOILOV FARRUH ZARIF O’G’LI</t>
        </is>
      </c>
      <c r="F41" s="110" t="inlineStr">
        <is>
          <t xml:space="preserve">90-000-88-04  SMS OZI, 77-085-01-41  SMS XONADONI, 99-548-09-10 SMS HAMKASBI,</t>
        </is>
      </c>
      <c r="G41" s="110" t="inlineStr">
        <is>
          <t xml:space="preserve">NAVOIY VILOYATI KARMANA TUMANI MIR-SAID BAHROM MFY BOBO-DEHQON KO’CHASI 13-UY</t>
        </is>
      </c>
      <c r="H41" s="111">
        <v>10.0</v>
      </c>
      <c r="I41" s="111">
        <v>2346955.95</v>
      </c>
      <c r="J41" s="111">
        <v>2346955.95</v>
      </c>
      <c r="K41" s="110" t="inlineStr">
        <is>
          <t xml:space="preserve">To'ladi</t>
        </is>
      </c>
    </row>
    <row r="42">
      <c r="A42" s="110" t="inlineStr">
        <is>
          <t xml:space="preserve">НАВОИЙ ВИЛОЯТИ</t>
        </is>
      </c>
      <c r="C42" s="110" t="inlineStr">
        <is>
          <t xml:space="preserve">Дозвон</t>
        </is>
      </c>
      <c r="D42" s="110" t="inlineStr">
        <is>
          <t xml:space="preserve">Кр-99036084-1</t>
        </is>
      </c>
      <c r="E42" s="110" t="inlineStr">
        <is>
          <t xml:space="preserve">GOFUROV ZOIR MUXAMADOVICH</t>
        </is>
      </c>
      <c r="F42" s="110" t="inlineStr">
        <is>
          <t xml:space="preserve">998913300303 SMS O’ZI , 998945220003 SMS O’G’LI,</t>
        </is>
      </c>
      <c r="G42" s="110" t="inlineStr">
        <is>
          <t xml:space="preserve">NAVOIY VILOYATI QIZILTEPA TUMANI BASHIR MFY MUG’JIN QFY 117-UY</t>
        </is>
      </c>
      <c r="H42" s="111">
        <v>2.0</v>
      </c>
      <c r="I42" s="111">
        <v>2270857.55</v>
      </c>
      <c r="J42" s="111">
        <v>2270857.55</v>
      </c>
      <c r="K42" s="110" t="inlineStr">
        <is>
          <t xml:space="preserve">To'ladi</t>
        </is>
      </c>
    </row>
    <row r="43">
      <c r="A43" s="110" t="inlineStr">
        <is>
          <t xml:space="preserve">НАВОИЙ ВИЛОЯТИ</t>
        </is>
      </c>
      <c r="C43" s="110" t="inlineStr">
        <is>
          <t xml:space="preserve">Дозвон</t>
        </is>
      </c>
      <c r="D43" s="110" t="inlineStr">
        <is>
          <t xml:space="preserve">Кр-99029982-2</t>
        </is>
      </c>
      <c r="E43" s="110" t="inlineStr">
        <is>
          <t xml:space="preserve">IBROGIMOV BOBIR ISROILOVICH</t>
        </is>
      </c>
      <c r="F43" s="110" t="inlineStr">
        <is>
          <t xml:space="preserve">97-322-80-02  SMS UZI EKONOM ZONADA ISHLIDI , 88-053-30-57  SMS O’G’LI, 97-797-05-79  SMS XOTINI, 97-323-21-13  SMS UKASI, 998931757725 SMS UGLI GMZ DA ISHLIDI , 998970857101 SMS O'ZI, 998888027725 SMS o'g'li javohir 1ci bub wunga tel qlinsin,</t>
        </is>
      </c>
      <c r="G43" s="110" t="inlineStr">
        <is>
          <t xml:space="preserve">O’RIKZOR KO’CHASI, 10 UY</t>
        </is>
      </c>
      <c r="H43" s="111">
        <v>10.0</v>
      </c>
      <c r="I43" s="111">
        <v>2192870.13</v>
      </c>
      <c r="J43" s="111">
        <v>2192870.13</v>
      </c>
      <c r="K43" s="110" t="inlineStr">
        <is>
          <t xml:space="preserve">To'ladi</t>
        </is>
      </c>
    </row>
    <row r="44">
      <c r="A44" s="110" t="inlineStr">
        <is>
          <t xml:space="preserve">НАВОИЙ ВИЛОЯТИ</t>
        </is>
      </c>
      <c r="C44" s="110" t="inlineStr">
        <is>
          <t xml:space="preserve">Дозвон</t>
        </is>
      </c>
      <c r="D44" s="110" t="inlineStr">
        <is>
          <t xml:space="preserve">Кр-99037388-2</t>
        </is>
      </c>
      <c r="E44" s="110" t="inlineStr">
        <is>
          <t xml:space="preserve">RASULOVA MADINA ABDURASHIT QIZI</t>
        </is>
      </c>
      <c r="F44" s="110" t="inlineStr">
        <is>
          <t xml:space="preserve">998937549991 SMS OZI, 998943478788 SMS ERI, 998906558555 SMS OPASI, 998943124440 SMS ONASI, 998937502343 ERI NEW,</t>
        </is>
      </c>
      <c r="G44" s="110" t="inlineStr">
        <is>
          <t xml:space="preserve">NAVOIY VILOYATI NUROTA TUMANI, G’AFUR G’ULOM MFY, XOLMUROD RAXIMOV KO’CHASI 12-UY</t>
        </is>
      </c>
      <c r="H44" s="111">
        <v>10.0</v>
      </c>
      <c r="I44" s="111">
        <v>1894973.88</v>
      </c>
      <c r="J44" s="111">
        <v>1894973.88</v>
      </c>
      <c r="K44" s="110" t="inlineStr">
        <is>
          <t xml:space="preserve">To'ladi</t>
        </is>
      </c>
    </row>
    <row r="45">
      <c r="A45" s="110" t="inlineStr">
        <is>
          <t xml:space="preserve">НАВОИЙ ВИЛОЯТИ</t>
        </is>
      </c>
      <c r="C45" s="110" t="inlineStr">
        <is>
          <t xml:space="preserve">Дозвон</t>
        </is>
      </c>
      <c r="D45" s="110" t="inlineStr">
        <is>
          <t xml:space="preserve">Кр-99029541-3</t>
        </is>
      </c>
      <c r="E45" s="110" t="inlineStr">
        <is>
          <t xml:space="preserve">ISMOILOV FARRUH ZARIF O’G’LI</t>
        </is>
      </c>
      <c r="F45" s="110" t="inlineStr">
        <is>
          <t xml:space="preserve">90-000-88-04  SMS OZI, 77-085-01-41  SMS XONADONI, 99-548-09-10 SMS HAMKASBI,</t>
        </is>
      </c>
      <c r="G45" s="110" t="inlineStr">
        <is>
          <t xml:space="preserve">NAVOIY VILOYATI KARMANA TUMANI MIR-SAID BAHROM MFY BOBO-DEHQON KO’CHASI 13-UY</t>
        </is>
      </c>
      <c r="H45" s="111">
        <v>10.0</v>
      </c>
      <c r="I45" s="111">
        <v>1168529.46</v>
      </c>
      <c r="J45" s="111">
        <v>1168529.46</v>
      </c>
      <c r="K45" s="110" t="inlineStr">
        <is>
          <t xml:space="preserve">To'ladi</t>
        </is>
      </c>
    </row>
    <row r="46">
      <c r="A46" s="110" t="inlineStr">
        <is>
          <t xml:space="preserve">НАВОИЙ ВИЛОЯТИ</t>
        </is>
      </c>
      <c r="C46" s="110" t="inlineStr">
        <is>
          <t xml:space="preserve">Дозвон</t>
        </is>
      </c>
      <c r="D46" s="110" t="inlineStr">
        <is>
          <t xml:space="preserve">Кр-99063037-1</t>
        </is>
      </c>
      <c r="E46" s="110" t="inlineStr">
        <is>
          <t xml:space="preserve">SALOMOVA GULSARA ABDIMALIKOVNA</t>
        </is>
      </c>
      <c r="F46" s="110" t="inlineStr">
        <is>
          <t xml:space="preserve">998933190870 TURMUSH URTOGI, 998974912121 O’GLI 2 NOMNERI, 998974913535 O’GLI,</t>
        </is>
      </c>
      <c r="G46" s="110" t="inlineStr">
        <is>
          <t xml:space="preserve">XATIRCHI TUMANI</t>
        </is>
      </c>
      <c r="H46" s="111">
        <v>10.0</v>
      </c>
      <c r="I46" s="111">
        <v>882765.71</v>
      </c>
      <c r="J46" s="111">
        <v>882765.71</v>
      </c>
      <c r="K46" s="110" t="inlineStr">
        <is>
          <t xml:space="preserve">To'ladi</t>
        </is>
      </c>
    </row>
    <row r="47">
      <c r="A47" s="110" t="inlineStr">
        <is>
          <t xml:space="preserve">НАВОИЙ ВИЛОЯТИ</t>
        </is>
      </c>
      <c r="C47" s="110" t="inlineStr">
        <is>
          <t xml:space="preserve">Дозвон</t>
        </is>
      </c>
      <c r="D47" s="110" t="inlineStr">
        <is>
          <t xml:space="preserve">Кр-99063878-2</t>
        </is>
      </c>
      <c r="E47" s="110" t="inlineStr">
        <is>
          <t xml:space="preserve">SANOQULOV JASUR SUVON O’G’LI</t>
        </is>
      </c>
      <c r="F47" s="110" t="inlineStr">
        <is>
          <t xml:space="preserve">998777612272 O’ZI, 998991642772 AYOLI, 998993753426 O’G’LI,</t>
        </is>
      </c>
      <c r="G47" s="110" t="inlineStr">
        <is>
          <t xml:space="preserve">NAVOIY VILOYATI NAVBAHOR TUMANI ARABXONA MFY ARABXONA SHOX KO’CHASI 200 UY</t>
        </is>
      </c>
      <c r="H47" s="111">
        <v>10.0</v>
      </c>
      <c r="I47" s="111">
        <v>52162.11</v>
      </c>
      <c r="J47" s="111">
        <v>52162.11</v>
      </c>
      <c r="K47" s="110" t="inlineStr">
        <is>
          <t xml:space="preserve">To'ladi | manga keyingi oyga qoshib beraman ddi</t>
        </is>
      </c>
    </row>
    <row r="48">
      <c r="A48" s="112" t="inlineStr">
        <is>
          <t xml:space="preserve">САМАРКАНД ВИЛОЯТИ</t>
        </is>
      </c>
      <c r="C48" s="112" t="inlineStr">
        <is>
          <t xml:space="preserve">Дозвон</t>
        </is>
      </c>
      <c r="D48" s="112" t="inlineStr">
        <is>
          <t xml:space="preserve">Кр-99024819-8</t>
        </is>
      </c>
      <c r="E48" s="112" t="inlineStr">
        <is>
          <t xml:space="preserve">GULYAMOV IMRON BAXODIROVICH</t>
        </is>
      </c>
      <c r="F48" s="112" t="inlineStr">
        <is>
          <t xml:space="preserve">90-503-44-22 SMS AKASI SHU HAL QILADI, 91-520-43-44 SMS UZI, 66-234-44-63 SMS UYI, 97-927-25-11 SMS UKASI,</t>
        </is>
      </c>
      <c r="G48" s="112" t="inlineStr">
        <is>
          <t xml:space="preserve">SAMARQAND VILOYATI SAMARQAND SHAHRI BOG’I SHIFO MFY  MASKOVSKIY KUCHASI 12-UY</t>
        </is>
      </c>
      <c r="H48" s="113">
        <v>10.0</v>
      </c>
      <c r="I48" s="113">
        <v>10752171.91</v>
      </c>
      <c r="J48" s="113">
        <v>10752171.91</v>
      </c>
      <c r="K48" s="112" t="inlineStr">
        <is>
          <t xml:space="preserve">To'ladi | yopildi</t>
        </is>
      </c>
    </row>
    <row r="49">
      <c r="A49" s="112" t="inlineStr">
        <is>
          <t xml:space="preserve">САМАРКАНД ВИЛОЯТИ</t>
        </is>
      </c>
      <c r="C49" s="112" t="inlineStr">
        <is>
          <t xml:space="preserve">Объезд</t>
        </is>
      </c>
      <c r="D49" s="112" t="inlineStr">
        <is>
          <t xml:space="preserve">Кр-99062920-1</t>
        </is>
      </c>
      <c r="E49" s="112" t="inlineStr">
        <is>
          <t xml:space="preserve">BOBOYEV SHERXON RUZIMURODOVICH</t>
        </is>
      </c>
      <c r="F49" s="112" t="inlineStr">
        <is>
          <t xml:space="preserve">+998992957374 SMS OZI, 998904757374 SMS OZI 2, 998956738444 SMS UKASI,</t>
        </is>
      </c>
      <c r="G49" s="112" t="inlineStr">
        <is>
          <t xml:space="preserve">SAMARQAND VILOYATI NUROBOD TUMANI OQSOY MFY</t>
        </is>
      </c>
      <c r="H49" s="113">
        <v>10.0</v>
      </c>
      <c r="I49" s="113">
        <v>3443274.88</v>
      </c>
      <c r="J49" s="113">
        <v>3443274.88</v>
      </c>
      <c r="K49" s="112" t="inlineStr">
        <is>
          <t xml:space="preserve">Uyiga borildi - to'ladi | yopildi</t>
        </is>
      </c>
    </row>
    <row r="50">
      <c r="A50" s="112" t="inlineStr">
        <is>
          <t xml:space="preserve">САМАРКАНД ВИЛОЯТИ</t>
        </is>
      </c>
      <c r="C50" s="112" t="inlineStr">
        <is>
          <t xml:space="preserve">Объезд</t>
        </is>
      </c>
      <c r="D50" s="112" t="inlineStr">
        <is>
          <t xml:space="preserve">Кр-99057430-1</t>
        </is>
      </c>
      <c r="E50" s="112" t="inlineStr">
        <is>
          <t xml:space="preserve">TOSHMURODOV JAVLONBEK ULUG’BEKOVICH</t>
        </is>
      </c>
      <c r="F50" s="112" t="inlineStr">
        <is>
          <t xml:space="preserve">998942894664 SMS UZI, 998918460505 SMS AKASI TULOVCHI, 998942870050 SMS AKASI, 998942131877 SMS AYASI,</t>
        </is>
      </c>
      <c r="G50" s="112" t="inlineStr">
        <is>
          <t xml:space="preserve">SAMARQAND VILOYATI PAXTACHI TUMANI MIRZO NODIM MFY REGISTON KUCHASI 97-UY</t>
        </is>
      </c>
      <c r="H50" s="113">
        <v>10.0</v>
      </c>
      <c r="I50" s="113">
        <v>3387227.9</v>
      </c>
      <c r="J50" s="113">
        <v>3387227.9</v>
      </c>
      <c r="K50" s="112" t="inlineStr">
        <is>
          <t xml:space="preserve">Uyiga borildi - to'ladi | yopildi</t>
        </is>
      </c>
    </row>
    <row r="51">
      <c r="A51" s="112" t="inlineStr">
        <is>
          <t xml:space="preserve">САМАРКАНД ВИЛОЯТИ</t>
        </is>
      </c>
      <c r="C51" s="112" t="inlineStr">
        <is>
          <t xml:space="preserve">Дозвон</t>
        </is>
      </c>
      <c r="D51" s="112" t="inlineStr">
        <is>
          <t xml:space="preserve">Кр-99036486-1</t>
        </is>
      </c>
      <c r="E51" s="112" t="inlineStr">
        <is>
          <t xml:space="preserve">QODIROV BOBURJON TEMUR O’G’LI</t>
        </is>
      </c>
      <c r="F51" s="112" t="inlineStr">
        <is>
          <t xml:space="preserve">998944700095 SMS OZI, 998954290607 SMS UKASI , 998933440395 SMS AYOLI, 998990919186 SMS UKASI ,</t>
        </is>
      </c>
      <c r="G51" s="112" t="inlineStr">
        <is>
          <t xml:space="preserve">SAMARQAND VILOYATI JOMBOY TUMANI BESH BOLA MFY BESH BOLA 11-UY</t>
        </is>
      </c>
      <c r="H51" s="113">
        <v>14.0</v>
      </c>
      <c r="I51" s="113">
        <v>2907706.29</v>
      </c>
      <c r="J51" s="113">
        <v>2907706.29</v>
      </c>
      <c r="K51" s="112" t="inlineStr">
        <is>
          <t xml:space="preserve">To'ladi | yopildi</t>
        </is>
      </c>
    </row>
    <row r="52">
      <c r="A52" s="112" t="inlineStr">
        <is>
          <t xml:space="preserve">САМАРКАНД ВИЛОЯТИ</t>
        </is>
      </c>
      <c r="C52" s="112" t="inlineStr">
        <is>
          <t xml:space="preserve">Объезд</t>
        </is>
      </c>
      <c r="D52" s="112" t="inlineStr">
        <is>
          <t xml:space="preserve">Кр-99062811-2</t>
        </is>
      </c>
      <c r="E52" s="112" t="inlineStr">
        <is>
          <t xml:space="preserve">SHOKIROV SAVRIDDIN SALOHIDDIN O’G’LI</t>
        </is>
      </c>
      <c r="F52" s="112" t="inlineStr">
        <is>
          <t xml:space="preserve">+998931430020 SMS OZI, 998505711620 SMS OPASI, 998937243255 SMS UKASI,</t>
        </is>
      </c>
      <c r="G52" s="112" t="inlineStr">
        <is>
          <t xml:space="preserve">SAMARQAND VILOYATI TAYLOQ TUMANI YANGI XAYOT MFY CHOVONDOZ KUCHASI</t>
        </is>
      </c>
      <c r="H52" s="113">
        <v>10.0</v>
      </c>
      <c r="I52" s="113">
        <v>2882928.02</v>
      </c>
      <c r="J52" s="113">
        <v>2882928.02</v>
      </c>
      <c r="K52" s="112" t="inlineStr">
        <is>
          <t xml:space="preserve">Uyiga borildi - to'ladi | yopildi</t>
        </is>
      </c>
    </row>
    <row r="53">
      <c r="A53" s="112" t="inlineStr">
        <is>
          <t xml:space="preserve">САМАРКАНД ВИЛОЯТИ</t>
        </is>
      </c>
      <c r="C53" s="112" t="inlineStr">
        <is>
          <t xml:space="preserve">Дозвон</t>
        </is>
      </c>
      <c r="D53" s="112" t="inlineStr">
        <is>
          <t xml:space="preserve">Кр-99042245-1</t>
        </is>
      </c>
      <c r="E53" s="112" t="inlineStr">
        <is>
          <t xml:space="preserve">NORMURADOV ELYOR RASULOVICH</t>
        </is>
      </c>
      <c r="F53" s="112" t="inlineStr">
        <is>
          <t xml:space="preserve">+998941882897 SMS OZI, 998904480702 SMS UKASI, 998931882987 SMS AYOLI, 998990693739 SMS UYI,</t>
        </is>
      </c>
      <c r="G53" s="112" t="inlineStr">
        <is>
          <t xml:space="preserve">SAMARQAND VILOYATI JONBOY TUMANI QANGLI MFY KURKAM DIYOR KUCHASI</t>
        </is>
      </c>
      <c r="I53" s="113">
        <v>2367581.67</v>
      </c>
      <c r="J53" s="113">
        <v>2367581.67</v>
      </c>
      <c r="K53" s="112" t="inlineStr">
        <is>
          <t xml:space="preserve">To'ladi | yopildi</t>
        </is>
      </c>
    </row>
    <row r="54">
      <c r="A54" s="112" t="inlineStr">
        <is>
          <t xml:space="preserve">САМАРКАНД ВИЛОЯТИ</t>
        </is>
      </c>
      <c r="C54" s="112" t="inlineStr">
        <is>
          <t xml:space="preserve">Дозвон</t>
        </is>
      </c>
      <c r="D54" s="112" t="inlineStr">
        <is>
          <t xml:space="preserve">Кр-99036483-1</t>
        </is>
      </c>
      <c r="E54" s="112" t="inlineStr">
        <is>
          <t xml:space="preserve">HASANOV XURSHID ABDURASHIDOVICH</t>
        </is>
      </c>
      <c r="F54" s="112" t="inlineStr">
        <is>
          <t xml:space="preserve">998881911012 SMS OZI, 998995111012 SMS AYOLI, 998995711037 SMS ONASI , 998992767791 SMS UKASI ,</t>
        </is>
      </c>
      <c r="G54" s="112" t="inlineStr">
        <is>
          <t xml:space="preserve">SAMARQAND VILOYATI ISHTIXON TUMANI QAYIRMA MFY TUYABOY OVUL QISHLOG`I 75-UY</t>
        </is>
      </c>
      <c r="H54" s="113">
        <v>14.0</v>
      </c>
      <c r="I54" s="113">
        <v>2321551.88</v>
      </c>
      <c r="J54" s="113">
        <v>2321551.88</v>
      </c>
      <c r="K54" s="112" t="inlineStr">
        <is>
          <t xml:space="preserve">To'ladi | yopildi</t>
        </is>
      </c>
    </row>
    <row r="55">
      <c r="A55" s="112" t="inlineStr">
        <is>
          <t xml:space="preserve">САМАРКАНД ВИЛОЯТИ</t>
        </is>
      </c>
      <c r="C55" s="112" t="inlineStr">
        <is>
          <t xml:space="preserve">Дозвон</t>
        </is>
      </c>
      <c r="D55" s="112" t="inlineStr">
        <is>
          <t xml:space="preserve">Кр-99033491-1</t>
        </is>
      </c>
      <c r="E55" s="112" t="inlineStr">
        <is>
          <t xml:space="preserve">XAYDAROV G’AYRATJON ABDUSAIDOVICH</t>
        </is>
      </c>
      <c r="F55" s="112" t="inlineStr">
        <is>
          <t xml:space="preserve">998509986314 SMS O’ZI, 998932214141 SMS TO’LOVCHISI, 998946797965 SMS UKASI, 998399874554 SMS UY, 998773437901 oilasi,</t>
        </is>
      </c>
      <c r="G55" s="112" t="inlineStr">
        <is>
          <t xml:space="preserve">SAMARQAND VILOYATI NARPAY TUMANI KUK OTA MFY KUK OTA QISHLOG’I 119-UY</t>
        </is>
      </c>
      <c r="H55" s="113">
        <v>6.0</v>
      </c>
      <c r="I55" s="113">
        <v>2288572.87</v>
      </c>
      <c r="J55" s="113">
        <v>2288572.87</v>
      </c>
      <c r="K55" s="112" t="inlineStr">
        <is>
          <t xml:space="preserve">To'ladi | toladi jaxon akani kartasiga</t>
        </is>
      </c>
    </row>
    <row r="56">
      <c r="A56" s="112" t="inlineStr">
        <is>
          <t xml:space="preserve">САМАРКАНД ВИЛОЯТИ</t>
        </is>
      </c>
      <c r="C56" s="112" t="inlineStr">
        <is>
          <t xml:space="preserve">Дозвон</t>
        </is>
      </c>
      <c r="D56" s="112" t="inlineStr">
        <is>
          <t xml:space="preserve">Кр-99063189-1</t>
        </is>
      </c>
      <c r="E56" s="112" t="inlineStr">
        <is>
          <t xml:space="preserve">BURONOV BUNYOD KAMOLIDDIN O’G’LI</t>
        </is>
      </c>
      <c r="F56" s="112" t="inlineStr">
        <is>
          <t xml:space="preserve">998941864114 OZI, 998944894114 AYOLI, 998937236606 UKASI, 998946815515 UYI,</t>
        </is>
      </c>
      <c r="G56" s="112" t="inlineStr">
        <is>
          <t xml:space="preserve">SAMARQAND VILOYATI NARPAY TUMANI TINCHLIK MFY PULKAN SHOIR KUCHASI 26-UY</t>
        </is>
      </c>
      <c r="H56" s="113">
        <v>10.0</v>
      </c>
      <c r="I56" s="113">
        <v>1079412.75</v>
      </c>
      <c r="J56" s="113">
        <v>1079412.75</v>
      </c>
      <c r="K56" s="112" t="inlineStr">
        <is>
          <t xml:space="preserve">To'ladi | yopildi</t>
        </is>
      </c>
    </row>
    <row r="57">
      <c r="A57" s="112" t="inlineStr">
        <is>
          <t xml:space="preserve">САМАРКАНД ВИЛОЯТИ</t>
        </is>
      </c>
      <c r="C57" s="112" t="inlineStr">
        <is>
          <t xml:space="preserve">Объезд</t>
        </is>
      </c>
      <c r="D57" s="112" t="inlineStr">
        <is>
          <t xml:space="preserve">Кр-99008241-6</t>
        </is>
      </c>
      <c r="E57" s="112" t="inlineStr">
        <is>
          <t xml:space="preserve">KOMILOV SHERZOD NAJIMOVICH</t>
        </is>
      </c>
      <c r="F57" s="112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57" s="112" t="inlineStr">
        <is>
          <t xml:space="preserve">SAMARQAND VILOYATI KATTAQO’RG’ON TUMANI MULLAKICHKINA</t>
        </is>
      </c>
      <c r="H57" s="113">
        <v>2.0</v>
      </c>
      <c r="I57" s="113">
        <v>921961.21</v>
      </c>
      <c r="J57" s="113">
        <v>921961.21</v>
      </c>
      <c r="K57" s="112" t="inlineStr">
        <is>
          <t xml:space="preserve">Uyiga borildi - to'ladi | yopildi</t>
        </is>
      </c>
    </row>
    <row r="58">
      <c r="A58" s="112" t="inlineStr">
        <is>
          <t xml:space="preserve">САМАРКАНД ВИЛОЯТИ</t>
        </is>
      </c>
      <c r="C58" s="112" t="inlineStr">
        <is>
          <t xml:space="preserve">Объезд</t>
        </is>
      </c>
      <c r="D58" s="112" t="inlineStr">
        <is>
          <t xml:space="preserve">Кр-99034419-1</t>
        </is>
      </c>
      <c r="E58" s="112" t="inlineStr">
        <is>
          <t xml:space="preserve">ABDULLAYEVA SOADAT ALLAMURADOVNA</t>
        </is>
      </c>
      <c r="F58" s="112" t="inlineStr">
        <is>
          <t xml:space="preserve">998991332753 SMS O’ZI, 998942561450 SMS O’G’LI, 998992742115 SMS  NABIRASI,</t>
        </is>
      </c>
      <c r="G58" s="112" t="inlineStr">
        <is>
          <t xml:space="preserve">SAMARQAND VILOYATI PAXTACHI TUMANI ZARAFSHON MFY ORZU KUCHASI 34-UY</t>
        </is>
      </c>
      <c r="I58" s="113">
        <v>777575.78</v>
      </c>
      <c r="J58" s="113">
        <v>777575.78</v>
      </c>
      <c r="K58" s="112" t="inlineStr">
        <is>
          <t xml:space="preserve">Uyiga borildi - to'ladi | yopildi</t>
        </is>
      </c>
    </row>
    <row r="59">
      <c r="A59" s="112" t="inlineStr">
        <is>
          <t xml:space="preserve">САМАРКАНД ВИЛОЯТИ</t>
        </is>
      </c>
      <c r="C59" s="112" t="inlineStr">
        <is>
          <t xml:space="preserve">Дозвон</t>
        </is>
      </c>
      <c r="D59" s="112" t="inlineStr">
        <is>
          <t xml:space="preserve">Кр-99031289-3</t>
        </is>
      </c>
      <c r="E59" s="112" t="inlineStr">
        <is>
          <t xml:space="preserve">GAFUROV SUXROB SATTTAROVICH</t>
        </is>
      </c>
      <c r="F59" s="112" t="inlineStr">
        <is>
          <t xml:space="preserve">94-283-06-62 SMS O’ZI, 88-409-37-37  SMS O'G'LI  wu tolovchi bich , 95-217-27-63  SMS AYOLI, 99-116-68-87  SMS UYI,</t>
        </is>
      </c>
      <c r="G59" s="112" t="inlineStr">
        <is>
          <t xml:space="preserve">SAMARQAND VILOYATI SAMARQAND SHAHAR ISTIKBOL MFY 39-UY</t>
        </is>
      </c>
      <c r="H59" s="113">
        <v>10.0</v>
      </c>
      <c r="I59" s="113">
        <v>508663.91</v>
      </c>
      <c r="J59" s="113">
        <v>508663.91</v>
      </c>
      <c r="K59" s="112" t="inlineStr">
        <is>
          <t xml:space="preserve">To'ladi | yopildi filial tolid bugu</t>
        </is>
      </c>
    </row>
    <row r="60">
      <c r="A60" s="112" t="inlineStr">
        <is>
          <t xml:space="preserve">САМАРКАНД ВИЛОЯТИ</t>
        </is>
      </c>
      <c r="C60" s="112" t="inlineStr">
        <is>
          <t xml:space="preserve">Дозвон</t>
        </is>
      </c>
      <c r="D60" s="112" t="inlineStr">
        <is>
          <t xml:space="preserve">Кр-99028632-1</t>
        </is>
      </c>
      <c r="E60" s="112" t="inlineStr">
        <is>
          <t xml:space="preserve">ELMURODOV SUNNATILLO BOBOKANOVICH</t>
        </is>
      </c>
      <c r="F60" s="112" t="inlineStr">
        <is>
          <t xml:space="preserve">99-335-21-54  SMS UZI, 94-896-12-60  SMS ONASI, 93-431-70-29  SMS OTASI, 93-272-69-89  SMS AKASI,</t>
        </is>
      </c>
      <c r="G60" s="112" t="inlineStr">
        <is>
          <t xml:space="preserve">SAMARQAND VILOYATI PAXTACHI TUMANI  QORATEPA MFY BOG’IRAVON KO’CHASI 83-UY</t>
        </is>
      </c>
      <c r="H60" s="113">
        <v>1.0</v>
      </c>
      <c r="I60" s="113">
        <v>14105.49</v>
      </c>
      <c r="J60" s="113">
        <v>14105.49</v>
      </c>
      <c r="K60" s="112" t="inlineStr">
        <is>
          <t xml:space="preserve">To'ladi | yopildi</t>
        </is>
      </c>
    </row>
    <row r="61">
      <c r="A61" s="112" t="inlineStr">
        <is>
          <t xml:space="preserve">САМАРКАНД ВИЛОЯТИ</t>
        </is>
      </c>
      <c r="C61" s="112" t="inlineStr">
        <is>
          <t xml:space="preserve">Дозвон</t>
        </is>
      </c>
      <c r="D61" s="112" t="inlineStr">
        <is>
          <t xml:space="preserve">Кр-99038885-1</t>
        </is>
      </c>
      <c r="E61" s="112" t="inlineStr">
        <is>
          <t xml:space="preserve">ILXOMOV SARDORBEK SOLEJONOVICH</t>
        </is>
      </c>
      <c r="F61" s="112" t="inlineStr">
        <is>
          <t xml:space="preserve">998957772001 SMS O’ZI, 998994054504 SMS UKASI, 998700100130 SMS AKASI, 998997134102 SMS UYI,</t>
        </is>
      </c>
      <c r="G61" s="112" t="inlineStr">
        <is>
          <t xml:space="preserve">SAMARQAND VILOYATI SAMARQAND TUMAN</t>
        </is>
      </c>
      <c r="I61" s="113">
        <v>10158.54</v>
      </c>
      <c r="J61" s="113">
        <v>10158.54</v>
      </c>
      <c r="K61" s="112" t="inlineStr">
        <is>
          <t xml:space="preserve">To'ladi | yopildi</t>
        </is>
      </c>
    </row>
    <row r="62">
      <c r="A62" s="114" t="inlineStr">
        <is>
          <t xml:space="preserve">СУРХОНДАРЁ ВИЛОЯТИ</t>
        </is>
      </c>
      <c r="C62" s="114" t="inlineStr">
        <is>
          <t xml:space="preserve">Дозвон</t>
        </is>
      </c>
      <c r="D62" s="114" t="inlineStr">
        <is>
          <t xml:space="preserve">Кр-99012050-5</t>
        </is>
      </c>
      <c r="E62" s="114" t="inlineStr">
        <is>
          <t xml:space="preserve">CHARIYEV ABDUMUROD SAFAROVICH</t>
        </is>
      </c>
      <c r="F62" s="114" t="inlineStr">
        <is>
          <t xml:space="preserve">99-959-11-12 SMS OZI, 90-267-67-12 SMS UY, 95-525-89-85 SMS ZALOGODATEL, 99-240-98-85 SMS ZALOGODATEL (NOMERI бегона), 95-525-89-83  SMS BEGONA,</t>
        </is>
      </c>
      <c r="G62" s="114" t="inlineStr">
        <is>
          <t xml:space="preserve">SURXONDARYO VILOYATI DENOV TUMANI NAVBAHOR MFY QUSHBULOQ KO’CHASI 34-UY</t>
        </is>
      </c>
      <c r="H62" s="115">
        <v>31.0</v>
      </c>
      <c r="I62" s="115">
        <v>4131036.06</v>
      </c>
      <c r="J62" s="115">
        <v>4131036.06</v>
      </c>
      <c r="K62" s="114" t="inlineStr">
        <is>
          <t xml:space="preserve">To'ladi | oylik tolovi yopild | 39</t>
        </is>
      </c>
    </row>
    <row r="63">
      <c r="A63" s="114" t="inlineStr">
        <is>
          <t xml:space="preserve">СУРХОНДАРЁ ВИЛОЯТИ</t>
        </is>
      </c>
      <c r="C63" s="114" t="inlineStr">
        <is>
          <t xml:space="preserve">Дозвон</t>
        </is>
      </c>
      <c r="D63" s="114" t="inlineStr">
        <is>
          <t xml:space="preserve">Кр-99030725-1</t>
        </is>
      </c>
      <c r="E63" s="114" t="inlineStr">
        <is>
          <t xml:space="preserve">XAMROYEV MAXSUDBEK BAXODIROVICH</t>
        </is>
      </c>
      <c r="F63" s="114" t="inlineStr">
        <is>
          <t xml:space="preserve">97-535-78-88 SMS O’ZI BEGONA , 97-193-78-88  SMS UY, 88-848-22-99  SMS OILASI, 88-839-19-89  SMS JIYANI,</t>
        </is>
      </c>
      <c r="G63" s="114" t="inlineStr">
        <is>
          <t xml:space="preserve">SURXONDARYO VILOYATI DENOV TUMANI GAXANA M.F.Y KO’RKAM 33-UY</t>
        </is>
      </c>
      <c r="H63" s="115">
        <v>3.0</v>
      </c>
      <c r="I63" s="115">
        <v>2969871.37</v>
      </c>
      <c r="J63" s="115">
        <v>2969871.37</v>
      </c>
      <c r="K63" s="114" t="inlineStr">
        <is>
          <t xml:space="preserve">To'ladi | oylik tolovi yopild | 295</t>
        </is>
      </c>
    </row>
    <row r="64">
      <c r="A64" s="114" t="inlineStr">
        <is>
          <t xml:space="preserve">СУРХОНДАРЁ ВИЛОЯТИ</t>
        </is>
      </c>
      <c r="C64" s="114" t="inlineStr">
        <is>
          <t xml:space="preserve">Объезд</t>
        </is>
      </c>
      <c r="D64" s="114" t="inlineStr">
        <is>
          <t xml:space="preserve">Кр-99035996-1</t>
        </is>
      </c>
      <c r="E64" s="114" t="inlineStr">
        <is>
          <t xml:space="preserve">ALMARDONOV BOBOMUROD BOBORAXMATOVICH</t>
        </is>
      </c>
      <c r="F64" s="114" t="inlineStr">
        <is>
          <t xml:space="preserve">998995444686 SMS OZI, 998883176868 SMS SHERIGI, 998978967555 SMS UY, 998975502586 SMS,</t>
        </is>
      </c>
      <c r="G64" s="114" t="inlineStr">
        <is>
          <t xml:space="preserve">SURXONDARYO VILOYATI DENOV TUMANI FAYZLI MFY BUYUK IPAKYULI KO'CHASI 1-UY</t>
        </is>
      </c>
      <c r="H64" s="115">
        <v>3.0</v>
      </c>
      <c r="I64" s="115">
        <v>2248695.19</v>
      </c>
      <c r="J64" s="115">
        <v>2248695.19</v>
      </c>
      <c r="K64" s="114" t="inlineStr">
        <is>
          <t xml:space="preserve">Uyiga borildi - to'ladi | toladi | 544</t>
        </is>
      </c>
    </row>
    <row r="65">
      <c r="A65" s="114" t="inlineStr">
        <is>
          <t xml:space="preserve">СУРХОНДАРЁ ВИЛОЯТИ</t>
        </is>
      </c>
      <c r="C65" s="114" t="inlineStr">
        <is>
          <t xml:space="preserve">Объезд</t>
        </is>
      </c>
      <c r="D65" s="114" t="inlineStr">
        <is>
          <t xml:space="preserve">Кр-99038010-1</t>
        </is>
      </c>
      <c r="E65" s="114" t="inlineStr">
        <is>
          <t xml:space="preserve">ABDURAXIMOVA MUNAVVAR XO’SHBOQ QIZI</t>
        </is>
      </c>
      <c r="F65" s="114" t="inlineStr">
        <is>
          <t xml:space="preserve">998942004892 SMS OZI, 998958987789 SMS UYI , 998958110962 SMS SINGLISi, 998945300101 SMS UYI 2 ,</t>
        </is>
      </c>
      <c r="G65" s="114" t="inlineStr">
        <is>
          <t xml:space="preserve">SURXONDARYO VILOYATI DENOV TUMANI ELOBOD MFY NURLISAODAT 19-UY</t>
        </is>
      </c>
      <c r="H65" s="115">
        <v>9.0</v>
      </c>
      <c r="I65" s="115">
        <v>1890409.96</v>
      </c>
      <c r="J65" s="115">
        <v>1890409.96</v>
      </c>
      <c r="K65" s="114" t="inlineStr">
        <is>
          <t xml:space="preserve">Uyiga borildi - to'ladi | oylik tolovi yopild | 671</t>
        </is>
      </c>
    </row>
    <row r="66">
      <c r="A66" s="114" t="inlineStr">
        <is>
          <t xml:space="preserve">СУРХОНДАРЁ ВИЛОЯТИ</t>
        </is>
      </c>
      <c r="C66" s="114" t="inlineStr">
        <is>
          <t xml:space="preserve">Дозвон</t>
        </is>
      </c>
      <c r="D66" s="114" t="inlineStr">
        <is>
          <t xml:space="preserve">Кр-99038230-1</t>
        </is>
      </c>
      <c r="E66" s="114" t="inlineStr">
        <is>
          <t xml:space="preserve">TO’XTAYEVA PARDAXOL BAHODIROVNA</t>
        </is>
      </c>
      <c r="F66" s="114" t="inlineStr">
        <is>
          <t xml:space="preserve">998978488184 SMS OZI, 998950408184 SMS ERI, 998992198184 SMS UYI, 998950408184 SMS O’G’LI,</t>
        </is>
      </c>
      <c r="G66" s="114" t="inlineStr">
        <is>
          <t xml:space="preserve">SURXONDARYO VILOYATI DENOV TUMANI  NAMUNA  MFY YANGI XAYOT KO’CHASI 10-UY</t>
        </is>
      </c>
      <c r="H66" s="115">
        <v>2.0</v>
      </c>
      <c r="I66" s="115">
        <v>1532535.39</v>
      </c>
      <c r="J66" s="115">
        <v>1532535.39</v>
      </c>
      <c r="K66" s="114" t="inlineStr">
        <is>
          <t xml:space="preserve">To'ladi | oylik tolovi yopild | 698</t>
        </is>
      </c>
    </row>
    <row r="67">
      <c r="A67" s="116" t="inlineStr">
        <is>
          <t xml:space="preserve">ТОШКЕНТ ШАХРИ</t>
        </is>
      </c>
      <c r="C67" s="116" t="inlineStr">
        <is>
          <t xml:space="preserve">Дозвон</t>
        </is>
      </c>
      <c r="D67" s="116" t="inlineStr">
        <is>
          <t xml:space="preserve">Кр-99038864-1</t>
        </is>
      </c>
      <c r="E67" s="116" t="inlineStr">
        <is>
          <t xml:space="preserve">NIGMATULLAYEV BAXROM BAXODIR O’G’LI</t>
        </is>
      </c>
      <c r="F67" s="116" t="inlineStr">
        <is>
          <t xml:space="preserve">998946885606 SMS OZI, 998886759119 SMS OZI2, 998900435343 SMS AYOLI,</t>
        </is>
      </c>
      <c r="G67" s="116" t="inlineStr">
        <is>
          <t xml:space="preserve">IIV26266</t>
        </is>
      </c>
      <c r="H67" s="117">
        <v>2.0</v>
      </c>
      <c r="I67" s="117">
        <v>3129967.8</v>
      </c>
      <c r="J67" s="117">
        <v>3129967.8</v>
      </c>
      <c r="K67" s="116" t="inlineStr">
        <is>
          <t xml:space="preserve">To'ladi</t>
        </is>
      </c>
    </row>
    <row r="68">
      <c r="A68" s="116" t="inlineStr">
        <is>
          <t xml:space="preserve">ТОШКЕНТ ШАХРИ</t>
        </is>
      </c>
      <c r="C68" s="116" t="inlineStr">
        <is>
          <t xml:space="preserve">Дозвон</t>
        </is>
      </c>
      <c r="D68" s="116" t="inlineStr">
        <is>
          <t xml:space="preserve">Кр-99063089-1</t>
        </is>
      </c>
      <c r="E68" s="116" t="inlineStr">
        <is>
          <t xml:space="preserve">YUZBAYEV DILMUROD ALLAMURAD O’G’LI</t>
        </is>
      </c>
      <c r="F68" s="116" t="inlineStr">
        <is>
          <t xml:space="preserve">998946736370 OZI, 998940206370 AYOLI, 998500573637 DOSTI,</t>
        </is>
      </c>
      <c r="G68" s="116" t="inlineStr">
        <is>
          <t xml:space="preserve">TOSHKENT SHAHAR YASHNOBOD TUMANI BOYQO’RG’ON KO’CHASI 11/3 UY,63-A XONADON</t>
        </is>
      </c>
      <c r="H68" s="117">
        <v>10.0</v>
      </c>
      <c r="I68" s="117">
        <v>2619777.09</v>
      </c>
      <c r="J68" s="117">
        <v>2619777.09</v>
      </c>
      <c r="K68" s="116" t="inlineStr">
        <is>
          <t xml:space="preserve">To'ladi | 3-4kunda yopadi</t>
        </is>
      </c>
    </row>
    <row r="69">
      <c r="A69" s="116" t="inlineStr">
        <is>
          <t xml:space="preserve">ТОШКЕНТ ШАХРИ</t>
        </is>
      </c>
      <c r="C69" s="116" t="inlineStr">
        <is>
          <t xml:space="preserve">Дозвон</t>
        </is>
      </c>
      <c r="D69" s="116" t="inlineStr">
        <is>
          <t xml:space="preserve">Кр-99036425-1</t>
        </is>
      </c>
      <c r="E69" s="116" t="inlineStr">
        <is>
          <t xml:space="preserve">XALMUXAMEDOV DILSHOD FURKATOVICH</t>
        </is>
      </c>
      <c r="F69" s="116" t="inlineStr">
        <is>
          <t xml:space="preserve">998946982030 SMS OZI, 998935421667 SMS JIYANI, 998946242030 SMS AYOLI, 998946982030 SMS OZI,</t>
        </is>
      </c>
      <c r="G69" s="116" t="inlineStr">
        <is>
          <t xml:space="preserve">TOSHKENT SHAHAR YUNUSOBOD TUMANI ,14-MAVZE,8-UY,53-XONADON</t>
        </is>
      </c>
      <c r="H69" s="117">
        <v>23.0</v>
      </c>
      <c r="I69" s="117">
        <v>620807.53</v>
      </c>
      <c r="J69" s="117">
        <v>620807.53</v>
      </c>
      <c r="K69" s="116" t="inlineStr">
        <is>
          <t xml:space="preserve">To'ladi</t>
        </is>
      </c>
    </row>
    <row r="70">
      <c r="A70" s="98" t="inlineStr">
        <is>
          <t xml:space="preserve">ФАРГОНА ВИЛОЯТИ</t>
        </is>
      </c>
      <c r="C70" s="98" t="inlineStr">
        <is>
          <t xml:space="preserve">Объезд</t>
        </is>
      </c>
      <c r="D70" s="98" t="inlineStr">
        <is>
          <t xml:space="preserve">Кр-99041275-1</t>
        </is>
      </c>
      <c r="E70" s="98" t="inlineStr">
        <is>
          <t xml:space="preserve">JUMAMATOVA ZULXUMOR ISAKOVNA</t>
        </is>
      </c>
      <c r="F70" s="98" t="inlineStr">
        <is>
          <t xml:space="preserve">+998907788327 O’ZI, 998947215300 UY, 998982787707 ERI, 998987781111 O’G’LI TOLOVCHI,</t>
        </is>
      </c>
      <c r="G70" s="98" t="inlineStr">
        <is>
          <t xml:space="preserve">13-СИМТЕПА (Х.ИБРАГИМОВА) МФЙ, ОБИХАЁТ (ШОКИРОВА) КЎЧАСИ,  uy:32А</t>
        </is>
      </c>
      <c r="H70" s="99">
        <v>73.0</v>
      </c>
      <c r="I70" s="99">
        <v>10626970.22</v>
      </c>
      <c r="J70" s="99">
        <v>2964372.0</v>
      </c>
      <c r="K70" s="98" t="inlineStr">
        <is>
          <t xml:space="preserve">Uyiga borildi - to'ladi | 2964372.32</t>
        </is>
      </c>
    </row>
    <row r="71">
      <c r="A71" s="98" t="inlineStr">
        <is>
          <t xml:space="preserve">ФАРГОНА ВИЛОЯТИ</t>
        </is>
      </c>
      <c r="C71" s="98" t="inlineStr">
        <is>
          <t xml:space="preserve">Дозвон</t>
        </is>
      </c>
      <c r="D71" s="98" t="inlineStr">
        <is>
          <t xml:space="preserve">Кр-99039434-1</t>
        </is>
      </c>
      <c r="E71" s="98" t="inlineStr">
        <is>
          <t xml:space="preserve">ILYASOVA AZIZA RAVSHANBEKOVNA</t>
        </is>
      </c>
      <c r="F71" s="98" t="inlineStr">
        <is>
          <t xml:space="preserve">998916776263 SMS OZI, 998911145898 SMS DADASI, 998901793077 SMS OPASI, 998913976968 SMS QIZI,</t>
        </is>
      </c>
      <c r="G71" s="98" t="inlineStr">
        <is>
          <t xml:space="preserve">FARG’ONA VILOYATI OLTIARIQ TUMANI SHODLIK MFY U YUSUPOV KO’CHASI 4-XONADON</t>
        </is>
      </c>
      <c r="H71" s="99">
        <v>9.0</v>
      </c>
      <c r="I71" s="99">
        <v>7190909.88</v>
      </c>
      <c r="J71" s="99">
        <v>3249066.0</v>
      </c>
      <c r="K71" s="98" t="inlineStr">
        <is>
          <t xml:space="preserve">To'ladi | 3249066.04</t>
        </is>
      </c>
    </row>
    <row r="72">
      <c r="A72" s="98" t="inlineStr">
        <is>
          <t xml:space="preserve">ФАРГОНА ВИЛОЯТИ</t>
        </is>
      </c>
      <c r="C72" s="98" t="inlineStr">
        <is>
          <t xml:space="preserve">Дозвон</t>
        </is>
      </c>
      <c r="D72" s="98" t="inlineStr">
        <is>
          <t xml:space="preserve">Кр-99039349-1</t>
        </is>
      </c>
      <c r="E72" s="98" t="inlineStr">
        <is>
          <t xml:space="preserve">MAMADJANOV AKMALJON AKRAMOVICH</t>
        </is>
      </c>
      <c r="F72" s="98" t="inlineStr">
        <is>
          <t xml:space="preserve">998976675000 SMS OZI, 998931377454 SMS AYOLI, 998994417770 SMS OGLI, 998941766699 SMS QIZI begona ,</t>
        </is>
      </c>
      <c r="G72" s="98" t="inlineStr">
        <is>
          <t xml:space="preserve">FARG’ONA VILOYATI RISHTON TUMANI MINOR MFY M.IBRAGIMOV KO’CHASI 8-XONADON</t>
        </is>
      </c>
      <c r="H72" s="99">
        <v>8.0</v>
      </c>
      <c r="I72" s="99">
        <v>6075344.6</v>
      </c>
      <c r="J72" s="99">
        <v>2995672.0</v>
      </c>
      <c r="K72" s="98" t="inlineStr">
        <is>
          <t xml:space="preserve">To'ladi | 2995672.25</t>
        </is>
      </c>
    </row>
    <row r="73">
      <c r="A73" s="98" t="inlineStr">
        <is>
          <t xml:space="preserve">ФАРГОНА ВИЛОЯТИ</t>
        </is>
      </c>
      <c r="C73" s="98" t="inlineStr">
        <is>
          <t xml:space="preserve">Объезд</t>
        </is>
      </c>
      <c r="D73" s="98" t="inlineStr">
        <is>
          <t xml:space="preserve">Кр-99037178-1</t>
        </is>
      </c>
      <c r="E73" s="98" t="inlineStr">
        <is>
          <t xml:space="preserve">NURULLAYEV XOKIMJON OBIDDINOVICH</t>
        </is>
      </c>
      <c r="F73" s="98" t="inlineStr">
        <is>
          <t xml:space="preserve">998972141971 SMS OZI, 998888141973 SMS AYOLI, 998903020279 SMS OGLI ABDULXAFIZ O'G'LI, 998905371938 SMS KELINI,</t>
        </is>
      </c>
      <c r="G73" s="98" t="inlineStr">
        <is>
          <t xml:space="preserve">FARG’ONA VILOYATI FARG’ONA SHAHAR NAFOSAT MFY XAZINA QASHAKAR KO’CHASI 224-UY</t>
        </is>
      </c>
      <c r="H73" s="99">
        <v>13.0</v>
      </c>
      <c r="I73" s="99">
        <v>5182807.53</v>
      </c>
      <c r="J73" s="99">
        <v>2258677.0</v>
      </c>
      <c r="K73" s="98" t="inlineStr">
        <is>
          <t xml:space="preserve">Uyiga borildi - to'ladi | 2258677.98</t>
        </is>
      </c>
    </row>
    <row r="74">
      <c r="A74" s="98" t="inlineStr">
        <is>
          <t xml:space="preserve">ФАРГОНА ВИЛОЯТИ</t>
        </is>
      </c>
      <c r="C74" s="98" t="inlineStr">
        <is>
          <t xml:space="preserve">Объезд</t>
        </is>
      </c>
      <c r="D74" s="98" t="inlineStr">
        <is>
          <t xml:space="preserve">Кр-99047608-1</t>
        </is>
      </c>
      <c r="E74" s="98" t="inlineStr">
        <is>
          <t xml:space="preserve">ADXAMOV ABDUXALIL AKRAMJONOVICH</t>
        </is>
      </c>
      <c r="F74" s="98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74" s="98" t="inlineStr">
        <is>
          <t xml:space="preserve">QUVASOY SHAHRI</t>
        </is>
      </c>
      <c r="H74" s="99">
        <v>10.0</v>
      </c>
      <c r="I74" s="99">
        <v>5123920.87</v>
      </c>
      <c r="J74" s="99">
        <v>1667000.0</v>
      </c>
      <c r="K74" s="98" t="inlineStr">
        <is>
          <t xml:space="preserve">Uyiga borildi - to'ladi | 1667000</t>
        </is>
      </c>
    </row>
    <row r="75">
      <c r="A75" s="98" t="inlineStr">
        <is>
          <t xml:space="preserve">ФАРГОНА ВИЛОЯТИ</t>
        </is>
      </c>
      <c r="C75" s="98" t="inlineStr">
        <is>
          <t xml:space="preserve">Объезд</t>
        </is>
      </c>
      <c r="D75" s="98" t="inlineStr">
        <is>
          <t xml:space="preserve">Кр-99033571-1</t>
        </is>
      </c>
      <c r="E75" s="98" t="inlineStr">
        <is>
          <t xml:space="preserve">UMURZAKOV KARIM XUSANOVICH</t>
        </is>
      </c>
      <c r="F75" s="98" t="inlineStr">
        <is>
          <t xml:space="preserve">998907795658 SMS O’ZI begona, 998505043931 SMS O’G’LI, 998068043412 SMS O’G’LI 2, 998902301456 SMS AYOLI,</t>
        </is>
      </c>
      <c r="G75" s="98" t="inlineStr">
        <is>
          <t xml:space="preserve">FARG’ONA VILOYATI FARG’ONA SHAXAR XUJAMAG’IZ MFY UZIN YO’L KO’CHASI 247-XONADON</t>
        </is>
      </c>
      <c r="H75" s="99">
        <v>3.0</v>
      </c>
      <c r="I75" s="99">
        <v>3785041.79</v>
      </c>
      <c r="J75" s="99">
        <v>2424000.0</v>
      </c>
      <c r="K75" s="98" t="inlineStr">
        <is>
          <t xml:space="preserve">Uyiga borildi - to'ladi | 2424000</t>
        </is>
      </c>
    </row>
    <row r="76">
      <c r="A76" s="98" t="inlineStr">
        <is>
          <t xml:space="preserve">ФАРГОНА ВИЛОЯТИ</t>
        </is>
      </c>
      <c r="C76" s="98" t="inlineStr">
        <is>
          <t xml:space="preserve">Объезд</t>
        </is>
      </c>
      <c r="D76" s="98" t="inlineStr">
        <is>
          <t xml:space="preserve">Кр-99041353-1</t>
        </is>
      </c>
      <c r="E76" s="98" t="inlineStr">
        <is>
          <t xml:space="preserve">MELIQO’ZIYEVNA XURSHIDA MURODOVNA</t>
        </is>
      </c>
      <c r="F76" s="98" t="inlineStr">
        <is>
          <t xml:space="preserve">998940268681 SMS OZI, 998905880464 SMS ERI, 998903606764 SMS UY, 998994027364 SMS OGLI,</t>
        </is>
      </c>
      <c r="G76" s="98" t="inlineStr">
        <is>
          <t xml:space="preserve">FARG’ONA VILOYATI DANG’ARA TUMANI QORA MULLA MFY QO’SHCHINOR KO’CHASI 22-XONADON</t>
        </is>
      </c>
      <c r="H76" s="99">
        <v>10.0</v>
      </c>
      <c r="I76" s="99">
        <v>2865429.23</v>
      </c>
      <c r="J76" s="99">
        <v>549162.0</v>
      </c>
      <c r="K76" s="98" t="inlineStr">
        <is>
          <t xml:space="preserve">Uyiga borildi - to'ladi | TOLAGANI FILALGA KETAYABDI | 549162.59</t>
        </is>
      </c>
    </row>
    <row r="77">
      <c r="A77" s="98" t="inlineStr">
        <is>
          <t xml:space="preserve">ФАРГОНА ВИЛОЯТИ</t>
        </is>
      </c>
      <c r="C77" s="98" t="inlineStr">
        <is>
          <t xml:space="preserve">Объезд</t>
        </is>
      </c>
      <c r="D77" s="98" t="inlineStr">
        <is>
          <t xml:space="preserve">Кр-99035863-1</t>
        </is>
      </c>
      <c r="E77" s="98" t="inlineStr">
        <is>
          <t xml:space="preserve">ERGASHEV ILXOMJON XAKIMOVICH</t>
        </is>
      </c>
      <c r="F77" s="98" t="inlineStr">
        <is>
          <t xml:space="preserve">998916767655 SMS OZI, 998907831068 SMS AYOLI, 998916584356 SMS OGLI, 998907814645 SMS SHERIGI begona, 998949767655 OZI NEW ,</t>
        </is>
      </c>
      <c r="G77" s="98" t="inlineStr">
        <is>
          <t xml:space="preserve">FARG’ONA VILOYATI MARG’ILON SHAHAR YANGI XAYOT MFY S-OLLOYOR KO’CHASI 288-UY</t>
        </is>
      </c>
      <c r="H77" s="99">
        <v>10.0</v>
      </c>
      <c r="I77" s="99">
        <v>2859290.1</v>
      </c>
      <c r="J77" s="99">
        <v>1515000.0</v>
      </c>
      <c r="K77" s="98" t="inlineStr">
        <is>
          <t xml:space="preserve">Uyiga borildi - to'ladi | 1515000</t>
        </is>
      </c>
    </row>
    <row r="78">
      <c r="A78" s="98" t="inlineStr">
        <is>
          <t xml:space="preserve">ФАРГОНА ВИЛОЯТИ</t>
        </is>
      </c>
      <c r="C78" s="98" t="inlineStr">
        <is>
          <t xml:space="preserve">Объезд</t>
        </is>
      </c>
      <c r="D78" s="98" t="inlineStr">
        <is>
          <t xml:space="preserve">Кр-99034448-2</t>
        </is>
      </c>
      <c r="E78" s="98" t="inlineStr">
        <is>
          <t xml:space="preserve">ASHIROVA MIRA ABBASOVNA</t>
        </is>
      </c>
      <c r="F78" s="98" t="inlineStr">
        <is>
          <t xml:space="preserve">998916509967 SMS O’ZI, 998901621373 SMS O’G’LI, 998907844322 SMS O’G’LI, 998939773993 SMS JIYANI BEGONA,</t>
        </is>
      </c>
      <c r="G78" s="98" t="inlineStr">
        <is>
          <t xml:space="preserve">FARG’ONA VILOYATI FARG’ONA SHAHAR M.ULUG’BEK MFY AXMAD YASSAVIY 50-UY 11-XONADON</t>
        </is>
      </c>
      <c r="H78" s="99">
        <v>10.0</v>
      </c>
      <c r="I78" s="99">
        <v>2514425.17</v>
      </c>
      <c r="J78" s="99">
        <v>909071.0</v>
      </c>
      <c r="K78" s="98" t="inlineStr">
        <is>
          <t xml:space="preserve">Uyiga borildi - to'ladi | 909071.89</t>
        </is>
      </c>
    </row>
    <row r="79">
      <c r="A79" s="98" t="inlineStr">
        <is>
          <t xml:space="preserve">ФАРГОНА ВИЛОЯТИ</t>
        </is>
      </c>
      <c r="C79" s="98" t="inlineStr">
        <is>
          <t xml:space="preserve">Объезд</t>
        </is>
      </c>
      <c r="D79" s="98" t="inlineStr">
        <is>
          <t xml:space="preserve">Кр-99052960-1</t>
        </is>
      </c>
      <c r="E79" s="98" t="inlineStr">
        <is>
          <t xml:space="preserve">UMMATQULOV MUXAMADJON YO’LDASHEVICH</t>
        </is>
      </c>
      <c r="F79" s="98" t="inlineStr">
        <is>
          <t xml:space="preserve">998903047144 OZI , 998905866786 OZI 2, 998947797144 AYOLI,</t>
        </is>
      </c>
      <c r="G79" s="98" t="inlineStr">
        <is>
          <t xml:space="preserve">BOG’DOD TUMANI</t>
        </is>
      </c>
      <c r="H79" s="99">
        <v>10.0</v>
      </c>
      <c r="I79" s="99">
        <v>2262651.9</v>
      </c>
      <c r="J79" s="99">
        <v>775466.0</v>
      </c>
      <c r="K79" s="98" t="inlineStr">
        <is>
          <t xml:space="preserve">Uyiga borildi - to'ladi | 775466.14</t>
        </is>
      </c>
    </row>
    <row r="80">
      <c r="A80" s="98" t="inlineStr">
        <is>
          <t xml:space="preserve">ФАРГОНА ВИЛОЯТИ</t>
        </is>
      </c>
      <c r="C80" s="98" t="inlineStr">
        <is>
          <t xml:space="preserve">Объезд</t>
        </is>
      </c>
      <c r="D80" s="98" t="inlineStr">
        <is>
          <t xml:space="preserve">Кр-99030672-1</t>
        </is>
      </c>
      <c r="E80" s="98" t="inlineStr">
        <is>
          <t xml:space="preserve">ABDULLAYEV G’AYRATJON G’OLIB O’G’LI</t>
        </is>
      </c>
      <c r="F80" s="98" t="inlineStr">
        <is>
          <t xml:space="preserve">94-130-65-14  SMS O'ZI, 91-114-54-03  SMS XOLASI TULOVCHI, 93-736-18-38  SMS DADASI, 77-254-78-78  SMS TOG’ASI,</t>
        </is>
      </c>
      <c r="G80" s="98" t="inlineStr">
        <is>
          <t xml:space="preserve">FARG’ONA VILOYATI FARG’ONA SHAHAR MADATKOR MFY, YANGI SOY KO’CHASI 53A XONADON</t>
        </is>
      </c>
      <c r="H80" s="99">
        <v>3.0</v>
      </c>
      <c r="I80" s="99">
        <v>1231181.2</v>
      </c>
      <c r="J80" s="99">
        <v>758000.0</v>
      </c>
      <c r="K80" s="98" t="inlineStr">
        <is>
          <t xml:space="preserve">Uyiga borildi - to'ladi | 758000</t>
        </is>
      </c>
    </row>
    <row r="81">
      <c r="A81" s="98" t="inlineStr">
        <is>
          <t xml:space="preserve">ФАРГОНА ВИЛОЯТИ</t>
        </is>
      </c>
      <c r="C81" s="98" t="inlineStr">
        <is>
          <t xml:space="preserve">Дозвон</t>
        </is>
      </c>
      <c r="D81" s="98" t="inlineStr">
        <is>
          <t xml:space="preserve">Кр-99021043-3</t>
        </is>
      </c>
      <c r="E81" s="98" t="inlineStr">
        <is>
          <t xml:space="preserve">DJUMABAYEVA DILBARXON YIGITALIYEVNA</t>
        </is>
      </c>
      <c r="F81" s="98" t="inlineStr">
        <is>
          <t xml:space="preserve">99-615-34-49 SMS OZI , 99-604-38-93 SMS O'G'LI, 99-993-59-69 SMS O'G'LI 2, 91-119-68-11 SMS ERI , 998932544577 tolovchi ,</t>
        </is>
      </c>
      <c r="G81" s="98" t="inlineStr">
        <is>
          <t xml:space="preserve">FARG’ONA VILOYATI FARG’ONA TUMANI MINDONOBOD MFY O’ZBEKISTON OVOZI 133-XONADON</t>
        </is>
      </c>
      <c r="H81" s="99">
        <v>10.0</v>
      </c>
      <c r="I81" s="99">
        <v>976727.33</v>
      </c>
      <c r="J81" s="99">
        <v>398133.0</v>
      </c>
      <c r="K81" s="98" t="inlineStr">
        <is>
          <t xml:space="preserve">To'ladi | 398133.63</t>
        </is>
      </c>
    </row>
    <row r="82">
      <c r="A82" s="98" t="inlineStr">
        <is>
          <t xml:space="preserve">ФАРГОНА ВИЛОЯТИ</t>
        </is>
      </c>
      <c r="C82" s="98" t="inlineStr">
        <is>
          <t xml:space="preserve">Дозвон</t>
        </is>
      </c>
      <c r="D82" s="98" t="inlineStr">
        <is>
          <t xml:space="preserve">Кр-99039668-1</t>
        </is>
      </c>
      <c r="E82" s="98" t="inlineStr">
        <is>
          <t xml:space="preserve">ALIJONOV SHOXRUXMIRZO AVAZJON O’G’LI</t>
        </is>
      </c>
      <c r="F82" s="98" t="inlineStr">
        <is>
          <t xml:space="preserve">998888129929 SMS OZI, 998911073068 SMS ONASI, 998908366658 SMS DADASI, 998916625062 SMS SINGLISI,</t>
        </is>
      </c>
      <c r="G82" s="98" t="inlineStr">
        <is>
          <t xml:space="preserve">FARG’ONA VILOYATI FARG’ONA SHAHAR FURQAT MFY YOSHLIK KO’CHASI 54-XONADON</t>
        </is>
      </c>
      <c r="H82" s="99">
        <v>1.0</v>
      </c>
      <c r="I82" s="99">
        <v>789356.5</v>
      </c>
      <c r="J82" s="99">
        <v>737535.0</v>
      </c>
      <c r="K82" s="98" t="inlineStr">
        <is>
          <t xml:space="preserve">To'ladi | 737535.36</t>
        </is>
      </c>
    </row>
    <row r="83">
      <c r="A83" s="98" t="inlineStr">
        <is>
          <t xml:space="preserve">ФАРГОНА ВИЛОЯТИ</t>
        </is>
      </c>
      <c r="C83" s="98" t="inlineStr">
        <is>
          <t xml:space="preserve">Дозвон</t>
        </is>
      </c>
      <c r="D83" s="98" t="inlineStr">
        <is>
          <t xml:space="preserve">Кр-99062910-2</t>
        </is>
      </c>
      <c r="E83" s="98" t="inlineStr">
        <is>
          <t xml:space="preserve">USMANOV TULKUN TOLIPOVICH</t>
        </is>
      </c>
      <c r="F83" s="98" t="inlineStr">
        <is>
          <t xml:space="preserve">998900409693 O’G’LI, 998902725478 JIYANI, 998916813005 SMS O’ZI, 998998090602 O’G’LI,</t>
        </is>
      </c>
      <c r="G83" s="98" t="inlineStr">
        <is>
          <t xml:space="preserve">FARG’ONA VILOYATI QO’SHTEPA TUMANI BALANDMASJID MFY NAVRO’Z KO’CHASI 454-UY</t>
        </is>
      </c>
      <c r="H83" s="99">
        <v>10.0</v>
      </c>
      <c r="I83" s="99">
        <v>778721.58</v>
      </c>
      <c r="J83" s="99">
        <v>234511.0</v>
      </c>
      <c r="K83" s="98" t="inlineStr">
        <is>
          <t xml:space="preserve">To'ladi | 6 LARGA QAYTA ALOQA PULI KELADI EKAN KELISHI BILAN TOLAB QOYAMAN DEDI | 234511.83</t>
        </is>
      </c>
    </row>
    <row r="84">
      <c r="A84" s="98" t="inlineStr">
        <is>
          <t xml:space="preserve">ФАРГОНА ВИЛОЯТИ</t>
        </is>
      </c>
      <c r="C84" s="98" t="inlineStr">
        <is>
          <t xml:space="preserve">Объезд</t>
        </is>
      </c>
      <c r="D84" s="98" t="inlineStr">
        <is>
          <t xml:space="preserve">Кр-99062957-2</t>
        </is>
      </c>
      <c r="E84" s="98" t="inlineStr">
        <is>
          <t xml:space="preserve">ASHUROVA LOLAXON SOBIROVNA</t>
        </is>
      </c>
      <c r="F84" s="98" t="inlineStr">
        <is>
          <t xml:space="preserve">+998996427161 SMS O’ZI, 998908350007 QIZI, 998939881893 KELINI, 998947869896 O’ZI 2,</t>
        </is>
      </c>
      <c r="G84" s="98" t="inlineStr">
        <is>
          <t xml:space="preserve">FARG’ONA VILOYATI FARG’ONA SHAHAR ABDULLA QODIRIY MFY ABDULLA QODIRIY KO’CHASI 78-UY 1-XONADON</t>
        </is>
      </c>
      <c r="H84" s="99">
        <v>13.0</v>
      </c>
      <c r="I84" s="99">
        <v>557679.12</v>
      </c>
      <c r="J84" s="99">
        <v>163184.0</v>
      </c>
      <c r="K84" s="98" t="inlineStr">
        <is>
          <t xml:space="preserve">Uyiga borildi - to'ladi | BUGUN QIZI TOLAB QOYADI EKAN | 163184.16</t>
        </is>
      </c>
    </row>
    <row r="85">
      <c r="A85" s="98" t="inlineStr">
        <is>
          <t xml:space="preserve">ФАРГОНА ВИЛОЯТИ</t>
        </is>
      </c>
      <c r="C85" s="98" t="inlineStr">
        <is>
          <t xml:space="preserve">Дозвон</t>
        </is>
      </c>
      <c r="D85" s="98" t="inlineStr">
        <is>
          <t xml:space="preserve">Кр-99028625-1</t>
        </is>
      </c>
      <c r="E85" s="98" t="inlineStr">
        <is>
          <t xml:space="preserve">NURMATOV DOSTONBEK DILSHOD O’G’LI</t>
        </is>
      </c>
      <c r="F85" s="98" t="inlineStr">
        <is>
          <t xml:space="preserve">91-108-98-98 SMS OZI, 90-273-64-43 SMS UKASI, 90-273-64-43 SMS UKASI 2, 88-949-78-78  SMS AKASI,</t>
        </is>
      </c>
      <c r="G85" s="98" t="inlineStr">
        <is>
          <t xml:space="preserve">FARG’ONA VILOYATI RISHTON TUMANI OQ ER MFY NAVRUZ KO’CHASI 41-XONADON</t>
        </is>
      </c>
      <c r="H85" s="99">
        <v>1.0</v>
      </c>
      <c r="I85" s="99">
        <v>362078.83</v>
      </c>
      <c r="J85" s="99">
        <v>362078.0</v>
      </c>
      <c r="K85" s="98" t="inlineStr">
        <is>
          <t xml:space="preserve">To'ladi | 362078.83</t>
        </is>
      </c>
    </row>
    <row r="86">
      <c r="A86" s="100" t="inlineStr">
        <is>
          <t xml:space="preserve">ХОРАЗМ ВИЛОЯТИ</t>
        </is>
      </c>
      <c r="B86" s="100" t="inlineStr">
        <is>
          <t xml:space="preserve">SUPER BRANCH</t>
        </is>
      </c>
      <c r="C86" s="100" t="inlineStr">
        <is>
          <t xml:space="preserve">Объезд</t>
        </is>
      </c>
      <c r="D86" s="100" t="inlineStr">
        <is>
          <t xml:space="preserve">Кр-99052981-1</t>
        </is>
      </c>
      <c r="E86" s="100" t="inlineStr">
        <is>
          <t xml:space="preserve">MADRAXIMOVA  ZEBINISO MADRIMOVNA</t>
        </is>
      </c>
      <c r="F86" s="100" t="inlineStr">
        <is>
          <t xml:space="preserve">998791161524 SMS OZI, 998995969099 SMS UKASI, 998975271155 SMS OPASI, 998721152582 SMS OPASI,</t>
        </is>
      </c>
      <c r="G86" s="100" t="inlineStr">
        <is>
          <t xml:space="preserve">XORAZM VILOYATI YANGIARIQ TUMANI YANGI OBOD MFY YANGI OBOD KO’CHASI 40-UY</t>
        </is>
      </c>
      <c r="H86" s="101">
        <v>10.0</v>
      </c>
      <c r="I86" s="101">
        <v>5119065.52</v>
      </c>
      <c r="J86" s="101">
        <v>5119065.52</v>
      </c>
      <c r="K86" s="100" t="inlineStr">
        <is>
          <t xml:space="preserve">Uyiga borildi - to'ladi | yopaildi | 1221</t>
        </is>
      </c>
    </row>
    <row r="87">
      <c r="A87" s="100" t="inlineStr">
        <is>
          <t xml:space="preserve">ХОРАЗМ ВИЛОЯТИ</t>
        </is>
      </c>
      <c r="B87" s="100" t="inlineStr">
        <is>
          <t xml:space="preserve">SUPER BRANCH</t>
        </is>
      </c>
      <c r="C87" s="100" t="inlineStr">
        <is>
          <t xml:space="preserve">Объезд</t>
        </is>
      </c>
      <c r="D87" s="100" t="inlineStr">
        <is>
          <t xml:space="preserve">Кр-99040505-1</t>
        </is>
      </c>
      <c r="E87" s="100" t="inlineStr">
        <is>
          <t xml:space="preserve">EGAMOVA XOLISXON ALLABERGANOVNA</t>
        </is>
      </c>
      <c r="F87" s="100" t="inlineStr">
        <is>
          <t xml:space="preserve">998934531982 SMS ERI, 998934268290 SMS OZI, 998997464344 SMS AKASI, 998991167127 SMS UKASI,</t>
        </is>
      </c>
      <c r="G87" s="100" t="inlineStr">
        <is>
          <t xml:space="preserve">XORAZM VILOYATI URGANCH SHAHAR MASHAL MFY XIVA 2-YULAK 3-UY</t>
        </is>
      </c>
      <c r="H87" s="101">
        <v>10.0</v>
      </c>
      <c r="I87" s="101">
        <v>5037207.59</v>
      </c>
      <c r="J87" s="101">
        <v>1900000.0</v>
      </c>
      <c r="K87" s="100" t="inlineStr">
        <is>
          <t xml:space="preserve">Uyiga borildi - to'ladi | 1,9 mln tolov qildi qolganini 20-sanagacha yopad | 903</t>
        </is>
      </c>
    </row>
    <row r="88">
      <c r="A88" s="100" t="inlineStr">
        <is>
          <t xml:space="preserve">ХОРАЗМ ВИЛОЯТИ</t>
        </is>
      </c>
      <c r="B88" s="100" t="inlineStr">
        <is>
          <t xml:space="preserve">SUPER BRANCH</t>
        </is>
      </c>
      <c r="C88" s="100" t="inlineStr">
        <is>
          <t xml:space="preserve">Дозвон</t>
        </is>
      </c>
      <c r="D88" s="100" t="inlineStr">
        <is>
          <t xml:space="preserve">Кр-99062488-1</t>
        </is>
      </c>
      <c r="E88" s="100" t="inlineStr">
        <is>
          <t xml:space="preserve">ABDULLAYEVA MUXADDAS URAZBAYEVNA</t>
        </is>
      </c>
      <c r="F88" s="100" t="inlineStr">
        <is>
          <t xml:space="preserve">998919977070 SMS ERI, 998992147010 SMS OZI, 998957458000 SMS OGLI, 998886012424 SMS QIZI,</t>
        </is>
      </c>
      <c r="G88" s="100" t="inlineStr">
        <is>
          <t xml:space="preserve">XORAZM VILOYATI URGANCH SHAHRI SAXOVAT MFY FERUZ KUCHASI 82-UY</t>
        </is>
      </c>
      <c r="H88" s="101">
        <v>10.0</v>
      </c>
      <c r="I88" s="101">
        <v>3911625.96</v>
      </c>
      <c r="J88" s="101">
        <v>3911625.96</v>
      </c>
      <c r="K88" s="100" t="inlineStr">
        <is>
          <t xml:space="preserve">To'ladi | abetgacha tolid | 1400</t>
        </is>
      </c>
    </row>
    <row r="89">
      <c r="A89" s="100" t="inlineStr">
        <is>
          <t xml:space="preserve">ХОРАЗМ ВИЛОЯТИ</t>
        </is>
      </c>
      <c r="B89" s="100" t="inlineStr">
        <is>
          <t xml:space="preserve">SUPER BRANCH</t>
        </is>
      </c>
      <c r="C89" s="100" t="inlineStr">
        <is>
          <t xml:space="preserve">Дозвон</t>
        </is>
      </c>
      <c r="D89" s="100" t="inlineStr">
        <is>
          <t xml:space="preserve">Кр-99026626-1</t>
        </is>
      </c>
      <c r="E89" s="100" t="inlineStr">
        <is>
          <t xml:space="preserve">MATYAKUBOVA OLIYA SULTANOVNA</t>
        </is>
      </c>
      <c r="F89" s="100" t="inlineStr">
        <is>
          <t xml:space="preserve">998974569970 SMS O'ZI, 998976078717 SMS DILSHODA HAMKASBI, 998505722508 SMS O'G'LI, 998999692091 SMS QIZI,</t>
        </is>
      </c>
      <c r="G89" s="100" t="inlineStr">
        <is>
          <t xml:space="preserve">XORAZM VILOYATI QO’SHKO’PIR TUMANI XAYROBOD QFY XAYROBOD MFY MADANIYAT KO’CHASI 48-UY</t>
        </is>
      </c>
      <c r="H89" s="101">
        <v>13.0</v>
      </c>
      <c r="I89" s="101">
        <v>2128873.3</v>
      </c>
      <c r="J89" s="101">
        <v>2128873.3</v>
      </c>
      <c r="K89" s="100" t="inlineStr">
        <is>
          <t xml:space="preserve">To'ladi | Abetdan kegin yopad | 159</t>
        </is>
      </c>
    </row>
    <row r="90">
      <c r="A90" s="100" t="inlineStr">
        <is>
          <t xml:space="preserve">ХОРАЗМ ВИЛОЯТИ</t>
        </is>
      </c>
      <c r="B90" s="100" t="inlineStr">
        <is>
          <t xml:space="preserve">SUPER BRANCH</t>
        </is>
      </c>
      <c r="C90" s="100" t="inlineStr">
        <is>
          <t xml:space="preserve">Дозвон</t>
        </is>
      </c>
      <c r="D90" s="100" t="inlineStr">
        <is>
          <t xml:space="preserve">Кр-99048302-1</t>
        </is>
      </c>
      <c r="E90" s="100" t="inlineStr">
        <is>
          <t xml:space="preserve">NURMATOV OG‘ABEK FAXRIDDIN O‘G‘LI</t>
        </is>
      </c>
      <c r="F90" s="100" t="inlineStr">
        <is>
          <t xml:space="preserve">+998919981626 Primary phone from road24, 998919981626 Primary phone from road24, 998905580815 SMS OTASI, 998910908909 SMS AKASI,</t>
        </is>
      </c>
      <c r="G90" s="100" t="inlineStr">
        <is>
          <t xml:space="preserve">Хорезмская область, Шаватский район, Каткалъа ССГ, Янги турмуш МСГ, ул. Бунёдкор, дом 33</t>
        </is>
      </c>
      <c r="I90" s="101">
        <v>149474.25</v>
      </c>
      <c r="J90" s="101">
        <v>149474.25</v>
      </c>
      <c r="K90" s="100" t="inlineStr">
        <is>
          <t xml:space="preserve">To'ladi | yarim soat ichida yopad | 1147</t>
        </is>
      </c>
    </row>
    <row r="91">
      <c r="A91" s="100" t="inlineStr">
        <is>
          <t xml:space="preserve">ХОРАЗМ ВИЛОЯТИ</t>
        </is>
      </c>
      <c r="B91" s="100" t="inlineStr">
        <is>
          <t xml:space="preserve">SUPER BRANCH</t>
        </is>
      </c>
      <c r="C91" s="100" t="inlineStr">
        <is>
          <t xml:space="preserve">Дозвон</t>
        </is>
      </c>
      <c r="D91" s="100" t="inlineStr">
        <is>
          <t xml:space="preserve">Кр-99012130-5</t>
        </is>
      </c>
      <c r="E91" s="100" t="inlineStr">
        <is>
          <t xml:space="preserve">SHAXNAZAROV TEMIRBEK UMIDBEK O’G’LI</t>
        </is>
      </c>
      <c r="F91" s="100" t="inlineStr">
        <is>
          <t xml:space="preserve">99-542-98-19 SMS O’ZI, 99-541-98-19 SMS OTASI, 93-752-68-98 SMS UKASI BOBUR, 99-157-47-40 SMS SINGLISI(BEGONA), 998993812882 SMS UZI NEW,</t>
        </is>
      </c>
      <c r="G91" s="100" t="inlineStr">
        <is>
          <t xml:space="preserve">XORAZM VILOYATI URGANCH TUMANI YUQORIBOG’ MFY OQ OLTIN KOCHASI 34-UY</t>
        </is>
      </c>
      <c r="H91" s="101">
        <v>15.0</v>
      </c>
      <c r="I91" s="101">
        <v>118020.11</v>
      </c>
      <c r="J91" s="101">
        <v>118020.11</v>
      </c>
      <c r="K91" s="100" t="inlineStr">
        <is>
          <t xml:space="preserve">To'ladi | bugun yopilad | 43</t>
        </is>
      </c>
    </row>
    <row r="92">
      <c r="A92" s="102" t="inlineStr">
        <is>
          <t xml:space="preserve">ХОРАЗМ ВИЛОЯТИ</t>
        </is>
      </c>
      <c r="B92" s="102" t="inlineStr">
        <is>
          <t xml:space="preserve">Урганч филиали</t>
        </is>
      </c>
      <c r="C92" s="102" t="inlineStr">
        <is>
          <t xml:space="preserve">Дозвон</t>
        </is>
      </c>
      <c r="D92" s="102" t="inlineStr">
        <is>
          <t xml:space="preserve">Кр-99032651-1</t>
        </is>
      </c>
      <c r="E92" s="102" t="inlineStr">
        <is>
          <t xml:space="preserve">OTAJONOV QUVANDIQ OTAJONOVICH</t>
        </is>
      </c>
      <c r="F92" s="102" t="inlineStr">
        <is>
          <t xml:space="preserve">998939280990 SMS O’G’LI, 998888692895 SMS AYOLI, 998970241820 SMS UY, 998720260692 SMS UY 2,</t>
        </is>
      </c>
      <c r="G92" s="102" t="inlineStr">
        <is>
          <t xml:space="preserve">XONQA TUMANI MADANIY YER MFY ALPOMISH KUCHASI 22A UY</t>
        </is>
      </c>
      <c r="H92" s="103">
        <v>3.0</v>
      </c>
      <c r="I92" s="103">
        <v>4668102.94</v>
      </c>
      <c r="J92" s="103">
        <v>4668102.94</v>
      </c>
      <c r="K92" s="102" t="inlineStr">
        <is>
          <t xml:space="preserve">To'ladi | 18-20 bilan gaplashdim buugn yopad | 361</t>
        </is>
      </c>
    </row>
    <row r="93">
      <c r="A93" s="102" t="inlineStr">
        <is>
          <t xml:space="preserve">ХОРАЗМ ВИЛОЯТИ</t>
        </is>
      </c>
      <c r="B93" s="102" t="inlineStr">
        <is>
          <t xml:space="preserve">Урганч филиали</t>
        </is>
      </c>
      <c r="C93" s="102" t="inlineStr">
        <is>
          <t xml:space="preserve">Дозвон</t>
        </is>
      </c>
      <c r="D93" s="102" t="inlineStr">
        <is>
          <t xml:space="preserve">Кр-99029634-2</t>
        </is>
      </c>
      <c r="E93" s="102" t="inlineStr">
        <is>
          <t xml:space="preserve">TADJIBAYEV AXMEDJAN SABUROVICH</t>
        </is>
      </c>
      <c r="F93" s="102" t="inlineStr">
        <is>
          <t xml:space="preserve">97-526-60-60 SMS OGLI, 99-668-33-31 SMS OZI, 97-518-77-71 SMS QO'SHNISI, 99-447-95-24 SMS KELINI, 998954973339 SMS Ozi new,</t>
        </is>
      </c>
      <c r="G93" s="102" t="inlineStr">
        <is>
          <t xml:space="preserve">XORAZM VILOYATI GURLAN TUMANI YANGI ASR MAXALLASI NUKUS KUCHASI 65-UY</t>
        </is>
      </c>
      <c r="H93" s="103">
        <v>1.0</v>
      </c>
      <c r="I93" s="103">
        <v>2206588.83</v>
      </c>
      <c r="J93" s="103">
        <v>2206588.83</v>
      </c>
      <c r="K93" s="102" t="inlineStr">
        <is>
          <t xml:space="preserve">To'ladi | buugn yopad ogli Rassiyadan pul tashid | 253</t>
        </is>
      </c>
    </row>
    <row r="94">
      <c r="A94" s="102" t="inlineStr">
        <is>
          <t xml:space="preserve">ХОРАЗМ ВИЛОЯТИ</t>
        </is>
      </c>
      <c r="B94" s="102" t="inlineStr">
        <is>
          <t xml:space="preserve">Урганч филиали</t>
        </is>
      </c>
      <c r="C94" s="102" t="inlineStr">
        <is>
          <t xml:space="preserve">Дозвон</t>
        </is>
      </c>
      <c r="D94" s="102" t="inlineStr">
        <is>
          <t xml:space="preserve">Кр-99030792-3</t>
        </is>
      </c>
      <c r="E94" s="102" t="inlineStr">
        <is>
          <t xml:space="preserve">XAYTBAYEVA DINORA MADIYOR QIZI</t>
        </is>
      </c>
      <c r="F94" s="102" t="inlineStr">
        <is>
          <t xml:space="preserve">94-112-51-61  SMS ERI (begona), 95-046-90-95  SMS O’ZI, 88-755-79-81  SMS YANGASI, 95-215-79-25  SMS JIYANI,</t>
        </is>
      </c>
      <c r="G94" s="102" t="inlineStr">
        <is>
          <t xml:space="preserve">XORAZM VILOYATI GURLAN TUMANI VAZIR QFY OLCHIN MFY NURLI IZ KUCHASI 54-UY</t>
        </is>
      </c>
      <c r="H94" s="103">
        <v>1.0</v>
      </c>
      <c r="I94" s="103">
        <v>881526.03</v>
      </c>
      <c r="J94" s="103">
        <v>881526.03</v>
      </c>
      <c r="K94" s="102" t="inlineStr">
        <is>
          <t xml:space="preserve">To'ladi | yopildi | 299</t>
        </is>
      </c>
    </row>
    <row r="95">
      <c r="A95" s="102" t="inlineStr">
        <is>
          <t xml:space="preserve">ХОРАЗМ ВИЛОЯТИ</t>
        </is>
      </c>
      <c r="B95" s="102" t="inlineStr">
        <is>
          <t xml:space="preserve">Урганч филиали</t>
        </is>
      </c>
      <c r="C95" s="102" t="inlineStr">
        <is>
          <t xml:space="preserve">Дозвон</t>
        </is>
      </c>
      <c r="D95" s="102" t="inlineStr">
        <is>
          <t xml:space="preserve">Кр-99012130-4</t>
        </is>
      </c>
      <c r="E95" s="102" t="inlineStr">
        <is>
          <t xml:space="preserve">SHAXNAZAROV TEMIRBEK UMIDBEK O’G’LI</t>
        </is>
      </c>
      <c r="F95" s="102" t="inlineStr">
        <is>
          <t xml:space="preserve">99-542-98-19 SMS O’ZI, 99-541-98-19 SMS OTASI, 93-752-68-98 SMS UKASI BOBUR, 99-157-47-40 SMS SINGLISI(BEGONA), 998993812882 SMS UZI NEW,</t>
        </is>
      </c>
      <c r="G95" s="102" t="inlineStr">
        <is>
          <t xml:space="preserve">XORAZM VILOYATI URGANCH TUMANI YUQORIBOG’ MFY OQ OLTIN KOCHASI 34-UY</t>
        </is>
      </c>
      <c r="H95" s="103">
        <v>10.0</v>
      </c>
      <c r="I95" s="103">
        <v>31458.28</v>
      </c>
      <c r="J95" s="103">
        <v>31458.28</v>
      </c>
      <c r="K95" s="102" t="inlineStr">
        <is>
          <t xml:space="preserve">To'ladi | bugun yopilad | 42</t>
        </is>
      </c>
    </row>
    <row r="96">
      <c r="A96" s="102" t="inlineStr">
        <is>
          <t xml:space="preserve">ХОРАЗМ ВИЛОЯТИ</t>
        </is>
      </c>
      <c r="B96" s="102" t="inlineStr">
        <is>
          <t xml:space="preserve">Урганч филиали</t>
        </is>
      </c>
      <c r="C96" s="102" t="inlineStr">
        <is>
          <t xml:space="preserve">Дозвон</t>
        </is>
      </c>
      <c r="D96" s="102" t="inlineStr">
        <is>
          <t xml:space="preserve">Кр-99029595-1</t>
        </is>
      </c>
      <c r="E96" s="102" t="inlineStr">
        <is>
          <t xml:space="preserve">OZODOV MUHIDDIN KAMOLIDDIN O’G’LI</t>
        </is>
      </c>
      <c r="F96" s="102" t="inlineStr">
        <is>
          <t xml:space="preserve">94-113-10-31 SMS O'ZI, 94-725-82-84  SMS AKASI, 93-748-83-84  SMS KELINOYISI,</t>
        </is>
      </c>
      <c r="G96" s="102" t="inlineStr">
        <is>
          <t xml:space="preserve">XORAZM VILOYATI XONQA TUMANI BARKAMOLLIK MAXALLASI NODIRABEGIM KUCHASI 29 UY</t>
        </is>
      </c>
      <c r="H96" s="103">
        <v>2.0</v>
      </c>
      <c r="I96" s="103">
        <v>8142.81</v>
      </c>
      <c r="J96" s="103">
        <v>8142.81</v>
      </c>
      <c r="K96" s="102" t="inlineStr">
        <is>
          <t xml:space="preserve">To'ladi | Abetgacha yopad | 249</t>
        </is>
      </c>
    </row>
  </sheetData>
  <autoFilter ref="A2:K96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1050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Недозвон</t>
        </is>
      </c>
      <c r="D3" s="98" t="inlineStr">
        <is>
          <t xml:space="preserve">Кр-99050899-1</t>
        </is>
      </c>
      <c r="E3" s="98" t="inlineStr">
        <is>
          <t xml:space="preserve">ERGASHOV ELYORBEK NE’MATJONOVICH</t>
        </is>
      </c>
      <c r="F3" s="98" t="inlineStr">
        <is>
          <t xml:space="preserve">998774544221 SMS OZI, 998902062924 SMS AYOLI, 998022181812 SMS OZI, 998902533553 SMS AKASI,</t>
        </is>
      </c>
      <c r="G3" s="98" t="inlineStr">
        <is>
          <t xml:space="preserve">ANDIJON VILOYATI BO’Z TUMANI GUZAR MFY, O’ZBEKISTON  KO’CHASI 489-UY</t>
        </is>
      </c>
      <c r="H3" s="99">
        <v>104.0</v>
      </c>
      <c r="I3" s="99">
        <v>57529091.79</v>
      </c>
      <c r="K3" s="98" t="inlineStr">
        <is>
          <t xml:space="preserve">Telefon ko'tarmadi | muommoli klent | 28493150.684931505 | 29035941.11</t>
        </is>
      </c>
    </row>
    <row r="4">
      <c r="A4" s="98" t="inlineStr">
        <is>
          <t xml:space="preserve">АНДИЖОН ВИЛОЯТИ</t>
        </is>
      </c>
      <c r="C4" s="98" t="inlineStr">
        <is>
          <t xml:space="preserve">Недозвон</t>
        </is>
      </c>
      <c r="D4" s="98" t="inlineStr">
        <is>
          <t xml:space="preserve">Кр-99059626-1</t>
        </is>
      </c>
      <c r="E4" s="98" t="inlineStr">
        <is>
          <t xml:space="preserve">ABDURAXMONOVA MANZURAXON IBRAGIMDJONOVNA</t>
        </is>
      </c>
      <c r="F4" s="98" t="inlineStr">
        <is>
          <t xml:space="preserve">998972041812 SMS OZI, 998910530105 SMS OGLI, 998502108587 SMS QIZI, 998883838387 SMS KELINI,</t>
        </is>
      </c>
      <c r="G4" s="98" t="inlineStr">
        <is>
          <t xml:space="preserve">ANDIJON VILOYATI ASAKA TUMANI CHEK MFY XAMDO’STLIK KO’CHASI 157-UY</t>
        </is>
      </c>
      <c r="H4" s="99">
        <v>43.0</v>
      </c>
      <c r="I4" s="99">
        <v>32783127.07</v>
      </c>
      <c r="K4" s="98" t="inlineStr">
        <is>
          <t xml:space="preserve">Telefon ko'tarmadi | umumiy summaga xatlov qilindi | 15315068.493150685 | 17468058.58</t>
        </is>
      </c>
    </row>
    <row r="5">
      <c r="A5" s="98" t="inlineStr">
        <is>
          <t xml:space="preserve">АНДИЖОН ВИЛОЯТИ</t>
        </is>
      </c>
      <c r="C5" s="98" t="inlineStr">
        <is>
          <t xml:space="preserve">Объезд</t>
        </is>
      </c>
      <c r="D5" s="98" t="inlineStr">
        <is>
          <t xml:space="preserve">Кр-99038794-1</t>
        </is>
      </c>
      <c r="E5" s="98" t="inlineStr">
        <is>
          <t xml:space="preserve">TOSHXO’JAYEV FAZLIDDIN ZOKIRJON O’G’LI</t>
        </is>
      </c>
      <c r="F5" s="98" t="inlineStr">
        <is>
          <t xml:space="preserve">998903807010 SMS OZI, 998916197010 SMS AYOLI, 998954779770 SMS ONASI ОГАЙНИСИНИ НОМЕРИ , 998505114440 SMS AKASI бегона ,</t>
        </is>
      </c>
      <c r="G5" s="98" t="inlineStr">
        <is>
          <t xml:space="preserve">ANDIJON VILOYATI ANDIJON SHAXAR ISLOMOBOD  MFY, MIRPO’STIN KO’CHASI 40 B-UY  31-XONADON</t>
        </is>
      </c>
      <c r="H5" s="99">
        <v>59.0</v>
      </c>
      <c r="I5" s="99">
        <v>21106704.9</v>
      </c>
      <c r="K5" s="98" t="inlineStr">
        <is>
          <t xml:space="preserve">Uyiga borildi - va'da berdi | 16164383.561643835 | 4942321.34</t>
        </is>
      </c>
    </row>
    <row r="6">
      <c r="A6" s="98" t="inlineStr">
        <is>
          <t xml:space="preserve">АНДИЖОН ВИЛОЯТИ</t>
        </is>
      </c>
      <c r="C6" s="98" t="inlineStr">
        <is>
          <t xml:space="preserve">Объезд</t>
        </is>
      </c>
      <c r="D6" s="98" t="inlineStr">
        <is>
          <t xml:space="preserve">Кр-99057085-1</t>
        </is>
      </c>
      <c r="E6" s="98" t="inlineStr">
        <is>
          <t xml:space="preserve">YULDASHEVA NILUFAR KAMILOVNA</t>
        </is>
      </c>
      <c r="F6" s="98" t="inlineStr">
        <is>
          <t xml:space="preserve">998872557757 SMS OZI, 998982700122 SMS OGLI, 998772581112 SMS QIZI, 998882331807 SMS JIYANI,</t>
        </is>
      </c>
      <c r="G6" s="98" t="inlineStr">
        <is>
          <t xml:space="preserve">ANDIJON VILOYATI ANDIJON TUMANI ZANGIBOBO MFY PORLOQ KO’CHASI 306-UY</t>
        </is>
      </c>
      <c r="H6" s="99">
        <v>13.0</v>
      </c>
      <c r="I6" s="99">
        <v>15030583.25</v>
      </c>
      <c r="J6" s="99">
        <v>5342465.0</v>
      </c>
      <c r="K6" s="98" t="inlineStr">
        <is>
          <t xml:space="preserve">Uyiga borildi - to'ladi | 5342465.7534246575 | 9688117.5</t>
        </is>
      </c>
    </row>
    <row r="7">
      <c r="A7" s="98" t="inlineStr">
        <is>
          <t xml:space="preserve">АНДИЖОН ВИЛОЯТИ</t>
        </is>
      </c>
      <c r="C7" s="98" t="inlineStr">
        <is>
          <t xml:space="preserve">Объезд</t>
        </is>
      </c>
      <c r="D7" s="98" t="inlineStr">
        <is>
          <t xml:space="preserve">Кр-99063020-2</t>
        </is>
      </c>
      <c r="E7" s="98" t="inlineStr">
        <is>
          <t xml:space="preserve">XALIMOV ILXOMJON DJALILOVICH</t>
        </is>
      </c>
      <c r="F7" s="98" t="inlineStr">
        <is>
          <t xml:space="preserve">998979950022 OZI, 998941030105 ONASI, 998945616463 JIYANI, 998993478909 KELINI,</t>
        </is>
      </c>
      <c r="G7" s="98" t="inlineStr">
        <is>
          <t xml:space="preserve">ANDIJON VILOYATI ASAKA TUMANI BOBUR MFY KARVONSAROY KO’CHASI 135 UY</t>
        </is>
      </c>
      <c r="H7" s="99">
        <v>13.0</v>
      </c>
      <c r="I7" s="99">
        <v>11945562.59</v>
      </c>
      <c r="K7" s="98" t="inlineStr">
        <is>
          <t xml:space="preserve">Uyiga borildi - va'da berdi | 4273972.602739726 | 7671589.99</t>
        </is>
      </c>
    </row>
    <row r="8">
      <c r="A8" s="98" t="inlineStr">
        <is>
          <t xml:space="preserve">АНДИЖОН ВИЛОЯТИ</t>
        </is>
      </c>
      <c r="C8" s="98" t="inlineStr">
        <is>
          <t xml:space="preserve">Недозвон</t>
        </is>
      </c>
      <c r="D8" s="98" t="inlineStr">
        <is>
          <t xml:space="preserve">Кр-99058489-1</t>
        </is>
      </c>
      <c r="E8" s="98" t="inlineStr">
        <is>
          <t xml:space="preserve">UZOQOVA IRODA IBROYIMJONOVNA</t>
        </is>
      </c>
      <c r="F8" s="98" t="inlineStr">
        <is>
          <t xml:space="preserve">998976388885 SMS OZI, 998882215555 SMS XOJAYINI, 998366944492 SMS OZI 2,</t>
        </is>
      </c>
      <c r="G8" s="98" t="inlineStr">
        <is>
          <t xml:space="preserve">ANDIJON VILOYATI ANDIJON TUMANI CHEM MFY ZARQAYNAR KO’CHASI 18-UY</t>
        </is>
      </c>
      <c r="H8" s="99">
        <v>13.0</v>
      </c>
      <c r="I8" s="99">
        <v>11060320.9</v>
      </c>
      <c r="K8" s="98" t="inlineStr">
        <is>
          <t xml:space="preserve">Telefon ko'tarmadi | oyni oxirigacha hal qiladi | 4273972.602739726 | 6786348.3</t>
        </is>
      </c>
    </row>
    <row r="9">
      <c r="A9" s="98" t="inlineStr">
        <is>
          <t xml:space="preserve">АНДИЖОН ВИЛОЯТИ</t>
        </is>
      </c>
      <c r="C9" s="98" t="inlineStr">
        <is>
          <t xml:space="preserve">Объезд</t>
        </is>
      </c>
      <c r="D9" s="98" t="inlineStr">
        <is>
          <t xml:space="preserve">Кр-99061813-1</t>
        </is>
      </c>
      <c r="E9" s="98" t="inlineStr">
        <is>
          <t xml:space="preserve">AXMEDOVA LOLAXON XASANOVNA</t>
        </is>
      </c>
      <c r="F9" s="98" t="inlineStr">
        <is>
          <t xml:space="preserve">998939680860 узи, 998948093111 угли, 998772093139 угли, 998990300805 угли,</t>
        </is>
      </c>
      <c r="G9" s="98" t="inlineStr">
        <is>
          <t xml:space="preserve">ANDIJON VILOYATI IZBOSKAN TUMANI CHEKYO MFY ABU ALI IBN SINO KO’CHASI 27-UY</t>
        </is>
      </c>
      <c r="H9" s="99">
        <v>10.0</v>
      </c>
      <c r="I9" s="99">
        <v>8193435.21</v>
      </c>
      <c r="K9" s="98" t="inlineStr">
        <is>
          <t xml:space="preserve">Uyiga borildi - va'da berdi | 2465753.4246575343 | 5727681.79</t>
        </is>
      </c>
    </row>
    <row r="10">
      <c r="A10" s="98" t="inlineStr">
        <is>
          <t xml:space="preserve">АНДИЖОН ВИЛОЯТИ</t>
        </is>
      </c>
      <c r="C10" s="98" t="inlineStr">
        <is>
          <t xml:space="preserve">Объезд</t>
        </is>
      </c>
      <c r="D10" s="98" t="inlineStr">
        <is>
          <t xml:space="preserve">Кр-99063311-2</t>
        </is>
      </c>
      <c r="E10" s="98" t="inlineStr">
        <is>
          <t xml:space="preserve">MAHKAMOVA MAVLUDA QORATOYEVNA</t>
        </is>
      </c>
      <c r="F10" s="98" t="inlineStr">
        <is>
          <t xml:space="preserve">+998907574245 SMS O’ZI, 998931041313 SMS JIYANI, 998937834245 SMS O’ZI2, 998949998375 SMS OPASI,</t>
        </is>
      </c>
      <c r="G10" s="98" t="inlineStr">
        <is>
          <t xml:space="preserve">ANDIJON VILOYATI IZBOSKAN TUMANI YUQORI MFY DAMBA  KO’CHASI 10-UY</t>
        </is>
      </c>
      <c r="H10" s="99">
        <v>10.0</v>
      </c>
      <c r="I10" s="99">
        <v>7235757.47</v>
      </c>
      <c r="K10" s="98" t="inlineStr">
        <is>
          <t xml:space="preserve">Uyiga borildi - va'da berdi | 2191780.821917808 | 5043976.65</t>
        </is>
      </c>
    </row>
    <row r="11">
      <c r="A11" s="98" t="inlineStr">
        <is>
          <t xml:space="preserve">АНДИЖОН ВИЛОЯТИ</t>
        </is>
      </c>
      <c r="C11" s="98" t="inlineStr">
        <is>
          <t xml:space="preserve">Недозвон</t>
        </is>
      </c>
      <c r="D11" s="98" t="inlineStr">
        <is>
          <t xml:space="preserve">Кр-99049616-1</t>
        </is>
      </c>
      <c r="E11" s="98" t="inlineStr">
        <is>
          <t xml:space="preserve">DAVIDOV MAMIRJON NEMATJONOVICH</t>
        </is>
      </c>
      <c r="F11" s="98" t="inlineStr">
        <is>
          <t xml:space="preserve">998883672747 OZI,</t>
        </is>
      </c>
      <c r="G11" s="98" t="inlineStr">
        <is>
          <t xml:space="preserve">IIV3411</t>
        </is>
      </c>
      <c r="H11" s="99">
        <v>10.0</v>
      </c>
      <c r="I11" s="99">
        <v>7109688.15</v>
      </c>
      <c r="K11" s="98" t="inlineStr">
        <is>
          <t xml:space="preserve">Telefon ko'tarmadi | tg ham yoq mahallaga chiqdim | 1561643.8356164382 | 5548044.31</t>
        </is>
      </c>
    </row>
    <row r="12">
      <c r="A12" s="98" t="inlineStr">
        <is>
          <t xml:space="preserve">АНДИЖОН ВИЛОЯТИ</t>
        </is>
      </c>
      <c r="C12" s="98" t="inlineStr">
        <is>
          <t xml:space="preserve">Недозвон</t>
        </is>
      </c>
      <c r="D12" s="98" t="inlineStr">
        <is>
          <t xml:space="preserve">Кр-99041941-1</t>
        </is>
      </c>
      <c r="E12" s="98" t="inlineStr">
        <is>
          <t xml:space="preserve">DAMINOV UMIDJON OMADJON O’G’LI</t>
        </is>
      </c>
      <c r="F12" s="98" t="inlineStr">
        <is>
          <t xml:space="preserve">+998942579577 SMS O’ZI, 998700811712 SMS DADASI, 998934125332 SMS ONASI, 998979407999 SMS AKASI,</t>
        </is>
      </c>
      <c r="G12" s="98" t="inlineStr">
        <is>
          <t xml:space="preserve">Сой МФЙ, Оби хаёт кучаси, 30-уй</t>
        </is>
      </c>
      <c r="H12" s="99">
        <v>10.0</v>
      </c>
      <c r="I12" s="99">
        <v>6397727.25</v>
      </c>
      <c r="K12" s="98" t="inlineStr">
        <is>
          <t xml:space="preserve">Telefon ko'tarmadi | tg dan aloqaga chiqdim | 1917808.219178082 | 4479919.03</t>
        </is>
      </c>
    </row>
    <row r="13">
      <c r="A13" s="98" t="inlineStr">
        <is>
          <t xml:space="preserve">АНДИЖОН ВИЛОЯТИ</t>
        </is>
      </c>
      <c r="C13" s="98" t="inlineStr">
        <is>
          <t xml:space="preserve">Недозвон</t>
        </is>
      </c>
      <c r="D13" s="98" t="inlineStr">
        <is>
          <t xml:space="preserve">Кр-99040471-1</t>
        </is>
      </c>
      <c r="E13" s="98" t="inlineStr">
        <is>
          <t xml:space="preserve">ABDULLAYEVA FERUZAXON RAPIKOVNA</t>
        </is>
      </c>
      <c r="F13" s="98" t="inlineStr">
        <is>
          <t xml:space="preserve">998958551476 SMS OZI,</t>
        </is>
      </c>
      <c r="G13" s="98" t="inlineStr">
        <is>
          <t xml:space="preserve">ANDIJON VILOYATI XO’JAOBOD TUMANI KO’PRIKBOSHI MFY, KO’CHAK  KO’CHASI 64-UY</t>
        </is>
      </c>
      <c r="H13" s="99">
        <v>10.0</v>
      </c>
      <c r="I13" s="99">
        <v>6362503.74</v>
      </c>
      <c r="K13" s="98" t="inlineStr">
        <is>
          <t xml:space="preserve">Telefon ko'tarmadi | tg ham chiqmadi mahallaga chiqdim | 1917808.219178082 | 4444695.52</t>
        </is>
      </c>
    </row>
    <row r="14">
      <c r="A14" s="98" t="inlineStr">
        <is>
          <t xml:space="preserve">АНДИЖОН ВИЛОЯТИ</t>
        </is>
      </c>
      <c r="C14" s="98" t="inlineStr">
        <is>
          <t xml:space="preserve">Недозвон</t>
        </is>
      </c>
      <c r="D14" s="98" t="inlineStr">
        <is>
          <t xml:space="preserve">Кр-99025777-1</t>
        </is>
      </c>
      <c r="E14" s="98" t="inlineStr">
        <is>
          <t xml:space="preserve">KALIKBAYEV BEGZAD KUTTIBEKOVICH</t>
        </is>
      </c>
      <c r="F14" s="98" t="inlineStr">
        <is>
          <t xml:space="preserve">998901728454 SMS OZI, 998907632123 SMS AYOLI, 998901738454 SMS OGLI,</t>
        </is>
      </c>
      <c r="G14" s="98" t="inlineStr">
        <is>
          <t xml:space="preserve">Ҳамкорлик МФЙ, Ўш кучаси, 212 д-уй, 28-хонадон</t>
        </is>
      </c>
      <c r="H14" s="99">
        <v>10.0</v>
      </c>
      <c r="I14" s="99">
        <v>5673337.28</v>
      </c>
      <c r="K14" s="98" t="inlineStr">
        <is>
          <t xml:space="preserve">Telefon ko'tarmadi | tg dan yozdim | 2191780.821917808 | 3481556.46</t>
        </is>
      </c>
    </row>
    <row r="15">
      <c r="A15" s="98" t="inlineStr">
        <is>
          <t xml:space="preserve">АНДИЖОН ВИЛОЯТИ</t>
        </is>
      </c>
      <c r="C15" s="98" t="inlineStr">
        <is>
          <t xml:space="preserve">Недозвон</t>
        </is>
      </c>
      <c r="D15" s="98" t="inlineStr">
        <is>
          <t xml:space="preserve">Кр-99004638-1</t>
        </is>
      </c>
      <c r="E15" s="98" t="inlineStr">
        <is>
          <t xml:space="preserve">KIMSANOV ALIMARDON DILSHOD O’G’LI</t>
        </is>
      </c>
      <c r="F15" s="98" t="inlineStr">
        <is>
          <t xml:space="preserve">998943870087 SMS OZI, 998992729515 SMS AYOLI Begona, 998947830087 SMS UY, 998772874929 SMS ONASI,</t>
        </is>
      </c>
      <c r="G15" s="98" t="inlineStr">
        <is>
          <t xml:space="preserve">ANDIJON VILOYATI PAXTAOBOD TUMANI UYG’UR QFY ZIYOLI MFY BOXOR KO’CHASI 53-UY </t>
        </is>
      </c>
      <c r="H15" s="99">
        <v>10.0</v>
      </c>
      <c r="I15" s="99">
        <v>5456850.11</v>
      </c>
      <c r="K15" s="98" t="inlineStr">
        <is>
          <t xml:space="preserve">Telefon ko'tarmadi | ishlaydigan nomeri yoq Sanjar akani bilan gaplashdim rusda ekan ozi tg sini berdi | 1643835.6164383562 | 3813014.49</t>
        </is>
      </c>
    </row>
    <row r="16">
      <c r="A16" s="98" t="inlineStr">
        <is>
          <t xml:space="preserve">АНДИЖОН ВИЛОЯТИ</t>
        </is>
      </c>
      <c r="C16" s="98" t="inlineStr">
        <is>
          <t xml:space="preserve">Объезд</t>
        </is>
      </c>
      <c r="D16" s="98" t="inlineStr">
        <is>
          <t xml:space="preserve">Кр-99029207-1</t>
        </is>
      </c>
      <c r="E16" s="98" t="inlineStr">
        <is>
          <t xml:space="preserve">SOBIROVA SADOQATOY RAXIMJON QIZI</t>
        </is>
      </c>
      <c r="F16" s="98" t="inlineStr">
        <is>
          <t xml:space="preserve">94-542-12-54  SMS TOLOVCHI, 93-849-22-52  SMS TOLOVCHI XOJAYINI tanmiman ddi , 94-282-31-32  TOLOVCHI ukasi , 95-022-11-55 TOLOVCHIS OGLI,</t>
        </is>
      </c>
      <c r="G16" s="98" t="inlineStr">
        <is>
          <t xml:space="preserve">ANDIJON VILOYATI PAXTAOBOD TUMANI AXILLIK MFY AXILLIK KO’CHASI 4-UY</t>
        </is>
      </c>
      <c r="H16" s="99">
        <v>10.0</v>
      </c>
      <c r="I16" s="99">
        <v>5333808.6</v>
      </c>
      <c r="K16" s="98" t="inlineStr">
        <is>
          <t xml:space="preserve">Uyiga borildi - va'da berdi | 1917808.219178082 | 3416000.38</t>
        </is>
      </c>
    </row>
    <row r="17">
      <c r="A17" s="98" t="inlineStr">
        <is>
          <t xml:space="preserve">АНДИЖОН ВИЛОЯТИ</t>
        </is>
      </c>
      <c r="C17" s="98" t="inlineStr">
        <is>
          <t xml:space="preserve">Недозвон</t>
        </is>
      </c>
      <c r="D17" s="98" t="inlineStr">
        <is>
          <t xml:space="preserve">Кр-99031869-1</t>
        </is>
      </c>
      <c r="E17" s="98" t="inlineStr">
        <is>
          <t xml:space="preserve">YULCHIYEVA MOHLAROYIM G’ULOMJON QIZI</t>
        </is>
      </c>
      <c r="F17" s="98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17" s="98" t="inlineStr">
        <is>
          <t xml:space="preserve">ANDIJON VILOYATI SHAXRIXON TUMANI CHO’JA MFY CHO’JA KO’CHASI 71-UY</t>
        </is>
      </c>
      <c r="H17" s="99">
        <v>3.0</v>
      </c>
      <c r="I17" s="99">
        <v>4481804.14</v>
      </c>
      <c r="K17" s="98" t="inlineStr">
        <is>
          <t xml:space="preserve">Telefon ko'tarmadi | tolovchi akasi akasi bn boglanib bolmadi tg dan yozdim | 616438.3561643836 | 3865365.78</t>
        </is>
      </c>
    </row>
    <row r="18">
      <c r="A18" s="98" t="inlineStr">
        <is>
          <t xml:space="preserve">АНДИЖОН ВИЛОЯТИ</t>
        </is>
      </c>
      <c r="C18" s="98" t="inlineStr">
        <is>
          <t xml:space="preserve">Недозвон</t>
        </is>
      </c>
      <c r="D18" s="98" t="inlineStr">
        <is>
          <t xml:space="preserve">Кр-99035320-1</t>
        </is>
      </c>
      <c r="E18" s="98" t="inlineStr">
        <is>
          <t xml:space="preserve">O’RINOVA MAMLAKATXON SOBIRJONOVNA</t>
        </is>
      </c>
      <c r="F18" s="98" t="inlineStr">
        <is>
          <t xml:space="preserve">998944000211 SMS OZI, 998944260191 SMS AYOLI, 998959914040 SMS UKASI, 998993020471 SMS SHERIGI,</t>
        </is>
      </c>
      <c r="G18" s="98" t="inlineStr">
        <is>
          <t xml:space="preserve">ANDIJON VILOYATI BALIQCHI TUMANI MUQANNA MFY, MUQANNA KO’CHASI 22-UY</t>
        </is>
      </c>
      <c r="H18" s="99">
        <v>2.0</v>
      </c>
      <c r="I18" s="99">
        <v>4465888.56</v>
      </c>
      <c r="K18" s="98" t="inlineStr">
        <is>
          <t xml:space="preserve">Telefon ko'tarmadi | tg dan yozdim | 438356.16438356164 | 4027532.4</t>
        </is>
      </c>
    </row>
    <row r="19">
      <c r="A19" s="98" t="inlineStr">
        <is>
          <t xml:space="preserve">АНДИЖОН ВИЛОЯТИ</t>
        </is>
      </c>
      <c r="C19" s="98" t="inlineStr">
        <is>
          <t xml:space="preserve">Недозвон</t>
        </is>
      </c>
      <c r="D19" s="98" t="inlineStr">
        <is>
          <t xml:space="preserve">Кр-99028511-2</t>
        </is>
      </c>
      <c r="E19" s="98" t="inlineStr">
        <is>
          <t xml:space="preserve">BOZAROVA GULXUMORXON NEMATJANOVNA</t>
        </is>
      </c>
      <c r="F19" s="98" t="inlineStr">
        <is>
          <t xml:space="preserve">95-819-02-83 SMS OZI, 95-866-95-07  SMS QIZ, 93-215-20-37 SMS AKASI, 93-373-23-87 S SMS SINGLISI,</t>
        </is>
      </c>
      <c r="G19" s="98" t="inlineStr">
        <is>
          <t xml:space="preserve">ANDIJON VILOYATI XO’JAOBOD TUMANI KO’PRIKBOSHI MFY KO’CHAK KO’CHASI 83-UY</t>
        </is>
      </c>
      <c r="H19" s="99">
        <v>8.0</v>
      </c>
      <c r="I19" s="99">
        <v>4295991.11</v>
      </c>
      <c r="K19" s="98" t="inlineStr">
        <is>
          <t xml:space="preserve">Telefon ko'tarmadi | tg dan yozdim | 1095890.410958904 | 3200100.7</t>
        </is>
      </c>
    </row>
    <row r="20">
      <c r="A20" s="98" t="inlineStr">
        <is>
          <t xml:space="preserve">АНДИЖОН ВИЛОЯТИ</t>
        </is>
      </c>
      <c r="C20" s="98" t="inlineStr">
        <is>
          <t xml:space="preserve">Недозвон</t>
        </is>
      </c>
      <c r="D20" s="98" t="inlineStr">
        <is>
          <t xml:space="preserve">Кр-99009053-4</t>
        </is>
      </c>
      <c r="E20" s="98" t="inlineStr">
        <is>
          <t xml:space="preserve">AXMEDOV BEKZOD XAMID O’G’LI</t>
        </is>
      </c>
      <c r="F20" s="98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20" s="98" t="inlineStr">
        <is>
          <t xml:space="preserve">ANDIJON VILOYATI ANDIJON SHAHRI LERMONTOV KOCHASI 3 UY</t>
        </is>
      </c>
      <c r="H20" s="99">
        <v>14.0</v>
      </c>
      <c r="I20" s="99">
        <v>3603906.55</v>
      </c>
      <c r="K20" s="98" t="inlineStr">
        <is>
          <t xml:space="preserve">Telefon ko'tarmadi | 1457534.2465753425 | 2146372.3</t>
        </is>
      </c>
    </row>
    <row r="21">
      <c r="A21" s="98" t="inlineStr">
        <is>
          <t xml:space="preserve">АНДИЖОН ВИЛОЯТИ</t>
        </is>
      </c>
      <c r="C21" s="98" t="inlineStr">
        <is>
          <t xml:space="preserve">Недозвон</t>
        </is>
      </c>
      <c r="D21" s="98" t="inlineStr">
        <is>
          <t xml:space="preserve">Кр-99031844-1</t>
        </is>
      </c>
      <c r="E21" s="98" t="inlineStr">
        <is>
          <t xml:space="preserve">RO‘ZIMATOVA IRODAXON MAXMUDJON QIZI</t>
        </is>
      </c>
      <c r="F21" s="98" t="inlineStr">
        <is>
          <t xml:space="preserve">998998704010 SMS O’G’LI, 998995237684 SMS ONASI, 998907590874 SMS AKASI, 998951143737 SMS JIYANI,</t>
        </is>
      </c>
      <c r="G21" s="98" t="inlineStr">
        <is>
          <t xml:space="preserve">ANDIJON VILOYATI XO’JAOBOD TUMANI CHIMBULOQ MFY YANGI CHEK KO’CHASI 104-UY</t>
        </is>
      </c>
      <c r="H21" s="99">
        <v>3.0</v>
      </c>
      <c r="I21" s="99">
        <v>2958104.85</v>
      </c>
      <c r="K21" s="98" t="inlineStr">
        <is>
          <t xml:space="preserve">Telefon ko'tarmadi | tg dan yozdim | 410958.90410958906 | 2547145.95</t>
        </is>
      </c>
    </row>
    <row r="22">
      <c r="A22" s="98" t="inlineStr">
        <is>
          <t xml:space="preserve">АНДИЖОН ВИЛОЯТИ</t>
        </is>
      </c>
      <c r="C22" s="98" t="inlineStr">
        <is>
          <t xml:space="preserve">Объезд</t>
        </is>
      </c>
      <c r="D22" s="98" t="inlineStr">
        <is>
          <t xml:space="preserve">Кр-99041539-1</t>
        </is>
      </c>
      <c r="E22" s="98" t="inlineStr">
        <is>
          <t xml:space="preserve">SHERALIYEV SARDORBEK SODIQJON O’G’LI</t>
        </is>
      </c>
      <c r="F22" s="98" t="inlineStr">
        <is>
          <t xml:space="preserve">998914845776 SMS OZI, 998996325251 SMS AYOLI, 998992425251 SMS ONASI, +998914845776 Primary phone from road24, 998948642717 SMS O’ZI2,</t>
        </is>
      </c>
      <c r="G22" s="98" t="inlineStr">
        <is>
          <t xml:space="preserve">Андижон вилояти  Андижон шахар   Бунёдкор (9-сон) МФЙ, Қўш ариқ дахаси, 46-уй, 15-хонадон</t>
        </is>
      </c>
      <c r="H22" s="99">
        <v>10.0</v>
      </c>
      <c r="I22" s="99">
        <v>2922859.21</v>
      </c>
      <c r="K22" s="98" t="inlineStr">
        <is>
          <t xml:space="preserve">Uyiga borildi - va'da berdi | 547945.205479452 | 2374914</t>
        </is>
      </c>
    </row>
    <row r="23">
      <c r="A23" s="98" t="inlineStr">
        <is>
          <t xml:space="preserve">АНДИЖОН ВИЛОЯТИ</t>
        </is>
      </c>
      <c r="C23" s="98" t="inlineStr">
        <is>
          <t xml:space="preserve">Объезд</t>
        </is>
      </c>
      <c r="D23" s="98" t="inlineStr">
        <is>
          <t xml:space="preserve">Кр-99037425-1</t>
        </is>
      </c>
      <c r="E23" s="98" t="inlineStr">
        <is>
          <t xml:space="preserve">SHUKUROV QUVONCHBEK XABIBILLAYEVICH</t>
        </is>
      </c>
      <c r="F23" s="98" t="inlineStr">
        <is>
          <t xml:space="preserve">998905271070 SMS OZI, 998901707424 SMS OGLI, 998914865970 SMS AYOLI, 998953475970 SMS QIZI,</t>
        </is>
      </c>
      <c r="G23" s="98" t="inlineStr">
        <is>
          <t xml:space="preserve">ANDIJON VILOYATI ANDIJON TUMANI YUKSALISH MFY YUKSALISH KO’CHASI 19-UY </t>
        </is>
      </c>
      <c r="H23" s="99">
        <v>2.0</v>
      </c>
      <c r="I23" s="99">
        <v>2889861.23</v>
      </c>
      <c r="J23" s="99">
        <v>273972.0</v>
      </c>
      <c r="K23" s="98" t="inlineStr">
        <is>
          <t xml:space="preserve">Uyiga borildi - to'ladi | 273972.602739726 | 2615888.63</t>
        </is>
      </c>
    </row>
    <row r="24">
      <c r="A24" s="98" t="inlineStr">
        <is>
          <t xml:space="preserve">АНДИЖОН ВИЛОЯТИ</t>
        </is>
      </c>
      <c r="C24" s="98" t="inlineStr">
        <is>
          <t xml:space="preserve">Объезд</t>
        </is>
      </c>
      <c r="D24" s="98" t="inlineStr">
        <is>
          <t xml:space="preserve">Кр-99044378-2</t>
        </is>
      </c>
      <c r="E24" s="98" t="inlineStr">
        <is>
          <t xml:space="preserve">SHOKIROV NURULLO AXMADULLAYEVICH</t>
        </is>
      </c>
      <c r="F24" s="98" t="inlineStr">
        <is>
          <t xml:space="preserve">+998914912216 SMS O’ZI, 998770387887 SMS QIZI tel qilinmasin, 998779630238 SMS AYOLI , 998931144480 SMS O’G’LI,</t>
        </is>
      </c>
      <c r="G24" s="98" t="inlineStr">
        <is>
          <t xml:space="preserve">АНДИЖОН ВИЛОЯТИ АНДИЖОН ШАХРИ МАДАНИЯТ МФЙ, Т.КЕЛДИЕВ,  uy:102</t>
        </is>
      </c>
      <c r="H24" s="99">
        <v>10.0</v>
      </c>
      <c r="I24" s="99">
        <v>2714002.69</v>
      </c>
      <c r="K24" s="98" t="inlineStr">
        <is>
          <t xml:space="preserve">Uyiga borildi - va'da berdi | 821917.8082191781 | 1892084.88</t>
        </is>
      </c>
    </row>
    <row r="25">
      <c r="A25" s="98" t="inlineStr">
        <is>
          <t xml:space="preserve">АНДИЖОН ВИЛОЯТИ</t>
        </is>
      </c>
      <c r="C25" s="98" t="inlineStr">
        <is>
          <t xml:space="preserve">Объезд</t>
        </is>
      </c>
      <c r="D25" s="98" t="inlineStr">
        <is>
          <t xml:space="preserve">Кр-99063106-1</t>
        </is>
      </c>
      <c r="E25" s="98" t="inlineStr">
        <is>
          <t xml:space="preserve">SOTVOLDIYEVA MAXMUDAXON QOSIMOVNA</t>
        </is>
      </c>
      <c r="F25" s="98" t="inlineStr">
        <is>
          <t xml:space="preserve">998770492346 OZI, 998931092588 OGLI, 998937212671 OPASI, 998942592770 DUGONASI,</t>
        </is>
      </c>
      <c r="G25" s="98" t="inlineStr">
        <is>
          <t xml:space="preserve">ANDIJON VILOYATI QO’RG’ONTEPA TUMANI UCHQUN MFY ISTIQBOL KO’CHASI 16 UY</t>
        </is>
      </c>
      <c r="H25" s="99">
        <v>10.0</v>
      </c>
      <c r="I25" s="99">
        <v>2695142.29</v>
      </c>
      <c r="J25" s="99">
        <v>821917.0</v>
      </c>
      <c r="K25" s="98" t="inlineStr">
        <is>
          <t xml:space="preserve">Uyiga borildi - to'ladi | 821917.8082191781 | 1873224.48</t>
        </is>
      </c>
    </row>
    <row r="26">
      <c r="A26" s="98" t="inlineStr">
        <is>
          <t xml:space="preserve">АНДИЖОН ВИЛОЯТИ</t>
        </is>
      </c>
      <c r="C26" s="98" t="inlineStr">
        <is>
          <t xml:space="preserve">Объезд</t>
        </is>
      </c>
      <c r="D26" s="98" t="inlineStr">
        <is>
          <t xml:space="preserve">Кр-99063748-2</t>
        </is>
      </c>
      <c r="E26" s="98" t="inlineStr">
        <is>
          <t xml:space="preserve">XURBOYEV MURODILJON MURODJON O’G’LI</t>
        </is>
      </c>
      <c r="F26" s="98" t="inlineStr">
        <is>
          <t xml:space="preserve">+998931757095 SMS O’ZI, 998505454475 SMS DADASI, 998938701978 SMS ONASI, 998971622313 SMS SINGLISI,</t>
        </is>
      </c>
      <c r="G26" s="98" t="inlineStr">
        <is>
          <t xml:space="preserve">ANDIJON VILOYATI  IZBOSKAN TUMANI A. JOMIY MFY TASHABBUS MARKAZI KO’CHASI 15-UY</t>
        </is>
      </c>
      <c r="H26" s="99">
        <v>13.0</v>
      </c>
      <c r="I26" s="99">
        <v>2457473.75</v>
      </c>
      <c r="K26" s="98" t="inlineStr">
        <is>
          <t xml:space="preserve">Uyiga borildi - va'da berdi | 890410.9589041095 | 1567062.79</t>
        </is>
      </c>
    </row>
    <row r="27">
      <c r="A27" s="98" t="inlineStr">
        <is>
          <t xml:space="preserve">АНДИЖОН ВИЛОЯТИ</t>
        </is>
      </c>
      <c r="C27" s="98" t="inlineStr">
        <is>
          <t xml:space="preserve">Недозвон</t>
        </is>
      </c>
      <c r="D27" s="98" t="inlineStr">
        <is>
          <t xml:space="preserve">Кр-99049616-2</t>
        </is>
      </c>
      <c r="E27" s="98" t="inlineStr">
        <is>
          <t xml:space="preserve">DAVIDOV MAMIRJON NEMATJONOVICH</t>
        </is>
      </c>
      <c r="F27" s="98" t="inlineStr">
        <is>
          <t xml:space="preserve">998883672747 OZI,</t>
        </is>
      </c>
      <c r="G27" s="98" t="inlineStr">
        <is>
          <t xml:space="preserve">IIV3411</t>
        </is>
      </c>
      <c r="I27" s="99">
        <v>1896080.33</v>
      </c>
      <c r="K27" s="98" t="inlineStr">
        <is>
          <t xml:space="preserve">Telefon ko'tarmadi | tg ham yoq mahallaga chiqdim | 0 | 1896080.33</t>
        </is>
      </c>
    </row>
    <row r="28">
      <c r="A28" s="98" t="inlineStr">
        <is>
          <t xml:space="preserve">АНДИЖОН ВИЛОЯТИ</t>
        </is>
      </c>
      <c r="C28" s="98" t="inlineStr">
        <is>
          <t xml:space="preserve">Недозвон</t>
        </is>
      </c>
      <c r="D28" s="98" t="inlineStr">
        <is>
          <t xml:space="preserve">Кр-99031869-3</t>
        </is>
      </c>
      <c r="E28" s="98" t="inlineStr">
        <is>
          <t xml:space="preserve">YULCHIYEVA MOHLAROYIM G’ULOMJON QIZI</t>
        </is>
      </c>
      <c r="F28" s="98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28" s="98" t="inlineStr">
        <is>
          <t xml:space="preserve">ANDIJON VILOYATI SHAXRIXON TUMANI CHO’JA MFY CHO’JA KO’CHASI 71-UY</t>
        </is>
      </c>
      <c r="H28" s="99">
        <v>10.0</v>
      </c>
      <c r="I28" s="99">
        <v>1629813.04</v>
      </c>
      <c r="K28" s="98" t="inlineStr">
        <is>
          <t xml:space="preserve">Telefon ko'tarmadi | tolovchi akasi akasi bn boglanib bolmadi tg dan yozdim | 767123.2876712328 | 862689.75</t>
        </is>
      </c>
    </row>
    <row r="29">
      <c r="A29" s="98" t="inlineStr">
        <is>
          <t xml:space="preserve">АНДИЖОН ВИЛОЯТИ</t>
        </is>
      </c>
      <c r="C29" s="98" t="inlineStr">
        <is>
          <t xml:space="preserve">Объезд</t>
        </is>
      </c>
      <c r="D29" s="98" t="inlineStr">
        <is>
          <t xml:space="preserve">Кр-99044378-1</t>
        </is>
      </c>
      <c r="E29" s="98" t="inlineStr">
        <is>
          <t xml:space="preserve">SHOKIROV NURULLO AXMADULLAYEVICH</t>
        </is>
      </c>
      <c r="F29" s="98" t="inlineStr">
        <is>
          <t xml:space="preserve">+998914912216 SMS O’ZI, 998770387887 SMS QIZI tel qilinmasin, 998779630238 SMS AYOLI , 998931144480 SMS O’G’LI,</t>
        </is>
      </c>
      <c r="G29" s="98" t="inlineStr">
        <is>
          <t xml:space="preserve">АНДИЖОН ВИЛОЯТИ АНДИЖОН ШАХРИ МАДАНИЯТ МФЙ, Т.КЕЛДИЕВ,  uy:102</t>
        </is>
      </c>
      <c r="I29" s="99">
        <v>1400789.42</v>
      </c>
      <c r="K29" s="98" t="inlineStr">
        <is>
          <t xml:space="preserve">Uyiga borildi - va'da berdi | 0 | 1400789.42</t>
        </is>
      </c>
    </row>
    <row r="30">
      <c r="A30" s="98" t="inlineStr">
        <is>
          <t xml:space="preserve">АНДИЖОН ВИЛОЯТИ</t>
        </is>
      </c>
      <c r="C30" s="98" t="inlineStr">
        <is>
          <t xml:space="preserve">Объезд</t>
        </is>
      </c>
      <c r="D30" s="98" t="inlineStr">
        <is>
          <t xml:space="preserve">Кр-99041539-2</t>
        </is>
      </c>
      <c r="E30" s="98" t="inlineStr">
        <is>
          <t xml:space="preserve">SHERALIYEV SARDORBEK SODIQJON O’G’LI</t>
        </is>
      </c>
      <c r="F30" s="98" t="inlineStr">
        <is>
          <t xml:space="preserve">998914845776 SMS OZI, 998996325251 SMS AYOLI, 998992425251 SMS ONASI, +998914845776 Primary phone from road24, 998948642717 SMS O’ZI2,</t>
        </is>
      </c>
      <c r="G30" s="98" t="inlineStr">
        <is>
          <t xml:space="preserve">Андижон вилояти  Андижон шахар   Бунёдкор (9-сон) МФЙ, Қўш ариқ дахаси, 46-уй, 15-хонадон</t>
        </is>
      </c>
      <c r="H30" s="99">
        <v>10.0</v>
      </c>
      <c r="I30" s="99">
        <v>931523.62</v>
      </c>
      <c r="K30" s="98" t="inlineStr">
        <is>
          <t xml:space="preserve">Uyiga borildi - va'da berdi | 178082.19178082192 | 753441.43</t>
        </is>
      </c>
    </row>
    <row r="31">
      <c r="A31" s="100" t="inlineStr">
        <is>
          <t xml:space="preserve">БУХОРО ВИЛОЯТИ</t>
        </is>
      </c>
      <c r="C31" s="100" t="inlineStr">
        <is>
          <t xml:space="preserve">Недозвон</t>
        </is>
      </c>
      <c r="D31" s="100" t="inlineStr">
        <is>
          <t xml:space="preserve">Кр-99040851-1</t>
        </is>
      </c>
      <c r="E31" s="100" t="inlineStr">
        <is>
          <t xml:space="preserve">ZARIPOV NODIRBEK  NAZIRJON O’G’LI</t>
        </is>
      </c>
      <c r="F31" s="100" t="inlineStr">
        <is>
          <t xml:space="preserve">998938132602 SMS O’ZI, 998887531291 SMS OPASI, 998992523242 AMAKISI, 998787770222 SMS ISHXONASI,</t>
        </is>
      </c>
      <c r="G31" s="100" t="inlineStr">
        <is>
          <t xml:space="preserve">QORAKO’L TUMANI</t>
        </is>
      </c>
      <c r="H31" s="101">
        <v>196.0</v>
      </c>
      <c r="I31" s="101">
        <v>46319207.34</v>
      </c>
    </row>
    <row r="32">
      <c r="A32" s="100" t="inlineStr">
        <is>
          <t xml:space="preserve">БУХОРО ВИЛОЯТИ</t>
        </is>
      </c>
      <c r="C32" s="100" t="inlineStr">
        <is>
          <t xml:space="preserve">Недозвон</t>
        </is>
      </c>
      <c r="D32" s="100" t="inlineStr">
        <is>
          <t xml:space="preserve">Кр-99039543-1</t>
        </is>
      </c>
      <c r="E32" s="100" t="inlineStr">
        <is>
          <t xml:space="preserve">DJUMAYEV ZAVQIY LATIPOVICH</t>
        </is>
      </c>
      <c r="F32" s="100" t="inlineStr">
        <is>
          <t xml:space="preserve">998901180010 SMS OZI , 998770240926 SMS UKASI, +998901180010 Primary phone from road24, 998950000118 SMS asilbek o'g'li,</t>
        </is>
      </c>
      <c r="G32" s="100" t="inlineStr">
        <is>
          <t xml:space="preserve">Богча МФЙ, Гараншоҳ қишлоғи, 52-C-уй</t>
        </is>
      </c>
      <c r="H32" s="101">
        <v>128.0</v>
      </c>
      <c r="I32" s="101">
        <v>45153273.7</v>
      </c>
    </row>
    <row r="33">
      <c r="A33" s="100" t="inlineStr">
        <is>
          <t xml:space="preserve">БУХОРО ВИЛОЯТИ</t>
        </is>
      </c>
      <c r="C33" s="100" t="inlineStr">
        <is>
          <t xml:space="preserve">Недозвон</t>
        </is>
      </c>
      <c r="D33" s="100" t="inlineStr">
        <is>
          <t xml:space="preserve">Кр-99040567-1</t>
        </is>
      </c>
      <c r="E33" s="100" t="inlineStr">
        <is>
          <t xml:space="preserve">ACHILOV BOBIR BURONOVICH</t>
        </is>
      </c>
      <c r="F33" s="100" t="inlineStr">
        <is>
          <t xml:space="preserve">998505155499 SMS ONASI, 998931385554 SMS OGLI, 998936205499 SMS OZI,</t>
        </is>
      </c>
      <c r="G33" s="100" t="inlineStr">
        <is>
          <t xml:space="preserve">BUXORO VILOYATI, BUXORO SHAHAR,  MUHAMMAD NARSHAXIY MFY, TOJI KARAYEV KO'CHASI, 86-UY</t>
        </is>
      </c>
      <c r="H33" s="101">
        <v>164.0</v>
      </c>
      <c r="I33" s="101">
        <v>27072032.55</v>
      </c>
    </row>
    <row r="34">
      <c r="A34" s="100" t="inlineStr">
        <is>
          <t xml:space="preserve">БУХОРО ВИЛОЯТИ</t>
        </is>
      </c>
      <c r="C34" s="100" t="inlineStr">
        <is>
          <t xml:space="preserve">Недозвон</t>
        </is>
      </c>
      <c r="D34" s="100" t="inlineStr">
        <is>
          <t xml:space="preserve">Кр-99048166-1</t>
        </is>
      </c>
      <c r="E34" s="100" t="inlineStr">
        <is>
          <t xml:space="preserve">KURBANOV DILMUROD TUYMURADOVICH</t>
        </is>
      </c>
      <c r="F34" s="100" t="inlineStr">
        <is>
          <t xml:space="preserve">+998936859009 SMS O’ZI, 998505100034 SMS QIZI, 998931361133 SMS O’G’LI, 998956001133 SMS AYOLI,</t>
        </is>
      </c>
      <c r="G34" s="100" t="inlineStr">
        <is>
          <t xml:space="preserve">BUXORO VILOYATI, BUXORO SHAHAR, IBN SINO MFY, BAHOUDDIN NAQSH BAND KO’CHASI,197-UY, 91-XONADON</t>
        </is>
      </c>
      <c r="H34" s="101">
        <v>10.0</v>
      </c>
      <c r="I34" s="101">
        <v>2512617.45</v>
      </c>
    </row>
    <row r="35">
      <c r="A35" s="100" t="inlineStr">
        <is>
          <t xml:space="preserve">БУХОРО ВИЛОЯТИ</t>
        </is>
      </c>
      <c r="C35" s="100" t="inlineStr">
        <is>
          <t xml:space="preserve">Недозвон</t>
        </is>
      </c>
      <c r="D35" s="100" t="inlineStr">
        <is>
          <t xml:space="preserve">Кр-99041320-3</t>
        </is>
      </c>
      <c r="E35" s="100" t="inlineStr">
        <is>
          <t xml:space="preserve">SHODIYEV ULUG’BEK SALIMOVICH</t>
        </is>
      </c>
      <c r="F35" s="100" t="inlineStr">
        <is>
          <t xml:space="preserve">+998914431901 sms o’zi, 998907119935 sms onasi, 998912408206 sms ayoli, 998914471901 sms o’zi 2,</t>
        </is>
      </c>
      <c r="G35" s="100" t="inlineStr">
        <is>
          <t xml:space="preserve">Бухарская область, Гиждуванский район, Соктари МСГ, Соктари, дом 239</t>
        </is>
      </c>
      <c r="H35" s="101">
        <v>10.0</v>
      </c>
      <c r="I35" s="101">
        <v>2086853.04</v>
      </c>
    </row>
    <row r="36">
      <c r="A36" s="100" t="inlineStr">
        <is>
          <t xml:space="preserve">БУХОРО ВИЛОЯТИ</t>
        </is>
      </c>
      <c r="C36" s="100" t="inlineStr">
        <is>
          <t xml:space="preserve">Недозвон</t>
        </is>
      </c>
      <c r="D36" s="100" t="inlineStr">
        <is>
          <t xml:space="preserve">Кр-99047434-2</t>
        </is>
      </c>
      <c r="E36" s="100" t="inlineStr">
        <is>
          <t xml:space="preserve">UMRZOQOV FAXRIDDIN AXMEDJONOVICH</t>
        </is>
      </c>
      <c r="F36" s="100" t="inlineStr">
        <is>
          <t xml:space="preserve">998959754272 O`ZI, 998941220757 AYOLI, 998945457562 DO`STI, 998959754272 uzi, 998941220757 ayoli, 998945457562 dosti,</t>
        </is>
      </c>
      <c r="G36" s="100" t="inlineStr">
        <is>
          <t xml:space="preserve">Бухоро шахар коракул тумани Мустакиллик 50 уй</t>
        </is>
      </c>
      <c r="H36" s="101">
        <v>10.0</v>
      </c>
      <c r="I36" s="101">
        <v>1823550.52</v>
      </c>
    </row>
    <row r="37">
      <c r="A37" s="100" t="inlineStr">
        <is>
          <t xml:space="preserve">БУХОРО ВИЛОЯТИ</t>
        </is>
      </c>
      <c r="C37" s="100" t="inlineStr">
        <is>
          <t xml:space="preserve">Недозвон</t>
        </is>
      </c>
      <c r="D37" s="100" t="inlineStr">
        <is>
          <t xml:space="preserve">Кр-99039770-1</t>
        </is>
      </c>
      <c r="E37" s="100" t="inlineStr">
        <is>
          <t xml:space="preserve">SAFAROV SANJAR ADIZ O’G’LI</t>
        </is>
      </c>
      <c r="F37" s="100" t="inlineStr">
        <is>
          <t xml:space="preserve">998912403939 SMS OZI TO'LOVCHI SHUNGA TEL QILINSIN, 998935133314 SMS AMAKISI, 998918225456 SMS OTASI, 998942432520 SMS ONASI,</t>
        </is>
      </c>
      <c r="G37" s="100" t="inlineStr">
        <is>
          <t xml:space="preserve">BUXORO VILOYATI BUXORO TUMANI GULSHANOBOD MFY LEYLAK QISHLOG'I  51-UY </t>
        </is>
      </c>
      <c r="H37" s="101">
        <v>10.0</v>
      </c>
      <c r="I37" s="101">
        <v>1751579.65</v>
      </c>
    </row>
    <row r="38">
      <c r="A38" s="100" t="inlineStr">
        <is>
          <t xml:space="preserve">БУХОРО ВИЛОЯТИ</t>
        </is>
      </c>
      <c r="C38" s="100" t="inlineStr">
        <is>
          <t xml:space="preserve">Недозвон</t>
        </is>
      </c>
      <c r="D38" s="100" t="inlineStr">
        <is>
          <t xml:space="preserve">Кр-99041716-1</t>
        </is>
      </c>
      <c r="E38" s="100" t="inlineStr">
        <is>
          <t xml:space="preserve">ODINAYEV ASLON AZIMOVICH</t>
        </is>
      </c>
      <c r="F38" s="100" t="inlineStr">
        <is>
          <t xml:space="preserve">+998872504057 SMS O’ZI, 998905122625 SMS DO’STI, 998912479697 SMS O’G’LI, 998978588778 SMS O’G’LI 2, 998882802662 yangi nomer o'zi,</t>
        </is>
      </c>
      <c r="G38" s="100" t="inlineStr">
        <is>
          <t xml:space="preserve">Убачули МФЙ, Мевазор кучаси, 96-уй</t>
        </is>
      </c>
      <c r="H38" s="101">
        <v>10.0</v>
      </c>
      <c r="I38" s="101">
        <v>1731791.32</v>
      </c>
    </row>
    <row r="39">
      <c r="A39" s="100" t="inlineStr">
        <is>
          <t xml:space="preserve">БУХОРО ВИЛОЯТИ</t>
        </is>
      </c>
      <c r="C39" s="100" t="inlineStr">
        <is>
          <t xml:space="preserve">Недозвон</t>
        </is>
      </c>
      <c r="D39" s="100" t="inlineStr">
        <is>
          <t xml:space="preserve">Кр-99063280-1</t>
        </is>
      </c>
      <c r="E39" s="100" t="inlineStr">
        <is>
          <t xml:space="preserve">QURBONOV XUSHVAQT G’ULOMOVICH</t>
        </is>
      </c>
      <c r="F39" s="100" t="inlineStr">
        <is>
          <t xml:space="preserve">+998914177518 SMS O’ZI, 998990454555 SMS AYOLI, 998993454441 SMS DO’STI,</t>
        </is>
      </c>
      <c r="G39" s="100" t="inlineStr">
        <is>
          <t xml:space="preserve">OLOT TUMANI</t>
        </is>
      </c>
      <c r="H39" s="101">
        <v>10.0</v>
      </c>
      <c r="I39" s="101">
        <v>1539082.21</v>
      </c>
    </row>
    <row r="40">
      <c r="A40" s="100" t="inlineStr">
        <is>
          <t xml:space="preserve">БУХОРО ВИЛОЯТИ</t>
        </is>
      </c>
      <c r="C40" s="100" t="inlineStr">
        <is>
          <t xml:space="preserve">Недозвон</t>
        </is>
      </c>
      <c r="D40" s="100" t="inlineStr">
        <is>
          <t xml:space="preserve">Кр-99040456-1</t>
        </is>
      </c>
      <c r="E40" s="100" t="inlineStr">
        <is>
          <t xml:space="preserve">TEMIROV NODIRBEK G’OLIBJON OG’LI</t>
        </is>
      </c>
      <c r="F40" s="100" t="inlineStr">
        <is>
          <t xml:space="preserve">998902981307 SMS OZI, 998995556077 SMS AMAKISI, 998918381398 SMS OTASI, 998906110811 SMS ONASI,</t>
        </is>
      </c>
      <c r="G40" s="100" t="inlineStr">
        <is>
          <t xml:space="preserve">BUXORO VILOYATI G'IJDUVON TUMANI ZARANGARI MFY, BO'LAKIYON QISHLOG'I 36-UY </t>
        </is>
      </c>
      <c r="H40" s="101">
        <v>10.0</v>
      </c>
      <c r="I40" s="101">
        <v>1444589.21</v>
      </c>
    </row>
    <row r="41">
      <c r="A41" s="100" t="inlineStr">
        <is>
          <t xml:space="preserve">БУХОРО ВИЛОЯТИ</t>
        </is>
      </c>
      <c r="C41" s="100" t="inlineStr">
        <is>
          <t xml:space="preserve">Недозвон</t>
        </is>
      </c>
      <c r="D41" s="100" t="inlineStr">
        <is>
          <t xml:space="preserve">Кр-99049211-1</t>
        </is>
      </c>
      <c r="E41" s="100" t="inlineStr">
        <is>
          <t xml:space="preserve">ADIZOV AZAMAT SHOYIMOVICH</t>
        </is>
      </c>
      <c r="F41" s="100" t="inlineStr">
        <is>
          <t xml:space="preserve">998940642993 SMS JIYANI, 998942218131 SMS O’ZI, 998978055824 SMS UKASI, 998999767786 SMS AYOLI,</t>
        </is>
      </c>
      <c r="G41" s="100" t="inlineStr">
        <is>
          <t xml:space="preserve">GULISTON, DOM 56</t>
        </is>
      </c>
      <c r="H41" s="101">
        <v>10.0</v>
      </c>
      <c r="I41" s="101">
        <v>724068.93</v>
      </c>
    </row>
    <row r="42">
      <c r="A42" s="100" t="inlineStr">
        <is>
          <t xml:space="preserve">БУХОРО ВИЛОЯТИ</t>
        </is>
      </c>
      <c r="C42" s="100" t="inlineStr">
        <is>
          <t xml:space="preserve">Недозвон</t>
        </is>
      </c>
      <c r="D42" s="100" t="inlineStr">
        <is>
          <t xml:space="preserve">Кр-99044175-1</t>
        </is>
      </c>
      <c r="E42" s="100" t="inlineStr">
        <is>
          <t xml:space="preserve">MURODOV MUROD UMAR O’G’LI</t>
        </is>
      </c>
      <c r="F42" s="100" t="inlineStr">
        <is>
          <t xml:space="preserve">+998995624067 SMS O’ZI, 998914450878 SMS DO’STI, 998918384026 SMS ONASI, 998948893111 SMS DO’STI,</t>
        </is>
      </c>
      <c r="G42" s="100" t="inlineStr">
        <is>
          <t xml:space="preserve">Паноб МФЙ, Янги ҳаёт қишлоғи, 138-уй</t>
        </is>
      </c>
      <c r="I42" s="101">
        <v>359713.31</v>
      </c>
    </row>
    <row r="43">
      <c r="A43" s="100" t="inlineStr">
        <is>
          <t xml:space="preserve">БУХОРО ВИЛОЯТИ</t>
        </is>
      </c>
      <c r="C43" s="100" t="inlineStr">
        <is>
          <t xml:space="preserve">Недозвон</t>
        </is>
      </c>
      <c r="D43" s="100" t="inlineStr">
        <is>
          <t xml:space="preserve">Кр-99039770-2</t>
        </is>
      </c>
      <c r="E43" s="100" t="inlineStr">
        <is>
          <t xml:space="preserve">SAFAROV SANJAR ADIZ O’G’LI</t>
        </is>
      </c>
      <c r="F43" s="100" t="inlineStr">
        <is>
          <t xml:space="preserve">998912403939 SMS OZI TO'LOVCHI SHUNGA TEL QILINSIN, 998935133314 SMS AMAKISI, 998918225456 SMS OTASI, 998942432520 SMS ONASI,</t>
        </is>
      </c>
      <c r="G43" s="100" t="inlineStr">
        <is>
          <t xml:space="preserve">BUXORO VILOYATI BUXORO TUMANI GULSHANOBOD MFY LEYLAK QISHLOG'I  51-UY </t>
        </is>
      </c>
      <c r="H43" s="101">
        <v>10.0</v>
      </c>
      <c r="I43" s="101">
        <v>58404.13</v>
      </c>
    </row>
    <row r="44">
      <c r="A44" s="102" t="inlineStr">
        <is>
          <t xml:space="preserve">БУХОРО ВИЛОЯТИ</t>
        </is>
      </c>
      <c r="B44" s="102" t="inlineStr">
        <is>
          <t xml:space="preserve">SUPER BRANCH</t>
        </is>
      </c>
      <c r="C44" s="102" t="inlineStr">
        <is>
          <t xml:space="preserve">Недозвон</t>
        </is>
      </c>
      <c r="D44" s="102" t="inlineStr">
        <is>
          <t xml:space="preserve">Кр-99036711-1</t>
        </is>
      </c>
      <c r="E44" s="102" t="inlineStr">
        <is>
          <t xml:space="preserve">ERGASHOV ALISHER NARZULLAYEVICH</t>
        </is>
      </c>
      <c r="F44" s="102" t="inlineStr">
        <is>
          <t xml:space="preserve">998934784464 SMS O’ZI, 998939569626 SMS OTASI, 998931571911 SMS ONASI, 998930052290 SMS SINGLISI ,</t>
        </is>
      </c>
      <c r="G44" s="102" t="inlineStr">
        <is>
          <t xml:space="preserve">BUXORO VILOYATI, QORAKO'L TUMANI, ISTIQLOL MFY, YANGI QISHLOQ KO'CHASI, 15-UY</t>
        </is>
      </c>
      <c r="H44" s="103">
        <v>0.0</v>
      </c>
      <c r="I44" s="103">
        <v>5020948.32</v>
      </c>
      <c r="K44" s="102" t="inlineStr">
        <is>
          <t xml:space="preserve">Telefon ko'tarmadi | 17 | 5020948.32</t>
        </is>
      </c>
    </row>
    <row r="45">
      <c r="A45" s="102" t="inlineStr">
        <is>
          <t xml:space="preserve">БУХОРО ВИЛОЯТИ</t>
        </is>
      </c>
      <c r="B45" s="102" t="inlineStr">
        <is>
          <t xml:space="preserve">SUPER BRANCH</t>
        </is>
      </c>
      <c r="C45" s="102" t="inlineStr">
        <is>
          <t xml:space="preserve">Недозвон</t>
        </is>
      </c>
      <c r="D45" s="102" t="inlineStr">
        <is>
          <t xml:space="preserve">Кр-99028153-4</t>
        </is>
      </c>
      <c r="E45" s="102" t="inlineStr">
        <is>
          <t xml:space="preserve">GOIPOV EL’BRUS RAXMADOVICH</t>
        </is>
      </c>
      <c r="F45" s="102" t="inlineStr">
        <is>
          <t xml:space="preserve">94-120-61-31 SMS OZI, 94-219-60-83  SMS AYOLI, 94-782-03-28  OGLI (бегана), 94-382-28-11 SMS QIZI,</t>
        </is>
      </c>
      <c r="G45" s="102" t="inlineStr">
        <is>
          <t xml:space="preserve">BUXORO VILOYATI OLOT TUMANI XIDREYLI MFY 141-UY</t>
        </is>
      </c>
      <c r="H45" s="103">
        <v>7.0</v>
      </c>
      <c r="I45" s="103">
        <v>4981347.17</v>
      </c>
      <c r="K45" s="102" t="inlineStr">
        <is>
          <t xml:space="preserve">Telefon ko'tarmadi | 6 | 6076799.22479452</t>
        </is>
      </c>
    </row>
    <row r="46">
      <c r="A46" s="102" t="inlineStr">
        <is>
          <t xml:space="preserve">БУХОРО ВИЛОЯТИ</t>
        </is>
      </c>
      <c r="B46" s="102" t="inlineStr">
        <is>
          <t xml:space="preserve">SUPER BRANCH</t>
        </is>
      </c>
      <c r="C46" s="102" t="inlineStr">
        <is>
          <t xml:space="preserve">Недозвон</t>
        </is>
      </c>
      <c r="D46" s="102" t="inlineStr">
        <is>
          <t xml:space="preserve">Кр-99033022-1</t>
        </is>
      </c>
      <c r="E46" s="102" t="inlineStr">
        <is>
          <t xml:space="preserve">ASKAROV SHOHBOZ ULUG’BEKOVICH</t>
        </is>
      </c>
      <c r="F46" s="102" t="inlineStr">
        <is>
          <t xml:space="preserve">998944219181 SMS OIZ, 998796441812 SMS OZI 2, 998931971731 SMS AYOLI,</t>
        </is>
      </c>
      <c r="G46" s="102" t="inlineStr">
        <is>
          <t xml:space="preserve">TOSHKENT SHAHAR,  YANGIHAYOT TUMANI,  YANGI DARXON MFY, NAVRO'Z KOCHASI 16-UY</t>
        </is>
      </c>
      <c r="H46" s="103">
        <v>7.0</v>
      </c>
      <c r="I46" s="103">
        <v>3163951.34</v>
      </c>
      <c r="K46" s="102" t="inlineStr">
        <is>
          <t xml:space="preserve">Telefon ko'tarmadi | 12 | 4075301.6135342466</t>
        </is>
      </c>
    </row>
    <row r="47">
      <c r="A47" s="102" t="inlineStr">
        <is>
          <t xml:space="preserve">БУХОРО ВИЛОЯТИ</t>
        </is>
      </c>
      <c r="B47" s="102" t="inlineStr">
        <is>
          <t xml:space="preserve">SUPER BRANCH</t>
        </is>
      </c>
      <c r="C47" s="102" t="inlineStr">
        <is>
          <t xml:space="preserve">Недозвон</t>
        </is>
      </c>
      <c r="D47" s="102" t="inlineStr">
        <is>
          <t xml:space="preserve">Кр-99038162-1</t>
        </is>
      </c>
      <c r="E47" s="102" t="inlineStr">
        <is>
          <t xml:space="preserve">DJAMOLOV BOBIR BAHRIDDINOVICH</t>
        </is>
      </c>
      <c r="F47" s="102" t="inlineStr">
        <is>
          <t xml:space="preserve">998914174488 SMS OZI, 998914182244 SMS OZI, 998934225600 SMS O’G’LI Бехруз шу номерга қилинсин, 998930807508 SMS O’G’LI,</t>
        </is>
      </c>
      <c r="G47" s="102" t="inlineStr">
        <is>
          <t xml:space="preserve">BUXORO VILOYATI, VOBKENT TUMANI, ROZMOZ MFY, ELACH KO'CHASI, 4-UY</t>
        </is>
      </c>
      <c r="H47" s="103">
        <v>0.0</v>
      </c>
      <c r="I47" s="103">
        <v>2825554.48</v>
      </c>
      <c r="K47" s="102" t="inlineStr">
        <is>
          <t xml:space="preserve">Telefon ko'tarmadi | 20 | 2825554.48</t>
        </is>
      </c>
    </row>
    <row r="48">
      <c r="A48" s="102" t="inlineStr">
        <is>
          <t xml:space="preserve">БУХОРО ВИЛОЯТИ</t>
        </is>
      </c>
      <c r="B48" s="102" t="inlineStr">
        <is>
          <t xml:space="preserve">SUPER BRANCH</t>
        </is>
      </c>
      <c r="C48" s="102" t="inlineStr">
        <is>
          <t xml:space="preserve">Объезд</t>
        </is>
      </c>
      <c r="D48" s="102" t="inlineStr">
        <is>
          <t xml:space="preserve">Кр-99019690-5</t>
        </is>
      </c>
      <c r="E48" s="102" t="inlineStr">
        <is>
          <t xml:space="preserve">HAYDAROV FURQAT RAXMATILLOYEVICH</t>
        </is>
      </c>
      <c r="F48" s="102" t="inlineStr">
        <is>
          <t xml:space="preserve">97-488-07-66  SMS O'ZI, 88-301-90-93  SMS AKASI, 97-296-06-93  SMS UY, 93-841-53-50  SMS AYOLI, 998505999203 SMS O'ZI2,</t>
        </is>
      </c>
      <c r="G48" s="102" t="inlineStr">
        <is>
          <t xml:space="preserve">BUXORO VILOYAT BUXORO SHAHRI BESHKAPPA KO'CHASI 106 UY</t>
        </is>
      </c>
      <c r="H48" s="103">
        <v>7.0</v>
      </c>
      <c r="I48" s="103">
        <v>2199808.54</v>
      </c>
      <c r="J48" s="103">
        <v>2484160.0</v>
      </c>
      <c r="K48" s="102" t="inlineStr">
        <is>
          <t xml:space="preserve">Uyiga borildi - to'ladi | 2 | 2484160.2179178083</t>
        </is>
      </c>
    </row>
    <row r="49">
      <c r="A49" s="102" t="inlineStr">
        <is>
          <t xml:space="preserve">БУХОРО ВИЛОЯТИ</t>
        </is>
      </c>
      <c r="B49" s="102" t="inlineStr">
        <is>
          <t xml:space="preserve">SUPER BRANCH</t>
        </is>
      </c>
      <c r="C49" s="102" t="inlineStr">
        <is>
          <t xml:space="preserve">Недозвон</t>
        </is>
      </c>
      <c r="D49" s="102" t="inlineStr">
        <is>
          <t xml:space="preserve">Кр-99038109-1</t>
        </is>
      </c>
      <c r="E49" s="102" t="inlineStr">
        <is>
          <t xml:space="preserve">QO’YLIYEV SARDOR SATTOR O’G’LI</t>
        </is>
      </c>
      <c r="F49" s="102" t="inlineStr">
        <is>
          <t xml:space="preserve">998885546677 SMS OZI, 998954741616 SMS AKASI, 998990748047 SMS OPASI, 998883041232 SMS UYI,</t>
        </is>
      </c>
      <c r="G49" s="102" t="inlineStr">
        <is>
          <t xml:space="preserve">BUXORO VILOYATI KOGON TUMANI, NIYOZ HOJI MFY, VADAN QISHLOG'I 88-UY </t>
        </is>
      </c>
      <c r="H49" s="103">
        <v>0.0</v>
      </c>
      <c r="I49" s="103">
        <v>1763754.28</v>
      </c>
      <c r="K49" s="102" t="inlineStr">
        <is>
          <t xml:space="preserve">Telefon ko'tarmadi | 19 | 1763754.28</t>
        </is>
      </c>
    </row>
    <row r="50">
      <c r="A50" s="102" t="inlineStr">
        <is>
          <t xml:space="preserve">БУХОРО ВИЛОЯТИ</t>
        </is>
      </c>
      <c r="B50" s="102" t="inlineStr">
        <is>
          <t xml:space="preserve">SUPER BRANCH</t>
        </is>
      </c>
      <c r="C50" s="102" t="inlineStr">
        <is>
          <t xml:space="preserve">Объезд</t>
        </is>
      </c>
      <c r="D50" s="102" t="inlineStr">
        <is>
          <t xml:space="preserve">Кр-99019690-6</t>
        </is>
      </c>
      <c r="E50" s="102" t="inlineStr">
        <is>
          <t xml:space="preserve">HAYDAROV FURQAT RAXMATILLOYEVICH</t>
        </is>
      </c>
      <c r="F50" s="102" t="inlineStr">
        <is>
          <t xml:space="preserve">97-488-07-66  SMS O'ZI, 88-301-90-93  SMS AKASI, 97-296-06-93  SMS UY, 93-841-53-50  SMS AYOLI, 998505999203 SMS O'ZI2,</t>
        </is>
      </c>
      <c r="G50" s="102" t="inlineStr">
        <is>
          <t xml:space="preserve">BUXORO VILOYAT BUXORO SHAHRI BESHKAPPA KO'CHASI 106 UY</t>
        </is>
      </c>
      <c r="H50" s="103">
        <v>7.0</v>
      </c>
      <c r="I50" s="103">
        <v>1144641.83</v>
      </c>
      <c r="J50" s="103">
        <v>1277949.0</v>
      </c>
      <c r="K50" s="102" t="inlineStr">
        <is>
          <t xml:space="preserve">Uyiga borildi - to'ladi | 3 | 1277949.4817260276</t>
        </is>
      </c>
    </row>
    <row r="51">
      <c r="A51" s="104" t="inlineStr">
        <is>
          <t xml:space="preserve">БУХОРО ВИЛОЯТИ</t>
        </is>
      </c>
      <c r="B51" s="104" t="inlineStr">
        <is>
          <t xml:space="preserve">Бухоро филиали</t>
        </is>
      </c>
      <c r="C51" s="104" t="inlineStr">
        <is>
          <t xml:space="preserve">Недозвон</t>
        </is>
      </c>
      <c r="D51" s="104" t="inlineStr">
        <is>
          <t xml:space="preserve">Кр-99031012-1</t>
        </is>
      </c>
      <c r="E51" s="104" t="inlineStr">
        <is>
          <t xml:space="preserve">FARMONOVA GULCHEHRA MUSLIDDINOVNA</t>
        </is>
      </c>
      <c r="F51" s="104" t="inlineStr">
        <is>
          <t xml:space="preserve">33-524-05-05  SMS O'ZI, 91-240-39-39  SMS ERI, 90-635-09-93  SMS ONASI, 50-884-90-24  SMS AKASI, 998914483333 SMS ELDOR ,</t>
        </is>
      </c>
      <c r="G51" s="104" t="inlineStr">
        <is>
          <t xml:space="preserve">BUXORO VILOYATI G'IJDUVON TUMANI HAVZAK MFY, QATAG'AN KO'CHASI, 36-UY</t>
        </is>
      </c>
      <c r="H51" s="105">
        <v>14.0</v>
      </c>
      <c r="I51" s="105">
        <v>19999999.7</v>
      </c>
      <c r="K51" s="104" t="inlineStr">
        <is>
          <t xml:space="preserve">Telefon ko'tarmadi | 7 | 22753613.007123288</t>
        </is>
      </c>
    </row>
    <row r="52">
      <c r="A52" s="104" t="inlineStr">
        <is>
          <t xml:space="preserve">БУХОРО ВИЛОЯТИ</t>
        </is>
      </c>
      <c r="B52" s="104" t="inlineStr">
        <is>
          <t xml:space="preserve">Бухоро филиали</t>
        </is>
      </c>
      <c r="C52" s="104" t="inlineStr">
        <is>
          <t xml:space="preserve">Недозвон</t>
        </is>
      </c>
      <c r="D52" s="104" t="inlineStr">
        <is>
          <t xml:space="preserve">Кр-99034426-1</t>
        </is>
      </c>
      <c r="E52" s="104" t="inlineStr">
        <is>
          <t xml:space="preserve">AZIZOV ILXOM BAXTIYAROVICH</t>
        </is>
      </c>
      <c r="F52" s="104" t="inlineStr">
        <is>
          <t xml:space="preserve">998905146560 SMS OZI, 998907121044 SMS AYOLI, 998938741010 SMS OTASI, 998936421010 SMS ONASI, 998936421010 толовчичи шодиёр,</t>
        </is>
      </c>
      <c r="G52" s="104" t="inlineStr">
        <is>
          <t xml:space="preserve">BUXORO VILOYATI BUXORO SHAHAR TOJIQARAYEV MFY 61-UY</t>
        </is>
      </c>
      <c r="H52" s="105">
        <v>0.0</v>
      </c>
      <c r="I52" s="105">
        <v>4716159.04</v>
      </c>
      <c r="K52" s="104" t="inlineStr">
        <is>
          <t xml:space="preserve">Telefon ko'tarmadi | 14 | 4716159.04</t>
        </is>
      </c>
    </row>
    <row r="53">
      <c r="A53" s="104" t="inlineStr">
        <is>
          <t xml:space="preserve">БУХОРО ВИЛОЯТИ</t>
        </is>
      </c>
      <c r="B53" s="104" t="inlineStr">
        <is>
          <t xml:space="preserve">Бухоро филиали</t>
        </is>
      </c>
      <c r="C53" s="104" t="inlineStr">
        <is>
          <t xml:space="preserve">Недозвон</t>
        </is>
      </c>
      <c r="D53" s="104" t="inlineStr">
        <is>
          <t xml:space="preserve">Кр-99033611-1</t>
        </is>
      </c>
      <c r="E53" s="104" t="inlineStr">
        <is>
          <t xml:space="preserve">ELMURODOVA ZEBINISO ODILOVNA</t>
        </is>
      </c>
      <c r="F53" s="104" t="inlineStr">
        <is>
          <t xml:space="preserve">998939904907 SMS O’ZI, 998939983008 SMS ERI, 998943754907 SMS OTASI, 998931374907 SMS O’G’LI, 998501888730 SMS ERI 2, 998501204758  to'lovchi,</t>
        </is>
      </c>
      <c r="G53" s="104" t="inlineStr">
        <is>
          <t xml:space="preserve">BUXORO VILOYATI SHOFIRKON TUMANI PATTAXON MFY, YANGIOBOD q-q, 18-UY</t>
        </is>
      </c>
      <c r="H53" s="105">
        <v>0.0</v>
      </c>
      <c r="I53" s="105">
        <v>2701930.7</v>
      </c>
      <c r="K53" s="104" t="inlineStr">
        <is>
          <t xml:space="preserve">Telefon ko'tarmadi | 13 | 2701930.7</t>
        </is>
      </c>
    </row>
    <row r="54">
      <c r="A54" s="104" t="inlineStr">
        <is>
          <t xml:space="preserve">БУХОРО ВИЛОЯТИ</t>
        </is>
      </c>
      <c r="B54" s="104" t="inlineStr">
        <is>
          <t xml:space="preserve">Бухоро филиали</t>
        </is>
      </c>
      <c r="C54" s="104" t="inlineStr">
        <is>
          <t xml:space="preserve">Недозвон</t>
        </is>
      </c>
      <c r="D54" s="104" t="inlineStr">
        <is>
          <t xml:space="preserve">Кр-99031584-1</t>
        </is>
      </c>
      <c r="E54" s="104" t="inlineStr">
        <is>
          <t xml:space="preserve">NOROVA IRODA NE’MATOVNA</t>
        </is>
      </c>
      <c r="F54" s="104" t="inlineStr">
        <is>
          <t xml:space="preserve">90-809-45-45  SMS O'ZI, 93-372-19-81  SMS QIZI MAFTUNA, 50-758-04-06  SMS QIZI MAHSUDA tanimidi, 91-016-68-42  SMS ONASI, 950378185 opchasi, 998774080081 узи  ,</t>
        </is>
      </c>
      <c r="G54" s="104" t="inlineStr">
        <is>
          <t xml:space="preserve">BUXORO VILOYATI QORAKO’L TUMANI TASHABBUS MFY ADXAM / YUNUSOBOD TUMANI  2-MAVZE 31-UY 45-XONADON </t>
        </is>
      </c>
      <c r="H54" s="105">
        <v>7.0</v>
      </c>
      <c r="I54" s="105">
        <v>1661100.22</v>
      </c>
      <c r="K54" s="104" t="inlineStr">
        <is>
          <t xml:space="preserve">Telefon ko'tarmadi | 8 | 1902638.9762191782</t>
        </is>
      </c>
    </row>
    <row r="55">
      <c r="A55" s="104" t="inlineStr">
        <is>
          <t xml:space="preserve">БУХОРО ВИЛОЯТИ</t>
        </is>
      </c>
      <c r="B55" s="104" t="inlineStr">
        <is>
          <t xml:space="preserve">Бухоро филиали</t>
        </is>
      </c>
      <c r="C55" s="104" t="inlineStr">
        <is>
          <t xml:space="preserve">Недозвон</t>
        </is>
      </c>
      <c r="D55" s="104" t="inlineStr">
        <is>
          <t xml:space="preserve">Кр-99062864-1</t>
        </is>
      </c>
      <c r="E55" s="104" t="inlineStr">
        <is>
          <t xml:space="preserve">MAXMUDOV ALIAKBAR SAIDJONOVICH</t>
        </is>
      </c>
      <c r="F55" s="104" t="inlineStr">
        <is>
          <t xml:space="preserve">+998900650514 SMS, 998507103377 SMS UY, 998905128669 SMS AYOLI,</t>
        </is>
      </c>
      <c r="G55" s="104" t="inlineStr">
        <is>
          <t xml:space="preserve">BUXORO VILOYATI BUXORO SHAHAR AVSHORMAHALLA MFY 77-UY</t>
        </is>
      </c>
      <c r="H55" s="105">
        <v>7.0</v>
      </c>
      <c r="I55" s="105">
        <v>1525915.65</v>
      </c>
      <c r="K55" s="104" t="inlineStr">
        <is>
          <t xml:space="preserve">Telefon ko'tarmadi | 36 | 1850059.660630137</t>
        </is>
      </c>
    </row>
    <row r="56">
      <c r="A56" s="104" t="inlineStr">
        <is>
          <t xml:space="preserve">БУХОРО ВИЛОЯТИ</t>
        </is>
      </c>
      <c r="B56" s="104" t="inlineStr">
        <is>
          <t xml:space="preserve">Бухоро филиали</t>
        </is>
      </c>
      <c r="C56" s="104" t="inlineStr">
        <is>
          <t xml:space="preserve">Объезд</t>
        </is>
      </c>
      <c r="D56" s="104" t="inlineStr">
        <is>
          <t xml:space="preserve">Кр-99032591-1</t>
        </is>
      </c>
      <c r="E56" s="104" t="inlineStr">
        <is>
          <t xml:space="preserve">BOZOROV DILSHOD OLIM O’G’LI</t>
        </is>
      </c>
      <c r="F56" s="104" t="inlineStr">
        <is>
          <t xml:space="preserve">998995853782 SMS O’G’LI, 998940186667 SMS AYOLI(BEGONA), 998938997077 SMS ONASI, 998930831515 SMS HAMKASBI бегона ,</t>
        </is>
      </c>
      <c r="G56" s="104" t="inlineStr">
        <is>
          <t xml:space="preserve">BUXORO VILOYATI ROMITAN TUMANI O'TABEK MFY, PITMON q-q, 6-uy</t>
        </is>
      </c>
      <c r="H56" s="105">
        <v>0.0</v>
      </c>
      <c r="I56" s="105">
        <v>1298935.71</v>
      </c>
      <c r="K56" s="104" t="inlineStr">
        <is>
          <t xml:space="preserve">Uyiga borildi - va'da berdi | 9 | 1298935.71</t>
        </is>
      </c>
    </row>
    <row r="57">
      <c r="A57" s="106" t="inlineStr">
        <is>
          <t xml:space="preserve">БУХОРО ВИЛОЯТИ</t>
        </is>
      </c>
      <c r="B57" s="106" t="inlineStr">
        <is>
          <t xml:space="preserve">Навоий филиали</t>
        </is>
      </c>
      <c r="C57" s="106" t="inlineStr">
        <is>
          <t xml:space="preserve">Недозвон</t>
        </is>
      </c>
      <c r="D57" s="106" t="inlineStr">
        <is>
          <t xml:space="preserve">Кр-99063975-1</t>
        </is>
      </c>
      <c r="E57" s="106" t="inlineStr">
        <is>
          <t xml:space="preserve">QUZIYEV MAQSUD HIKMATULLOYEVICH</t>
        </is>
      </c>
      <c r="F57" s="106" t="inlineStr">
        <is>
          <t xml:space="preserve">998912463904 SINGLISI, 998933147491 AYOLI, 998996229992 O’ZI,</t>
        </is>
      </c>
      <c r="G57" s="106" t="inlineStr">
        <is>
          <t xml:space="preserve">SDFC</t>
        </is>
      </c>
      <c r="H57" s="107">
        <v>7.0</v>
      </c>
      <c r="I57" s="107">
        <v>2067102.93</v>
      </c>
      <c r="K57" s="106" t="inlineStr">
        <is>
          <t xml:space="preserve">Telefon ko'tarmadi | 40 | 3026001.612958904</t>
        </is>
      </c>
    </row>
    <row r="58">
      <c r="A58" s="108" t="inlineStr">
        <is>
          <t xml:space="preserve">ЖИЗЗАХ ВИЛОЯТИ</t>
        </is>
      </c>
      <c r="C58" s="108" t="inlineStr">
        <is>
          <t xml:space="preserve">Недозвон</t>
        </is>
      </c>
      <c r="D58" s="108" t="inlineStr">
        <is>
          <t xml:space="preserve">Кр-99046652-1</t>
        </is>
      </c>
      <c r="E58" s="108" t="inlineStr">
        <is>
          <t xml:space="preserve">GENJEBAYEV MAKSETBAY REYMBAYEVICH</t>
        </is>
      </c>
      <c r="F58" s="108" t="inlineStr">
        <is>
          <t xml:space="preserve">+998919447218 SMS OZI , 998955395000 SMS HOTINI begona, 998972680202 SMS AKASI BEGONA,</t>
        </is>
      </c>
      <c r="G58" s="108" t="inlineStr">
        <is>
          <t xml:space="preserve">JIZZAX VILOYATI PAXTAKOR TUMANI DILOROM MFY NAVRUZ KUCHASI 1/15-UY</t>
        </is>
      </c>
      <c r="H58" s="109">
        <v>73.0</v>
      </c>
      <c r="I58" s="109">
        <v>27141690.9</v>
      </c>
      <c r="K58" s="108" t="inlineStr">
        <is>
          <t xml:space="preserve">Telefon ko'tarmadi</t>
        </is>
      </c>
    </row>
    <row r="59">
      <c r="A59" s="108" t="inlineStr">
        <is>
          <t xml:space="preserve">ЖИЗЗАХ ВИЛОЯТИ</t>
        </is>
      </c>
      <c r="C59" s="108" t="inlineStr">
        <is>
          <t xml:space="preserve">Недозвон</t>
        </is>
      </c>
      <c r="D59" s="108" t="inlineStr">
        <is>
          <t xml:space="preserve">Кр-99025474-1</t>
        </is>
      </c>
      <c r="E59" s="108" t="inlineStr">
        <is>
          <t xml:space="preserve">ABDULLAYEV ABDULAZIZ ABDUVAIT O’G’LI</t>
        </is>
      </c>
      <c r="F59" s="108" t="inlineStr">
        <is>
          <t xml:space="preserve">97-789-92-05 SMS UZI , 88-517-95-05 SMS AYOLI , 97-608-08-98  SMS DUSTI ,</t>
        </is>
      </c>
      <c r="G59" s="108" t="inlineStr">
        <is>
          <t xml:space="preserve">JIZZAX VILOYATI G’ALLAOROL TUMANI</t>
        </is>
      </c>
      <c r="H59" s="109">
        <v>20.0</v>
      </c>
      <c r="I59" s="109">
        <v>9294410.26</v>
      </c>
      <c r="K59" s="108" t="inlineStr">
        <is>
          <t xml:space="preserve">Telefon ko'tarmadi</t>
        </is>
      </c>
    </row>
    <row r="60">
      <c r="A60" s="108" t="inlineStr">
        <is>
          <t xml:space="preserve">ЖИЗЗАХ ВИЛОЯТИ</t>
        </is>
      </c>
      <c r="C60" s="108" t="inlineStr">
        <is>
          <t xml:space="preserve">Недозвон</t>
        </is>
      </c>
      <c r="D60" s="108" t="inlineStr">
        <is>
          <t xml:space="preserve">Кр-99063460-1</t>
        </is>
      </c>
      <c r="E60" s="108" t="inlineStr">
        <is>
          <t xml:space="preserve">AXMEDOV ALISHER KAMALOVICH</t>
        </is>
      </c>
      <c r="F60" s="108" t="inlineStr">
        <is>
          <t xml:space="preserve">998991041481 AYOLI, 998993573881 UKASI,</t>
        </is>
      </c>
      <c r="G60" s="108" t="inlineStr">
        <is>
          <t xml:space="preserve">ШИРИН ҚФЙ, ШИРИН ҚФЙ, ҚУДУҚЧА ҚИШЛОҒИ,  uy:Р.С</t>
        </is>
      </c>
      <c r="H60" s="109">
        <v>10.0</v>
      </c>
      <c r="I60" s="109">
        <v>8621519.0</v>
      </c>
      <c r="K60" s="108" t="inlineStr">
        <is>
          <t xml:space="preserve">Telefon ko'tarmadi</t>
        </is>
      </c>
    </row>
    <row r="61">
      <c r="A61" s="108" t="inlineStr">
        <is>
          <t xml:space="preserve">ЖИЗЗАХ ВИЛОЯТИ</t>
        </is>
      </c>
      <c r="C61" s="108" t="inlineStr">
        <is>
          <t xml:space="preserve">Объезд</t>
        </is>
      </c>
      <c r="D61" s="108" t="inlineStr">
        <is>
          <t xml:space="preserve">Кр-99038833-1</t>
        </is>
      </c>
      <c r="E61" s="108" t="inlineStr">
        <is>
          <t xml:space="preserve">XOSILBEKOV SHUXRAT SAFAROVICH</t>
        </is>
      </c>
      <c r="F61" s="108" t="inlineStr">
        <is>
          <t xml:space="preserve">998941957573 SMS O’ZI, 998935570175 SMS AYOLI, 998945160190 SMS UKASI, 998947277308 SMS SINGLISI,</t>
        </is>
      </c>
      <c r="G61" s="108" t="inlineStr">
        <is>
          <t xml:space="preserve">ZOMIN TUMANI</t>
        </is>
      </c>
      <c r="H61" s="109">
        <v>1.0</v>
      </c>
      <c r="I61" s="109">
        <v>7710283.95</v>
      </c>
      <c r="J61" s="109">
        <v>7710283.95</v>
      </c>
      <c r="K61" s="108" t="inlineStr">
        <is>
          <t xml:space="preserve">Uyiga borildi - to'ladi</t>
        </is>
      </c>
    </row>
    <row r="62">
      <c r="A62" s="108" t="inlineStr">
        <is>
          <t xml:space="preserve">ЖИЗЗАХ ВИЛОЯТИ</t>
        </is>
      </c>
      <c r="C62" s="108" t="inlineStr">
        <is>
          <t xml:space="preserve">Объезд</t>
        </is>
      </c>
      <c r="D62" s="108" t="inlineStr">
        <is>
          <t xml:space="preserve">Кр-99036552-1</t>
        </is>
      </c>
      <c r="E62" s="108" t="inlineStr">
        <is>
          <t xml:space="preserve">ALBEKOVA MUXABAT SAYLIYEVNA</t>
        </is>
      </c>
      <c r="F62" s="108" t="inlineStr">
        <is>
          <t xml:space="preserve">998906437402 SMS TULOVCHI, 998884374488 SMS KUYOVI TOLOVCHI, 998905163139 SMS QIZI, 998915650972 SMS UZI,</t>
        </is>
      </c>
      <c r="G62" s="108" t="inlineStr">
        <is>
          <t xml:space="preserve">JIZZAX VILOYATI JIZZAX SHAHRI XAMID OLIMJON MFY QANGLI KUCHASI 18-UY </t>
        </is>
      </c>
      <c r="H62" s="109">
        <v>8.0</v>
      </c>
      <c r="I62" s="109">
        <v>7549466.09</v>
      </c>
      <c r="K62" s="108" t="inlineStr">
        <is>
          <t xml:space="preserve">Uyiga borildi - va'da berdi | yorqin tema</t>
        </is>
      </c>
    </row>
    <row r="63">
      <c r="A63" s="108" t="inlineStr">
        <is>
          <t xml:space="preserve">ЖИЗЗАХ ВИЛОЯТИ</t>
        </is>
      </c>
      <c r="C63" s="108" t="inlineStr">
        <is>
          <t xml:space="preserve">Объезд</t>
        </is>
      </c>
      <c r="D63" s="108" t="inlineStr">
        <is>
          <t xml:space="preserve">Кр-99063392-1</t>
        </is>
      </c>
      <c r="E63" s="108" t="inlineStr">
        <is>
          <t xml:space="preserve">BERDIYAROV TO’RAMUROD XUDOYKULOVICH</t>
        </is>
      </c>
      <c r="F63" s="108" t="inlineStr">
        <is>
          <t xml:space="preserve">998501568064 UZI, 998939931883 AYOLI, 998943438583 ONAS,</t>
        </is>
      </c>
      <c r="G63" s="108" t="inlineStr">
        <is>
          <t xml:space="preserve">БОГИШАМОЛ КФЙ, БОГИШАМОЛ КФЙ, МУГОЛ КИШЛОГИ,  uy:РАКАМСИЗ</t>
        </is>
      </c>
      <c r="H63" s="109">
        <v>10.0</v>
      </c>
      <c r="I63" s="109">
        <v>6308129.35</v>
      </c>
      <c r="K63" s="108" t="inlineStr">
        <is>
          <t xml:space="preserve">Uyiga borildi - va'da berdi</t>
        </is>
      </c>
    </row>
    <row r="64">
      <c r="A64" s="108" t="inlineStr">
        <is>
          <t xml:space="preserve">ЖИЗЗАХ ВИЛОЯТИ</t>
        </is>
      </c>
      <c r="C64" s="108" t="inlineStr">
        <is>
          <t xml:space="preserve">Недозвон</t>
        </is>
      </c>
      <c r="D64" s="108" t="inlineStr">
        <is>
          <t xml:space="preserve">Кр-99035257-1</t>
        </is>
      </c>
      <c r="E64" s="108" t="inlineStr">
        <is>
          <t xml:space="preserve">ERGASHEV FARHOD RUSTAM O’G’LI</t>
        </is>
      </c>
      <c r="F64" s="108" t="inlineStr">
        <is>
          <t xml:space="preserve">998902867999 SMS O’ZI, 998983002221 SMS BEGONA, 998988800454 SMS AKASI2, 998973261762 SMS Ayasi, 998995772760 sms dadasi begona ,</t>
        </is>
      </c>
      <c r="G64" s="108" t="inlineStr">
        <is>
          <t xml:space="preserve">JIZZAX VILOYATI BAXMAL TUMANI USMAT SHAXARCHASI DO’STLIK MFY DO’STLIK KUCHASI 20-UY </t>
        </is>
      </c>
      <c r="H64" s="109">
        <v>3.0</v>
      </c>
      <c r="I64" s="109">
        <v>6261356.1</v>
      </c>
      <c r="K64" s="108" t="inlineStr">
        <is>
          <t xml:space="preserve">Telefon ko'tarmadi</t>
        </is>
      </c>
    </row>
    <row r="65">
      <c r="A65" s="108" t="inlineStr">
        <is>
          <t xml:space="preserve">ЖИЗЗАХ ВИЛОЯТИ</t>
        </is>
      </c>
      <c r="C65" s="108" t="inlineStr">
        <is>
          <t xml:space="preserve">Недозвон</t>
        </is>
      </c>
      <c r="D65" s="108" t="inlineStr">
        <is>
          <t xml:space="preserve">Кр-99025603-3</t>
        </is>
      </c>
      <c r="E65" s="108" t="inlineStr">
        <is>
          <t xml:space="preserve">AXMEDOVA MAXFUZA NIZOMIDDIN QIZI</t>
        </is>
      </c>
      <c r="F65" s="108" t="inlineStr">
        <is>
          <t xml:space="preserve">94-340-56-52 SMS ERI TULOVCHI, 94-194-74-14 SMS ONASI, 94-572-25-30 SMS URTOGI,</t>
        </is>
      </c>
      <c r="G65" s="108" t="inlineStr">
        <is>
          <t xml:space="preserve">JIZZAX VILOYATI DO’STLIK TUMANI CHARAG’ON MANAS QFY 13-1</t>
        </is>
      </c>
      <c r="H65" s="109">
        <v>122.0</v>
      </c>
      <c r="I65" s="109">
        <v>6223600.6</v>
      </c>
      <c r="K65" s="108" t="inlineStr">
        <is>
          <t xml:space="preserve">Telefon ko'tarmadi | yorqin tema</t>
        </is>
      </c>
    </row>
    <row r="66">
      <c r="A66" s="108" t="inlineStr">
        <is>
          <t xml:space="preserve">ЖИЗЗАХ ВИЛОЯТИ</t>
        </is>
      </c>
      <c r="C66" s="108" t="inlineStr">
        <is>
          <t xml:space="preserve">Недозвон</t>
        </is>
      </c>
      <c r="D66" s="108" t="inlineStr">
        <is>
          <t xml:space="preserve">Кр-99040190-1</t>
        </is>
      </c>
      <c r="E66" s="108" t="inlineStr">
        <is>
          <t xml:space="preserve">XODJIMURATOV MAMARAXIM USKANOVICH</t>
        </is>
      </c>
      <c r="F66" s="108" t="inlineStr">
        <is>
          <t xml:space="preserve">998994798433 SMS OZI, 998992780316 SMS OZI NEW, 998773162199  SMS SINGLISI, 998990301519 SMS  QIZI , 998773479799 SMS TO’LOVCHI,</t>
        </is>
      </c>
      <c r="G66" s="108" t="inlineStr">
        <is>
          <t xml:space="preserve">JIZZAX VILOYATI ZOMIN TUMANI NIHOL MFY YANGI OVUL QISHLOG’I 70-UY </t>
        </is>
      </c>
      <c r="H66" s="109">
        <v>10.0</v>
      </c>
      <c r="I66" s="109">
        <v>6063681.25</v>
      </c>
      <c r="K66" s="108" t="inlineStr">
        <is>
          <t xml:space="preserve">Telefon ko'tarmadi</t>
        </is>
      </c>
    </row>
    <row r="67">
      <c r="A67" s="108" t="inlineStr">
        <is>
          <t xml:space="preserve">ЖИЗЗАХ ВИЛОЯТИ</t>
        </is>
      </c>
      <c r="C67" s="108" t="inlineStr">
        <is>
          <t xml:space="preserve">Объезд</t>
        </is>
      </c>
      <c r="D67" s="108" t="inlineStr">
        <is>
          <t xml:space="preserve">Кр-99030311-1</t>
        </is>
      </c>
      <c r="E67" s="108" t="inlineStr">
        <is>
          <t xml:space="preserve">SHERANOV SHERZOD ZULFAROVICH</t>
        </is>
      </c>
      <c r="F67" s="108" t="inlineStr">
        <is>
          <t xml:space="preserve">94-922-86-60  SMS O'ZI, 91-943-85-05 SMS O’ZI 2, 94-922-86-60 SMS  UY, 93-304-52-56 SMS  OTASI,</t>
        </is>
      </c>
      <c r="G67" s="108" t="inlineStr">
        <is>
          <t xml:space="preserve">JIZZAX VILOYATI ZARBDOR TUMANI DO’STLIK SHAXARCHASI SHODLIK MFY ISTIQBOL KUCHASI 43-UY </t>
        </is>
      </c>
      <c r="H67" s="109">
        <v>164.0</v>
      </c>
      <c r="I67" s="109">
        <v>5460425.89</v>
      </c>
      <c r="K67" s="108" t="inlineStr">
        <is>
          <t xml:space="preserve">Uyiga borildi - va'da berdi | yorqin tema</t>
        </is>
      </c>
    </row>
    <row r="68">
      <c r="A68" s="108" t="inlineStr">
        <is>
          <t xml:space="preserve">ЖИЗЗАХ ВИЛОЯТИ</t>
        </is>
      </c>
      <c r="C68" s="108" t="inlineStr">
        <is>
          <t xml:space="preserve">Объезд</t>
        </is>
      </c>
      <c r="D68" s="108" t="inlineStr">
        <is>
          <t xml:space="preserve">Кр-99021925-1</t>
        </is>
      </c>
      <c r="E68" s="108" t="inlineStr">
        <is>
          <t xml:space="preserve">ISMOILOVA NARGIZA ABDUSALIYEVNA</t>
        </is>
      </c>
      <c r="F68" s="108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68" s="108" t="inlineStr">
        <is>
          <t xml:space="preserve">JIZZAX VILOYATI SHAROF RASHIDOV TUMANI QANG'LI QFY ARISHLI MAHALLASI ZIYOKOR KUCHASI 4-UY</t>
        </is>
      </c>
      <c r="H68" s="109">
        <v>3.0</v>
      </c>
      <c r="I68" s="109">
        <v>5112052.46</v>
      </c>
      <c r="K68" s="108" t="inlineStr">
        <is>
          <t xml:space="preserve">Uyiga borildi - va'da berdi</t>
        </is>
      </c>
    </row>
    <row r="69">
      <c r="A69" s="108" t="inlineStr">
        <is>
          <t xml:space="preserve">ЖИЗЗАХ ВИЛОЯТИ</t>
        </is>
      </c>
      <c r="C69" s="108" t="inlineStr">
        <is>
          <t xml:space="preserve">Объезд</t>
        </is>
      </c>
      <c r="D69" s="108" t="inlineStr">
        <is>
          <t xml:space="preserve">Кр-99042640-1</t>
        </is>
      </c>
      <c r="E69" s="108" t="inlineStr">
        <is>
          <t xml:space="preserve">XO’JAQULOV FURQAT JAYNAROVICH</t>
        </is>
      </c>
      <c r="F69" s="108" t="inlineStr">
        <is>
          <t xml:space="preserve">+998771070575 SMS, 998932920870 SMS, 998990343029 SMS,</t>
        </is>
      </c>
      <c r="G69" s="108" t="inlineStr">
        <is>
          <t xml:space="preserve">JIZZAX VILOYATI ZAFAROBOD TUMANI BIRLIK QFY RUDAKIY KUCHASI 4-A UY</t>
        </is>
      </c>
      <c r="H69" s="109">
        <v>10.0</v>
      </c>
      <c r="I69" s="109">
        <v>4645444.05</v>
      </c>
      <c r="K69" s="108" t="inlineStr">
        <is>
          <t xml:space="preserve">Uyiga borildi - va'da berdi</t>
        </is>
      </c>
    </row>
    <row r="70">
      <c r="A70" s="108" t="inlineStr">
        <is>
          <t xml:space="preserve">ЖИЗЗАХ ВИЛОЯТИ</t>
        </is>
      </c>
      <c r="C70" s="108" t="inlineStr">
        <is>
          <t xml:space="preserve">Недозвон</t>
        </is>
      </c>
      <c r="D70" s="108" t="inlineStr">
        <is>
          <t xml:space="preserve">Кр-99063358-1</t>
        </is>
      </c>
      <c r="E70" s="108" t="inlineStr">
        <is>
          <t xml:space="preserve">TURAKULOVA DILRABO KARIMOVNA</t>
        </is>
      </c>
      <c r="F70" s="108" t="inlineStr">
        <is>
          <t xml:space="preserve">998888926464 UY, 998918951189 UZI, 998985611189 ERI,</t>
        </is>
      </c>
      <c r="G70" s="108" t="inlineStr">
        <is>
          <t xml:space="preserve">JIZZAX VILOYATI JIZZAX SHAHRI OBOD MFY MINORLI KUCHASI 126B-UY</t>
        </is>
      </c>
      <c r="H70" s="109">
        <v>10.0</v>
      </c>
      <c r="I70" s="109">
        <v>4224639.45</v>
      </c>
      <c r="K70" s="108" t="inlineStr">
        <is>
          <t xml:space="preserve">Telefon ko'tarmadi</t>
        </is>
      </c>
    </row>
    <row r="71">
      <c r="A71" s="108" t="inlineStr">
        <is>
          <t xml:space="preserve">ЖИЗЗАХ ВИЛОЯТИ</t>
        </is>
      </c>
      <c r="C71" s="108" t="inlineStr">
        <is>
          <t xml:space="preserve">Объезд</t>
        </is>
      </c>
      <c r="D71" s="108" t="inlineStr">
        <is>
          <t xml:space="preserve">Кр-99063375-1</t>
        </is>
      </c>
      <c r="E71" s="108" t="inlineStr">
        <is>
          <t xml:space="preserve">AG’LAMOV AZIMXON AKRAM O’G’LI</t>
        </is>
      </c>
      <c r="F71" s="108" t="inlineStr">
        <is>
          <t xml:space="preserve">998881511212 AKASI, 998915981212 AKASI, 998970105070 UZI,</t>
        </is>
      </c>
      <c r="G71" s="108" t="inlineStr">
        <is>
          <t xml:space="preserve">УЧАРИК МФЙ, ХАМЗАОБОД, ФИРДАВСИЙ,  uy:9</t>
        </is>
      </c>
      <c r="H71" s="109">
        <v>10.0</v>
      </c>
      <c r="I71" s="109">
        <v>3915897.31</v>
      </c>
      <c r="K71" s="108" t="inlineStr">
        <is>
          <t xml:space="preserve">Uyiga borildi - va'da berdi</t>
        </is>
      </c>
    </row>
    <row r="72">
      <c r="A72" s="108" t="inlineStr">
        <is>
          <t xml:space="preserve">ЖИЗЗАХ ВИЛОЯТИ</t>
        </is>
      </c>
      <c r="C72" s="108" t="inlineStr">
        <is>
          <t xml:space="preserve">Недозвон</t>
        </is>
      </c>
      <c r="D72" s="108" t="inlineStr">
        <is>
          <t xml:space="preserve">Кр-99031840-1</t>
        </is>
      </c>
      <c r="E72" s="108" t="inlineStr">
        <is>
          <t xml:space="preserve">UKTAMOV KOMILJON G’ULOMJON O’G’LI</t>
        </is>
      </c>
      <c r="F72" s="108" t="inlineStr">
        <is>
          <t xml:space="preserve">998947060276 SMS O’ZI, 998996837171 SMS Uzi, 998883472121 SMS AKASI, 998941621146 SMS ONASI,</t>
        </is>
      </c>
      <c r="G72" s="108" t="inlineStr">
        <is>
          <t xml:space="preserve">JIZZAX VILOYATI SH.RASHIDOV TUMANI BUSTON MFY YOSHLIK KUCHASI 3-UY </t>
        </is>
      </c>
      <c r="H72" s="109">
        <v>3.0</v>
      </c>
      <c r="I72" s="109">
        <v>3851979.19</v>
      </c>
      <c r="K72" s="108" t="inlineStr">
        <is>
          <t xml:space="preserve">Telefon ko'tarmadi | tel qiliw kerak</t>
        </is>
      </c>
    </row>
    <row r="73">
      <c r="A73" s="108" t="inlineStr">
        <is>
          <t xml:space="preserve">ЖИЗЗАХ ВИЛОЯТИ</t>
        </is>
      </c>
      <c r="C73" s="108" t="inlineStr">
        <is>
          <t xml:space="preserve">Недозвон</t>
        </is>
      </c>
      <c r="D73" s="108" t="inlineStr">
        <is>
          <t xml:space="preserve">Кр-99003082-6</t>
        </is>
      </c>
      <c r="E73" s="108" t="inlineStr">
        <is>
          <t xml:space="preserve">TO’XTAYEV RASHID RAXMONQULOVICH</t>
        </is>
      </c>
      <c r="F73" s="108" t="inlineStr">
        <is>
          <t xml:space="preserve">998881535010 SMS O’ZI, 998912352020 SMS BEGONA, 998979809700 SMS UKASI, 998915964295 SMS ozi shunga qilinsin ,</t>
        </is>
      </c>
      <c r="G73" s="108" t="inlineStr">
        <is>
          <t xml:space="preserve">JIZZAX VILOYATI SHAROF RASHIDOV TUMANI ZIYOKOR MFY ZIYOKOR KO'CHASI 96-UY</t>
        </is>
      </c>
      <c r="H73" s="109">
        <v>3.0</v>
      </c>
      <c r="I73" s="109">
        <v>3507615.98</v>
      </c>
      <c r="K73" s="108" t="inlineStr">
        <is>
          <t xml:space="preserve">Telefon ko'tarmadi</t>
        </is>
      </c>
    </row>
    <row r="74">
      <c r="A74" s="108" t="inlineStr">
        <is>
          <t xml:space="preserve">ЖИЗЗАХ ВИЛОЯТИ</t>
        </is>
      </c>
      <c r="C74" s="108" t="inlineStr">
        <is>
          <t xml:space="preserve">Недозвон</t>
        </is>
      </c>
      <c r="D74" s="108" t="inlineStr">
        <is>
          <t xml:space="preserve">Кр-99052135-1</t>
        </is>
      </c>
      <c r="E74" s="108" t="inlineStr">
        <is>
          <t xml:space="preserve">TURAKULOV SIROJIDDIN SUNNAT O’G’LI</t>
        </is>
      </c>
      <c r="F74" s="108" t="inlineStr">
        <is>
          <t xml:space="preserve">998919421111 UY, 998993447700 sms new uz,</t>
        </is>
      </c>
      <c r="G74" s="108" t="inlineStr">
        <is>
          <t xml:space="preserve">ЗИЛОЛ, ЗИЛОЛ, ЯНГИОБОД,  uy:30</t>
        </is>
      </c>
      <c r="H74" s="109">
        <v>14.0</v>
      </c>
      <c r="I74" s="109">
        <v>3464883.59</v>
      </c>
      <c r="K74" s="108" t="inlineStr">
        <is>
          <t xml:space="preserve">Telefon ko'tarmadi | tel qiliw kerak</t>
        </is>
      </c>
    </row>
    <row r="75">
      <c r="A75" s="108" t="inlineStr">
        <is>
          <t xml:space="preserve">ЖИЗЗАХ ВИЛОЯТИ</t>
        </is>
      </c>
      <c r="C75" s="108" t="inlineStr">
        <is>
          <t xml:space="preserve">Недозвон</t>
        </is>
      </c>
      <c r="D75" s="108" t="inlineStr">
        <is>
          <t xml:space="preserve">Кр-99035229-1</t>
        </is>
      </c>
      <c r="E75" s="108" t="inlineStr">
        <is>
          <t xml:space="preserve">XOJAMBERDIYEVA GULNOZA SHAVKATOVNA</t>
        </is>
      </c>
      <c r="F75" s="108" t="inlineStr">
        <is>
          <t xml:space="preserve">998884843344 SMS ERI , 998992335888 SMS O’ZI, 998883566521 SMS DO’STI, 998932103564 SMS UY, 998933007076 SMS ERI GULNOZANI, 998884814433 tulovchi,</t>
        </is>
      </c>
      <c r="G75" s="108" t="inlineStr">
        <is>
          <t xml:space="preserve">JIZZAX VILOYATI ZARBDOR TUMANI SHODLIK MFY NIHOL KUCHASI 19-UY </t>
        </is>
      </c>
      <c r="H75" s="109">
        <v>6.0</v>
      </c>
      <c r="I75" s="109">
        <v>3418638.32</v>
      </c>
      <c r="K75" s="108" t="inlineStr">
        <is>
          <t xml:space="preserve">Telefon ko'tarmadi</t>
        </is>
      </c>
    </row>
    <row r="76">
      <c r="A76" s="108" t="inlineStr">
        <is>
          <t xml:space="preserve">ЖИЗЗАХ ВИЛОЯТИ</t>
        </is>
      </c>
      <c r="C76" s="108" t="inlineStr">
        <is>
          <t xml:space="preserve">Объезд</t>
        </is>
      </c>
      <c r="D76" s="108" t="inlineStr">
        <is>
          <t xml:space="preserve">Кр-99040996-1</t>
        </is>
      </c>
      <c r="E76" s="108" t="inlineStr">
        <is>
          <t xml:space="preserve">BOBAQULOV JASUR INOMOVICH</t>
        </is>
      </c>
      <c r="F76" s="108" t="inlineStr">
        <is>
          <t xml:space="preserve">998959118222 SMS OZI, 998888481114 SMS AYOLI, 998956311666 SMS UY, 998915935501 SMS SINGLISI,</t>
        </is>
      </c>
      <c r="G76" s="108" t="inlineStr">
        <is>
          <t xml:space="preserve">JIZZAX VILOYATI SH.RASHIDOV TUMANI UCHTEPA MFY BESHQAYRAGOCH KUCHASI 168-UY </t>
        </is>
      </c>
      <c r="H76" s="109">
        <v>10.0</v>
      </c>
      <c r="I76" s="109">
        <v>3196871.89</v>
      </c>
      <c r="K76" s="108" t="inlineStr">
        <is>
          <t xml:space="preserve">Uyiga borildi - va'da berdi</t>
        </is>
      </c>
    </row>
    <row r="77">
      <c r="A77" s="108" t="inlineStr">
        <is>
          <t xml:space="preserve">ЖИЗЗАХ ВИЛОЯТИ</t>
        </is>
      </c>
      <c r="C77" s="108" t="inlineStr">
        <is>
          <t xml:space="preserve">Недозвон</t>
        </is>
      </c>
      <c r="D77" s="108" t="inlineStr">
        <is>
          <t xml:space="preserve">Кр-99039978-1</t>
        </is>
      </c>
      <c r="E77" s="108" t="inlineStr">
        <is>
          <t xml:space="preserve">ABDUG’AFFOROV SHAHZOD FARXOD O’G’LI</t>
        </is>
      </c>
      <c r="F77" s="108" t="inlineStr">
        <is>
          <t xml:space="preserve">998978467171 SMS OZI, 998970797177 SMS AYOLI, 998996860929 SMS UKASI, 998940131831 SMS JORASI, 998700459666 sms uzi, 998775240110 sms uzi,</t>
        </is>
      </c>
      <c r="G77" s="108" t="inlineStr">
        <is>
          <t xml:space="preserve">JIZZAX VILOYATI JIZZAX TUMANI QANGLI MFY MARHAMAT KUCHASI 92-UY </t>
        </is>
      </c>
      <c r="H77" s="109">
        <v>10.0</v>
      </c>
      <c r="I77" s="109">
        <v>3188130.78</v>
      </c>
      <c r="K77" s="108" t="inlineStr">
        <is>
          <t xml:space="preserve">Telefon ko'tarmadi</t>
        </is>
      </c>
    </row>
    <row r="78">
      <c r="A78" s="108" t="inlineStr">
        <is>
          <t xml:space="preserve">ЖИЗЗАХ ВИЛОЯТИ</t>
        </is>
      </c>
      <c r="C78" s="108" t="inlineStr">
        <is>
          <t xml:space="preserve">Недозвон</t>
        </is>
      </c>
      <c r="D78" s="108" t="inlineStr">
        <is>
          <t xml:space="preserve">Кр-99057656-1</t>
        </is>
      </c>
      <c r="E78" s="108" t="inlineStr">
        <is>
          <t xml:space="preserve">KASIMOVA LOLA NARBAYEVNA</t>
        </is>
      </c>
      <c r="F78" s="108" t="inlineStr">
        <is>
          <t xml:space="preserve">998938238558 SMS UZI, 998934072545 SMS KUYOVI, 998941540825 SMS QIZI,</t>
        </is>
      </c>
      <c r="G78" s="108" t="inlineStr">
        <is>
          <t xml:space="preserve">JIZZAX VILOYATI G'ALLAOROL TUMANI OLIMLAR MFY LALMIKOR KUCHASI 41-UY</t>
        </is>
      </c>
      <c r="H78" s="109">
        <v>10.0</v>
      </c>
      <c r="I78" s="109">
        <v>2920144.84</v>
      </c>
      <c r="K78" s="108" t="inlineStr">
        <is>
          <t xml:space="preserve">Telefon ko'tarmadi | tel qiliw kerak</t>
        </is>
      </c>
    </row>
    <row r="79">
      <c r="A79" s="108" t="inlineStr">
        <is>
          <t xml:space="preserve">ЖИЗЗАХ ВИЛОЯТИ</t>
        </is>
      </c>
      <c r="C79" s="108" t="inlineStr">
        <is>
          <t xml:space="preserve">Объезд</t>
        </is>
      </c>
      <c r="D79" s="108" t="inlineStr">
        <is>
          <t xml:space="preserve">Кр-99039896-1</t>
        </is>
      </c>
      <c r="E79" s="108" t="inlineStr">
        <is>
          <t xml:space="preserve">UMMATOV JAVLON MAVLONOVICH</t>
        </is>
      </c>
      <c r="F79" s="108" t="inlineStr">
        <is>
          <t xml:space="preserve">998959172024 SMS OZI, 998957701676 SMS UKASI, 998957741676 SMS SINGLIASI, 998911956219 SMS DADASI, 998995247977 sms uzi mew, 998995247977 sms uzi new,</t>
        </is>
      </c>
      <c r="G79" s="108" t="inlineStr">
        <is>
          <t xml:space="preserve">JIZZAX VILOYATI SH.RASHIDOV TUMANI UCH TEPA MFY GUNCHA KUCHASI 97-UY </t>
        </is>
      </c>
      <c r="H79" s="109">
        <v>10.0</v>
      </c>
      <c r="I79" s="109">
        <v>2824533.3</v>
      </c>
      <c r="K79" s="108" t="inlineStr">
        <is>
          <t xml:space="preserve">Uyiga borildi - va'da berdi</t>
        </is>
      </c>
    </row>
    <row r="80">
      <c r="A80" s="108" t="inlineStr">
        <is>
          <t xml:space="preserve">ЖИЗЗАХ ВИЛОЯТИ</t>
        </is>
      </c>
      <c r="C80" s="108" t="inlineStr">
        <is>
          <t xml:space="preserve">Объезд</t>
        </is>
      </c>
      <c r="D80" s="108" t="inlineStr">
        <is>
          <t xml:space="preserve">Кр-99041710-1</t>
        </is>
      </c>
      <c r="E80" s="108" t="inlineStr">
        <is>
          <t xml:space="preserve">MAMARAJABOVA ZULOYXA ABDUMALIK QIZI</t>
        </is>
      </c>
      <c r="F80" s="108" t="inlineStr">
        <is>
          <t xml:space="preserve">998339269697 SMS, 998931049616 SMS,</t>
        </is>
      </c>
      <c r="G80" s="108" t="inlineStr">
        <is>
          <t xml:space="preserve">JIZZAX VILOYATI BAXMAL TUMANI TONGOTAR MFY QUSHTEPA QISHLOGI 65-UY</t>
        </is>
      </c>
      <c r="H80" s="109">
        <v>10.0</v>
      </c>
      <c r="I80" s="109">
        <v>2497483.08</v>
      </c>
      <c r="J80" s="109">
        <v>2497483.08</v>
      </c>
      <c r="K80" s="108" t="inlineStr">
        <is>
          <t xml:space="preserve">Uyiga borildi - to'ladi | qisman tolov qildi</t>
        </is>
      </c>
    </row>
    <row r="81">
      <c r="A81" s="108" t="inlineStr">
        <is>
          <t xml:space="preserve">ЖИЗЗАХ ВИЛОЯТИ</t>
        </is>
      </c>
      <c r="C81" s="108" t="inlineStr">
        <is>
          <t xml:space="preserve">Недозвон</t>
        </is>
      </c>
      <c r="D81" s="108" t="inlineStr">
        <is>
          <t xml:space="preserve">Кр-99011601-5</t>
        </is>
      </c>
      <c r="E81" s="108" t="inlineStr">
        <is>
          <t xml:space="preserve">JO’RAQULOV JAVLONJON QAHRAMON O’G’LI</t>
        </is>
      </c>
      <c r="F81" s="108" t="inlineStr">
        <is>
          <t xml:space="preserve">88-126-00-25 SMS UZI, 97-482-53-53 SMS AYOLI, 88-437-53-53 SMS OTASI, 97-127-53-53 SMS AYOLI, 998776406865 SMS Ukasi tolovchi,</t>
        </is>
      </c>
      <c r="G81" s="108" t="inlineStr">
        <is>
          <t xml:space="preserve">JIZZAX VILOYATI JIZZAX TUMANI OLMACHI MAHALLASI OLMACHI KUCHASI 9/9 UY</t>
        </is>
      </c>
      <c r="H81" s="109">
        <v>10.0</v>
      </c>
      <c r="I81" s="109">
        <v>2129082.41</v>
      </c>
    </row>
    <row r="82">
      <c r="A82" s="108" t="inlineStr">
        <is>
          <t xml:space="preserve">ЖИЗЗАХ ВИЛОЯТИ</t>
        </is>
      </c>
      <c r="C82" s="108" t="inlineStr">
        <is>
          <t xml:space="preserve">Объезд</t>
        </is>
      </c>
      <c r="D82" s="108" t="inlineStr">
        <is>
          <t xml:space="preserve">Кр-99060382-1</t>
        </is>
      </c>
      <c r="E82" s="108" t="inlineStr">
        <is>
          <t xml:space="preserve">XONIMKULOV XURSHID UMARKUL O’G’LI</t>
        </is>
      </c>
      <c r="F82" s="108" t="inlineStr">
        <is>
          <t xml:space="preserve">998991027333 узи, 998915900150 аели, 998911968898 шериги,</t>
        </is>
      </c>
      <c r="G82" s="108" t="inlineStr">
        <is>
          <t xml:space="preserve">JIZZAX VILOYATI JIZZAX TUMANI BUNYODKOR MFY LOLAZOR KUCHASI 1A-UY</t>
        </is>
      </c>
      <c r="H82" s="109">
        <v>13.0</v>
      </c>
      <c r="I82" s="109">
        <v>1908130.27</v>
      </c>
      <c r="K82" s="108" t="inlineStr">
        <is>
          <t xml:space="preserve">Uyiga borildi - va'da berdi</t>
        </is>
      </c>
    </row>
    <row r="83">
      <c r="A83" s="108" t="inlineStr">
        <is>
          <t xml:space="preserve">ЖИЗЗАХ ВИЛОЯТИ</t>
        </is>
      </c>
      <c r="C83" s="108" t="inlineStr">
        <is>
          <t xml:space="preserve">Недозвон</t>
        </is>
      </c>
      <c r="D83" s="108" t="inlineStr">
        <is>
          <t xml:space="preserve">Кр-99038736-1</t>
        </is>
      </c>
      <c r="E83" s="108" t="inlineStr">
        <is>
          <t xml:space="preserve">ARZIKULOV SOBIRJON BAXTIYOR O’G’LI</t>
        </is>
      </c>
      <c r="F83" s="108" t="inlineStr">
        <is>
          <t xml:space="preserve">998940337077 SMS OZI, 998332952405 SMS DADASI, 998904951880 SMS ONASI, 998772679767 SMS UKASI,</t>
        </is>
      </c>
      <c r="G83" s="108" t="inlineStr">
        <is>
          <t xml:space="preserve">JIZZAX VILOYATI JIZZAX SHAHAR NAVRUZ MFY UZBEKISTAN KUCHASI 38-UY </t>
        </is>
      </c>
      <c r="H83" s="109">
        <v>9.0</v>
      </c>
      <c r="I83" s="109">
        <v>1752175.0</v>
      </c>
      <c r="K83" s="108" t="inlineStr">
        <is>
          <t xml:space="preserve">Telefon ko'tarmadi</t>
        </is>
      </c>
    </row>
    <row r="84">
      <c r="A84" s="108" t="inlineStr">
        <is>
          <t xml:space="preserve">ЖИЗЗАХ ВИЛОЯТИ</t>
        </is>
      </c>
      <c r="C84" s="108" t="inlineStr">
        <is>
          <t xml:space="preserve">Недозвон</t>
        </is>
      </c>
      <c r="D84" s="108" t="inlineStr">
        <is>
          <t xml:space="preserve">Кр-99063112-1</t>
        </is>
      </c>
      <c r="E84" s="108" t="inlineStr">
        <is>
          <t xml:space="preserve">USANOVA FOTIMA ABDURASHIDOVNA</t>
        </is>
      </c>
      <c r="F84" s="108" t="inlineStr">
        <is>
          <t xml:space="preserve">+998915026065 SMS OZI, 998700113077 KATTA O’G’LI, 998881459555 O’RTANCHA O’G’LI,</t>
        </is>
      </c>
      <c r="G84" s="108" t="inlineStr">
        <is>
          <t xml:space="preserve">BAXMAL TUMANI</t>
        </is>
      </c>
      <c r="I84" s="109">
        <v>1648406.61</v>
      </c>
      <c r="K84" s="108" t="inlineStr">
        <is>
          <t xml:space="preserve">Telefon ko'tarmadi</t>
        </is>
      </c>
    </row>
    <row r="85">
      <c r="A85" s="108" t="inlineStr">
        <is>
          <t xml:space="preserve">ЖИЗЗАХ ВИЛОЯТИ</t>
        </is>
      </c>
      <c r="C85" s="108" t="inlineStr">
        <is>
          <t xml:space="preserve">Объезд</t>
        </is>
      </c>
      <c r="D85" s="108" t="inlineStr">
        <is>
          <t xml:space="preserve">Кр-99026372-3</t>
        </is>
      </c>
      <c r="E85" s="108" t="inlineStr">
        <is>
          <t xml:space="preserve">ARIPOV FAXRIDDIN JO’MANOVICH</t>
        </is>
      </c>
      <c r="F85" s="108" t="inlineStr">
        <is>
          <t xml:space="preserve">94-138-50-20 SMS UZI , 91-209-90-77 SMS UZI, 94-001-51-35 SMS UY, 91-028-70-28 SMS AYOLI,</t>
        </is>
      </c>
      <c r="G85" s="108" t="inlineStr">
        <is>
          <t xml:space="preserve">JIZZAX VILOYATI MARJONBULOQ SHMB LALMIKOR MFY NAVRO’Z MAHALLASI 60-UY</t>
        </is>
      </c>
      <c r="H85" s="109">
        <v>10.0</v>
      </c>
      <c r="I85" s="109">
        <v>1508602.38</v>
      </c>
      <c r="J85" s="109">
        <v>1508602.38</v>
      </c>
      <c r="K85" s="108" t="inlineStr">
        <is>
          <t xml:space="preserve">Uyiga borildi - to'ladi</t>
        </is>
      </c>
    </row>
    <row r="86">
      <c r="A86" s="108" t="inlineStr">
        <is>
          <t xml:space="preserve">ЖИЗЗАХ ВИЛОЯТИ</t>
        </is>
      </c>
      <c r="C86" s="108" t="inlineStr">
        <is>
          <t xml:space="preserve">Недозвон</t>
        </is>
      </c>
      <c r="D86" s="108" t="inlineStr">
        <is>
          <t xml:space="preserve">Кр-99052917-1</t>
        </is>
      </c>
      <c r="E86" s="108" t="inlineStr">
        <is>
          <t xml:space="preserve">ABDUALIMOV OZODJON ABDURAXIM O’G’LI</t>
        </is>
      </c>
      <c r="F86" s="108" t="inlineStr">
        <is>
          <t xml:space="preserve">998911972123 SMS OZI, 998915681200 SMS AYOLI, 999156813002 SMS OZI 2,</t>
        </is>
      </c>
      <c r="G86" s="108" t="inlineStr">
        <is>
          <t xml:space="preserve">JIZZAX VILOYATI JIZZAX SHAHRI OQQURG'ONLIK MAHALLASI YU SALIMOV KUCHASI 70-UY</t>
        </is>
      </c>
      <c r="H86" s="109">
        <v>10.0</v>
      </c>
      <c r="I86" s="109">
        <v>1478019.58</v>
      </c>
      <c r="K86" s="108" t="inlineStr">
        <is>
          <t xml:space="preserve">Telefon ko'tarmadi</t>
        </is>
      </c>
    </row>
    <row r="87">
      <c r="A87" s="108" t="inlineStr">
        <is>
          <t xml:space="preserve">ЖИЗЗАХ ВИЛОЯТИ</t>
        </is>
      </c>
      <c r="C87" s="108" t="inlineStr">
        <is>
          <t xml:space="preserve">Недозвон</t>
        </is>
      </c>
      <c r="D87" s="108" t="inlineStr">
        <is>
          <t xml:space="preserve">Кр-99018090-4</t>
        </is>
      </c>
      <c r="E87" s="108" t="inlineStr">
        <is>
          <t xml:space="preserve">JONIQULOV YOLQIN BAXODIR O’G’LI</t>
        </is>
      </c>
      <c r="F87" s="108" t="inlineStr">
        <is>
          <t xml:space="preserve">97-326-55-99- SMS UZI , 33-326-55-99  SMS UZI 2, 99-447-40-40  SMS AKASI, 93-290-03-30  SMS AKASI2,</t>
        </is>
      </c>
      <c r="G87" s="108" t="inlineStr">
        <is>
          <t xml:space="preserve">JIZZAX VILOYATI DASHTOBOD SHAHARCHASI XAMZA MAHALLASI</t>
        </is>
      </c>
      <c r="H87" s="109">
        <v>1.0</v>
      </c>
      <c r="I87" s="109">
        <v>1376220.78</v>
      </c>
      <c r="K87" s="108" t="inlineStr">
        <is>
          <t xml:space="preserve">Telefon ko'tarmadi</t>
        </is>
      </c>
    </row>
    <row r="88">
      <c r="A88" s="108" t="inlineStr">
        <is>
          <t xml:space="preserve">ЖИЗЗАХ ВИЛОЯТИ</t>
        </is>
      </c>
      <c r="C88" s="108" t="inlineStr">
        <is>
          <t xml:space="preserve">Объезд</t>
        </is>
      </c>
      <c r="D88" s="108" t="inlineStr">
        <is>
          <t xml:space="preserve">Кр-99030311-2</t>
        </is>
      </c>
      <c r="E88" s="108" t="inlineStr">
        <is>
          <t xml:space="preserve">SHERANOV SHERZOD ZULFAROVICH</t>
        </is>
      </c>
      <c r="F88" s="108" t="inlineStr">
        <is>
          <t xml:space="preserve">94-922-86-60  SMS O'ZI, 91-943-85-05 SMS O’ZI 2, 94-922-86-60 SMS  UY, 93-304-52-56 SMS  OTASI,</t>
        </is>
      </c>
      <c r="G88" s="108" t="inlineStr">
        <is>
          <t xml:space="preserve">JIZZAX VILOYATI ZARBDOR TUMANI DO’STLIK SHAXARCHASI SHODLIK MFY ISTIQBOL KUCHASI 43-UY </t>
        </is>
      </c>
      <c r="H88" s="109">
        <v>15.0</v>
      </c>
      <c r="I88" s="109">
        <v>1356589.76</v>
      </c>
      <c r="K88" s="108" t="inlineStr">
        <is>
          <t xml:space="preserve">Uyiga borildi - va'da berdi | yorqin tema</t>
        </is>
      </c>
    </row>
    <row r="89">
      <c r="A89" s="108" t="inlineStr">
        <is>
          <t xml:space="preserve">ЖИЗЗАХ ВИЛОЯТИ</t>
        </is>
      </c>
      <c r="C89" s="108" t="inlineStr">
        <is>
          <t xml:space="preserve">Недозвон</t>
        </is>
      </c>
      <c r="D89" s="108" t="inlineStr">
        <is>
          <t xml:space="preserve">Кр-99041781-2</t>
        </is>
      </c>
      <c r="E89" s="108" t="inlineStr">
        <is>
          <t xml:space="preserve">NORYIGITOV SAMANDAR O’TKIR O’G’LI</t>
        </is>
      </c>
      <c r="F89" s="108" t="inlineStr">
        <is>
          <t xml:space="preserve">+998997654666 SMS, 998973271427 SMS, 998990654666 SMS,</t>
        </is>
      </c>
      <c r="G89" s="108" t="inlineStr">
        <is>
          <t xml:space="preserve">JIZZAX VILOYATI YANGIOBOD TUMANI BALANDCHAQIR MFY MUSTAQILLIK SHOX KUCHASI 159-UY</t>
        </is>
      </c>
      <c r="H89" s="109">
        <v>10.0</v>
      </c>
      <c r="I89" s="109">
        <v>1343049.2</v>
      </c>
      <c r="K89" s="108" t="inlineStr">
        <is>
          <t xml:space="preserve">Telefon ko'tarmadi</t>
        </is>
      </c>
    </row>
    <row r="90">
      <c r="A90" s="108" t="inlineStr">
        <is>
          <t xml:space="preserve">ЖИЗЗАХ ВИЛОЯТИ</t>
        </is>
      </c>
      <c r="C90" s="108" t="inlineStr">
        <is>
          <t xml:space="preserve">Объезд</t>
        </is>
      </c>
      <c r="D90" s="108" t="inlineStr">
        <is>
          <t xml:space="preserve">Кр-99018232-3</t>
        </is>
      </c>
      <c r="E90" s="108" t="inlineStr">
        <is>
          <t xml:space="preserve">ELIMBAYEVA MAVLYUDA KOLDASHOVNA</t>
        </is>
      </c>
      <c r="F90" s="108" t="inlineStr">
        <is>
          <t xml:space="preserve">97-647-48-78  SMS ERI, 97-522-05-30  SMS O'G'LI, 97-800-12-81  SMS QIZI, 93-553-18-82  SMS UKASI,</t>
        </is>
      </c>
      <c r="G90" s="108" t="inlineStr">
        <is>
          <t xml:space="preserve">JIZZAX VILOYATI ZAFAROBOD TUMANI YORQIN MAHALLASI CHEVARLAR KUCHASI 15-UY</t>
        </is>
      </c>
      <c r="H90" s="109">
        <v>2.0</v>
      </c>
      <c r="I90" s="109">
        <v>1296595.75</v>
      </c>
      <c r="K90" s="108" t="inlineStr">
        <is>
          <t xml:space="preserve">Uyiga borildi - va'da berdi</t>
        </is>
      </c>
    </row>
    <row r="91">
      <c r="A91" s="108" t="inlineStr">
        <is>
          <t xml:space="preserve">ЖИЗЗАХ ВИЛОЯТИ</t>
        </is>
      </c>
      <c r="C91" s="108" t="inlineStr">
        <is>
          <t xml:space="preserve">Недозвон</t>
        </is>
      </c>
      <c r="D91" s="108" t="inlineStr">
        <is>
          <t xml:space="preserve">Кр-99063395-2</t>
        </is>
      </c>
      <c r="E91" s="108" t="inlineStr">
        <is>
          <t xml:space="preserve">SOXIBOV DILSHOD YUSUPALIYEVICH</t>
        </is>
      </c>
      <c r="F91" s="108" t="inlineStr">
        <is>
          <t xml:space="preserve">998501038581 SMS QIZI, 998882488581 SMS AYOLI, 998990661191 SMS OZI,</t>
        </is>
      </c>
      <c r="G91" s="108" t="inlineStr">
        <is>
          <t xml:space="preserve">DEXQONOBOD 2 UY 7 XONADON</t>
        </is>
      </c>
      <c r="H91" s="109">
        <v>10.0</v>
      </c>
      <c r="I91" s="109">
        <v>1119914.07</v>
      </c>
      <c r="K91" s="108" t="inlineStr">
        <is>
          <t xml:space="preserve">Telefon ko'tarmadi</t>
        </is>
      </c>
    </row>
    <row r="92">
      <c r="A92" s="108" t="inlineStr">
        <is>
          <t xml:space="preserve">ЖИЗЗАХ ВИЛОЯТИ</t>
        </is>
      </c>
      <c r="C92" s="108" t="inlineStr">
        <is>
          <t xml:space="preserve">Недозвон</t>
        </is>
      </c>
      <c r="D92" s="108" t="inlineStr">
        <is>
          <t xml:space="preserve">Кр-99048922-1</t>
        </is>
      </c>
      <c r="E92" s="108" t="inlineStr">
        <is>
          <t xml:space="preserve">XOLMURODOV SHERBEK MARDON O‘G‘LI</t>
        </is>
      </c>
      <c r="F92" s="108" t="inlineStr">
        <is>
          <t xml:space="preserve">+998770010109 SMS OZI, 998944841200 SMS UYI, 998973311213 SMS OPASI, 998976410109 SMS OZI 2, 998770010109 Primary phone from road24,</t>
        </is>
      </c>
      <c r="G92" s="108" t="inlineStr">
        <is>
          <t xml:space="preserve">БАХМАЛ КФЙ, БАХМАЛ КФЙ, ЛОЙИХАДАГИ,  uy:Р.С</t>
        </is>
      </c>
      <c r="H92" s="109">
        <v>3.0</v>
      </c>
      <c r="I92" s="109">
        <v>1020888.02</v>
      </c>
      <c r="K92" s="108" t="inlineStr">
        <is>
          <t xml:space="preserve">Telefon ko'tarmadi | tel qiliw kerak</t>
        </is>
      </c>
    </row>
    <row r="93">
      <c r="A93" s="108" t="inlineStr">
        <is>
          <t xml:space="preserve">ЖИЗЗАХ ВИЛОЯТИ</t>
        </is>
      </c>
      <c r="C93" s="108" t="inlineStr">
        <is>
          <t xml:space="preserve">Недозвон</t>
        </is>
      </c>
      <c r="D93" s="108" t="inlineStr">
        <is>
          <t xml:space="preserve">Кр-99063038-1</t>
        </is>
      </c>
      <c r="E93" s="108" t="inlineStr">
        <is>
          <t xml:space="preserve">SALIMOV MANSUR AZIMOVICH</t>
        </is>
      </c>
      <c r="F93" s="108" t="inlineStr">
        <is>
          <t xml:space="preserve">998771120702 AYOLI, 998904927979 UY,</t>
        </is>
      </c>
      <c r="G93" s="108" t="inlineStr">
        <is>
          <t xml:space="preserve">ТОКЧИЛИҚ МАХАЛЛАСИ, ЛОЙИХАДАГИ КЎЧА,  uy:Р.С</t>
        </is>
      </c>
      <c r="H93" s="109">
        <v>10.0</v>
      </c>
      <c r="I93" s="109">
        <v>817862.12</v>
      </c>
      <c r="K93" s="108" t="inlineStr">
        <is>
          <t xml:space="preserve">Telefon ko'tarmadi</t>
        </is>
      </c>
    </row>
    <row r="94">
      <c r="A94" s="108" t="inlineStr">
        <is>
          <t xml:space="preserve">ЖИЗЗАХ ВИЛОЯТИ</t>
        </is>
      </c>
      <c r="C94" s="108" t="inlineStr">
        <is>
          <t xml:space="preserve">Недозвон</t>
        </is>
      </c>
      <c r="D94" s="108" t="inlineStr">
        <is>
          <t xml:space="preserve">Кр-99044129-3</t>
        </is>
      </c>
      <c r="E94" s="108" t="inlineStr">
        <is>
          <t xml:space="preserve">ANORBOYEV RABBIM QURBONOVICH</t>
        </is>
      </c>
      <c r="F94" s="108" t="inlineStr">
        <is>
          <t xml:space="preserve">+998911993133 SMS, 998915963134 SMS, 998918038686 SMS,</t>
        </is>
      </c>
      <c r="G94" s="108" t="inlineStr">
        <is>
          <t xml:space="preserve">JIZZAX VILOYATI JIZZAX SHAHRI ITTIFOQ MFY ITTIFOQ KUCHASI 36/30 - UY</t>
        </is>
      </c>
      <c r="H94" s="109">
        <v>13.0</v>
      </c>
      <c r="I94" s="109">
        <v>258025.14</v>
      </c>
      <c r="K94" s="108" t="inlineStr">
        <is>
          <t xml:space="preserve">Telefon ko'tarmadi | tel qiliw kerak</t>
        </is>
      </c>
    </row>
    <row r="95">
      <c r="A95" s="108" t="inlineStr">
        <is>
          <t xml:space="preserve">ЖИЗЗАХ ВИЛОЯТИ</t>
        </is>
      </c>
      <c r="C95" s="108" t="inlineStr">
        <is>
          <t xml:space="preserve">Недозвон</t>
        </is>
      </c>
      <c r="D95" s="108" t="inlineStr">
        <is>
          <t xml:space="preserve">Кр-99044722-1</t>
        </is>
      </c>
      <c r="E95" s="108" t="inlineStr">
        <is>
          <t xml:space="preserve">BERDIYEVA GULNORA KENJAYEVNA</t>
        </is>
      </c>
      <c r="F95" s="108" t="inlineStr">
        <is>
          <t xml:space="preserve">+998931257179 SMS, 998932347179 SMS, 998946894222 SMS Nomer xato,</t>
        </is>
      </c>
      <c r="G95" s="108" t="inlineStr">
        <is>
          <t xml:space="preserve">JIZZAX VILOYATI ARNASOY TUMANI G’OFUR G’ULOM MFY G’OFUR G’ULOM KUCHASI 15/1-UY</t>
        </is>
      </c>
      <c r="H95" s="109">
        <v>10.0</v>
      </c>
      <c r="I95" s="109">
        <v>202730.52</v>
      </c>
      <c r="K95" s="108" t="inlineStr">
        <is>
          <t xml:space="preserve">Telefon ko'tarmadi | mahallaga qiliw kerak</t>
        </is>
      </c>
    </row>
    <row r="96">
      <c r="A96" s="108" t="inlineStr">
        <is>
          <t xml:space="preserve">ЖИЗЗАХ ВИЛОЯТИ</t>
        </is>
      </c>
      <c r="C96" s="108" t="inlineStr">
        <is>
          <t xml:space="preserve">Недозвон</t>
        </is>
      </c>
      <c r="D96" s="108" t="inlineStr">
        <is>
          <t xml:space="preserve">Кр-99040853-1</t>
        </is>
      </c>
      <c r="E96" s="108" t="inlineStr">
        <is>
          <t xml:space="preserve">USMANOV AZIZBEK MIRZABEK O’G’LI</t>
        </is>
      </c>
      <c r="F96" s="108" t="inlineStr">
        <is>
          <t xml:space="preserve">+998885222554 SMS OZI, 998880940530 SMS AYOLI, 998936250078 SMS tulovchi,</t>
        </is>
      </c>
      <c r="G96" s="108" t="inlineStr">
        <is>
          <t xml:space="preserve">Шодлик МФЙ, Кудук қишлоғи, 17/А-уй</t>
        </is>
      </c>
      <c r="H96" s="109">
        <v>10.0</v>
      </c>
      <c r="I96" s="109">
        <v>180746.17</v>
      </c>
      <c r="K96" s="108" t="inlineStr">
        <is>
          <t xml:space="preserve">Telefon ko'tarmadi</t>
        </is>
      </c>
    </row>
    <row r="97">
      <c r="A97" s="108" t="inlineStr">
        <is>
          <t xml:space="preserve">ЖИЗЗАХ ВИЛОЯТИ</t>
        </is>
      </c>
      <c r="C97" s="108" t="inlineStr">
        <is>
          <t xml:space="preserve">Объезд</t>
        </is>
      </c>
      <c r="D97" s="108" t="inlineStr">
        <is>
          <t xml:space="preserve">Кр-99034201-1</t>
        </is>
      </c>
      <c r="E97" s="108" t="inlineStr">
        <is>
          <t xml:space="preserve">OCHILOV TO’LQIN ABDUALIMOVICH</t>
        </is>
      </c>
      <c r="F97" s="108" t="inlineStr">
        <is>
          <t xml:space="preserve">998902294031 SMS OZI, 998915676560 SMS AYOLI, 998912080702 SMS KELINI, 998915960702 SMS SINGLI,</t>
        </is>
      </c>
      <c r="G97" s="108" t="inlineStr">
        <is>
          <t xml:space="preserve">JIZZAX VILOYATI JIZZAX TUMANI QULAMA QFY A.NAVOIY KUCHASI 27-UY </t>
        </is>
      </c>
      <c r="I97" s="109">
        <v>6266.97</v>
      </c>
      <c r="J97" s="109">
        <v>6266.97</v>
      </c>
      <c r="K97" s="108" t="inlineStr">
        <is>
          <t xml:space="preserve">Uyiga borildi - to'ladi</t>
        </is>
      </c>
    </row>
    <row r="98">
      <c r="A98" s="110" t="inlineStr">
        <is>
          <t xml:space="preserve">КАШКАДАРЁ ВИЛОЯТИ</t>
        </is>
      </c>
      <c r="C98" s="110" t="inlineStr">
        <is>
          <t xml:space="preserve">Недозвон</t>
        </is>
      </c>
      <c r="D98" s="110" t="inlineStr">
        <is>
          <t xml:space="preserve">Кр-99040472-1</t>
        </is>
      </c>
      <c r="E98" s="110" t="inlineStr">
        <is>
          <t xml:space="preserve">SHAXAROVA SHAXRIZODA FARXOD QIZI</t>
        </is>
      </c>
      <c r="F98" s="110" t="inlineStr">
        <is>
          <t xml:space="preserve">998886727122 SMS OZI BEGONA, 998970809786 SMS AKASI, 998995850151 SMS OZI , 998945228482 SMS ZALOGADATEL , 998912120151 SMS NEW UZI ,</t>
        </is>
      </c>
      <c r="G98" s="110" t="inlineStr">
        <is>
          <t xml:space="preserve">ЧУМИЧЛИ МФЙ, ЧУМИЧЛИ КИШЛОГИ,  uy:Р/С</t>
        </is>
      </c>
      <c r="H98" s="111">
        <v>183.0</v>
      </c>
      <c r="I98" s="111">
        <v>42537373.89</v>
      </c>
    </row>
    <row r="99">
      <c r="A99" s="110" t="inlineStr">
        <is>
          <t xml:space="preserve">КАШКАДАРЁ ВИЛОЯТИ</t>
        </is>
      </c>
      <c r="C99" s="110" t="inlineStr">
        <is>
          <t xml:space="preserve">Объезд</t>
        </is>
      </c>
      <c r="D99" s="110" t="inlineStr">
        <is>
          <t xml:space="preserve">Кр-99063133-1</t>
        </is>
      </c>
      <c r="E99" s="110" t="inlineStr">
        <is>
          <t xml:space="preserve">TO’XTAYEV BOBUR ALISHER O’G’LI</t>
        </is>
      </c>
      <c r="F99" s="110" t="inlineStr">
        <is>
          <t xml:space="preserve">998908992275 SMS OZI, 998993458899 SMS TO'LOVCHI, 998906097727 SMS OTASI, 998919611171 SMS AKASI,</t>
        </is>
      </c>
      <c r="G99" s="110" t="inlineStr">
        <is>
          <t xml:space="preserve">QASHQADARYO VILOYATI QARSHI TUMANI BOG’OBOD MFY TUQMANG’IT QISHLOG’I 260-UY</t>
        </is>
      </c>
      <c r="H99" s="111">
        <v>43.0</v>
      </c>
      <c r="I99" s="111">
        <v>22609689.05</v>
      </c>
      <c r="K99" s="110" t="inlineStr">
        <is>
          <t xml:space="preserve">Uyiga borildi - va'da berdi</t>
        </is>
      </c>
    </row>
    <row r="100">
      <c r="A100" s="110" t="inlineStr">
        <is>
          <t xml:space="preserve">КАШКАДАРЁ ВИЛОЯТИ</t>
        </is>
      </c>
      <c r="C100" s="110" t="inlineStr">
        <is>
          <t xml:space="preserve">Объезд</t>
        </is>
      </c>
      <c r="D100" s="110" t="inlineStr">
        <is>
          <t xml:space="preserve">Кр-99060317-1</t>
        </is>
      </c>
      <c r="E100" s="110" t="inlineStr">
        <is>
          <t xml:space="preserve">NAFASOV ASADBEK VALIJON O’G’LI</t>
        </is>
      </c>
      <c r="F100" s="110" t="inlineStr">
        <is>
          <t xml:space="preserve">998973852277 SMS OZI, 998886191100 SMS AYOLI, 998770994440 SMS DADASI, 998886195000 SMS ONASI,</t>
        </is>
      </c>
      <c r="G100" s="110" t="inlineStr">
        <is>
          <t xml:space="preserve">QASHQADARYO VILOYATI YAKKABOG’ TUMANI ISTIQLOL MFY OLAQARG’A QISHLOG’I</t>
        </is>
      </c>
      <c r="H100" s="111">
        <v>13.0</v>
      </c>
      <c r="I100" s="111">
        <v>11614788.09</v>
      </c>
      <c r="K100" s="110" t="inlineStr">
        <is>
          <t xml:space="preserve">Uyiga borildi - va'da berdi | qisnab to'lov qildi</t>
        </is>
      </c>
    </row>
    <row r="101">
      <c r="A101" s="110" t="inlineStr">
        <is>
          <t xml:space="preserve">КАШКАДАРЁ ВИЛОЯТИ</t>
        </is>
      </c>
      <c r="C101" s="110" t="inlineStr">
        <is>
          <t xml:space="preserve">Недозвон</t>
        </is>
      </c>
      <c r="D101" s="110" t="inlineStr">
        <is>
          <t xml:space="preserve">Кр-99062893-1</t>
        </is>
      </c>
      <c r="E101" s="110" t="inlineStr">
        <is>
          <t xml:space="preserve">MUXAMMADIYEVA ZARIFA LUTFULLAYEVNA</t>
        </is>
      </c>
      <c r="F101" s="110" t="inlineStr">
        <is>
          <t xml:space="preserve">998900705555 OZI, 998936965555 UKASI, 998973115555 AKASI TO'LOVCHI , 998772352727 ONASI BEGONA ,</t>
        </is>
      </c>
      <c r="G101" s="110" t="inlineStr">
        <is>
          <t xml:space="preserve">QASHQADARYO VILOYATI QARSHI SHAHRI MUSTAQILLIK MFY ISLOM KARIMOV KUCHASI 218A-UY 1-XONADON</t>
        </is>
      </c>
      <c r="H101" s="111">
        <v>43.0</v>
      </c>
      <c r="I101" s="111">
        <v>10488756.77</v>
      </c>
    </row>
    <row r="102">
      <c r="A102" s="110" t="inlineStr">
        <is>
          <t xml:space="preserve">КАШКАДАРЁ ВИЛОЯТИ</t>
        </is>
      </c>
      <c r="C102" s="110" t="inlineStr">
        <is>
          <t xml:space="preserve">Недозвон</t>
        </is>
      </c>
      <c r="D102" s="110" t="inlineStr">
        <is>
          <t xml:space="preserve">Кр-99040100-1</t>
        </is>
      </c>
      <c r="E102" s="110" t="inlineStr">
        <is>
          <t xml:space="preserve">KUDRATOV SANJAR DJURAYEVICH </t>
        </is>
      </c>
      <c r="F102" s="110" t="inlineStr">
        <is>
          <t xml:space="preserve">998880634212 SMS OZI, 998970700407 SMS OILASI  (BEGONA), 998972000300 SMS UKASI, 998996750200 SMS AKASI, 998972000300 uzi,</t>
        </is>
      </c>
      <c r="G102" s="110" t="inlineStr">
        <is>
          <t xml:space="preserve">QASHQADARYO VILOYATI QARSHI TUMANI TINCHLIK MFY, PARMITON QISHLOG’I 33-UY</t>
        </is>
      </c>
      <c r="H102" s="111">
        <v>13.0</v>
      </c>
      <c r="I102" s="111">
        <v>10116647.28</v>
      </c>
    </row>
    <row r="103">
      <c r="A103" s="110" t="inlineStr">
        <is>
          <t xml:space="preserve">КАШКАДАРЁ ВИЛОЯТИ</t>
        </is>
      </c>
      <c r="C103" s="110" t="inlineStr">
        <is>
          <t xml:space="preserve">Недозвон</t>
        </is>
      </c>
      <c r="D103" s="110" t="inlineStr">
        <is>
          <t xml:space="preserve">Кр-99063705-1</t>
        </is>
      </c>
      <c r="E103" s="110" t="inlineStr">
        <is>
          <t xml:space="preserve">ABADOV DOSTON RUSTAM O’G’LI</t>
        </is>
      </c>
      <c r="F103" s="110" t="inlineStr">
        <is>
          <t xml:space="preserve">+998701208881 SMS O'ZI, 998702198484 SMS , 998918127626 SMS,</t>
        </is>
      </c>
      <c r="G103" s="110" t="inlineStr">
        <is>
          <t xml:space="preserve">КАШКАДАРЁ ВИЛОЯТИ КАРШИ ТУМАНИ УЗУМЗОР МФЙ ЛАГАНДИ КИШЛОГИ 2/18 УЙ</t>
        </is>
      </c>
      <c r="H103" s="111">
        <v>10.0</v>
      </c>
      <c r="I103" s="111">
        <v>9375831.7</v>
      </c>
    </row>
    <row r="104">
      <c r="A104" s="110" t="inlineStr">
        <is>
          <t xml:space="preserve">КАШКАДАРЁ ВИЛОЯТИ</t>
        </is>
      </c>
      <c r="C104" s="110" t="inlineStr">
        <is>
          <t xml:space="preserve">Недозвон</t>
        </is>
      </c>
      <c r="D104" s="110" t="inlineStr">
        <is>
          <t xml:space="preserve">Кр-99062042-1</t>
        </is>
      </c>
      <c r="E104" s="110" t="inlineStr">
        <is>
          <t xml:space="preserve">ESHQOBILOV O’LMAS LATIFOVICH</t>
        </is>
      </c>
      <c r="F104" s="110" t="inlineStr">
        <is>
          <t xml:space="preserve">998970981213 SMS OZI, 998947014020 SMS AYOLI, 998886641702 SMS DADASI, 998772001213 SMS ONASI,</t>
        </is>
      </c>
      <c r="G104" s="110" t="inlineStr">
        <is>
          <t xml:space="preserve">QASHQADATRYO VILOYATI KITOB TUMANI BOG’BON MFY YANGI QISHLOG’I KUCHASI 197-UY</t>
        </is>
      </c>
      <c r="H104" s="111">
        <v>13.0</v>
      </c>
      <c r="I104" s="111">
        <v>7616261.97</v>
      </c>
    </row>
    <row r="105">
      <c r="A105" s="110" t="inlineStr">
        <is>
          <t xml:space="preserve">КАШКАДАРЁ ВИЛОЯТИ</t>
        </is>
      </c>
      <c r="C105" s="110" t="inlineStr">
        <is>
          <t xml:space="preserve">Недозвон</t>
        </is>
      </c>
      <c r="D105" s="110" t="inlineStr">
        <is>
          <t xml:space="preserve">Кр-99039828-1</t>
        </is>
      </c>
      <c r="E105" s="110" t="inlineStr">
        <is>
          <t xml:space="preserve">BEGIMOV OBIDJON O’DILOVICH</t>
        </is>
      </c>
      <c r="F105" s="110" t="inlineStr">
        <is>
          <t xml:space="preserve">998946151222 SMS OZI, 998887592404 SMS TOLOVCHI, 998959612802 SMS DADASI, 998977552404 SMS ONASI,</t>
        </is>
      </c>
      <c r="G105" s="110" t="inlineStr">
        <is>
          <t xml:space="preserve">QASHQADARYO VILOYATI QARSHI TUMANI KAT MFY CHORGUMBAZ QISHLOG’I YOSHLAR KUCHASI 19-UY</t>
        </is>
      </c>
      <c r="H105" s="111">
        <v>10.0</v>
      </c>
      <c r="I105" s="111">
        <v>6990704.67</v>
      </c>
    </row>
    <row r="106">
      <c r="A106" s="110" t="inlineStr">
        <is>
          <t xml:space="preserve">КАШКАДАРЁ ВИЛОЯТИ</t>
        </is>
      </c>
      <c r="C106" s="110" t="inlineStr">
        <is>
          <t xml:space="preserve">Недозвон</t>
        </is>
      </c>
      <c r="D106" s="110" t="inlineStr">
        <is>
          <t xml:space="preserve">Кр-99062658-1</t>
        </is>
      </c>
      <c r="E106" s="110" t="inlineStr">
        <is>
          <t xml:space="preserve">AVAZOV SHOXRUX ASADULLOYEVICH</t>
        </is>
      </c>
      <c r="F106" s="110" t="inlineStr">
        <is>
          <t xml:space="preserve">998918871711 OZI QAYNI UKASI, 998945240302 ONASI, 998507181711 UKASI, 998942911001 O'ZI TO'LOVCHI,</t>
        </is>
      </c>
      <c r="G106" s="110" t="inlineStr">
        <is>
          <t xml:space="preserve">QASHQADARYO VILOYATI KASBI TUMANI XO’JAKASBI MFY 3-G’ALLAKORLAR KO’CHASI 2-UY</t>
        </is>
      </c>
      <c r="H106" s="111">
        <v>10.0</v>
      </c>
      <c r="I106" s="111">
        <v>5862590.46</v>
      </c>
    </row>
    <row r="107">
      <c r="A107" s="110" t="inlineStr">
        <is>
          <t xml:space="preserve">КАШКАДАРЁ ВИЛОЯТИ</t>
        </is>
      </c>
      <c r="C107" s="110" t="inlineStr">
        <is>
          <t xml:space="preserve">Недозвон</t>
        </is>
      </c>
      <c r="D107" s="110" t="inlineStr">
        <is>
          <t xml:space="preserve">Кр-99040420-1</t>
        </is>
      </c>
      <c r="E107" s="110" t="inlineStr">
        <is>
          <t xml:space="preserve">ESHBO’RIYEV BOYMIRZA FARMON O’G’LI</t>
        </is>
      </c>
      <c r="F107" s="110" t="inlineStr">
        <is>
          <t xml:space="preserve">998972221232 SMS OZI, 998990218033 SMS AKASI  UZIIII, 998972966323 SMS OSHNASI,</t>
        </is>
      </c>
      <c r="G107" s="110" t="inlineStr">
        <is>
          <t xml:space="preserve">QASHQADARYO VILOYATI QARSHI TUMANI MUSTAQILLIK MFY KAMOLOT KO’CHASI 34-UY</t>
        </is>
      </c>
      <c r="H107" s="111">
        <v>10.0</v>
      </c>
      <c r="I107" s="111">
        <v>5124415.53</v>
      </c>
    </row>
    <row r="108">
      <c r="A108" s="110" t="inlineStr">
        <is>
          <t xml:space="preserve">КАШКАДАРЁ ВИЛОЯТИ</t>
        </is>
      </c>
      <c r="C108" s="110" t="inlineStr">
        <is>
          <t xml:space="preserve">Недозвон</t>
        </is>
      </c>
      <c r="D108" s="110" t="inlineStr">
        <is>
          <t xml:space="preserve">Кр-99039701-1</t>
        </is>
      </c>
      <c r="E108" s="110" t="inlineStr">
        <is>
          <t xml:space="preserve">AXMADOV RAXMATJON ISKANDAR O’G’LI</t>
        </is>
      </c>
      <c r="F108" s="110" t="inlineStr">
        <is>
          <t xml:space="preserve">999886758088 SMS OZI, 998973140057 SMS AKASI, 998973160057 SMS AKASI 2, 998886788088 SMS UZI NEW  TO'LOVCHI , 998992130365 SMS AKASI Shahriyor,</t>
        </is>
      </c>
      <c r="G108" s="110" t="inlineStr">
        <is>
          <t xml:space="preserve">QASHQADARYO VILOYATI MIRISHKOR TUMANI GULISTON MFY XAMZA KUCHASI 34-UY</t>
        </is>
      </c>
      <c r="H108" s="111">
        <v>10.0</v>
      </c>
      <c r="I108" s="111">
        <v>5099586.56</v>
      </c>
    </row>
    <row r="109">
      <c r="A109" s="110" t="inlineStr">
        <is>
          <t xml:space="preserve">КАШКАДАРЁ ВИЛОЯТИ</t>
        </is>
      </c>
      <c r="C109" s="110" t="inlineStr">
        <is>
          <t xml:space="preserve">Недозвон</t>
        </is>
      </c>
      <c r="D109" s="110" t="inlineStr">
        <is>
          <t xml:space="preserve">Кр-99049163-1</t>
        </is>
      </c>
      <c r="E109" s="110" t="inlineStr">
        <is>
          <t xml:space="preserve">PULATOV ALISHER YULDASHKULOVICH</t>
        </is>
      </c>
      <c r="F109" s="110" t="inlineStr">
        <is>
          <t xml:space="preserve">+998972410500 UZIII, 998333191148 dadasi, 998973811370 onasi,</t>
        </is>
      </c>
      <c r="G109" s="110" t="inlineStr">
        <is>
          <t xml:space="preserve">КАШКАДАРЁ ВИЛОЯТИ ШАХРИСАБЗ ШАХРИ Навруз МФЙ Навруз кучаси 4-уй</t>
        </is>
      </c>
      <c r="H109" s="111">
        <v>10.0</v>
      </c>
      <c r="I109" s="111">
        <v>4534305.39</v>
      </c>
    </row>
    <row r="110">
      <c r="A110" s="110" t="inlineStr">
        <is>
          <t xml:space="preserve">КАШКАДАРЁ ВИЛОЯТИ</t>
        </is>
      </c>
      <c r="C110" s="110" t="inlineStr">
        <is>
          <t xml:space="preserve">Объезд</t>
        </is>
      </c>
      <c r="D110" s="110" t="inlineStr">
        <is>
          <t xml:space="preserve">Кр-99063959-1</t>
        </is>
      </c>
      <c r="E110" s="110" t="inlineStr">
        <is>
          <t xml:space="preserve">IBROGIMOV RASHID ISMOIL UG’LI</t>
        </is>
      </c>
      <c r="F110" s="110" t="inlineStr">
        <is>
          <t xml:space="preserve">998887737107 SMS AKASI, 998953307107 SMS AKASI, 998992719999 SMS UYI,</t>
        </is>
      </c>
      <c r="G110" s="110" t="inlineStr">
        <is>
          <t xml:space="preserve">QASHQADARYO VILOYATI SHAXRISABZ TUMANI YANGIOBOD MFY ZAMONDOSH  67 - UY</t>
        </is>
      </c>
      <c r="H110" s="111">
        <v>10.0</v>
      </c>
      <c r="I110" s="111">
        <v>4235038.14</v>
      </c>
      <c r="K110" s="110" t="inlineStr">
        <is>
          <t xml:space="preserve">Uyiga borildi - va'da berdi</t>
        </is>
      </c>
    </row>
    <row r="111">
      <c r="A111" s="110" t="inlineStr">
        <is>
          <t xml:space="preserve">КАШКАДАРЁ ВИЛОЯТИ</t>
        </is>
      </c>
      <c r="C111" s="110" t="inlineStr">
        <is>
          <t xml:space="preserve">Недозвон</t>
        </is>
      </c>
      <c r="D111" s="110" t="inlineStr">
        <is>
          <t xml:space="preserve">Кр-99037316-1</t>
        </is>
      </c>
      <c r="E111" s="110" t="inlineStr">
        <is>
          <t xml:space="preserve">XAMROYEVA DILRABO KUYLIYEVNA</t>
        </is>
      </c>
      <c r="F111" s="110" t="inlineStr">
        <is>
          <t xml:space="preserve">998908819972 SMS OZI, 998906606361 SMS ONASI BEGONA QIZCHA, 998906851166 SMS OTASI, 998906831166 SMS AKASI (UZIII),</t>
        </is>
      </c>
      <c r="G111" s="110" t="inlineStr">
        <is>
          <t xml:space="preserve">QASHQADARYO VILOYATI QARSHI TUMANI NAVRUZ MFY BOBUR KUCHASI 16-UY</t>
        </is>
      </c>
      <c r="H111" s="111">
        <v>7.0</v>
      </c>
      <c r="I111" s="111">
        <v>4183245.37</v>
      </c>
      <c r="K111" s="110" t="inlineStr">
        <is>
          <t xml:space="preserve">Telefon ko'tarmadi | maxallasiga chiqdim yoshlar yetakchisi nomerini topib berommadi</t>
        </is>
      </c>
    </row>
    <row r="112">
      <c r="A112" s="110" t="inlineStr">
        <is>
          <t xml:space="preserve">КАШКАДАРЁ ВИЛОЯТИ</t>
        </is>
      </c>
      <c r="C112" s="110" t="inlineStr">
        <is>
          <t xml:space="preserve">Недозвон</t>
        </is>
      </c>
      <c r="D112" s="110" t="inlineStr">
        <is>
          <t xml:space="preserve">Кр-99044341-1</t>
        </is>
      </c>
      <c r="E112" s="110" t="inlineStr">
        <is>
          <t xml:space="preserve">XUJAMOV MIRZABEK YAXSHIBOY O’G’LI</t>
        </is>
      </c>
      <c r="F112" s="110" t="inlineStr">
        <is>
          <t xml:space="preserve">+998917969966 UZI, 998907169966 oilasi, 998916380693 dadasi,</t>
        </is>
      </c>
      <c r="G112" s="110" t="inlineStr">
        <is>
          <t xml:space="preserve">КАШКАДАРЁ ВИЛОЯТИ НИШОН ТУМАНИ Куксой МФЙ, Барчиной кучаси, 4-уй</t>
        </is>
      </c>
      <c r="H112" s="111">
        <v>14.0</v>
      </c>
      <c r="I112" s="111">
        <v>4026145.4</v>
      </c>
    </row>
    <row r="113">
      <c r="A113" s="110" t="inlineStr">
        <is>
          <t xml:space="preserve">КАШКАДАРЁ ВИЛОЯТИ</t>
        </is>
      </c>
      <c r="C113" s="110" t="inlineStr">
        <is>
          <t xml:space="preserve">Недозвон</t>
        </is>
      </c>
      <c r="D113" s="110" t="inlineStr">
        <is>
          <t xml:space="preserve">Кр-99058773-2</t>
        </is>
      </c>
      <c r="E113" s="110" t="inlineStr">
        <is>
          <t xml:space="preserve">AXMEDOV SHAHZOD ESHMAMAT O’G’LI</t>
        </is>
      </c>
      <c r="F113" s="110" t="inlineStr">
        <is>
          <t xml:space="preserve">998900696525 SMS OZI (DO'STI))), 998954546960 SMS AYOLI (DO'STI))), 998919554492 SMS , 998999554443 SMS ONASI  UZIII,</t>
        </is>
      </c>
      <c r="G113" s="110" t="inlineStr">
        <is>
          <t xml:space="preserve">QASHQADARYO VILOYATI QAMASHI TUMANI QIZILTEPA MFY TADBIRKOR KUCHASI 15-UY</t>
        </is>
      </c>
      <c r="H113" s="111">
        <v>10.0</v>
      </c>
      <c r="I113" s="111">
        <v>3889052.37</v>
      </c>
    </row>
    <row r="114">
      <c r="A114" s="110" t="inlineStr">
        <is>
          <t xml:space="preserve">КАШКАДАРЁ ВИЛОЯТИ</t>
        </is>
      </c>
      <c r="C114" s="110" t="inlineStr">
        <is>
          <t xml:space="preserve">Недозвон</t>
        </is>
      </c>
      <c r="D114" s="110" t="inlineStr">
        <is>
          <t xml:space="preserve">Кр-99041785-1</t>
        </is>
      </c>
      <c r="E114" s="110" t="inlineStr">
        <is>
          <t xml:space="preserve">ABDIRAXMONOV USMON FARMON O’G’LI</t>
        </is>
      </c>
      <c r="F114" s="110" t="inlineStr">
        <is>
          <t xml:space="preserve">998997194818 SMS OZI, 998919101910 SMS DOSTI, 998930724818 SMS UYI,</t>
        </is>
      </c>
      <c r="G114" s="110" t="inlineStr">
        <is>
          <t xml:space="preserve">QASHQADARYO VILOYATI QARSHI TUMANI ROVOT MFY S.NASAFIY KO’CHASI 85-UY</t>
        </is>
      </c>
      <c r="H114" s="111">
        <v>10.0</v>
      </c>
      <c r="I114" s="111">
        <v>3623237.56</v>
      </c>
    </row>
    <row r="115">
      <c r="A115" s="110" t="inlineStr">
        <is>
          <t xml:space="preserve">КАШКАДАРЁ ВИЛОЯТИ</t>
        </is>
      </c>
      <c r="C115" s="110" t="inlineStr">
        <is>
          <t xml:space="preserve">Недозвон</t>
        </is>
      </c>
      <c r="D115" s="110" t="inlineStr">
        <is>
          <t xml:space="preserve">Кр-99041022-1</t>
        </is>
      </c>
      <c r="E115" s="110" t="inlineStr">
        <is>
          <t xml:space="preserve">G’AFFOROV IXTIYOR UMAROVICH</t>
        </is>
      </c>
      <c r="F115" s="110" t="inlineStr">
        <is>
          <t xml:space="preserve">+998939071026 O’ZI, 998912275852 O’G’LI, 998947846809 OILASI,</t>
        </is>
      </c>
      <c r="G115" s="110" t="inlineStr">
        <is>
          <t xml:space="preserve">СЕВАЗ МФЙ, САРИОСИЁ ҚИШЛОҒИ,  uy:Р/С</t>
        </is>
      </c>
      <c r="H115" s="111">
        <v>14.0</v>
      </c>
      <c r="I115" s="111">
        <v>3609692.06</v>
      </c>
    </row>
    <row r="116">
      <c r="A116" s="110" t="inlineStr">
        <is>
          <t xml:space="preserve">КАШКАДАРЁ ВИЛОЯТИ</t>
        </is>
      </c>
      <c r="C116" s="110" t="inlineStr">
        <is>
          <t xml:space="preserve">Недозвон</t>
        </is>
      </c>
      <c r="D116" s="110" t="inlineStr">
        <is>
          <t xml:space="preserve">Кр-99042348-1</t>
        </is>
      </c>
      <c r="E116" s="110" t="inlineStr">
        <is>
          <t xml:space="preserve">AMINOV DOSTONBEK URAL O’G’LI</t>
        </is>
      </c>
      <c r="F116" s="110" t="inlineStr">
        <is>
          <t xml:space="preserve">+998916404942 SMS O'ZO, 998938039919 SMS (BEGONA))), 998994304163 SMS,</t>
        </is>
      </c>
      <c r="G116" s="110" t="inlineStr">
        <is>
          <t xml:space="preserve">КАШКАДАРЁ ВИЛОЯТИ  КАМАШИ ТУМАНИ ҚОРАСУВ МФЙ, КОРАСУВ,  uy:Р/С 15</t>
        </is>
      </c>
      <c r="H116" s="111">
        <v>10.0</v>
      </c>
      <c r="I116" s="111">
        <v>3574128.43</v>
      </c>
    </row>
    <row r="117">
      <c r="A117" s="110" t="inlineStr">
        <is>
          <t xml:space="preserve">КАШКАДАРЁ ВИЛОЯТИ</t>
        </is>
      </c>
      <c r="C117" s="110" t="inlineStr">
        <is>
          <t xml:space="preserve">Недозвон</t>
        </is>
      </c>
      <c r="D117" s="110" t="inlineStr">
        <is>
          <t xml:space="preserve">Кр-99046080-1</t>
        </is>
      </c>
      <c r="E117" s="110" t="inlineStr">
        <is>
          <t xml:space="preserve">RUZIQULOVA NILUFAR RO’ZIMURADOVNA</t>
        </is>
      </c>
      <c r="F117" s="110" t="inlineStr">
        <is>
          <t xml:space="preserve">+998502005343 UZI, 998977579591 SMS BOJASI, 998994044664 SMS AKASI,</t>
        </is>
      </c>
      <c r="G117" s="110" t="inlineStr">
        <is>
          <t xml:space="preserve">КАШКАДАРЁ ВИЛОЯТИ КАРШИ ШАХРИ 4-митти туман 6-дом 52-хонадон</t>
        </is>
      </c>
      <c r="H117" s="111">
        <v>10.0</v>
      </c>
      <c r="I117" s="111">
        <v>3505046.89</v>
      </c>
    </row>
    <row r="118">
      <c r="A118" s="110" t="inlineStr">
        <is>
          <t xml:space="preserve">КАШКАДАРЁ ВИЛОЯТИ</t>
        </is>
      </c>
      <c r="C118" s="110" t="inlineStr">
        <is>
          <t xml:space="preserve">Недозвон</t>
        </is>
      </c>
      <c r="D118" s="110" t="inlineStr">
        <is>
          <t xml:space="preserve">Кр-99062537-1</t>
        </is>
      </c>
      <c r="E118" s="110" t="inlineStr">
        <is>
          <t xml:space="preserve">RAXMONOV AZIZJON AZIMJON O’G’LI</t>
        </is>
      </c>
      <c r="F118" s="110" t="inlineStr">
        <is>
          <t xml:space="preserve">998881270813 ozi, 998773201114 ayoli, 998993820813 dadasi,</t>
        </is>
      </c>
      <c r="G118" s="110" t="inlineStr">
        <is>
          <t xml:space="preserve">QASHQADARYO VILOYATI KASBI TUMANI TALLIYULG’UN MFY TALLIYULG’UN QISHLOG’I</t>
        </is>
      </c>
      <c r="H118" s="111">
        <v>10.0</v>
      </c>
      <c r="I118" s="111">
        <v>3466429.11</v>
      </c>
    </row>
    <row r="119">
      <c r="A119" s="110" t="inlineStr">
        <is>
          <t xml:space="preserve">КАШКАДАРЁ ВИЛОЯТИ</t>
        </is>
      </c>
      <c r="C119" s="110" t="inlineStr">
        <is>
          <t xml:space="preserve">Недозвон</t>
        </is>
      </c>
      <c r="D119" s="110" t="inlineStr">
        <is>
          <t xml:space="preserve">Кр-99061538-2</t>
        </is>
      </c>
      <c r="E119" s="110" t="inlineStr">
        <is>
          <t xml:space="preserve">TOSHEV RAFAEL IBRAGIM O6G’LI</t>
        </is>
      </c>
      <c r="F119" s="110" t="inlineStr">
        <is>
          <t xml:space="preserve">+998979524111 SMS OZI, 998939034939 SMS INGLISI, 998976780388 SSM AYOLI,</t>
        </is>
      </c>
      <c r="G119" s="110" t="inlineStr">
        <is>
          <t xml:space="preserve">QASHQADARYO VILOYATI KOSON TUMANI MUDIN MFY MUDIN QISHLOGI OBOD KOCHA 7-UY</t>
        </is>
      </c>
      <c r="H119" s="111">
        <v>10.0</v>
      </c>
      <c r="I119" s="111">
        <v>3433451.58</v>
      </c>
    </row>
    <row r="120">
      <c r="A120" s="110" t="inlineStr">
        <is>
          <t xml:space="preserve">КАШКАДАРЁ ВИЛОЯТИ</t>
        </is>
      </c>
      <c r="C120" s="110" t="inlineStr">
        <is>
          <t xml:space="preserve">Недозвон</t>
        </is>
      </c>
      <c r="D120" s="110" t="inlineStr">
        <is>
          <t xml:space="preserve">Кр-99040697-1</t>
        </is>
      </c>
      <c r="E120" s="110" t="inlineStr">
        <is>
          <t xml:space="preserve">AMONOV JONIBEK IBODOVICH</t>
        </is>
      </c>
      <c r="F120" s="110" t="inlineStr">
        <is>
          <t xml:space="preserve">998884250760 OTASI, 998919499191 AKASI, 998999432528 SMS UZI, 998933553606 SMS O'ZI TO'LOVCHI , 998987755060 SMS AMAKISI,</t>
        </is>
      </c>
      <c r="G120" s="110" t="inlineStr">
        <is>
          <t xml:space="preserve">АРАБХОНА МФЙ, Б.НАКШБАНДИЙ КЎЧАСИ,  uy:Р/С</t>
        </is>
      </c>
      <c r="H120" s="111">
        <v>10.0</v>
      </c>
      <c r="I120" s="111">
        <v>3361653.41</v>
      </c>
    </row>
    <row r="121">
      <c r="A121" s="110" t="inlineStr">
        <is>
          <t xml:space="preserve">КАШКАДАРЁ ВИЛОЯТИ</t>
        </is>
      </c>
      <c r="C121" s="110" t="inlineStr">
        <is>
          <t xml:space="preserve">Недозвон</t>
        </is>
      </c>
      <c r="D121" s="110" t="inlineStr">
        <is>
          <t xml:space="preserve">Кр-99054733-1</t>
        </is>
      </c>
      <c r="E121" s="110" t="inlineStr">
        <is>
          <t xml:space="preserve">OCHILOV DUSTMUROD FAXRIDINOVICH</t>
        </is>
      </c>
      <c r="F121" s="110" t="inlineStr">
        <is>
          <t xml:space="preserve">998913976071 SMSOZ, 998999442521 SMS AYOLI, 998996848798 SMS DADASI, 998916333232 SMS TO'LOVCHI ,</t>
        </is>
      </c>
      <c r="G121" s="110" t="inlineStr">
        <is>
          <t xml:space="preserve">QASHQADARYO VILOYATI KOSON TUMANI MASHAL MFY FUSUNKOR KUCHASI 1-1 UY 5-XONADON</t>
        </is>
      </c>
      <c r="H121" s="111">
        <v>10.0</v>
      </c>
      <c r="I121" s="111">
        <v>3334286.81</v>
      </c>
    </row>
    <row r="122">
      <c r="A122" s="110" t="inlineStr">
        <is>
          <t xml:space="preserve">КАШКАДАРЁ ВИЛОЯТИ</t>
        </is>
      </c>
      <c r="C122" s="110" t="inlineStr">
        <is>
          <t xml:space="preserve">Недозвон</t>
        </is>
      </c>
      <c r="D122" s="110" t="inlineStr">
        <is>
          <t xml:space="preserve">Кр-99028918-2</t>
        </is>
      </c>
      <c r="E122" s="110" t="inlineStr">
        <is>
          <t xml:space="preserve">BOYMIRZAYEV KOMIL ESHBURIYEVICH</t>
        </is>
      </c>
      <c r="F122" s="110" t="inlineStr">
        <is>
          <t xml:space="preserve">99-021-80-33 sms OZI, 88-950-63-23 sms, 77-127-38-18 sms, 99-084-81-33 sms, 998880682120 SMS UKASI, 998972902022 SMS AKASI,</t>
        </is>
      </c>
      <c r="G122" s="110" t="inlineStr">
        <is>
          <t xml:space="preserve">QASHQADARYO VIL QARSH TUM MANG’IT QISHLOQI BOBUR KO’CH 23</t>
        </is>
      </c>
      <c r="H122" s="111">
        <v>7.0</v>
      </c>
      <c r="I122" s="111">
        <v>3321424.37</v>
      </c>
      <c r="K122" s="110" t="inlineStr">
        <is>
          <t xml:space="preserve">Telefon ko'tarmadi | tlgdan yovordim</t>
        </is>
      </c>
    </row>
    <row r="123">
      <c r="A123" s="110" t="inlineStr">
        <is>
          <t xml:space="preserve">КАШКАДАРЁ ВИЛОЯТИ</t>
        </is>
      </c>
      <c r="C123" s="110" t="inlineStr">
        <is>
          <t xml:space="preserve">Объезд</t>
        </is>
      </c>
      <c r="D123" s="110" t="inlineStr">
        <is>
          <t xml:space="preserve">Кр-99037441-4</t>
        </is>
      </c>
      <c r="E123" s="110" t="inlineStr">
        <is>
          <t xml:space="preserve">KOSIMOV ABROR ABDISALOMOVICH</t>
        </is>
      </c>
      <c r="F123" s="110" t="inlineStr">
        <is>
          <t xml:space="preserve">998887417117 SMS OZI, 998905175558 SMS AKASI  BEGONA, 998941729897 SMS JURASI,</t>
        </is>
      </c>
      <c r="G123" s="110" t="inlineStr">
        <is>
          <t xml:space="preserve">QASHQADARYO VILOYATI G’UZOR TUMANI TINCHLIK MFY YANGI TONG KO’CHASI 765-UY</t>
        </is>
      </c>
      <c r="H123" s="111">
        <v>10.0</v>
      </c>
      <c r="I123" s="111">
        <v>3313867.96</v>
      </c>
      <c r="K123" s="110" t="inlineStr">
        <is>
          <t xml:space="preserve">Uyiga borildi - va'da berdi</t>
        </is>
      </c>
    </row>
    <row r="124">
      <c r="A124" s="110" t="inlineStr">
        <is>
          <t xml:space="preserve">КАШКАДАРЁ ВИЛОЯТИ</t>
        </is>
      </c>
      <c r="C124" s="110" t="inlineStr">
        <is>
          <t xml:space="preserve">Недозвон</t>
        </is>
      </c>
      <c r="D124" s="110" t="inlineStr">
        <is>
          <t xml:space="preserve">Кр-99040370-1</t>
        </is>
      </c>
      <c r="E124" s="110" t="inlineStr">
        <is>
          <t xml:space="preserve">AZIMOV HASAN G’AYRAT O’G’LI</t>
        </is>
      </c>
      <c r="F124" s="110" t="inlineStr">
        <is>
          <t xml:space="preserve">998979514900 SMS OZI (BEGONA))), 998880073012 SMS AKASI (HAMKASBI), 998973863606 SMS DADASI (BEGONA), 998973183000 SMS DADASI  UZIIII,</t>
        </is>
      </c>
      <c r="G124" s="110" t="inlineStr">
        <is>
          <t xml:space="preserve">QASHQADARYO VILOYATI SHAXRISABZ TUMANI LOLISTON MFY PAXTAKOR QISHLOG’I XISOR KUCHASI 45-UY</t>
        </is>
      </c>
      <c r="H124" s="111">
        <v>10.0</v>
      </c>
      <c r="I124" s="111">
        <v>3267866.92</v>
      </c>
    </row>
    <row r="125">
      <c r="A125" s="110" t="inlineStr">
        <is>
          <t xml:space="preserve">КАШКАДАРЁ ВИЛОЯТИ</t>
        </is>
      </c>
      <c r="C125" s="110" t="inlineStr">
        <is>
          <t xml:space="preserve">Недозвон</t>
        </is>
      </c>
      <c r="D125" s="110" t="inlineStr">
        <is>
          <t xml:space="preserve">Кр-99019654-6</t>
        </is>
      </c>
      <c r="E125" s="110" t="inlineStr">
        <is>
          <t xml:space="preserve">SHERMATOV JAHONGIR ELBEK O’G’LI</t>
        </is>
      </c>
      <c r="F125" s="110" t="inlineStr">
        <is>
          <t xml:space="preserve">88-498-20-02  SMS O’ZI futbolist, 90-441-57-88  SMS AKASI TOLMOS, 88-200-20-78  SMS AKASI, 98-777-66-66  SMS OZI 2, 998883161161 SMS DADASI,</t>
        </is>
      </c>
      <c r="G125" s="110" t="inlineStr">
        <is>
          <t xml:space="preserve">ДАРЧА МФЙ, ДАРЧА,  uy:Р/С</t>
        </is>
      </c>
      <c r="H125" s="111">
        <v>3.0</v>
      </c>
      <c r="I125" s="111">
        <v>3191351.36</v>
      </c>
      <c r="K125" s="110" t="inlineStr">
        <is>
          <t xml:space="preserve">Telefon ko'tarmadi | sms yozvordim</t>
        </is>
      </c>
    </row>
    <row r="126">
      <c r="A126" s="110" t="inlineStr">
        <is>
          <t xml:space="preserve">КАШКАДАРЁ ВИЛОЯТИ</t>
        </is>
      </c>
      <c r="C126" s="110" t="inlineStr">
        <is>
          <t xml:space="preserve">Недозвон</t>
        </is>
      </c>
      <c r="D126" s="110" t="inlineStr">
        <is>
          <t xml:space="preserve">Кр-99057389-2</t>
        </is>
      </c>
      <c r="E126" s="110" t="inlineStr">
        <is>
          <t xml:space="preserve">ABDULLAYEV ILHOM QILICHEVICH</t>
        </is>
      </c>
      <c r="F126" s="110" t="inlineStr">
        <is>
          <t xml:space="preserve">998978053008 SMS UZI BEGONA, 998903310550 SMS ONASI BEGONA, 998903317827 SMS ONASI, 998886223008 SMS AKASI TO'LOVCHI, 998876244800 SMS  ozi neww,</t>
        </is>
      </c>
      <c r="G126" s="110" t="inlineStr">
        <is>
          <t xml:space="preserve">QASHQADARYO VILOYATI KITOB TUMANI XALQLAR DUSTLIGI MFY KASHKADARYO KUCHASI 117-UY</t>
        </is>
      </c>
      <c r="H126" s="111">
        <v>10.0</v>
      </c>
      <c r="I126" s="111">
        <v>3089632.85</v>
      </c>
    </row>
    <row r="127">
      <c r="A127" s="110" t="inlineStr">
        <is>
          <t xml:space="preserve">КАШКАДАРЁ ВИЛОЯТИ</t>
        </is>
      </c>
      <c r="C127" s="110" t="inlineStr">
        <is>
          <t xml:space="preserve">Недозвон</t>
        </is>
      </c>
      <c r="D127" s="110" t="inlineStr">
        <is>
          <t xml:space="preserve">Кр-99040757-2</t>
        </is>
      </c>
      <c r="E127" s="110" t="inlineStr">
        <is>
          <t xml:space="preserve">QAHHOROV ZIYODULLO SOXIB O’G’LI</t>
        </is>
      </c>
      <c r="F127" s="110" t="inlineStr">
        <is>
          <t xml:space="preserve">998888020002 UZII, 998973060200 oilasi, 998983020602 ukasi BEGONA,</t>
        </is>
      </c>
      <c r="G127" s="110" t="inlineStr">
        <is>
          <t xml:space="preserve">Кашкадарьинская область, Шахрисабзский район, Шаматон МФЙ, киш. Танипар, дом 674</t>
        </is>
      </c>
      <c r="H127" s="111">
        <v>10.0</v>
      </c>
      <c r="I127" s="111">
        <v>2819595.18</v>
      </c>
    </row>
    <row r="128">
      <c r="A128" s="110" t="inlineStr">
        <is>
          <t xml:space="preserve">КАШКАДАРЁ ВИЛОЯТИ</t>
        </is>
      </c>
      <c r="C128" s="110" t="inlineStr">
        <is>
          <t xml:space="preserve">Объезд</t>
        </is>
      </c>
      <c r="D128" s="110" t="inlineStr">
        <is>
          <t xml:space="preserve">Кр-99040694-2</t>
        </is>
      </c>
      <c r="E128" s="110" t="inlineStr">
        <is>
          <t xml:space="preserve">TOSHPULATOV SHAHRIYOR XOLMUROD O’G’LI</t>
        </is>
      </c>
      <c r="F128" s="110" t="inlineStr">
        <is>
          <t xml:space="preserve">998932061021 AKASI, 998952622787 UKASI,</t>
        </is>
      </c>
      <c r="G128" s="110" t="inlineStr">
        <is>
          <t xml:space="preserve">ОЛМАЗОР МФЙ, УЧТУТ,  uy:Р/С</t>
        </is>
      </c>
      <c r="H128" s="111">
        <v>10.0</v>
      </c>
      <c r="I128" s="111">
        <v>2788081.51</v>
      </c>
      <c r="K128" s="110" t="inlineStr">
        <is>
          <t xml:space="preserve">Uyiga borildi - va'da berdi</t>
        </is>
      </c>
    </row>
    <row r="129">
      <c r="A129" s="110" t="inlineStr">
        <is>
          <t xml:space="preserve">КАШКАДАРЁ ВИЛОЯТИ</t>
        </is>
      </c>
      <c r="C129" s="110" t="inlineStr">
        <is>
          <t xml:space="preserve">Недозвон</t>
        </is>
      </c>
      <c r="D129" s="110" t="inlineStr">
        <is>
          <t xml:space="preserve">Кр-99063524-1</t>
        </is>
      </c>
      <c r="E129" s="110" t="inlineStr">
        <is>
          <t xml:space="preserve">XUDOYNAZAROV ABDIVALI RUZMAMADOVICH</t>
        </is>
      </c>
      <c r="F129" s="110" t="inlineStr">
        <is>
          <t xml:space="preserve">+998990387434 SMS BEGONA, 998888612170 SMS O'ZI,</t>
        </is>
      </c>
      <c r="G129" s="110" t="inlineStr">
        <is>
          <t xml:space="preserve">КАШКАДАРЁ ВИЛОЯТИ МИРИШКОР ТУМАНИ ЧАНДИР МФЙ ОБОД КУЧАСИ 12-УЙ</t>
        </is>
      </c>
      <c r="H129" s="111">
        <v>10.0</v>
      </c>
      <c r="I129" s="111">
        <v>2750614.75</v>
      </c>
    </row>
    <row r="130">
      <c r="A130" s="110" t="inlineStr">
        <is>
          <t xml:space="preserve">КАШКАДАРЁ ВИЛОЯТИ</t>
        </is>
      </c>
      <c r="C130" s="110" t="inlineStr">
        <is>
          <t xml:space="preserve">Недозвон</t>
        </is>
      </c>
      <c r="D130" s="110" t="inlineStr">
        <is>
          <t xml:space="preserve">Кр-99045581-1</t>
        </is>
      </c>
      <c r="E130" s="110" t="inlineStr">
        <is>
          <t xml:space="preserve">PANJIYEV RUSTAM SHIRINBEK O’G’LI</t>
        </is>
      </c>
      <c r="F130" s="110" t="inlineStr">
        <is>
          <t xml:space="preserve">+998914593383 UZI, 998902448090 UYI, 998914713831 SMS, 998870668790 jiyani,</t>
        </is>
      </c>
      <c r="G130" s="110" t="inlineStr">
        <is>
          <t xml:space="preserve">Кашкадарьинская область, Камашинский район, Савсантепа МСГ, ул. Насаф, дом 55</t>
        </is>
      </c>
      <c r="H130" s="111">
        <v>15.0</v>
      </c>
      <c r="I130" s="111">
        <v>2722538.9</v>
      </c>
    </row>
    <row r="131">
      <c r="A131" s="110" t="inlineStr">
        <is>
          <t xml:space="preserve">КАШКАДАРЁ ВИЛОЯТИ</t>
        </is>
      </c>
      <c r="C131" s="110" t="inlineStr">
        <is>
          <t xml:space="preserve">Недозвон</t>
        </is>
      </c>
      <c r="D131" s="110" t="inlineStr">
        <is>
          <t xml:space="preserve">Кр-99039665-1</t>
        </is>
      </c>
      <c r="E131" s="110" t="inlineStr">
        <is>
          <t xml:space="preserve">BERDIYEVA RISOLAT KORJOVOVNA</t>
        </is>
      </c>
      <c r="F131" s="110" t="inlineStr">
        <is>
          <t xml:space="preserve">998908908019 SMS OZI, 998337281950 SMS UKASI, 998952137880 SMS DADASI, 998995723648 SMS ONASI, 998995723648 uzi new,</t>
        </is>
      </c>
      <c r="G131" s="110" t="inlineStr">
        <is>
          <t xml:space="preserve">QASHQADARYO VILOYATI</t>
        </is>
      </c>
      <c r="H131" s="111">
        <v>2.0</v>
      </c>
      <c r="I131" s="111">
        <v>2688479.82</v>
      </c>
    </row>
    <row r="132">
      <c r="A132" s="110" t="inlineStr">
        <is>
          <t xml:space="preserve">КАШКАДАРЁ ВИЛОЯТИ</t>
        </is>
      </c>
      <c r="C132" s="110" t="inlineStr">
        <is>
          <t xml:space="preserve">Недозвон</t>
        </is>
      </c>
      <c r="D132" s="110" t="inlineStr">
        <is>
          <t xml:space="preserve">Кр-99041223-1</t>
        </is>
      </c>
      <c r="E132" s="110" t="inlineStr">
        <is>
          <t xml:space="preserve">ERMUMINOVA GULISTON YAKUBOVNA</t>
        </is>
      </c>
      <c r="F132" s="110" t="inlineStr">
        <is>
          <t xml:space="preserve">+998958859893 UZI, 998915604344 UKASI, 998973930817 ERI, 998973830817 SMS ,</t>
        </is>
      </c>
      <c r="G132" s="110" t="inlineStr">
        <is>
          <t xml:space="preserve">КАШКАДАРЁ ВИЛОЯТИ ГУЗОР ТУМАНИ Пахтазор МФЙ, Лолазор қишлоғи, 980-уй</t>
        </is>
      </c>
      <c r="H132" s="111">
        <v>10.0</v>
      </c>
      <c r="I132" s="111">
        <v>2642538.68</v>
      </c>
    </row>
    <row r="133">
      <c r="A133" s="110" t="inlineStr">
        <is>
          <t xml:space="preserve">КАШКАДАРЁ ВИЛОЯТИ</t>
        </is>
      </c>
      <c r="C133" s="110" t="inlineStr">
        <is>
          <t xml:space="preserve">Недозвон</t>
        </is>
      </c>
      <c r="D133" s="110" t="inlineStr">
        <is>
          <t xml:space="preserve">Кр-99057350-1</t>
        </is>
      </c>
      <c r="E133" s="110" t="inlineStr">
        <is>
          <t xml:space="preserve">TURSUNOV SHERZOD SHERMAT O’G’LI</t>
        </is>
      </c>
      <c r="F133" s="110" t="inlineStr">
        <is>
          <t xml:space="preserve">998889999708 SMS UZI, 998908666962 SMS AYOLI, 998904286304 SMS DADASI, 998912198387 SMS ONASI  (OPASI),</t>
        </is>
      </c>
      <c r="G133" s="110" t="inlineStr">
        <is>
          <t xml:space="preserve">QASHQADARYO VILOYATI QARSHI SHAHAR RAVOK MFY SOXIL KUCHASI 46-UY</t>
        </is>
      </c>
      <c r="H133" s="111">
        <v>10.0</v>
      </c>
      <c r="I133" s="111">
        <v>2596960.81</v>
      </c>
    </row>
    <row r="134">
      <c r="A134" s="110" t="inlineStr">
        <is>
          <t xml:space="preserve">КАШКАДАРЁ ВИЛОЯТИ</t>
        </is>
      </c>
      <c r="C134" s="110" t="inlineStr">
        <is>
          <t xml:space="preserve">Недозвон</t>
        </is>
      </c>
      <c r="D134" s="110" t="inlineStr">
        <is>
          <t xml:space="preserve">Кр-99040626-1</t>
        </is>
      </c>
      <c r="E134" s="110" t="inlineStr">
        <is>
          <t xml:space="preserve">TILOVOVA NAFISA TOSHPULATOVNA</t>
        </is>
      </c>
      <c r="F134" s="110" t="inlineStr">
        <is>
          <t xml:space="preserve">998942956565 SMS OZI, 998944487071 SMS ONASI, 998500768225 ERIII, 998931242500 SMS AKASI,</t>
        </is>
      </c>
      <c r="G134" s="110" t="inlineStr">
        <is>
          <t xml:space="preserve">QASHQADARYO VILOYATI DEHQONOBOD TUMANI O’ZBEKISTON MFY MUNAVVAR KO’CHASI 3-UY</t>
        </is>
      </c>
      <c r="H134" s="111">
        <v>10.0</v>
      </c>
      <c r="I134" s="111">
        <v>2580550.65</v>
      </c>
    </row>
    <row r="135">
      <c r="A135" s="110" t="inlineStr">
        <is>
          <t xml:space="preserve">КАШКАДАРЁ ВИЛОЯТИ</t>
        </is>
      </c>
      <c r="C135" s="110" t="inlineStr">
        <is>
          <t xml:space="preserve">Недозвон</t>
        </is>
      </c>
      <c r="D135" s="110" t="inlineStr">
        <is>
          <t xml:space="preserve">Кр-99062943-1</t>
        </is>
      </c>
      <c r="E135" s="110" t="inlineStr">
        <is>
          <t xml:space="preserve">XAYRULLAYEV ABDUMALIK FAXRIDDIN O’G’LI</t>
        </is>
      </c>
      <c r="F135" s="110" t="inlineStr">
        <is>
          <t xml:space="preserve">+998993447713 SMS OZI, 998889701120 SMS DOSTI, 998973100703 SMS DOSTI, 998992020634 SMS AYOLI,</t>
        </is>
      </c>
      <c r="G135" s="110" t="inlineStr">
        <is>
          <t xml:space="preserve">QASHQADARYO VILOYATI QARSHI TUMANI LAGANDI MFY AKADEMIK KOCHA 112-UY</t>
        </is>
      </c>
      <c r="H135" s="111">
        <v>10.0</v>
      </c>
      <c r="I135" s="111">
        <v>2510698.25</v>
      </c>
    </row>
    <row r="136">
      <c r="A136" s="110" t="inlineStr">
        <is>
          <t xml:space="preserve">КАШКАДАРЁ ВИЛОЯТИ</t>
        </is>
      </c>
      <c r="C136" s="110" t="inlineStr">
        <is>
          <t xml:space="preserve">Недозвон</t>
        </is>
      </c>
      <c r="D136" s="110" t="inlineStr">
        <is>
          <t xml:space="preserve">Кр-99022781-4</t>
        </is>
      </c>
      <c r="E136" s="110" t="inlineStr">
        <is>
          <t xml:space="preserve">SHARAPOV ABDULLO ZIYODULLO O’G’LI</t>
        </is>
      </c>
      <c r="F136" s="110" t="inlineStr">
        <is>
          <t xml:space="preserve">90-505-02-07 SMS UZI, 91-553-02-07  SMS UZI 2, 91-522-09-87  SMS AKASI, 90-877-79-67  SMS AYOLI, 90-114-03-26  SMS ortog'i shunga tel qlila , 998978080207 UZI NEWW,</t>
        </is>
      </c>
      <c r="G136" s="110" t="inlineStr">
        <is>
          <t xml:space="preserve">QASHQADARYO VILOYATI KITOB TUMANI KATLOS MFY TUL QISHLOG’I 36-UY</t>
        </is>
      </c>
      <c r="H136" s="111">
        <v>10.0</v>
      </c>
      <c r="I136" s="111">
        <v>2457347.71</v>
      </c>
      <c r="K136" s="110" t="inlineStr">
        <is>
          <t xml:space="preserve">Telefon ko'tarmadi | sms yozvordim majlisda ekan kn qilamn dedi</t>
        </is>
      </c>
    </row>
    <row r="137">
      <c r="A137" s="110" t="inlineStr">
        <is>
          <t xml:space="preserve">КАШКАДАРЁ ВИЛОЯТИ</t>
        </is>
      </c>
      <c r="C137" s="110" t="inlineStr">
        <is>
          <t xml:space="preserve">Недозвон</t>
        </is>
      </c>
      <c r="D137" s="110" t="inlineStr">
        <is>
          <t xml:space="preserve">Кр-99064012-1</t>
        </is>
      </c>
      <c r="E137" s="110" t="inlineStr">
        <is>
          <t xml:space="preserve">HAYDAROV SHOHRUH TILOV O’G’LI</t>
        </is>
      </c>
      <c r="F137" s="110" t="inlineStr">
        <is>
          <t xml:space="preserve">+998913223785 SMS , 998908894449 SMS , 998992943785 SMS ,</t>
        </is>
      </c>
      <c r="G137" s="110" t="inlineStr">
        <is>
          <t xml:space="preserve">КАШКАДАРЁ ВИЛОЯТИ КАРШИ ШАХРИ ЧАРМГАР МФЙ КУПРИК БОШИ КУЧАСИ 83-УЙ</t>
        </is>
      </c>
      <c r="H137" s="111">
        <v>10.0</v>
      </c>
      <c r="I137" s="111">
        <v>2371139.07</v>
      </c>
      <c r="K137" s="110" t="inlineStr">
        <is>
          <t xml:space="preserve">1</t>
        </is>
      </c>
    </row>
    <row r="138">
      <c r="A138" s="110" t="inlineStr">
        <is>
          <t xml:space="preserve">КАШКАДАРЁ ВИЛОЯТИ</t>
        </is>
      </c>
      <c r="C138" s="110" t="inlineStr">
        <is>
          <t xml:space="preserve">Объезд</t>
        </is>
      </c>
      <c r="D138" s="110" t="inlineStr">
        <is>
          <t xml:space="preserve">Кр-99059908-1</t>
        </is>
      </c>
      <c r="E138" s="110" t="inlineStr">
        <is>
          <t xml:space="preserve">TO’LAYEV MIRJALOL MUZAFFARJON O’G’LI</t>
        </is>
      </c>
      <c r="F138" s="110" t="inlineStr">
        <is>
          <t xml:space="preserve">+998883110080 SMS, 998771727141 SMS, 998889518080 SMS,</t>
        </is>
      </c>
      <c r="G138" s="110" t="inlineStr">
        <is>
          <t xml:space="preserve">КАШКАДАРЁ ВИЛОЯТИ ГУЗОР ТУМАНИ ШЕРАЛИ МФЙ ХАЛКАБОД КИШЛОГИ</t>
        </is>
      </c>
      <c r="H138" s="111">
        <v>10.0</v>
      </c>
      <c r="I138" s="111">
        <v>2353346.3</v>
      </c>
      <c r="K138" s="110" t="inlineStr">
        <is>
          <t xml:space="preserve">Uyiga borildi - va'da berdi</t>
        </is>
      </c>
    </row>
    <row r="139">
      <c r="A139" s="110" t="inlineStr">
        <is>
          <t xml:space="preserve">КАШКАДАРЁ ВИЛОЯТИ</t>
        </is>
      </c>
      <c r="C139" s="110" t="inlineStr">
        <is>
          <t xml:space="preserve">Недозвон</t>
        </is>
      </c>
      <c r="D139" s="110" t="inlineStr">
        <is>
          <t xml:space="preserve">Кр-99063942-1</t>
        </is>
      </c>
      <c r="E139" s="110" t="inlineStr">
        <is>
          <t xml:space="preserve">TO’LAYEV MIRJALOL MUZAFFARJON O’G’LI</t>
        </is>
      </c>
      <c r="F139" s="110" t="inlineStr">
        <is>
          <t xml:space="preserve">+998883110080 SMS, 998771727141 SMS, 998889518080 SMS,</t>
        </is>
      </c>
      <c r="G139" s="110" t="inlineStr">
        <is>
          <t xml:space="preserve">КАШКАДАРЁ ВИЛОЯТИ ГУЗОР ТУМАНИ ШЕРАЛИ МФЙ ХАЛКАБОД КИШЛОГИ</t>
        </is>
      </c>
      <c r="H139" s="111">
        <v>10.0</v>
      </c>
      <c r="I139" s="111">
        <v>2353346.3</v>
      </c>
    </row>
    <row r="140">
      <c r="A140" s="110" t="inlineStr">
        <is>
          <t xml:space="preserve">КАШКАДАРЁ ВИЛОЯТИ</t>
        </is>
      </c>
      <c r="C140" s="110" t="inlineStr">
        <is>
          <t xml:space="preserve">Недозвон</t>
        </is>
      </c>
      <c r="D140" s="110" t="inlineStr">
        <is>
          <t xml:space="preserve">Кр-99041170-1</t>
        </is>
      </c>
      <c r="E140" s="110" t="inlineStr">
        <is>
          <t xml:space="preserve">BURIYEV SHOXRUX SHAXRIDDIN O’G’LI</t>
        </is>
      </c>
      <c r="F140" s="110" t="inlineStr">
        <is>
          <t xml:space="preserve">998943819598 uzi OPASIII BEGONA, 998888414181 ayoli, 998990425666 dadasi, 998883334181 UZI NEWW,</t>
        </is>
      </c>
      <c r="G140" s="110" t="inlineStr">
        <is>
          <t xml:space="preserve">CHIROQCHI TUMANI</t>
        </is>
      </c>
      <c r="H140" s="111">
        <v>10.0</v>
      </c>
      <c r="I140" s="111">
        <v>2195064.6</v>
      </c>
    </row>
    <row r="141">
      <c r="A141" s="110" t="inlineStr">
        <is>
          <t xml:space="preserve">КАШКАДАРЁ ВИЛОЯТИ</t>
        </is>
      </c>
      <c r="C141" s="110" t="inlineStr">
        <is>
          <t xml:space="preserve">Недозвон</t>
        </is>
      </c>
      <c r="D141" s="110" t="inlineStr">
        <is>
          <t xml:space="preserve">Кр-99063483-1</t>
        </is>
      </c>
      <c r="E141" s="110" t="inlineStr">
        <is>
          <t xml:space="preserve">PIRNAZAROVA MARJONA PANJI QIZI</t>
        </is>
      </c>
      <c r="F141" s="110" t="inlineStr">
        <is>
          <t xml:space="preserve">+998972223235 SMS QAYNI OTASI, 998882294020 SMS O'ZI, 998959200046 SMS,</t>
        </is>
      </c>
      <c r="G141" s="110" t="inlineStr">
        <is>
          <t xml:space="preserve">КАШКАДАРЁ ВИЛОЯТИ КОСОН ТУМАНИ ЭСАБОЙ МФЙ НАСАФ КУЧАСИ 39-УЙ</t>
        </is>
      </c>
      <c r="H141" s="111">
        <v>10.0</v>
      </c>
      <c r="I141" s="111">
        <v>2185363.44</v>
      </c>
    </row>
    <row r="142">
      <c r="A142" s="110" t="inlineStr">
        <is>
          <t xml:space="preserve">КАШКАДАРЁ ВИЛОЯТИ</t>
        </is>
      </c>
      <c r="C142" s="110" t="inlineStr">
        <is>
          <t xml:space="preserve">Недозвон</t>
        </is>
      </c>
      <c r="D142" s="110" t="inlineStr">
        <is>
          <t xml:space="preserve">Кр-99062919-1</t>
        </is>
      </c>
      <c r="E142" s="110" t="inlineStr">
        <is>
          <t xml:space="preserve">BOYMUXAMMEDOVA MAXFO’ZA BAXODIR QIZI</t>
        </is>
      </c>
      <c r="F142" s="110" t="inlineStr">
        <is>
          <t xml:space="preserve">+998947220193 SMS O'ZI, 998934240087 SMS, 998942936722 SMS,</t>
        </is>
      </c>
      <c r="G142" s="110" t="inlineStr">
        <is>
          <t xml:space="preserve">КАШКАДАРЁ ВИЛОЯТИ MUBORAK TUMANI САРИК МФЙ ШЕЙХ КУЧАСИ 30-УЙ</t>
        </is>
      </c>
      <c r="H142" s="111">
        <v>10.0</v>
      </c>
      <c r="I142" s="111">
        <v>2114147.16</v>
      </c>
    </row>
    <row r="143">
      <c r="A143" s="110" t="inlineStr">
        <is>
          <t xml:space="preserve">КАШКАДАРЁ ВИЛОЯТИ</t>
        </is>
      </c>
      <c r="C143" s="110" t="inlineStr">
        <is>
          <t xml:space="preserve">Недозвон</t>
        </is>
      </c>
      <c r="D143" s="110" t="inlineStr">
        <is>
          <t xml:space="preserve">Кр-99038002-1</t>
        </is>
      </c>
      <c r="E143" s="110" t="inlineStr">
        <is>
          <t xml:space="preserve">BOYMAXMADOV BAXTOVAR DADAJONZODA</t>
        </is>
      </c>
      <c r="F143" s="110" t="inlineStr">
        <is>
          <t xml:space="preserve">998912155553 SMS OZI, 998906760702 SMS DOSTI, 998904435652 SMS DOSTI, 998913200065 SMS UKASI, +998912155553 Primary phone from road24,</t>
        </is>
      </c>
      <c r="G143" s="110" t="inlineStr">
        <is>
          <t xml:space="preserve">КУЙИОКБОЙ КФЙ, ДЕНОВ,  uy:Р/З</t>
        </is>
      </c>
      <c r="H143" s="111">
        <v>10.0</v>
      </c>
      <c r="I143" s="111">
        <v>1990561.1</v>
      </c>
      <c r="K143" s="110" t="inlineStr">
        <is>
          <t xml:space="preserve">Telefon ko'tarmadi | do'sti ko'tardi</t>
        </is>
      </c>
    </row>
    <row r="144">
      <c r="A144" s="110" t="inlineStr">
        <is>
          <t xml:space="preserve">КАШКАДАРЁ ВИЛОЯТИ</t>
        </is>
      </c>
      <c r="C144" s="110" t="inlineStr">
        <is>
          <t xml:space="preserve">Недозвон</t>
        </is>
      </c>
      <c r="D144" s="110" t="inlineStr">
        <is>
          <t xml:space="preserve">Кр-99046551-1</t>
        </is>
      </c>
      <c r="E144" s="110" t="inlineStr">
        <is>
          <t xml:space="preserve">SHAYQULOV BOBIR SOBIROVICH</t>
        </is>
      </c>
      <c r="F144" s="110" t="inlineStr">
        <is>
          <t xml:space="preserve">+998949855955 UZI, 998880729193 UZI,</t>
        </is>
      </c>
      <c r="G144" s="110" t="inlineStr">
        <is>
          <t xml:space="preserve">КАШКАДАРЁ ВИЛОЯТИ КАРШИ ШАХРИ МУЖАГУЛ КУЧАСИ 20 УЙ</t>
        </is>
      </c>
      <c r="H144" s="111">
        <v>10.0</v>
      </c>
      <c r="I144" s="111">
        <v>1971318.3</v>
      </c>
    </row>
    <row r="145">
      <c r="A145" s="110" t="inlineStr">
        <is>
          <t xml:space="preserve">КАШКАДАРЁ ВИЛОЯТИ</t>
        </is>
      </c>
      <c r="C145" s="110" t="inlineStr">
        <is>
          <t xml:space="preserve">Объезд</t>
        </is>
      </c>
      <c r="D145" s="110" t="inlineStr">
        <is>
          <t xml:space="preserve">Кр-99037085-2</t>
        </is>
      </c>
      <c r="E145" s="110" t="inlineStr">
        <is>
          <t xml:space="preserve">XAMRAYEVA GULNORA XURRAMOVNA</t>
        </is>
      </c>
      <c r="F145" s="110" t="inlineStr">
        <is>
          <t xml:space="preserve">998979549700 SMS OZI (OG'LI) XUSAN, 998881941597 SMS O’G’LI, 998884287278 SMS UKASI (UZI), 998886757572 SMS AKASI,</t>
        </is>
      </c>
      <c r="G145" s="110" t="inlineStr">
        <is>
          <t xml:space="preserve">QASHQADARYO VILOYATI QARSHI TUMANI MEVAZOR MFY NAVRUZ QURG’ONI SHAHARCHASI 67/1 UY </t>
        </is>
      </c>
      <c r="H145" s="111">
        <v>10.0</v>
      </c>
      <c r="I145" s="111">
        <v>1951671.16</v>
      </c>
      <c r="J145" s="111">
        <v>1951671.16</v>
      </c>
      <c r="K145" s="110" t="inlineStr">
        <is>
          <t xml:space="preserve">Uyiga borildi - to'ladi</t>
        </is>
      </c>
    </row>
    <row r="146">
      <c r="A146" s="110" t="inlineStr">
        <is>
          <t xml:space="preserve">КАШКАДАРЁ ВИЛОЯТИ</t>
        </is>
      </c>
      <c r="C146" s="110" t="inlineStr">
        <is>
          <t xml:space="preserve">Недозвон</t>
        </is>
      </c>
      <c r="D146" s="110" t="inlineStr">
        <is>
          <t xml:space="preserve">Кр-99037290-1</t>
        </is>
      </c>
      <c r="E146" s="110" t="inlineStr">
        <is>
          <t xml:space="preserve">NORMATOVA BAXTIGUL NORMUROT QIZI</t>
        </is>
      </c>
      <c r="F146" s="110" t="inlineStr">
        <is>
          <t xml:space="preserve">998943081585 SMS OZI (BEGONAAA), 998936972014 SMS OPASI (BEGONAAA), 998938732395 SMS OILASI, 998501002395 TULOVCHI NEWW,</t>
        </is>
      </c>
      <c r="G146" s="110" t="inlineStr">
        <is>
          <t xml:space="preserve">QASHQADARYO VILOYATI QAMASHI TUMANI ISTIQBOL MFY DUNG QISHLOG’I</t>
        </is>
      </c>
      <c r="H146" s="111">
        <v>8.0</v>
      </c>
      <c r="I146" s="111">
        <v>1893556.91</v>
      </c>
      <c r="K146" s="110" t="inlineStr">
        <is>
          <t xml:space="preserve">Telefon ko'tarmadi | tlgdan aloqaga chiqdim</t>
        </is>
      </c>
    </row>
    <row r="147">
      <c r="A147" s="110" t="inlineStr">
        <is>
          <t xml:space="preserve">КАШКАДАРЁ ВИЛОЯТИ</t>
        </is>
      </c>
      <c r="C147" s="110" t="inlineStr">
        <is>
          <t xml:space="preserve">Недозвон</t>
        </is>
      </c>
      <c r="D147" s="110" t="inlineStr">
        <is>
          <t xml:space="preserve">Кр-99040142-1</t>
        </is>
      </c>
      <c r="E147" s="110" t="inlineStr">
        <is>
          <t xml:space="preserve">BARATOV ESHMAMAT G’AYRAT O’G’LI</t>
        </is>
      </c>
      <c r="F147" s="110" t="inlineStr">
        <is>
          <t xml:space="preserve">+998939360572 SMS OZI, 998900278116 SMS ONASI, 998995114507 SMS AKASI,</t>
        </is>
      </c>
      <c r="G147" s="110" t="inlineStr">
        <is>
          <t xml:space="preserve">БАТОШ МФЙ, БАТОШ КИШЛОГИ,  uy:Р/С</t>
        </is>
      </c>
      <c r="H147" s="111">
        <v>10.0</v>
      </c>
      <c r="I147" s="111">
        <v>1880653.15</v>
      </c>
    </row>
    <row r="148">
      <c r="A148" s="110" t="inlineStr">
        <is>
          <t xml:space="preserve">КАШКАДАРЁ ВИЛОЯТИ</t>
        </is>
      </c>
      <c r="C148" s="110" t="inlineStr">
        <is>
          <t xml:space="preserve">Недозвон</t>
        </is>
      </c>
      <c r="D148" s="110" t="inlineStr">
        <is>
          <t xml:space="preserve">Кр-99038117-1</t>
        </is>
      </c>
      <c r="E148" s="110" t="inlineStr">
        <is>
          <t xml:space="preserve">ABDILLAYEV RAVUL AKMAL O’G’LI</t>
        </is>
      </c>
      <c r="F148" s="110" t="inlineStr">
        <is>
          <t xml:space="preserve">998880057378 SMS OZI, 998883121073 SMS AKASI, 998886400529 SMS DADASI, 998946427305 SMS ONASI,</t>
        </is>
      </c>
      <c r="G148" s="110" t="inlineStr">
        <is>
          <t xml:space="preserve">QASHQADARYO VILOYATI KOSON TUMANI ESABOY MFY BUYUK TURON KUCHASI 131-UY</t>
        </is>
      </c>
      <c r="H148" s="111">
        <v>3.0</v>
      </c>
      <c r="I148" s="111">
        <v>1870793.42</v>
      </c>
      <c r="K148" s="110" t="inlineStr">
        <is>
          <t xml:space="preserve">Telefon ko'tarmadi | tlg yo sms yozvordim</t>
        </is>
      </c>
    </row>
    <row r="149">
      <c r="A149" s="110" t="inlineStr">
        <is>
          <t xml:space="preserve">КАШКАДАРЁ ВИЛОЯТИ</t>
        </is>
      </c>
      <c r="C149" s="110" t="inlineStr">
        <is>
          <t xml:space="preserve">Недозвон</t>
        </is>
      </c>
      <c r="D149" s="110" t="inlineStr">
        <is>
          <t xml:space="preserve">Кр-99052902-1</t>
        </is>
      </c>
      <c r="E149" s="110" t="inlineStr">
        <is>
          <t xml:space="preserve">FAYZULLAYEVA SHAXLO ISROILOVNA</t>
        </is>
      </c>
      <c r="F149" s="110" t="inlineStr">
        <is>
          <t xml:space="preserve">998955120412 OZI, 998947268411 AKASI TO'LOVCHI, 998947652533 DADASI, 998773808411 ONASI,</t>
        </is>
      </c>
      <c r="G149" s="110" t="inlineStr">
        <is>
          <t xml:space="preserve">QASHQADARYO VILOYATI KABI TUMANI CHULQUVAR MFY</t>
        </is>
      </c>
      <c r="H149" s="111">
        <v>10.0</v>
      </c>
      <c r="I149" s="111">
        <v>1824636.32</v>
      </c>
    </row>
    <row r="150">
      <c r="A150" s="110" t="inlineStr">
        <is>
          <t xml:space="preserve">КАШКАДАРЁ ВИЛОЯТИ</t>
        </is>
      </c>
      <c r="C150" s="110" t="inlineStr">
        <is>
          <t xml:space="preserve">Недозвон</t>
        </is>
      </c>
      <c r="D150" s="110" t="inlineStr">
        <is>
          <t xml:space="preserve">Кр-99037290-2</t>
        </is>
      </c>
      <c r="E150" s="110" t="inlineStr">
        <is>
          <t xml:space="preserve">NORMATOVA BAXTIGUL NORMUROT QIZI</t>
        </is>
      </c>
      <c r="F150" s="110" t="inlineStr">
        <is>
          <t xml:space="preserve">998943081585 SMS OZI (BEGONAAA), 998936972014 SMS OPASI (BEGONAAA), 998938732395 SMS OILASI, 998501002395 TULOVCHI NEWW,</t>
        </is>
      </c>
      <c r="G150" s="110" t="inlineStr">
        <is>
          <t xml:space="preserve">QASHQADARYO VILOYATI QAMASHI TUMANI ISTIQBOL MFY DUNG QISHLOG’I</t>
        </is>
      </c>
      <c r="H150" s="111">
        <v>8.0</v>
      </c>
      <c r="I150" s="111">
        <v>1730305.85</v>
      </c>
      <c r="K150" s="110" t="inlineStr">
        <is>
          <t xml:space="preserve">Telefon ko'tarmadi | tlgdan aloqaga chiqdim</t>
        </is>
      </c>
    </row>
    <row r="151">
      <c r="A151" s="110" t="inlineStr">
        <is>
          <t xml:space="preserve">КАШКАДАРЁ ВИЛОЯТИ</t>
        </is>
      </c>
      <c r="C151" s="110" t="inlineStr">
        <is>
          <t xml:space="preserve">Недозвон</t>
        </is>
      </c>
      <c r="D151" s="110" t="inlineStr">
        <is>
          <t xml:space="preserve">Кр-99037284-1</t>
        </is>
      </c>
      <c r="E151" s="110" t="inlineStr">
        <is>
          <t xml:space="preserve">XUDOYBERDIYEV SOBIRJON SODIQ O‘G‘LI</t>
        </is>
      </c>
      <c r="F151" s="110" t="inlineStr">
        <is>
          <t xml:space="preserve">998977999498 SMS OZI бегона бич , 998912257806 SMS UKASI, 998906788694 SMS OILASI, 998914585278 SMS AKASI, +998914585278 Primary phone from road24,</t>
        </is>
      </c>
      <c r="G151" s="110" t="inlineStr">
        <is>
          <t xml:space="preserve">Кашкадарьинская область, Шахрисабзский район, Мироқи МФЙ, ул. Х Шукуров, дом 39</t>
        </is>
      </c>
      <c r="H151" s="111">
        <v>8.0</v>
      </c>
      <c r="I151" s="111">
        <v>1725530.55</v>
      </c>
      <c r="K151" s="110" t="inlineStr">
        <is>
          <t xml:space="preserve">Telefon ko'tarmadi | sms yozdim</t>
        </is>
      </c>
    </row>
    <row r="152">
      <c r="A152" s="110" t="inlineStr">
        <is>
          <t xml:space="preserve">КАШКАДАРЁ ВИЛОЯТИ</t>
        </is>
      </c>
      <c r="C152" s="110" t="inlineStr">
        <is>
          <t xml:space="preserve">Недозвон</t>
        </is>
      </c>
      <c r="D152" s="110" t="inlineStr">
        <is>
          <t xml:space="preserve">Кр-99037255-1</t>
        </is>
      </c>
      <c r="E152" s="110" t="inlineStr">
        <is>
          <t xml:space="preserve">SADATOV LAZIZBEK LOCHIN O‘G‘LI</t>
        </is>
      </c>
      <c r="F152" s="110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152" s="110" t="inlineStr">
        <is>
          <t xml:space="preserve">Сувлиқ МФЙ, Сувбуйи кучаси, 146-уй</t>
        </is>
      </c>
      <c r="H152" s="111">
        <v>7.0</v>
      </c>
      <c r="I152" s="111">
        <v>1693297.88</v>
      </c>
      <c r="K152" s="110" t="inlineStr">
        <is>
          <t xml:space="preserve">Telefon ko'tarmadi | tlgdan yozdm seshanba kun to'lov bo'ladi dedi</t>
        </is>
      </c>
    </row>
    <row r="153">
      <c r="A153" s="110" t="inlineStr">
        <is>
          <t xml:space="preserve">КАШКАДАРЁ ВИЛОЯТИ</t>
        </is>
      </c>
      <c r="C153" s="110" t="inlineStr">
        <is>
          <t xml:space="preserve">Недозвон</t>
        </is>
      </c>
      <c r="D153" s="110" t="inlineStr">
        <is>
          <t xml:space="preserve">Кр-99038371-3</t>
        </is>
      </c>
      <c r="E153" s="110" t="inlineStr">
        <is>
          <t xml:space="preserve">NAMOZOVA SOHIBA SAYFULLAYEVNA</t>
        </is>
      </c>
      <c r="F153" s="110" t="inlineStr">
        <is>
          <t xml:space="preserve">998889498189 SMS OZI, 998767391002 SMS OZI 2, 998888029100 SMS AYOLI,</t>
        </is>
      </c>
      <c r="G153" s="110" t="inlineStr">
        <is>
          <t xml:space="preserve">QASHQADARYO VILOYATI KOSON TUMANI BOYGUNDI MFY BOYGUNDI QISHLOGI</t>
        </is>
      </c>
      <c r="H153" s="111">
        <v>10.0</v>
      </c>
      <c r="I153" s="111">
        <v>1513032.12</v>
      </c>
      <c r="K153" s="110" t="inlineStr">
        <is>
          <t xml:space="preserve">Telefon ko'tarmadi | telefonlari o'chirilgan tlg chiqdiyozvordim</t>
        </is>
      </c>
    </row>
    <row r="154">
      <c r="A154" s="110" t="inlineStr">
        <is>
          <t xml:space="preserve">КАШКАДАРЁ ВИЛОЯТИ</t>
        </is>
      </c>
      <c r="C154" s="110" t="inlineStr">
        <is>
          <t xml:space="preserve">Объезд</t>
        </is>
      </c>
      <c r="D154" s="110" t="inlineStr">
        <is>
          <t xml:space="preserve">Кр-99038805-1</t>
        </is>
      </c>
      <c r="E154" s="110" t="inlineStr">
        <is>
          <t xml:space="preserve">ESHQULOV ABROR AZAMATOVICH</t>
        </is>
      </c>
      <c r="F154" s="110" t="inlineStr">
        <is>
          <t xml:space="preserve">998976776676 SMS O’ZI, 998990647161 SMS AYOLI, 998972560232 SMS AKASI , 998947061030 SMS ONASI,</t>
        </is>
      </c>
      <c r="G154" s="110" t="inlineStr">
        <is>
          <t xml:space="preserve">QARSHI TUMANI</t>
        </is>
      </c>
      <c r="H154" s="111">
        <v>6.0</v>
      </c>
      <c r="I154" s="111">
        <v>1414554.52</v>
      </c>
      <c r="J154" s="111">
        <v>1414554.52</v>
      </c>
      <c r="K154" s="110" t="inlineStr">
        <is>
          <t xml:space="preserve">Uyiga borildi - to'ladi</t>
        </is>
      </c>
    </row>
    <row r="155">
      <c r="A155" s="110" t="inlineStr">
        <is>
          <t xml:space="preserve">КАШКАДАРЁ ВИЛОЯТИ</t>
        </is>
      </c>
      <c r="C155" s="110" t="inlineStr">
        <is>
          <t xml:space="preserve">Недозвон</t>
        </is>
      </c>
      <c r="D155" s="110" t="inlineStr">
        <is>
          <t xml:space="preserve">Кр-99062893-2</t>
        </is>
      </c>
      <c r="E155" s="110" t="inlineStr">
        <is>
          <t xml:space="preserve">MUXAMMADIYEVA ZARIFA LUTFULLAYEVNA</t>
        </is>
      </c>
      <c r="F155" s="110" t="inlineStr">
        <is>
          <t xml:space="preserve">998900705555 OZI, 998936965555 UKASI, 998973115555 AKASI TO'LOVCHI , 998772352727 ONASI BEGONA ,</t>
        </is>
      </c>
      <c r="G155" s="110" t="inlineStr">
        <is>
          <t xml:space="preserve">QASHQADARYO VILOYATI QARSHI SHAHRI MUSTAQILLIK MFY ISLOM KARIMOV KUCHASI 218A-UY 1-XONADON</t>
        </is>
      </c>
      <c r="H155" s="111">
        <v>10.0</v>
      </c>
      <c r="I155" s="111">
        <v>1375522.3</v>
      </c>
    </row>
    <row r="156">
      <c r="A156" s="110" t="inlineStr">
        <is>
          <t xml:space="preserve">КАШКАДАРЁ ВИЛОЯТИ</t>
        </is>
      </c>
      <c r="C156" s="110" t="inlineStr">
        <is>
          <t xml:space="preserve">Недозвон</t>
        </is>
      </c>
      <c r="D156" s="110" t="inlineStr">
        <is>
          <t xml:space="preserve">Кр-99039364-2</t>
        </is>
      </c>
      <c r="E156" s="110" t="inlineStr">
        <is>
          <t xml:space="preserve">AZIMOV TURG’UN TUFLIYEVICH</t>
        </is>
      </c>
      <c r="F156" s="110" t="inlineStr">
        <is>
          <t xml:space="preserve">998946868512 SMS OZI, 998786757278 SMS AYOLI, 998505792187 SMS DADSI, 998973168020 SMS ONASI,</t>
        </is>
      </c>
      <c r="G156" s="110" t="inlineStr">
        <is>
          <t xml:space="preserve">QASHQADARYO VILOYATI QAMASHI TUMANI JONBUZSOY MFY UMID NIXOLI KUCHASI 46-UY</t>
        </is>
      </c>
      <c r="H156" s="111">
        <v>10.0</v>
      </c>
      <c r="I156" s="111">
        <v>1359369.55</v>
      </c>
      <c r="K156" s="110" t="inlineStr">
        <is>
          <t xml:space="preserve">Telefon ko'tarmadi | sms yozvordim</t>
        </is>
      </c>
    </row>
    <row r="157">
      <c r="A157" s="110" t="inlineStr">
        <is>
          <t xml:space="preserve">КАШКАДАРЁ ВИЛОЯТИ</t>
        </is>
      </c>
      <c r="C157" s="110" t="inlineStr">
        <is>
          <t xml:space="preserve">Недозвон</t>
        </is>
      </c>
      <c r="D157" s="110" t="inlineStr">
        <is>
          <t xml:space="preserve">Кр-99041346-1</t>
        </is>
      </c>
      <c r="E157" s="110" t="inlineStr">
        <is>
          <t xml:space="preserve">RAVSHANOV FARHOD CHORIYOROVICH</t>
        </is>
      </c>
      <c r="F157" s="110" t="inlineStr">
        <is>
          <t xml:space="preserve">998952510007 sms ozi, 998953156767 sms, 998974348787 sms,</t>
        </is>
      </c>
      <c r="G157" s="110" t="inlineStr">
        <is>
          <t xml:space="preserve">Кашкадарьинская область, Камашинский район, Туқбой МСГ, ул. Сарой, дом 54</t>
        </is>
      </c>
      <c r="H157" s="111">
        <v>10.0</v>
      </c>
      <c r="I157" s="111">
        <v>1346509.28</v>
      </c>
    </row>
    <row r="158">
      <c r="A158" s="110" t="inlineStr">
        <is>
          <t xml:space="preserve">КАШКАДАРЁ ВИЛОЯТИ</t>
        </is>
      </c>
      <c r="C158" s="110" t="inlineStr">
        <is>
          <t xml:space="preserve">Объезд</t>
        </is>
      </c>
      <c r="D158" s="110" t="inlineStr">
        <is>
          <t xml:space="preserve">Кр-99035313-4</t>
        </is>
      </c>
      <c r="E158" s="110" t="inlineStr">
        <is>
          <t xml:space="preserve">OMONOV RO’YIDDIN ADASH O’G’LI</t>
        </is>
      </c>
      <c r="F158" s="110" t="inlineStr">
        <is>
          <t xml:space="preserve">998906167214 SMS OILASI, 998913830559 SMS AKASI  UZIII TO'LOVCHI, 998993830559 SMS OILASI, 998914682525 SMS UKASI (POCHCHASI),</t>
        </is>
      </c>
      <c r="G158" s="110" t="inlineStr">
        <is>
          <t xml:space="preserve">QASHQADARYO VILOYATI QARSHI TUMANI TINCHLIK MFY PARMITON QISHLOG’I 13-UY</t>
        </is>
      </c>
      <c r="H158" s="111">
        <v>10.0</v>
      </c>
      <c r="I158" s="111">
        <v>1341477.22</v>
      </c>
      <c r="J158" s="111">
        <v>1341477.22</v>
      </c>
      <c r="K158" s="110" t="inlineStr">
        <is>
          <t xml:space="preserve">Uyiga borildi - to'ladi</t>
        </is>
      </c>
    </row>
    <row r="159">
      <c r="A159" s="110" t="inlineStr">
        <is>
          <t xml:space="preserve">КАШКАДАРЁ ВИЛОЯТИ</t>
        </is>
      </c>
      <c r="C159" s="110" t="inlineStr">
        <is>
          <t xml:space="preserve">Недозвон</t>
        </is>
      </c>
      <c r="D159" s="110" t="inlineStr">
        <is>
          <t xml:space="preserve">Кр-99038701-1</t>
        </is>
      </c>
      <c r="E159" s="110" t="inlineStr">
        <is>
          <t xml:space="preserve">MAMATQULOVA MAFTUNA AZAMAT QIZI</t>
        </is>
      </c>
      <c r="F159" s="110" t="inlineStr">
        <is>
          <t xml:space="preserve">998910740201 SMS OZI BEGONA, 998939024242 SMS AYOLI, 998914723980 SMS DADASI, 998918110201 SMS ONASI BEGONA,</t>
        </is>
      </c>
      <c r="G159" s="110" t="inlineStr">
        <is>
          <t xml:space="preserve">QASHQADARYO VILOYATI QARSHI SHAHAR KARLUK-BOGOT MFY AT-TERMIZIY KUCHASI 21 UY</t>
        </is>
      </c>
      <c r="H159" s="111">
        <v>8.0</v>
      </c>
      <c r="I159" s="111">
        <v>1289312.73</v>
      </c>
      <c r="K159" s="110" t="inlineStr">
        <is>
          <t xml:space="preserve">Telefon ko'tarmadi | sms yozvordim</t>
        </is>
      </c>
    </row>
    <row r="160">
      <c r="A160" s="110" t="inlineStr">
        <is>
          <t xml:space="preserve">КАШКАДАРЁ ВИЛОЯТИ</t>
        </is>
      </c>
      <c r="C160" s="110" t="inlineStr">
        <is>
          <t xml:space="preserve">Недозвон</t>
        </is>
      </c>
      <c r="D160" s="110" t="inlineStr">
        <is>
          <t xml:space="preserve">Кр-99037316-2</t>
        </is>
      </c>
      <c r="E160" s="110" t="inlineStr">
        <is>
          <t xml:space="preserve">XAMROYEVA DILRABO KUYLIYEVNA</t>
        </is>
      </c>
      <c r="F160" s="110" t="inlineStr">
        <is>
          <t xml:space="preserve">998908819972 SMS OZI, 998906606361 SMS ONASI BEGONA QIZCHA, 998906851166 SMS OTASI, 998906831166 SMS AKASI (UZIII),</t>
        </is>
      </c>
      <c r="G160" s="110" t="inlineStr">
        <is>
          <t xml:space="preserve">QASHQADARYO VILOYATI QARSHI TUMANI NAVRUZ MFY BOBUR KUCHASI 16-UY</t>
        </is>
      </c>
      <c r="H160" s="111">
        <v>10.0</v>
      </c>
      <c r="I160" s="111">
        <v>1281001.67</v>
      </c>
      <c r="K160" s="110" t="inlineStr">
        <is>
          <t xml:space="preserve">Telefon ko'tarmadi | maxallasiga chiqdim yoshlar yetakchisi nomerini topib berommadi</t>
        </is>
      </c>
    </row>
    <row r="161">
      <c r="A161" s="110" t="inlineStr">
        <is>
          <t xml:space="preserve">КАШКАДАРЁ ВИЛОЯТИ</t>
        </is>
      </c>
      <c r="C161" s="110" t="inlineStr">
        <is>
          <t xml:space="preserve">Недозвон</t>
        </is>
      </c>
      <c r="D161" s="110" t="inlineStr">
        <is>
          <t xml:space="preserve">Кр-99050434-2</t>
        </is>
      </c>
      <c r="E161" s="110" t="inlineStr">
        <is>
          <t xml:space="preserve">SHAMSIYEV MEHRIDIN TUBLI O’G’LI</t>
        </is>
      </c>
      <c r="F161" s="110" t="inlineStr">
        <is>
          <t xml:space="preserve">+998973876569 SMS UZI, 998970057479 SMS UKASI, 998975196569 SMS  BEGONA,</t>
        </is>
      </c>
      <c r="G161" s="110" t="inlineStr">
        <is>
          <t xml:space="preserve">КАШКАДАРЁ ВИЛОЯТИ КОСОН ТУМАНИ ESABOY MFY ESABOY QISHLOG’I 11 UY</t>
        </is>
      </c>
      <c r="H161" s="111">
        <v>10.0</v>
      </c>
      <c r="I161" s="111">
        <v>1252841.46</v>
      </c>
    </row>
    <row r="162">
      <c r="A162" s="110" t="inlineStr">
        <is>
          <t xml:space="preserve">КАШКАДАРЁ ВИЛОЯТИ</t>
        </is>
      </c>
      <c r="C162" s="110" t="inlineStr">
        <is>
          <t xml:space="preserve">Недозвон</t>
        </is>
      </c>
      <c r="D162" s="110" t="inlineStr">
        <is>
          <t xml:space="preserve">Кр-99029105-1</t>
        </is>
      </c>
      <c r="E162" s="110" t="inlineStr">
        <is>
          <t xml:space="preserve">MAHMUDOV OLIM OTAQULOVICH</t>
        </is>
      </c>
      <c r="F162" s="110" t="inlineStr">
        <is>
          <t xml:space="preserve">95-178-02-25 SMS OZI TULOVCHISI, 99-152-62-55 SMS ONASI, 97-803-97-77  SMS AYOLI, 97-743-33-66 SMS ZALOGADATEL, 98-366-82-72 SMS ZALOGADATEL, 998777420100 UZI NEWW,</t>
        </is>
      </c>
      <c r="G162" s="110" t="inlineStr">
        <is>
          <t xml:space="preserve">QASHQADARYO VILOYATI QARSHI TUMANI CHAROG'ON QFY 33-UY</t>
        </is>
      </c>
      <c r="H162" s="111">
        <v>14.0</v>
      </c>
      <c r="I162" s="111">
        <v>1223525.66</v>
      </c>
      <c r="K162" s="110" t="inlineStr">
        <is>
          <t xml:space="preserve">Telefon ko'tarmadi | uyiga xodim jo'natdim</t>
        </is>
      </c>
    </row>
    <row r="163">
      <c r="A163" s="110" t="inlineStr">
        <is>
          <t xml:space="preserve">КАШКАДАРЁ ВИЛОЯТИ</t>
        </is>
      </c>
      <c r="C163" s="110" t="inlineStr">
        <is>
          <t xml:space="preserve">Недозвон</t>
        </is>
      </c>
      <c r="D163" s="110" t="inlineStr">
        <is>
          <t xml:space="preserve">Кр-99019873-8</t>
        </is>
      </c>
      <c r="E163" s="110" t="inlineStr">
        <is>
          <t xml:space="preserve">ARZIQULOV ELBOY ABDIXALILOVICH</t>
        </is>
      </c>
      <c r="F163" s="110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163" s="110" t="inlineStr">
        <is>
          <t xml:space="preserve">Кашкадарьинская область, Камашинский район, Рабод МСГ, ул. Окработ, дом 61</t>
        </is>
      </c>
      <c r="H163" s="111">
        <v>3.0</v>
      </c>
      <c r="I163" s="111">
        <v>1167106.15</v>
      </c>
      <c r="K163" s="110" t="inlineStr">
        <is>
          <t xml:space="preserve">Telefon ko'tarmadi | raqam noto'g'ri</t>
        </is>
      </c>
    </row>
    <row r="164">
      <c r="A164" s="110" t="inlineStr">
        <is>
          <t xml:space="preserve">КАШКАДАРЁ ВИЛОЯТИ</t>
        </is>
      </c>
      <c r="C164" s="110" t="inlineStr">
        <is>
          <t xml:space="preserve">Недозвон</t>
        </is>
      </c>
      <c r="D164" s="110" t="inlineStr">
        <is>
          <t xml:space="preserve">Кр-99040255-1</t>
        </is>
      </c>
      <c r="E164" s="110" t="inlineStr">
        <is>
          <t xml:space="preserve">TO’RAYEVA INTIZOR HUSAN QIZI </t>
        </is>
      </c>
      <c r="F164" s="110" t="inlineStr">
        <is>
          <t xml:space="preserve">998991985752 SMS OZI, 998976701098 SMS AYOLI, 998995078900 SMS DADASI, 998915004348 узи ,</t>
        </is>
      </c>
      <c r="G164" s="110" t="inlineStr">
        <is>
          <t xml:space="preserve">QASHQADARYO VILOYATI KASBI TUMANI MIRZO ULUG’BEK MFY BAYDOQCHI QISHLOG’I ABDULLA ORIPOV KUCHASI 5-UY </t>
        </is>
      </c>
      <c r="I164" s="111">
        <v>1156874.12</v>
      </c>
    </row>
    <row r="165">
      <c r="A165" s="110" t="inlineStr">
        <is>
          <t xml:space="preserve">КАШКАДАРЁ ВИЛОЯТИ</t>
        </is>
      </c>
      <c r="C165" s="110" t="inlineStr">
        <is>
          <t xml:space="preserve">Объезд</t>
        </is>
      </c>
      <c r="D165" s="110" t="inlineStr">
        <is>
          <t xml:space="preserve">Кр-99035313-2</t>
        </is>
      </c>
      <c r="E165" s="110" t="inlineStr">
        <is>
          <t xml:space="preserve">OMONOV RO’YIDDIN ADASH O’G’LI</t>
        </is>
      </c>
      <c r="F165" s="110" t="inlineStr">
        <is>
          <t xml:space="preserve">998906167214 SMS OILASI, 998913830559 SMS AKASI  UZIII TO'LOVCHI, 998993830559 SMS OILASI, 998914682525 SMS UKASI (POCHCHASI),</t>
        </is>
      </c>
      <c r="G165" s="110" t="inlineStr">
        <is>
          <t xml:space="preserve">QASHQADARYO VILOYATI QARSHI TUMANI TINCHLIK MFY PARMITON QISHLOG’I 13-UY</t>
        </is>
      </c>
      <c r="H165" s="111">
        <v>3.0</v>
      </c>
      <c r="I165" s="111">
        <v>999946.2</v>
      </c>
      <c r="J165" s="111">
        <v>999946.2</v>
      </c>
      <c r="K165" s="110" t="inlineStr">
        <is>
          <t xml:space="preserve">Uyiga borildi - to'ladi</t>
        </is>
      </c>
    </row>
    <row r="166">
      <c r="A166" s="110" t="inlineStr">
        <is>
          <t xml:space="preserve">КАШКАДАРЁ ВИЛОЯТИ</t>
        </is>
      </c>
      <c r="C166" s="110" t="inlineStr">
        <is>
          <t xml:space="preserve">Недозвон</t>
        </is>
      </c>
      <c r="D166" s="110" t="inlineStr">
        <is>
          <t xml:space="preserve">Кр-99038978-3</t>
        </is>
      </c>
      <c r="E166" s="110" t="inlineStr">
        <is>
          <t xml:space="preserve">ATAQULOV FERUZ JURABEK O’G’LI</t>
        </is>
      </c>
      <c r="F166" s="110" t="inlineStr">
        <is>
          <t xml:space="preserve">998953853414 SMS OZI, 998990155371 SMS AYOLI BEGONA, 998991020088 SMS UYI, 998992381515 SMS AKASI, 998880003026 SMS OZI, 998951470012 UZI,</t>
        </is>
      </c>
      <c r="G166" s="110" t="inlineStr">
        <is>
          <t xml:space="preserve">Кашкадарьинская область, г. Карши, Арабхона МФЙ, ул. Мугжагул, дом 49</t>
        </is>
      </c>
      <c r="H166" s="111">
        <v>10.0</v>
      </c>
      <c r="I166" s="111">
        <v>958734.46</v>
      </c>
      <c r="K166" s="110" t="inlineStr">
        <is>
          <t xml:space="preserve">Telefon ko'tarmadi | tlgdan aloqaga chiqildi</t>
        </is>
      </c>
    </row>
    <row r="167">
      <c r="A167" s="110" t="inlineStr">
        <is>
          <t xml:space="preserve">КАШКАДАРЁ ВИЛОЯТИ</t>
        </is>
      </c>
      <c r="C167" s="110" t="inlineStr">
        <is>
          <t xml:space="preserve">Недозвон</t>
        </is>
      </c>
      <c r="D167" s="110" t="inlineStr">
        <is>
          <t xml:space="preserve">Кр-99057389-1</t>
        </is>
      </c>
      <c r="E167" s="110" t="inlineStr">
        <is>
          <t xml:space="preserve">ABDULLAYEV ILHOM QILICHEVICH</t>
        </is>
      </c>
      <c r="F167" s="110" t="inlineStr">
        <is>
          <t xml:space="preserve">998978053008 SMS UZI BEGONA, 998903310550 SMS ONASI BEGONA, 998903317827 SMS ONASI, 998886223008 SMS AKASI TO'LOVCHI, 998876244800 SMS  ozi neww,</t>
        </is>
      </c>
      <c r="G167" s="110" t="inlineStr">
        <is>
          <t xml:space="preserve">QASHQADARYO VILOYATI KITOB TUMANI XALQLAR DUSTLIGI MFY KASHKADARYO KUCHASI 117-UY</t>
        </is>
      </c>
      <c r="I167" s="111">
        <v>833062.25</v>
      </c>
    </row>
    <row r="168">
      <c r="A168" s="110" t="inlineStr">
        <is>
          <t xml:space="preserve">КАШКАДАРЁ ВИЛОЯТИ</t>
        </is>
      </c>
      <c r="C168" s="110" t="inlineStr">
        <is>
          <t xml:space="preserve">Объезд</t>
        </is>
      </c>
      <c r="D168" s="110" t="inlineStr">
        <is>
          <t xml:space="preserve">Кр-99038004-1</t>
        </is>
      </c>
      <c r="E168" s="110" t="inlineStr">
        <is>
          <t xml:space="preserve">RAXMONOVA NILUFAR RAXMIDDIN QIZI</t>
        </is>
      </c>
      <c r="F168" s="110" t="inlineStr">
        <is>
          <t xml:space="preserve">998889543030 SMS OZI, 998882070694 SMS OILASI, 998979537171 SMS AKASI, 998991689400 SMS AKASI, 998974380089 SMS TO'LOVCHI,</t>
        </is>
      </c>
      <c r="G168" s="110" t="inlineStr">
        <is>
          <t xml:space="preserve">КАШКАДАРЁ ВИЛОЯТИ КОСОН ТУМАНИ Эсабой МФЙ Эсабой кучаси 31-уй</t>
        </is>
      </c>
      <c r="H168" s="111">
        <v>10.0</v>
      </c>
      <c r="I168" s="111">
        <v>779178.8</v>
      </c>
      <c r="J168" s="111">
        <v>779178.8</v>
      </c>
      <c r="K168" s="110" t="inlineStr">
        <is>
          <t xml:space="preserve">Uyiga borildi - to'ladi</t>
        </is>
      </c>
    </row>
    <row r="169">
      <c r="A169" s="110" t="inlineStr">
        <is>
          <t xml:space="preserve">КАШКАДАРЁ ВИЛОЯТИ</t>
        </is>
      </c>
      <c r="C169" s="110" t="inlineStr">
        <is>
          <t xml:space="preserve">Недозвон</t>
        </is>
      </c>
      <c r="D169" s="110" t="inlineStr">
        <is>
          <t xml:space="preserve">Кр-99029108-2</t>
        </is>
      </c>
      <c r="E169" s="110" t="inlineStr">
        <is>
          <t xml:space="preserve">ESHIMOV SHAROF NAMOZOVICH</t>
        </is>
      </c>
      <c r="F169" s="110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69" s="110" t="inlineStr">
        <is>
          <t xml:space="preserve">QASHQADARYO VILOYATI QARSHI TUMANI O’ZBEK FAYZABOD QISHLOG’I KAMOLAT KO’CHASI 56-UY</t>
        </is>
      </c>
      <c r="H169" s="111">
        <v>10.0</v>
      </c>
      <c r="I169" s="111">
        <v>706437.99</v>
      </c>
      <c r="K169" s="110" t="inlineStr">
        <is>
          <t xml:space="preserve">Telefon ko'tarmadi | sms yozvordim</t>
        </is>
      </c>
    </row>
    <row r="170">
      <c r="A170" s="110" t="inlineStr">
        <is>
          <t xml:space="preserve">КАШКАДАРЁ ВИЛОЯТИ</t>
        </is>
      </c>
      <c r="C170" s="110" t="inlineStr">
        <is>
          <t xml:space="preserve">Объезд</t>
        </is>
      </c>
      <c r="D170" s="110" t="inlineStr">
        <is>
          <t xml:space="preserve">Кр-99040703-2</t>
        </is>
      </c>
      <c r="E170" s="110" t="inlineStr">
        <is>
          <t xml:space="preserve">SHOMURODOV BEKMUROD SHERQULOVICH</t>
        </is>
      </c>
      <c r="F170" s="110" t="inlineStr">
        <is>
          <t xml:space="preserve">+998934213611 sms uzi , 998333993611 sms ogli, 998773004642 sms ayoli , 998996862082 sms uzi2,</t>
        </is>
      </c>
      <c r="G170" s="110" t="inlineStr">
        <is>
          <t xml:space="preserve">КАЗОКЛИ МФЙ, КАЗОКЛИ,  uy:Р/С</t>
        </is>
      </c>
      <c r="I170" s="111">
        <v>466210.86</v>
      </c>
      <c r="J170" s="111">
        <v>466210.86</v>
      </c>
      <c r="K170" s="110" t="inlineStr">
        <is>
          <t xml:space="preserve">Uyiga borildi - to'ladi</t>
        </is>
      </c>
    </row>
    <row r="171">
      <c r="A171" s="110" t="inlineStr">
        <is>
          <t xml:space="preserve">КАШКАДАРЁ ВИЛОЯТИ</t>
        </is>
      </c>
      <c r="C171" s="110" t="inlineStr">
        <is>
          <t xml:space="preserve">Недозвон</t>
        </is>
      </c>
      <c r="D171" s="110" t="inlineStr">
        <is>
          <t xml:space="preserve">Кр-99063035-1</t>
        </is>
      </c>
      <c r="E171" s="110" t="inlineStr">
        <is>
          <t xml:space="preserve">NE’MATOV HIKMATULLA ISMAT O’G’LI</t>
        </is>
      </c>
      <c r="F171" s="110" t="inlineStr">
        <is>
          <t xml:space="preserve">998931093970 SMS DADASI, 998943403113 SMS OZI, 998977593970 SSM ONASI,</t>
        </is>
      </c>
      <c r="G171" s="110" t="inlineStr">
        <is>
          <t xml:space="preserve">QASHQADARYO VILOYATI SHAXRISABZ TUMANI SHAKARCHITEPA MFY SHOVKAN QISHLOGI 273 UY</t>
        </is>
      </c>
      <c r="H171" s="111">
        <v>10.0</v>
      </c>
      <c r="I171" s="111">
        <v>353576.25</v>
      </c>
    </row>
    <row r="172">
      <c r="A172" s="110" t="inlineStr">
        <is>
          <t xml:space="preserve">КАШКАДАРЁ ВИЛОЯТИ</t>
        </is>
      </c>
      <c r="C172" s="110" t="inlineStr">
        <is>
          <t xml:space="preserve">Недозвон</t>
        </is>
      </c>
      <c r="D172" s="110" t="inlineStr">
        <is>
          <t xml:space="preserve">Кр-99040396-1</t>
        </is>
      </c>
      <c r="E172" s="110" t="inlineStr">
        <is>
          <t xml:space="preserve">KENJAYEV OTABEK ABDIRAXIM O’G’LI</t>
        </is>
      </c>
      <c r="F172" s="110" t="inlineStr">
        <is>
          <t xml:space="preserve">998975897577 SMS OZI (BEGONA), 998990482034 SMS UKASI, 998770612003 SMS DADASI,</t>
        </is>
      </c>
      <c r="G172" s="110" t="inlineStr">
        <is>
          <t xml:space="preserve">QASHQADARYO VILOYATI SHAXRISABZ TUMANI OQ OLTIN MFY ANDAY KUCHASI 62-UY</t>
        </is>
      </c>
      <c r="H172" s="111">
        <v>10.0</v>
      </c>
      <c r="I172" s="111">
        <v>187282.52</v>
      </c>
    </row>
    <row r="173">
      <c r="A173" s="110" t="inlineStr">
        <is>
          <t xml:space="preserve">КАШКАДАРЁ ВИЛОЯТИ</t>
        </is>
      </c>
      <c r="C173" s="110" t="inlineStr">
        <is>
          <t xml:space="preserve">Недозвон</t>
        </is>
      </c>
      <c r="D173" s="110" t="inlineStr">
        <is>
          <t xml:space="preserve">Кр-99056455-1</t>
        </is>
      </c>
      <c r="E173" s="110" t="inlineStr">
        <is>
          <t xml:space="preserve">MAMATOV ZARIFJON ZAVQIYEVICH</t>
        </is>
      </c>
      <c r="F173" s="110" t="inlineStr">
        <is>
          <t xml:space="preserve">998975560131 SMS O'ZI, 998888820131 SMS ONASI, 998975860131 SMS OTASI, 998975030131 SMS AKASI,</t>
        </is>
      </c>
      <c r="G173" s="110" t="inlineStr">
        <is>
          <t xml:space="preserve">QASHQADARYO VILOYATI KOSON TUMANI USHOQTEPA MFY USHOQTEPA KUCHASI 15-UY</t>
        </is>
      </c>
      <c r="H173" s="111">
        <v>10.0</v>
      </c>
      <c r="I173" s="111">
        <v>144409.76</v>
      </c>
    </row>
    <row r="174">
      <c r="A174" s="112" t="inlineStr">
        <is>
          <t xml:space="preserve">КОРАКАЛПОГИСТОН РЕСПУБЛИКАСИ</t>
        </is>
      </c>
      <c r="C174" s="112" t="inlineStr">
        <is>
          <t xml:space="preserve">Недозвон</t>
        </is>
      </c>
      <c r="D174" s="112" t="inlineStr">
        <is>
          <t xml:space="preserve">Кр-99060325-1</t>
        </is>
      </c>
      <c r="E174" s="112" t="inlineStr">
        <is>
          <t xml:space="preserve">SABIROVA NAZOKAT ORAZBAEVNA</t>
        </is>
      </c>
      <c r="F174" s="112" t="inlineStr">
        <is>
          <t xml:space="preserve">998972205225 узи, 998913829870 аели, 998887555225 кизи, 998882552552 кизи,</t>
        </is>
      </c>
      <c r="G174" s="112" t="inlineStr">
        <is>
          <t xml:space="preserve">QORAQALPOGISTON RES NUKUS SHAHAR NAUBAXAR MFY NAUKANSHILAR KUSHASI 18 UY </t>
        </is>
      </c>
      <c r="H174" s="113">
        <v>104.0</v>
      </c>
      <c r="I174" s="113">
        <v>62410508.74</v>
      </c>
      <c r="K174" s="112" t="inlineStr">
        <is>
          <t xml:space="preserve">Telefon ko'tarmadi | UYINI MIBGA CHIQQAN | 1357</t>
        </is>
      </c>
    </row>
    <row r="175">
      <c r="A175" s="112" t="inlineStr">
        <is>
          <t xml:space="preserve">КОРАКАЛПОГИСТОН РЕСПУБЛИКАСИ</t>
        </is>
      </c>
      <c r="C175" s="112" t="inlineStr">
        <is>
          <t xml:space="preserve">Объезд</t>
        </is>
      </c>
      <c r="D175" s="112" t="inlineStr">
        <is>
          <t xml:space="preserve">Кр-99062698-1</t>
        </is>
      </c>
      <c r="E175" s="112" t="inlineStr">
        <is>
          <t xml:space="preserve">ABDUALIYEV ABDIBAY ABDIRXANOVICH</t>
        </is>
      </c>
      <c r="F175" s="112" t="inlineStr">
        <is>
          <t xml:space="preserve">998997887003 SSM OZI, 998973546546 SMS AYOLI, 998991807003 SMS OGLI, 999877880239 SMS OGLI 2,</t>
        </is>
      </c>
      <c r="G175" s="112" t="inlineStr">
        <is>
          <t xml:space="preserve">QORAQALPOGISTON RES NUKUS SHAHAR AMUDARYO MFY SARI KOL KUSHASI 30 UY </t>
        </is>
      </c>
      <c r="H175" s="113">
        <v>15.0</v>
      </c>
      <c r="I175" s="113">
        <v>9839953.64</v>
      </c>
      <c r="K175" s="112" t="inlineStr">
        <is>
          <t xml:space="preserve">Uyiga borildi - va'da berdi | KO'TARMADI | 1424</t>
        </is>
      </c>
    </row>
    <row r="176">
      <c r="A176" s="112" t="inlineStr">
        <is>
          <t xml:space="preserve">КОРАКАЛПОГИСТОН РЕСПУБЛИКАСИ</t>
        </is>
      </c>
      <c r="C176" s="112" t="inlineStr">
        <is>
          <t xml:space="preserve">Объезд</t>
        </is>
      </c>
      <c r="D176" s="112" t="inlineStr">
        <is>
          <t xml:space="preserve">Кр-99046605-1</t>
        </is>
      </c>
      <c r="E176" s="112" t="inlineStr">
        <is>
          <t xml:space="preserve">BALTAYEV SADULLA MAKSUDOVICH</t>
        </is>
      </c>
      <c r="F176" s="112" t="inlineStr">
        <is>
          <t xml:space="preserve">998907147737 SMS UZI, 998947020528 SMS UGLI, 998945640304 SMS QIZI BEGONA , 998997147737 o'zi newww,</t>
        </is>
      </c>
      <c r="G176" s="112" t="inlineStr">
        <is>
          <t xml:space="preserve">QORAQALPOGISTON RES XOJAYLI TUMANI TUTZAR MFY XALKABAD KUSHASI 8 UY</t>
        </is>
      </c>
      <c r="H176" s="113">
        <v>13.0</v>
      </c>
      <c r="I176" s="113">
        <v>6971404.06</v>
      </c>
      <c r="K176" s="112" t="inlineStr">
        <is>
          <t xml:space="preserve">Uyiga borildi - va'da berdi | BUGUNGA VADA BERDILA OYLIGIM TUSHDI TASHEMAN DEDILA | 1120</t>
        </is>
      </c>
    </row>
    <row r="177">
      <c r="A177" s="112" t="inlineStr">
        <is>
          <t xml:space="preserve">КОРАКАЛПОГИСТОН РЕСПУБЛИКАСИ</t>
        </is>
      </c>
      <c r="C177" s="112" t="inlineStr">
        <is>
          <t xml:space="preserve">Объезд</t>
        </is>
      </c>
      <c r="D177" s="112" t="inlineStr">
        <is>
          <t xml:space="preserve">Кр-99056113-1</t>
        </is>
      </c>
      <c r="E177" s="112" t="inlineStr">
        <is>
          <t xml:space="preserve">TAJIMURATOVA NASIBA JUMAMBETOVNA</t>
        </is>
      </c>
      <c r="F177" s="112" t="inlineStr">
        <is>
          <t xml:space="preserve">998959469019 SMS OZI , 998880042678 SMS OZI 2 AKASI TO'LOVCHI , 998902625683 SMS OZI 3,</t>
        </is>
      </c>
      <c r="G177" s="112" t="inlineStr">
        <is>
          <t xml:space="preserve">QARAQALPOGISTON RES NUKUS SHAHAR DOSLIQ GUZARI MFY A.DOSNAZAROV KUSHASI 131 UY  28 KVARTIRA </t>
        </is>
      </c>
      <c r="H177" s="113">
        <v>10.0</v>
      </c>
      <c r="I177" s="113">
        <v>5927006.05</v>
      </c>
      <c r="K177" s="112" t="inlineStr">
        <is>
          <t xml:space="preserve">Uyiga borildi - va'da berdi | 1250</t>
        </is>
      </c>
    </row>
    <row r="178">
      <c r="A178" s="112" t="inlineStr">
        <is>
          <t xml:space="preserve">КОРАКАЛПОГИСТОН РЕСПУБЛИКАСИ</t>
        </is>
      </c>
      <c r="C178" s="112" t="inlineStr">
        <is>
          <t xml:space="preserve">Объезд</t>
        </is>
      </c>
      <c r="D178" s="112" t="inlineStr">
        <is>
          <t xml:space="preserve">Кр-99052708-1</t>
        </is>
      </c>
      <c r="E178" s="112" t="inlineStr">
        <is>
          <t xml:space="preserve">ABDIRAMANOV ZAKIR ABDIRIYEMOVICH</t>
        </is>
      </c>
      <c r="F178" s="112" t="inlineStr">
        <is>
          <t xml:space="preserve">998930009217 SMS OZI, 998913897229 SMS AKASI, 998904238131 SMS QIZI, 998904230693 SMS OGLI, 998907357534 ozi newww,</t>
        </is>
      </c>
      <c r="G178" s="112" t="inlineStr">
        <is>
          <t xml:space="preserve">QARAQALPOGISTON RES XOJAYLI TUMANI SABIK MFY SAXRA KUSHASI 7 UY </t>
        </is>
      </c>
      <c r="H178" s="113">
        <v>10.0</v>
      </c>
      <c r="I178" s="113">
        <v>4723738.02</v>
      </c>
      <c r="K178" s="112" t="inlineStr">
        <is>
          <t xml:space="preserve">Uyiga borildi - va'da berdi | QIZI BN GAPLASHDIM AYTIB QO'YAMAN AKAM TO'LAYDI DEDI 20KUNI OYLIGI TUSHADI EKAN | 1202</t>
        </is>
      </c>
    </row>
    <row r="179">
      <c r="A179" s="112" t="inlineStr">
        <is>
          <t xml:space="preserve">КОРАКАЛПОГИСТОН РЕСПУБЛИКАСИ</t>
        </is>
      </c>
      <c r="C179" s="112" t="inlineStr">
        <is>
          <t xml:space="preserve">Недозвон</t>
        </is>
      </c>
      <c r="D179" s="112" t="inlineStr">
        <is>
          <t xml:space="preserve">Кр-99062824-1</t>
        </is>
      </c>
      <c r="E179" s="112" t="inlineStr">
        <is>
          <t xml:space="preserve">ALIYEV KUDIYAR ALLIYAROVICH</t>
        </is>
      </c>
      <c r="F179" s="112" t="inlineStr">
        <is>
          <t xml:space="preserve">998933611148 SMS OANSI, 998972904286 SMS OZI, 998991623511 SMS AYOLI, 998991633511 SMS QIZI,</t>
        </is>
      </c>
      <c r="G179" s="112" t="inlineStr">
        <is>
          <t xml:space="preserve">QORAQOLPAGISTON RESPUBLIKASI NUKUS AMUDARYA MFY ELIM BAR KOCHASI 35-UY</t>
        </is>
      </c>
      <c r="H179" s="113">
        <v>10.0</v>
      </c>
      <c r="I179" s="113">
        <v>2765622.61</v>
      </c>
      <c r="K179" s="112" t="inlineStr">
        <is>
          <t xml:space="preserve">Telefon ko'tarmadi | KO'TARMADI | 1445</t>
        </is>
      </c>
    </row>
    <row r="180">
      <c r="A180" s="112" t="inlineStr">
        <is>
          <t xml:space="preserve">КОРАКАЛПОГИСТОН РЕСПУБЛИКАСИ</t>
        </is>
      </c>
      <c r="C180" s="112" t="inlineStr">
        <is>
          <t xml:space="preserve">Недозвон</t>
        </is>
      </c>
      <c r="D180" s="112" t="inlineStr">
        <is>
          <t xml:space="preserve">Кр-99063622-3</t>
        </is>
      </c>
      <c r="E180" s="112" t="inlineStr">
        <is>
          <t xml:space="preserve">XALMURATOV KOSHMURAT ESEMURATOVICH</t>
        </is>
      </c>
      <c r="F180" s="112" t="inlineStr">
        <is>
          <t xml:space="preserve">998932084435 OZI, 998935062883 DO'STI GAPLASHMAYABMAN DEDI , 998935868784 OPYALI,</t>
        </is>
      </c>
      <c r="G180" s="112" t="inlineStr">
        <is>
          <t xml:space="preserve">QORAQALPOGISTON RES QONLIKOL TUMANI BOSTAN OFY YULDIZLI KUSHASI 2 UY</t>
        </is>
      </c>
      <c r="H180" s="113">
        <v>10.0</v>
      </c>
      <c r="I180" s="113">
        <v>2686475.96</v>
      </c>
      <c r="K180" s="112" t="inlineStr">
        <is>
          <t xml:space="preserve">Telefon ko'tarmadi | KO'TARMADI | 1593</t>
        </is>
      </c>
    </row>
    <row r="181">
      <c r="A181" s="112" t="inlineStr">
        <is>
          <t xml:space="preserve">КОРАКАЛПОГИСТОН РЕСПУБЛИКАСИ</t>
        </is>
      </c>
      <c r="C181" s="112" t="inlineStr">
        <is>
          <t xml:space="preserve">Объезд</t>
        </is>
      </c>
      <c r="D181" s="112" t="inlineStr">
        <is>
          <t xml:space="preserve">Кр-99057077-1</t>
        </is>
      </c>
      <c r="E181" s="112" t="inlineStr">
        <is>
          <t xml:space="preserve">SERIKBAYEV MARAT ALDANAZAROVICH</t>
        </is>
      </c>
      <c r="F181" s="112" t="inlineStr">
        <is>
          <t xml:space="preserve">998946831315 SMS UZI, 998905906668 SMS QIZI, 998933083023 SMS UKASI, 998938743798 SMS KELINI,</t>
        </is>
      </c>
      <c r="G181" s="112" t="inlineStr">
        <is>
          <t xml:space="preserve">QARAQALPOGISTON RES NUKUS SHAHAR SHIGIS MFY MATEKE JUMANAZAROV KUSHASI 18 UY</t>
        </is>
      </c>
      <c r="H181" s="113">
        <v>10.0</v>
      </c>
      <c r="I181" s="113">
        <v>2558543.06</v>
      </c>
      <c r="K181" s="112" t="inlineStr">
        <is>
          <t xml:space="preserve">Uyiga borildi - va'da berdi | 20KUNI TO'LOV QILADI | 1261</t>
        </is>
      </c>
    </row>
    <row r="182">
      <c r="A182" s="112" t="inlineStr">
        <is>
          <t xml:space="preserve">КОРАКАЛПОГИСТОН РЕСПУБЛИКАСИ</t>
        </is>
      </c>
      <c r="C182" s="112" t="inlineStr">
        <is>
          <t xml:space="preserve">Недозвон</t>
        </is>
      </c>
      <c r="D182" s="112" t="inlineStr">
        <is>
          <t xml:space="preserve">Кр-99063016-1</t>
        </is>
      </c>
      <c r="E182" s="112" t="inlineStr">
        <is>
          <t xml:space="preserve">ISMOILOV JAMSHID QUVONDIQ O’G’LI</t>
        </is>
      </c>
      <c r="F182" s="112" t="inlineStr">
        <is>
          <t xml:space="preserve">+998336141313 SMS UZI, 998331711333 SMS DO’STI, 998992192429 SMS SINGLISI,</t>
        </is>
      </c>
      <c r="G182" s="112" t="inlineStr">
        <is>
          <t xml:space="preserve">КОРАКАЛПОГИСТОН РЕСПУБЛИКАСИ ТУРТКУЛ ТУМАНИ БОҒЁП МФЙ, ДИЁНАТ КЎЧАСИ,  uy:69</t>
        </is>
      </c>
      <c r="H182" s="113">
        <v>10.0</v>
      </c>
      <c r="I182" s="113">
        <v>2084603.78</v>
      </c>
      <c r="K182" s="112" t="inlineStr">
        <is>
          <t xml:space="preserve">Telefon ko'tarmadi | KO'TARMADI | 1487</t>
        </is>
      </c>
    </row>
    <row r="183">
      <c r="A183" s="112" t="inlineStr">
        <is>
          <t xml:space="preserve">КОРАКАЛПОГИСТОН РЕСПУБЛИКАСИ</t>
        </is>
      </c>
      <c r="C183" s="112" t="inlineStr">
        <is>
          <t xml:space="preserve">Объезд</t>
        </is>
      </c>
      <c r="D183" s="112" t="inlineStr">
        <is>
          <t xml:space="preserve">Кр-99041431-1</t>
        </is>
      </c>
      <c r="E183" s="112" t="inlineStr">
        <is>
          <t xml:space="preserve">BAYNAZAROVA AMANGUL KALIBAYEVNA</t>
        </is>
      </c>
      <c r="F183" s="112" t="inlineStr">
        <is>
          <t xml:space="preserve">998906536610 SMS OZI, 998919359599 SMS QIZI, 998913918821 SMS OGLI, 998913810499 SMS KELINI, 998933029514 SMS UKASI WU RAQAM ISHLAYDI,</t>
        </is>
      </c>
      <c r="G183" s="112" t="inlineStr">
        <is>
          <t xml:space="preserve">QARAQALPOGISTON RES NUKUS SHAHAR XAUA JOLI MFY DAWLET BAQSI KUSHASI 21 UY </t>
        </is>
      </c>
      <c r="H183" s="113">
        <v>10.0</v>
      </c>
      <c r="I183" s="113">
        <v>2047607.36</v>
      </c>
      <c r="K183" s="112" t="inlineStr">
        <is>
          <t xml:space="preserve">Uyiga borildi - va'da berdi | UKASI BN GAPLASHDIM OY OXIRIDA OPAM OYLIK OLADILA VA FILIALGA TASHAB BERADILA DEDILA QOZOQDALA | 999</t>
        </is>
      </c>
    </row>
    <row r="184">
      <c r="A184" s="112" t="inlineStr">
        <is>
          <t xml:space="preserve">КОРАКАЛПОГИСТОН РЕСПУБЛИКАСИ</t>
        </is>
      </c>
      <c r="C184" s="112" t="inlineStr">
        <is>
          <t xml:space="preserve">Недозвон</t>
        </is>
      </c>
      <c r="D184" s="112" t="inlineStr">
        <is>
          <t xml:space="preserve">Кр-99062991-1</t>
        </is>
      </c>
      <c r="E184" s="112" t="inlineStr">
        <is>
          <t xml:space="preserve">BEKESOV AZAMAT KOBEYSINOVICH</t>
        </is>
      </c>
      <c r="F184" s="112" t="inlineStr">
        <is>
          <t xml:space="preserve">998883561818 AKASI, 998889521818 OZI, 998933756210 UKASI,</t>
        </is>
      </c>
      <c r="G184" s="112" t="inlineStr">
        <is>
          <t xml:space="preserve">Каракалпогистон Рес Хожели тумани  Сарышунгул ССГ, Онерли кучаси, 2-уй</t>
        </is>
      </c>
      <c r="H184" s="113">
        <v>10.0</v>
      </c>
      <c r="I184" s="113">
        <v>1906592.79</v>
      </c>
      <c r="K184" s="112" t="inlineStr">
        <is>
          <t xml:space="preserve">Telefon ko'tarmadi | TELEFONN KO'TARMADI | 1483</t>
        </is>
      </c>
    </row>
    <row r="185">
      <c r="A185" s="112" t="inlineStr">
        <is>
          <t xml:space="preserve">КОРАКАЛПОГИСТОН РЕСПУБЛИКАСИ</t>
        </is>
      </c>
      <c r="C185" s="112" t="inlineStr">
        <is>
          <t xml:space="preserve">Объезд</t>
        </is>
      </c>
      <c r="D185" s="112" t="inlineStr">
        <is>
          <t xml:space="preserve">Кр-99047374-1</t>
        </is>
      </c>
      <c r="E185" s="112" t="inlineStr">
        <is>
          <t xml:space="preserve">SHARAPOV BAXIT URAZBAYEVICH</t>
        </is>
      </c>
      <c r="F185" s="112" t="inlineStr">
        <is>
          <t xml:space="preserve">998880716102 OGLI, 998907077908 OZI, 998994507986 OYALI,</t>
        </is>
      </c>
      <c r="G185" s="112" t="inlineStr">
        <is>
          <t xml:space="preserve">Qaraqalpogiston Respublikasi nukus shahar Nurli bostan MFY Askerler joli kushasi 215 uy</t>
        </is>
      </c>
      <c r="H185" s="113">
        <v>10.0</v>
      </c>
      <c r="I185" s="113">
        <v>1770339.7</v>
      </c>
      <c r="K185" s="112" t="inlineStr">
        <is>
          <t xml:space="preserve">Uyiga borildi - va'da berdi | UYIGA FILIAL BORISHDI  QOZOQDA ISHLAYDI 3KUNDA OYLIGINI OLIB FILIALGA TASHAB BERAMAN DEBDILA | 1130</t>
        </is>
      </c>
    </row>
    <row r="186">
      <c r="A186" s="112" t="inlineStr">
        <is>
          <t xml:space="preserve">КОРАКАЛПОГИСТОН РЕСПУБЛИКАСИ</t>
        </is>
      </c>
      <c r="C186" s="112" t="inlineStr">
        <is>
          <t xml:space="preserve">Объезд</t>
        </is>
      </c>
      <c r="D186" s="112" t="inlineStr">
        <is>
          <t xml:space="preserve">Кр-99063402-1</t>
        </is>
      </c>
      <c r="E186" s="112" t="inlineStr">
        <is>
          <t xml:space="preserve">JAMGIRBAYEV SHOXZOD XALMURAT ULI</t>
        </is>
      </c>
      <c r="F186" s="112" t="inlineStr">
        <is>
          <t xml:space="preserve">998906527006 OZI, 998913931005 AKASI, 998951773003 AKASI 2,</t>
        </is>
      </c>
      <c r="G186" s="112" t="inlineStr">
        <is>
          <t xml:space="preserve">QARAQALPOGISTON RES NUKUS SHAHAR NAUBAXAR MFY ELI AZAT KUSHASI 15 UY</t>
        </is>
      </c>
      <c r="H186" s="113">
        <v>10.0</v>
      </c>
      <c r="I186" s="113">
        <v>1767587.38</v>
      </c>
      <c r="J186" s="113">
        <v>1767587.38</v>
      </c>
      <c r="K186" s="112" t="inlineStr">
        <is>
          <t xml:space="preserve">Uyiga borildi - to'ladi | 1552</t>
        </is>
      </c>
    </row>
    <row r="187">
      <c r="A187" s="112" t="inlineStr">
        <is>
          <t xml:space="preserve">КОРАКАЛПОГИСТОН РЕСПУБЛИКАСИ</t>
        </is>
      </c>
      <c r="C187" s="112" t="inlineStr">
        <is>
          <t xml:space="preserve">Недозвон</t>
        </is>
      </c>
      <c r="D187" s="112" t="inlineStr">
        <is>
          <t xml:space="preserve">Кр-99052696-1</t>
        </is>
      </c>
      <c r="E187" s="112" t="inlineStr">
        <is>
          <t xml:space="preserve">XALMURATOV AZAT ORINBAYEVICH</t>
        </is>
      </c>
      <c r="F187" s="112" t="inlineStr">
        <is>
          <t xml:space="preserve">998993545834 SMS OZI, 998991213870 SMS OGLI, 998996364570 SMS OGLI, 998973545834 SMS QIZI,</t>
        </is>
      </c>
      <c r="G187" s="112" t="inlineStr">
        <is>
          <t xml:space="preserve">KANLIKOL TUMANI</t>
        </is>
      </c>
      <c r="H187" s="113">
        <v>10.0</v>
      </c>
      <c r="I187" s="113">
        <v>1713040.79</v>
      </c>
      <c r="K187" s="112" t="inlineStr">
        <is>
          <t xml:space="preserve">Telefon ko'tarmadi | RAQAMLARI O'CHIQ KECHA BUGUN TO'LAYMAN DEGANDILA | 1201</t>
        </is>
      </c>
    </row>
    <row r="188">
      <c r="A188" s="112" t="inlineStr">
        <is>
          <t xml:space="preserve">КОРАКАЛПОГИСТОН РЕСПУБЛИКАСИ</t>
        </is>
      </c>
      <c r="C188" s="112" t="inlineStr">
        <is>
          <t xml:space="preserve">Недозвон</t>
        </is>
      </c>
      <c r="D188" s="112" t="inlineStr">
        <is>
          <t xml:space="preserve">Кр-99033574-1</t>
        </is>
      </c>
      <c r="E188" s="112" t="inlineStr">
        <is>
          <t xml:space="preserve">AMANBAEVA RAUSHAN XOJABAEVNA</t>
        </is>
      </c>
      <c r="F188" s="112" t="inlineStr">
        <is>
          <t xml:space="preserve">998933668784 SMS O’ZI tuman tibbiyot birlashmasda hamshira, 998913038448 SMS ERI, 998900953787 SMS ONASI, 998913829597 SMS QIZI, 998937040224 SMS ERI NEW,</t>
        </is>
      </c>
      <c r="G188" s="112" t="inlineStr">
        <is>
          <t xml:space="preserve">NUKUS SHAHAR SHIMBOY GUZARI  SAWKELI KUSHASI 107 UY </t>
        </is>
      </c>
      <c r="I188" s="113">
        <v>170388.71</v>
      </c>
      <c r="K188" s="112" t="inlineStr">
        <is>
          <t xml:space="preserve">Telefon ko'tarmadi | 9597BEGONA RAQAMLARIGA TUSHA OLMAYABMAN BU TO'LAMAYMAN DEB  JANJAL QILGAN | 412</t>
        </is>
      </c>
    </row>
    <row r="189">
      <c r="A189" s="114" t="inlineStr">
        <is>
          <t xml:space="preserve">НАВОИЙ ВИЛОЯТИ</t>
        </is>
      </c>
      <c r="C189" s="114" t="inlineStr">
        <is>
          <t xml:space="preserve">Недозвон</t>
        </is>
      </c>
      <c r="D189" s="114" t="inlineStr">
        <is>
          <t xml:space="preserve">Кр-99039219-1</t>
        </is>
      </c>
      <c r="E189" s="114" t="inlineStr">
        <is>
          <t xml:space="preserve">RO’ZIBOYEV MEHRIDDIN ASQARJON O’G’LI</t>
        </is>
      </c>
      <c r="F189" s="114" t="inlineStr">
        <is>
          <t xml:space="preserve">998913352828 SMS OZI metallomxonasi bor   aksasuar magazin bor  toshkenda  iqtisodiyotda oqid , 998935320949 SMS OZI 2, 998977971974 SMS OTASI , 998913335762 SMS ONASI ,</t>
        </is>
      </c>
      <c r="G189" s="114" t="inlineStr">
        <is>
          <t xml:space="preserve">NAVOIY VILOYATI NAVOIY SHAHAR, GULZOR MFY NIZOMIY KO’CHASI 16 UY, 66 XONADON</t>
        </is>
      </c>
      <c r="H189" s="115">
        <v>134.0</v>
      </c>
      <c r="I189" s="115">
        <v>14676420.64</v>
      </c>
      <c r="K189" s="114" t="inlineStr">
        <is>
          <t xml:space="preserve">Telefon ko'tarmadi | аукцион</t>
        </is>
      </c>
    </row>
    <row r="190">
      <c r="A190" s="114" t="inlineStr">
        <is>
          <t xml:space="preserve">НАВОИЙ ВИЛОЯТИ</t>
        </is>
      </c>
      <c r="C190" s="114" t="inlineStr">
        <is>
          <t xml:space="preserve">Недозвон</t>
        </is>
      </c>
      <c r="D190" s="114" t="inlineStr">
        <is>
          <t xml:space="preserve">Кр-99030696-5</t>
        </is>
      </c>
      <c r="E190" s="114" t="inlineStr">
        <is>
          <t xml:space="preserve">NOSIROVA AZIZA XALIL QIZI</t>
        </is>
      </c>
      <c r="F190" s="114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190" s="114" t="inlineStr">
        <is>
          <t xml:space="preserve">NAVOIY VILOYATI ZARAFSHON SHAHAR 12-KICHIK TUMAN 54-UY 5-XONADON</t>
        </is>
      </c>
      <c r="H190" s="115">
        <v>13.0</v>
      </c>
      <c r="I190" s="115">
        <v>11398795.25</v>
      </c>
      <c r="K190" s="114" t="inlineStr">
        <is>
          <t xml:space="preserve">Telefon ko'tarmadi</t>
        </is>
      </c>
    </row>
    <row r="191">
      <c r="A191" s="114" t="inlineStr">
        <is>
          <t xml:space="preserve">НАВОИЙ ВИЛОЯТИ</t>
        </is>
      </c>
      <c r="C191" s="114" t="inlineStr">
        <is>
          <t xml:space="preserve">Недозвон</t>
        </is>
      </c>
      <c r="D191" s="114" t="inlineStr">
        <is>
          <t xml:space="preserve">Кр-99037475-5</t>
        </is>
      </c>
      <c r="E191" s="114" t="inlineStr">
        <is>
          <t xml:space="preserve">INOYATOV SHAXBOZ ZINNATILLOYEVICH</t>
        </is>
      </c>
      <c r="F191" s="114" t="inlineStr">
        <is>
          <t xml:space="preserve">998930031700 SMS OZI, 998946081581 SMS UKASI, 998930531700 SMS AYOLLARI бегона, 998942065456 SMS AKASI,</t>
        </is>
      </c>
      <c r="G191" s="114" t="inlineStr">
        <is>
          <t xml:space="preserve">NAVOIY VILOYATI NAVOIY SHAHAR MATONAT  MFY G’ALABA SHOX KO’CHASI 133 UY 49 XONADON</t>
        </is>
      </c>
      <c r="H191" s="115">
        <v>15.0</v>
      </c>
      <c r="I191" s="115">
        <v>11234208.47</v>
      </c>
      <c r="K191" s="114" t="inlineStr">
        <is>
          <t xml:space="preserve">Telefon ko'tarmadi</t>
        </is>
      </c>
    </row>
    <row r="192">
      <c r="A192" s="114" t="inlineStr">
        <is>
          <t xml:space="preserve">НАВОИЙ ВИЛОЯТИ</t>
        </is>
      </c>
      <c r="C192" s="114" t="inlineStr">
        <is>
          <t xml:space="preserve">Недозвон</t>
        </is>
      </c>
      <c r="D192" s="114" t="inlineStr">
        <is>
          <t xml:space="preserve">Кр-99057392-1</t>
        </is>
      </c>
      <c r="E192" s="114" t="inlineStr">
        <is>
          <t xml:space="preserve">ISMATULLAYEV SHERMAT SHODIYEVICH</t>
        </is>
      </c>
      <c r="F192" s="114" t="inlineStr">
        <is>
          <t xml:space="preserve">998930761706 SMS UZI, 998902543625 SMS AYOLI, 998932159493 SMS UGLI, 998912356841 SMS UGLI,</t>
        </is>
      </c>
      <c r="G192" s="114" t="inlineStr">
        <is>
          <t xml:space="preserve">NAVOIY VILOYATI NUROTA TUMANI,AMIR TEMUR MFY,SAIDJON ESHON QISHLOG'I,638 UY </t>
        </is>
      </c>
      <c r="H192" s="115">
        <v>13.0</v>
      </c>
      <c r="I192" s="115">
        <v>8303778.11</v>
      </c>
    </row>
    <row r="193">
      <c r="A193" s="114" t="inlineStr">
        <is>
          <t xml:space="preserve">НАВОИЙ ВИЛОЯТИ</t>
        </is>
      </c>
      <c r="C193" s="114" t="inlineStr">
        <is>
          <t xml:space="preserve">Недозвон</t>
        </is>
      </c>
      <c r="D193" s="114" t="inlineStr">
        <is>
          <t xml:space="preserve">Кр-99063423-2</t>
        </is>
      </c>
      <c r="E193" s="114" t="inlineStr">
        <is>
          <t xml:space="preserve">XAMDAMOV ANVAR MARDONOVICH</t>
        </is>
      </c>
      <c r="F193" s="114" t="inlineStr">
        <is>
          <t xml:space="preserve">998933150284 OG’LI, 998933683804 TURMUSH O’RTOG’I, 998939120284 2 NOMERI,</t>
        </is>
      </c>
      <c r="G193" s="114" t="inlineStr">
        <is>
          <t xml:space="preserve">NAVOIY VILOYATI,KONIMEX TUMANI,YUKSALISH MFY,GULISTON KO’CHASI,3 BERK KO’CHAS,44 UY</t>
        </is>
      </c>
      <c r="H193" s="115">
        <v>10.0</v>
      </c>
      <c r="I193" s="115">
        <v>5717264.36</v>
      </c>
      <c r="K193" s="114" t="inlineStr">
        <is>
          <t xml:space="preserve">Telefon ko'tarmadi</t>
        </is>
      </c>
    </row>
    <row r="194">
      <c r="A194" s="114" t="inlineStr">
        <is>
          <t xml:space="preserve">НАВОИЙ ВИЛОЯТИ</t>
        </is>
      </c>
      <c r="C194" s="114" t="inlineStr">
        <is>
          <t xml:space="preserve">Недозвон</t>
        </is>
      </c>
      <c r="D194" s="114" t="inlineStr">
        <is>
          <t xml:space="preserve">Кр-99032595-2</t>
        </is>
      </c>
      <c r="E194" s="114" t="inlineStr">
        <is>
          <t xml:space="preserve">HUSANOVA MUAZAM TURXONOVNA</t>
        </is>
      </c>
      <c r="F194" s="114" t="inlineStr">
        <is>
          <t xml:space="preserve">998942206567 SMS O’ZI, 998942526347 SMS ERI, 998932263237 SMS O’G’LI,</t>
        </is>
      </c>
      <c r="G194" s="114" t="inlineStr">
        <is>
          <t xml:space="preserve">NAVOIY VILOYATI XATIRCHI TUMANI NOVJA MFY NOVJA KUCHASI 921 UY</t>
        </is>
      </c>
      <c r="H194" s="115">
        <v>10.0</v>
      </c>
      <c r="I194" s="115">
        <v>5644839.61</v>
      </c>
      <c r="K194" s="114" t="inlineStr">
        <is>
          <t xml:space="preserve">Telefon ko'tarmadi</t>
        </is>
      </c>
    </row>
    <row r="195">
      <c r="A195" s="114" t="inlineStr">
        <is>
          <t xml:space="preserve">НАВОИЙ ВИЛОЯТИ</t>
        </is>
      </c>
      <c r="C195" s="114" t="inlineStr">
        <is>
          <t xml:space="preserve">Недозвон</t>
        </is>
      </c>
      <c r="D195" s="114" t="inlineStr">
        <is>
          <t xml:space="preserve">Кр-99035380-2</t>
        </is>
      </c>
      <c r="E195" s="114" t="inlineStr">
        <is>
          <t xml:space="preserve">ISANOVA MAXBUBABEGIM LUTFIYEVNA</t>
        </is>
      </c>
      <c r="F195" s="114" t="inlineStr">
        <is>
          <t xml:space="preserve">998991343886 z, 998508507532 SMS OZI,</t>
        </is>
      </c>
      <c r="G195" s="114" t="inlineStr">
        <is>
          <t xml:space="preserve">NAVOIY VILOYATI QIZILTEPA TUMANI OQSOCH MFY RABOT KUCHASI 14-UY</t>
        </is>
      </c>
      <c r="H195" s="115">
        <v>13.0</v>
      </c>
      <c r="I195" s="115">
        <v>5339479.38</v>
      </c>
      <c r="K195" s="114" t="inlineStr">
        <is>
          <t xml:space="preserve">Telefon ko'tarmadi</t>
        </is>
      </c>
    </row>
    <row r="196">
      <c r="A196" s="114" t="inlineStr">
        <is>
          <t xml:space="preserve">НАВОИЙ ВИЛОЯТИ</t>
        </is>
      </c>
      <c r="C196" s="114" t="inlineStr">
        <is>
          <t xml:space="preserve">Недозвон</t>
        </is>
      </c>
      <c r="D196" s="114" t="inlineStr">
        <is>
          <t xml:space="preserve">Кр-99041394-1</t>
        </is>
      </c>
      <c r="E196" s="114" t="inlineStr">
        <is>
          <t xml:space="preserve">SHARIPOV JASUR SHAVKAT O’G’LI</t>
        </is>
      </c>
      <c r="F196" s="114" t="inlineStr">
        <is>
          <t xml:space="preserve">998942247077 SMS OZI tadbirkor  mgazinci  BEGONA, 998936626066 SMS AYOLI, 998975581166 SMS AKASI, 998942539488 SMS JOYANI,</t>
        </is>
      </c>
      <c r="G196" s="114" t="inlineStr">
        <is>
          <t xml:space="preserve">NAVOIY VILOYATI,ZARAFSHO SHAXAR,19 KICHIK RAYON, 1- DOM 7 -KVARTIRA</t>
        </is>
      </c>
      <c r="H196" s="115">
        <v>10.0</v>
      </c>
      <c r="I196" s="115">
        <v>4923267.6</v>
      </c>
      <c r="K196" s="114" t="inlineStr">
        <is>
          <t xml:space="preserve">Telefon ko'tarmadi</t>
        </is>
      </c>
    </row>
    <row r="197">
      <c r="A197" s="114" t="inlineStr">
        <is>
          <t xml:space="preserve">НАВОИЙ ВИЛОЯТИ</t>
        </is>
      </c>
      <c r="C197" s="114" t="inlineStr">
        <is>
          <t xml:space="preserve">Недозвон</t>
        </is>
      </c>
      <c r="D197" s="114" t="inlineStr">
        <is>
          <t xml:space="preserve">Кр-99057269-1</t>
        </is>
      </c>
      <c r="E197" s="114" t="inlineStr">
        <is>
          <t xml:space="preserve">MALLAYEV JAMOLIDDIN ISMATOVICH</t>
        </is>
      </c>
      <c r="F197" s="114" t="inlineStr">
        <is>
          <t xml:space="preserve">998938778313 SMS UZI, 998880857757 SMS AYOLI, 998918455017 SMS ONASI, 998347483132 SMS OZI 2,</t>
        </is>
      </c>
      <c r="G197" s="114" t="inlineStr">
        <is>
          <t xml:space="preserve">NAVOIY VILOYATI,NAVOIY SHAXAR, SPUTNIK QURGONI,6 UY,36 XONADON</t>
        </is>
      </c>
      <c r="H197" s="115">
        <v>10.0</v>
      </c>
      <c r="I197" s="115">
        <v>4591325.62</v>
      </c>
      <c r="K197" s="114" t="inlineStr">
        <is>
          <t xml:space="preserve">Telefon ko'tarmadi</t>
        </is>
      </c>
    </row>
    <row r="198">
      <c r="A198" s="114" t="inlineStr">
        <is>
          <t xml:space="preserve">НАВОИЙ ВИЛОЯТИ</t>
        </is>
      </c>
      <c r="C198" s="114" t="inlineStr">
        <is>
          <t xml:space="preserve">Недозвон</t>
        </is>
      </c>
      <c r="D198" s="114" t="inlineStr">
        <is>
          <t xml:space="preserve">Кр-99019741-4</t>
        </is>
      </c>
      <c r="E198" s="114" t="inlineStr">
        <is>
          <t xml:space="preserve">KODIROV BAXTIYOR ASADOVICH</t>
        </is>
      </c>
      <c r="F198" s="114" t="inlineStr">
        <is>
          <t xml:space="preserve">90-620-88-09 SMS UZI MEVACHI,PENSIYASER , 94-343-00-08 SMS OGLI , 93-446-85-07 SMS KELINI , 50-581-85-17 SMS OGLI, 998931208809 SMS ozi new,</t>
        </is>
      </c>
      <c r="G198" s="114" t="inlineStr">
        <is>
          <t xml:space="preserve">NAVOIY VILOYATI XATIRCHI TUMANI   XUJAQULOBOD MFY, TEPAQISHLOQ 5 UY</t>
        </is>
      </c>
      <c r="H198" s="115">
        <v>10.0</v>
      </c>
      <c r="I198" s="115">
        <v>4407115.42</v>
      </c>
      <c r="K198" s="114" t="inlineStr">
        <is>
          <t xml:space="preserve">Telefon ko'tarmadi</t>
        </is>
      </c>
    </row>
    <row r="199">
      <c r="A199" s="114" t="inlineStr">
        <is>
          <t xml:space="preserve">НАВОИЙ ВИЛОЯТИ</t>
        </is>
      </c>
      <c r="C199" s="114" t="inlineStr">
        <is>
          <t xml:space="preserve">Недозвон</t>
        </is>
      </c>
      <c r="D199" s="114" t="inlineStr">
        <is>
          <t xml:space="preserve">Кр-99060353-1</t>
        </is>
      </c>
      <c r="E199" s="114" t="inlineStr">
        <is>
          <t xml:space="preserve">ASLONOVA EZOZA FAZLIDDIN QIZI</t>
        </is>
      </c>
      <c r="F199" s="114" t="inlineStr">
        <is>
          <t xml:space="preserve">998919869774 SMS OZI, 998913380098 SMS AKASI, 998910897330 SMS OTASI, 998913354941 SMS AKASI,</t>
        </is>
      </c>
      <c r="G199" s="114" t="inlineStr">
        <is>
          <t xml:space="preserve">NAVOIY VILOYATI, KARMANA TUMANI,ZARAFSHON MFY,QAVALA KO'CHASI,160 UY</t>
        </is>
      </c>
      <c r="H199" s="115">
        <v>10.0</v>
      </c>
      <c r="I199" s="115">
        <v>4358672.73</v>
      </c>
      <c r="K199" s="114" t="inlineStr">
        <is>
          <t xml:space="preserve">Telefon ko'tarmadi</t>
        </is>
      </c>
    </row>
    <row r="200">
      <c r="A200" s="114" t="inlineStr">
        <is>
          <t xml:space="preserve">НАВОИЙ ВИЛОЯТИ</t>
        </is>
      </c>
      <c r="C200" s="114" t="inlineStr">
        <is>
          <t xml:space="preserve">Объезд</t>
        </is>
      </c>
      <c r="D200" s="114" t="inlineStr">
        <is>
          <t xml:space="preserve">Кр-99040670-1</t>
        </is>
      </c>
      <c r="E200" s="114" t="inlineStr">
        <is>
          <t xml:space="preserve">SATTOROV ZAFAR FATTOHOVICH</t>
        </is>
      </c>
      <c r="F200" s="114" t="inlineStr">
        <is>
          <t xml:space="preserve">998997540001 SMS OZI oqtuvchi , 998912512244 SMS ERI, 998913086648 SMS ONASI, 998930590059 SMS JIYANI,</t>
        </is>
      </c>
      <c r="G200" s="114" t="inlineStr">
        <is>
          <t xml:space="preserve">NAVOIY VILOYATI, QIZILTEPA  TUMANI, GULZOR MFY, GULZOR KO'CHASI, 561-UY</t>
        </is>
      </c>
      <c r="H200" s="115">
        <v>10.0</v>
      </c>
      <c r="I200" s="115">
        <v>4302470.58</v>
      </c>
      <c r="K200" s="114" t="inlineStr">
        <is>
          <t xml:space="preserve">Uyiga borildi | uyiga boramiz dip etti</t>
        </is>
      </c>
    </row>
    <row r="201">
      <c r="A201" s="114" t="inlineStr">
        <is>
          <t xml:space="preserve">НАВОИЙ ВИЛОЯТИ</t>
        </is>
      </c>
      <c r="C201" s="114" t="inlineStr">
        <is>
          <t xml:space="preserve">Недозвон</t>
        </is>
      </c>
      <c r="D201" s="114" t="inlineStr">
        <is>
          <t xml:space="preserve">Кр-99024829-2</t>
        </is>
      </c>
      <c r="E201" s="114" t="inlineStr">
        <is>
          <t xml:space="preserve">XAKBERDIYEVA MEXRINISO ASATOVNA</t>
        </is>
      </c>
      <c r="F201" s="114" t="inlineStr">
        <is>
          <t xml:space="preserve">93-164-73-78 SMS OZI, 94-483-83-07 SMS TURMUSH O’RTOG’I, 99-727-15-16 SMS QAYNONASI, 97-558-26-08 SMS OGLI, 93- 318 - 59-55  анвар  yer qaziydgan moshina xaydid ,</t>
        </is>
      </c>
      <c r="G201" s="114" t="inlineStr">
        <is>
          <t xml:space="preserve">NAVOIY VILOYATI NUROTA TUMANI IBN-SINO MFY SUG’DIYONA KO’CHASI 5-UY</t>
        </is>
      </c>
      <c r="H201" s="115">
        <v>9.0</v>
      </c>
      <c r="I201" s="115">
        <v>3874057.24</v>
      </c>
      <c r="K201" s="114" t="inlineStr">
        <is>
          <t xml:space="preserve">Telefon ko'tarmadi</t>
        </is>
      </c>
    </row>
    <row r="202">
      <c r="A202" s="114" t="inlineStr">
        <is>
          <t xml:space="preserve">НАВОИЙ ВИЛОЯТИ</t>
        </is>
      </c>
      <c r="C202" s="114" t="inlineStr">
        <is>
          <t xml:space="preserve">Недозвон</t>
        </is>
      </c>
      <c r="D202" s="114" t="inlineStr">
        <is>
          <t xml:space="preserve">Кр-99040945-1</t>
        </is>
      </c>
      <c r="E202" s="114" t="inlineStr">
        <is>
          <t xml:space="preserve">XUDAYBERDIYEV UBAYDULLO EGAMOVICH</t>
        </is>
      </c>
      <c r="F202" s="114" t="inlineStr">
        <is>
          <t xml:space="preserve">998933344900 SMS OZI , 998971127500 SMS tolovchi  lola,</t>
        </is>
      </c>
      <c r="G202" s="114" t="inlineStr">
        <is>
          <t xml:space="preserve">NAVBAHOR TUMANI</t>
        </is>
      </c>
      <c r="H202" s="115">
        <v>15.0</v>
      </c>
      <c r="I202" s="115">
        <v>3527941.08</v>
      </c>
      <c r="K202" s="114" t="inlineStr">
        <is>
          <t xml:space="preserve">Telefon ko'tarmadi</t>
        </is>
      </c>
    </row>
    <row r="203">
      <c r="A203" s="114" t="inlineStr">
        <is>
          <t xml:space="preserve">НАВОИЙ ВИЛОЯТИ</t>
        </is>
      </c>
      <c r="C203" s="114" t="inlineStr">
        <is>
          <t xml:space="preserve">Недозвон</t>
        </is>
      </c>
      <c r="D203" s="114" t="inlineStr">
        <is>
          <t xml:space="preserve">Кр-99034926-1</t>
        </is>
      </c>
      <c r="E203" s="114" t="inlineStr">
        <is>
          <t xml:space="preserve">RAXMANOVA SHAHNOZA YAKUBOVNA</t>
        </is>
      </c>
      <c r="F203" s="114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203" s="114" t="inlineStr">
        <is>
          <t xml:space="preserve">NAVOIY VILOYATI KARMANA TUMANI ZIYOKOR MFY BASHIR KO’CHASI 13-UY</t>
        </is>
      </c>
      <c r="H203" s="115">
        <v>15.0</v>
      </c>
      <c r="I203" s="115">
        <v>3468194.83</v>
      </c>
      <c r="K203" s="114" t="inlineStr">
        <is>
          <t xml:space="preserve">Telefon ko'tarmadi</t>
        </is>
      </c>
    </row>
    <row r="204">
      <c r="A204" s="114" t="inlineStr">
        <is>
          <t xml:space="preserve">НАВОИЙ ВИЛОЯТИ</t>
        </is>
      </c>
      <c r="C204" s="114" t="inlineStr">
        <is>
          <t xml:space="preserve">Недозвон</t>
        </is>
      </c>
      <c r="D204" s="114" t="inlineStr">
        <is>
          <t xml:space="preserve">Кр-99058561-1</t>
        </is>
      </c>
      <c r="E204" s="114" t="inlineStr">
        <is>
          <t xml:space="preserve">RAJABOV ALLAYOR NASRIDDINOVICH</t>
        </is>
      </c>
      <c r="F204" s="114" t="inlineStr">
        <is>
          <t xml:space="preserve">998942222269 SMS OZI, 998930868422 SMS ERI, 998948512205 SMS OGLI, 998930799963 SMS QIZI,</t>
        </is>
      </c>
      <c r="G204" s="114" t="inlineStr">
        <is>
          <t xml:space="preserve">NAVOIY VILOYATI,KONIMEX TUMANI, GULISTON MFY,GULISTON KO'CHASI,85 UY</t>
        </is>
      </c>
      <c r="H204" s="115">
        <v>10.0</v>
      </c>
      <c r="I204" s="115">
        <v>3282487.67</v>
      </c>
      <c r="K204" s="114" t="inlineStr">
        <is>
          <t xml:space="preserve">Telefon ko'tarmadi | bu kliyent xar oyni oxirida tolidi</t>
        </is>
      </c>
    </row>
    <row r="205">
      <c r="A205" s="114" t="inlineStr">
        <is>
          <t xml:space="preserve">НАВОИЙ ВИЛОЯТИ</t>
        </is>
      </c>
      <c r="C205" s="114" t="inlineStr">
        <is>
          <t xml:space="preserve">Недозвон</t>
        </is>
      </c>
      <c r="D205" s="114" t="inlineStr">
        <is>
          <t xml:space="preserve">Кр-99062335-1</t>
        </is>
      </c>
      <c r="E205" s="114" t="inlineStr">
        <is>
          <t xml:space="preserve">TUXTOSHEV SEVDIYOR FARHOD O’G’LI</t>
        </is>
      </c>
      <c r="F205" s="114" t="inlineStr">
        <is>
          <t xml:space="preserve">998948628838 SMS OZI, 998940508277 SMS AMAKISI, 998505456699 SMS AKASI tulovchi, 998944333628 SMS DADASI, 998938475559 NEW OZI,</t>
        </is>
      </c>
      <c r="G205" s="114" t="inlineStr">
        <is>
          <t xml:space="preserve">NAVOIY VILOYATI,XATIRCHI TUMANI,TINCHLIK MFY,SHAG'OLON KO'CHASI, 3 UY</t>
        </is>
      </c>
      <c r="H205" s="115">
        <v>10.0</v>
      </c>
      <c r="I205" s="115">
        <v>2863339.96</v>
      </c>
      <c r="K205" s="114" t="inlineStr">
        <is>
          <t xml:space="preserve">Telefon ko'tarmadi</t>
        </is>
      </c>
    </row>
    <row r="206">
      <c r="A206" s="114" t="inlineStr">
        <is>
          <t xml:space="preserve">НАВОИЙ ВИЛОЯТИ</t>
        </is>
      </c>
      <c r="C206" s="114" t="inlineStr">
        <is>
          <t xml:space="preserve">Недозвон</t>
        </is>
      </c>
      <c r="D206" s="114" t="inlineStr">
        <is>
          <t xml:space="preserve">Кр-99035226-1</t>
        </is>
      </c>
      <c r="E206" s="114" t="inlineStr">
        <is>
          <t xml:space="preserve">MARDONOVA GULRUH ZAFAR QIZI</t>
        </is>
      </c>
      <c r="F206" s="114" t="inlineStr">
        <is>
          <t xml:space="preserve">998996812100 SMS O’ZI, 998991635323 SMS O’ZI, 998883914400 SMS ZALOGADETOL, 998883974131 SMS ONASI,</t>
        </is>
      </c>
      <c r="G206" s="114" t="inlineStr">
        <is>
          <t xml:space="preserve">NAVOIY VILOYATI NAVBAHOR TUMANI ARAB SAROY QFY ARIMJON MFY 58-UY</t>
        </is>
      </c>
      <c r="H206" s="115">
        <v>6.0</v>
      </c>
      <c r="I206" s="115">
        <v>2636928.0</v>
      </c>
      <c r="K206" s="114" t="inlineStr">
        <is>
          <t xml:space="preserve">Telefon ko'tarmadi</t>
        </is>
      </c>
    </row>
    <row r="207">
      <c r="A207" s="114" t="inlineStr">
        <is>
          <t xml:space="preserve">НАВОИЙ ВИЛОЯТИ</t>
        </is>
      </c>
      <c r="C207" s="114" t="inlineStr">
        <is>
          <t xml:space="preserve">Недозвон</t>
        </is>
      </c>
      <c r="D207" s="114" t="inlineStr">
        <is>
          <t xml:space="preserve">Кр-99058089-1</t>
        </is>
      </c>
      <c r="E207" s="114" t="inlineStr">
        <is>
          <t xml:space="preserve">KARIMOV ABDURASUL ASHURALIYEVICH</t>
        </is>
      </c>
      <c r="F207" s="114" t="inlineStr">
        <is>
          <t xml:space="preserve">998976858991 узи, 998976848991 узи 2 номер, 998999970603 кайнонаси, 998918472023 кайнсинглиси,</t>
        </is>
      </c>
      <c r="G207" s="114" t="inlineStr">
        <is>
          <t xml:space="preserve">NAVOIY VILOYATI, NAVOIY SHAXAR,BUNYODKOR MFY,SADRIDDIN AYNIY KO'CHASI,99-UY,29 XONADON</t>
        </is>
      </c>
      <c r="H207" s="115">
        <v>10.0</v>
      </c>
      <c r="I207" s="115">
        <v>2621729.8</v>
      </c>
      <c r="K207" s="114" t="inlineStr">
        <is>
          <t xml:space="preserve">Telefon ko'tarmadi</t>
        </is>
      </c>
    </row>
    <row r="208">
      <c r="A208" s="114" t="inlineStr">
        <is>
          <t xml:space="preserve">НАВОИЙ ВИЛОЯТИ</t>
        </is>
      </c>
      <c r="C208" s="114" t="inlineStr">
        <is>
          <t xml:space="preserve">Недозвон</t>
        </is>
      </c>
      <c r="D208" s="114" t="inlineStr">
        <is>
          <t xml:space="preserve">Кр-99034901-1</t>
        </is>
      </c>
      <c r="E208" s="114" t="inlineStr">
        <is>
          <t xml:space="preserve">SAFAROVA FIRUZA NEMATULLAYEVNA</t>
        </is>
      </c>
      <c r="F208" s="114" t="inlineStr">
        <is>
          <t xml:space="preserve">998906194960 SMS OZI, 998990920300 SMS BEGONA, 998915206104 SMS KELINI, 998913376868 SMS QUSHNISI,</t>
        </is>
      </c>
      <c r="G208" s="114" t="inlineStr">
        <is>
          <t xml:space="preserve">NAVOIY VILOYATI NAVOIY SHAHAR CHINOR MFY 10-DAHA I.KARIMOV KUCHASI 93-UY 23-XONADON</t>
        </is>
      </c>
      <c r="H208" s="115">
        <v>15.0</v>
      </c>
      <c r="I208" s="115">
        <v>2323453.44</v>
      </c>
      <c r="K208" s="114" t="inlineStr">
        <is>
          <t xml:space="preserve">Telefon ko'tarmadi | туркияда бу клиент алишер акага ташиди узи</t>
        </is>
      </c>
    </row>
    <row r="209">
      <c r="A209" s="114" t="inlineStr">
        <is>
          <t xml:space="preserve">НАВОИЙ ВИЛОЯТИ</t>
        </is>
      </c>
      <c r="C209" s="114" t="inlineStr">
        <is>
          <t xml:space="preserve">Недозвон</t>
        </is>
      </c>
      <c r="D209" s="114" t="inlineStr">
        <is>
          <t xml:space="preserve">Кр-99036616-2</t>
        </is>
      </c>
      <c r="E209" s="114" t="inlineStr">
        <is>
          <t xml:space="preserve">ISMATOV OYBEK ABDURASULOVICH</t>
        </is>
      </c>
      <c r="F209" s="114" t="inlineStr">
        <is>
          <t xml:space="preserve">998977951771 SMS OZI, 998912520775 ayoli, 998973795775 o’zi 2,</t>
        </is>
      </c>
      <c r="G209" s="114" t="inlineStr">
        <is>
          <t xml:space="preserve">NAVOIY VILOYATI NAVOIY SHAHAR ZIYOKOR MFY M.TAROBIY KUCHASI 5-A UY 11-XONADON</t>
        </is>
      </c>
      <c r="H209" s="115">
        <v>10.0</v>
      </c>
      <c r="I209" s="115">
        <v>1694518.59</v>
      </c>
      <c r="K209" s="114" t="inlineStr">
        <is>
          <t xml:space="preserve">Telefon ko'tarmadi</t>
        </is>
      </c>
    </row>
    <row r="210">
      <c r="A210" s="114" t="inlineStr">
        <is>
          <t xml:space="preserve">НАВОИЙ ВИЛОЯТИ</t>
        </is>
      </c>
      <c r="C210" s="114" t="inlineStr">
        <is>
          <t xml:space="preserve">Недозвон</t>
        </is>
      </c>
      <c r="D210" s="114" t="inlineStr">
        <is>
          <t xml:space="preserve">Кр-99033419-1</t>
        </is>
      </c>
      <c r="E210" s="114" t="inlineStr">
        <is>
          <t xml:space="preserve">ASKAROV ATAULLA TOLLIBOYEVICH</t>
        </is>
      </c>
      <c r="F210" s="114" t="inlineStr">
        <is>
          <t xml:space="preserve">998959588308 SMS O’ZI  gipskardon sexda ishlid samarqanda , 998880323939 SMS XOTINI, 998951908308 SMS OPASI,</t>
        </is>
      </c>
      <c r="G210" s="114" t="inlineStr">
        <is>
          <t xml:space="preserve">NAVOIY VIILOYATI KARMANA TUMANI BOG’ISHAMOL MFY SARXAT KUCHASI 47-UY</t>
        </is>
      </c>
      <c r="H210" s="115">
        <v>10.0</v>
      </c>
      <c r="I210" s="115">
        <v>1656181.93</v>
      </c>
      <c r="K210" s="114" t="inlineStr">
        <is>
          <t xml:space="preserve">Telefon ko'tarmadi</t>
        </is>
      </c>
    </row>
    <row r="211">
      <c r="A211" s="114" t="inlineStr">
        <is>
          <t xml:space="preserve">НАВОИЙ ВИЛОЯТИ</t>
        </is>
      </c>
      <c r="C211" s="114" t="inlineStr">
        <is>
          <t xml:space="preserve">Недозвон</t>
        </is>
      </c>
      <c r="D211" s="114" t="inlineStr">
        <is>
          <t xml:space="preserve">Кр-99041042-1</t>
        </is>
      </c>
      <c r="E211" s="114" t="inlineStr">
        <is>
          <t xml:space="preserve">RAXMATOVA NAVBAXOR MUXAMATOVNA</t>
        </is>
      </c>
      <c r="F211" s="114" t="inlineStr">
        <is>
          <t xml:space="preserve">+998933780515 SMS OZI, 998940290992 SMS KATTA OGLI, 998944844414 KICHIK OGLI,</t>
        </is>
      </c>
      <c r="G211" s="114" t="inlineStr">
        <is>
          <t xml:space="preserve">АЙРОНЧИ МФЙ,  uy:Р/С</t>
        </is>
      </c>
      <c r="H211" s="115">
        <v>10.0</v>
      </c>
      <c r="I211" s="115">
        <v>1643936.69</v>
      </c>
      <c r="K211" s="114" t="inlineStr">
        <is>
          <t xml:space="preserve">Telefon ko'tarmadi</t>
        </is>
      </c>
    </row>
    <row r="212">
      <c r="A212" s="114" t="inlineStr">
        <is>
          <t xml:space="preserve">НАВОИЙ ВИЛОЯТИ</t>
        </is>
      </c>
      <c r="C212" s="114" t="inlineStr">
        <is>
          <t xml:space="preserve">Недозвон</t>
        </is>
      </c>
      <c r="D212" s="114" t="inlineStr">
        <is>
          <t xml:space="preserve">Кр-99063850-3</t>
        </is>
      </c>
      <c r="E212" s="114" t="inlineStr">
        <is>
          <t xml:space="preserve">BERDIYEVA FERUZA O’RALOVNA</t>
        </is>
      </c>
      <c r="F212" s="114" t="inlineStr">
        <is>
          <t xml:space="preserve">998934788963 AKASI, 998941622322 TURMUSH URTOGI, 998946078687 O’ZI,</t>
        </is>
      </c>
      <c r="G212" s="114" t="inlineStr">
        <is>
          <t xml:space="preserve">QIYOT KO’CHASI 64 UY</t>
        </is>
      </c>
      <c r="H212" s="115">
        <v>10.0</v>
      </c>
      <c r="I212" s="115">
        <v>1515910.02</v>
      </c>
      <c r="K212" s="114" t="inlineStr">
        <is>
          <t xml:space="preserve">Telefon ko'tarmadi</t>
        </is>
      </c>
    </row>
    <row r="213">
      <c r="A213" s="114" t="inlineStr">
        <is>
          <t xml:space="preserve">НАВОИЙ ВИЛОЯТИ</t>
        </is>
      </c>
      <c r="C213" s="114" t="inlineStr">
        <is>
          <t xml:space="preserve">Недозвон</t>
        </is>
      </c>
      <c r="D213" s="114" t="inlineStr">
        <is>
          <t xml:space="preserve">Кр-99031486-1</t>
        </is>
      </c>
      <c r="E213" s="114" t="inlineStr">
        <is>
          <t xml:space="preserve">SHARAPOVA MASTURA XAYDAROVNA</t>
        </is>
      </c>
      <c r="F213" s="114" t="inlineStr">
        <is>
          <t xml:space="preserve">99-266-81-68  SMS O’ZI, 90-732-24-07  SMS O’G’LI, 90-619-59-31  SMS SINGLISI, 91-461-12-86  SMS JIYANI, 998906469770 SMS new ozi  oqtuvchi ,</t>
        </is>
      </c>
      <c r="G213" s="114" t="inlineStr">
        <is>
          <t xml:space="preserve">NAVOIY VILOYATI NAVOIY SHAHAR UMID MFY NURAFSHON KO’CHASI 15-UY 1-XONADON</t>
        </is>
      </c>
      <c r="H213" s="115">
        <v>13.0</v>
      </c>
      <c r="I213" s="115">
        <v>1498924.46</v>
      </c>
      <c r="K213" s="114" t="inlineStr">
        <is>
          <t xml:space="preserve">Telefon ko'tarmadi</t>
        </is>
      </c>
    </row>
    <row r="214">
      <c r="A214" s="114" t="inlineStr">
        <is>
          <t xml:space="preserve">НАВОИЙ ВИЛОЯТИ</t>
        </is>
      </c>
      <c r="C214" s="114" t="inlineStr">
        <is>
          <t xml:space="preserve">Недозвон</t>
        </is>
      </c>
      <c r="D214" s="114" t="inlineStr">
        <is>
          <t xml:space="preserve">Кр-99029799-3</t>
        </is>
      </c>
      <c r="E214" s="114" t="inlineStr">
        <is>
          <t xml:space="preserve">BERDIYEV BAXRIDDIN SHUKUROVICH</t>
        </is>
      </c>
      <c r="F214" s="114" t="inlineStr">
        <is>
          <t xml:space="preserve">93-313-25-50 SMS O'ZI  begona    tel qilinmasin , 93-086-25-50 SMS O'ZI 2 , 99-115-58-14 SMS ONASI, 998906183436 new oziniki,</t>
        </is>
      </c>
      <c r="G214" s="114" t="inlineStr">
        <is>
          <t xml:space="preserve">NAVOIY VILOYATI VISHNEVISKIY 12-82 A UY</t>
        </is>
      </c>
      <c r="H214" s="115">
        <v>10.0</v>
      </c>
      <c r="I214" s="115">
        <v>1304664.79</v>
      </c>
      <c r="K214" s="114" t="inlineStr">
        <is>
          <t xml:space="preserve">Telefon ko'tarmadi</t>
        </is>
      </c>
    </row>
    <row r="215">
      <c r="A215" s="114" t="inlineStr">
        <is>
          <t xml:space="preserve">НАВОИЙ ВИЛОЯТИ</t>
        </is>
      </c>
      <c r="C215" s="114" t="inlineStr">
        <is>
          <t xml:space="preserve">Недозвон</t>
        </is>
      </c>
      <c r="D215" s="114" t="inlineStr">
        <is>
          <t xml:space="preserve">Кр-99063158-2</t>
        </is>
      </c>
      <c r="E215" s="114" t="inlineStr">
        <is>
          <t xml:space="preserve">SUYUNOV ULUG’BEK DILMURODOVICH</t>
        </is>
      </c>
      <c r="F215" s="114" t="inlineStr">
        <is>
          <t xml:space="preserve">998932153700 SMS O’G’LI, 998939270687 AYOLI, 998943738500 SMS UZI,</t>
        </is>
      </c>
      <c r="G215" s="114" t="inlineStr">
        <is>
          <t xml:space="preserve">NAVOIY VILOYATI XATIRCHITUMANI,ELOMONTEPA QISHLOG’I 180 UY</t>
        </is>
      </c>
      <c r="H215" s="115">
        <v>10.0</v>
      </c>
      <c r="I215" s="115">
        <v>1249093.74</v>
      </c>
      <c r="K215" s="114" t="inlineStr">
        <is>
          <t xml:space="preserve">Telefon ko'tarmadi</t>
        </is>
      </c>
    </row>
    <row r="216">
      <c r="A216" s="114" t="inlineStr">
        <is>
          <t xml:space="preserve">НАВОИЙ ВИЛОЯТИ</t>
        </is>
      </c>
      <c r="C216" s="114" t="inlineStr">
        <is>
          <t xml:space="preserve">Недозвон</t>
        </is>
      </c>
      <c r="D216" s="114" t="inlineStr">
        <is>
          <t xml:space="preserve">Кр-99026502-2</t>
        </is>
      </c>
      <c r="E216" s="114" t="inlineStr">
        <is>
          <t xml:space="preserve">RAXMONOV BEKZOD FURQAT O’G’LI</t>
        </is>
      </c>
      <c r="F216" s="114" t="inlineStr">
        <is>
          <t xml:space="preserve">998997370013 SMS OZI KARMANA GAZDA ISHLIDI , 99-814-13-13 SMS AYOLI, 99-454-00-13 SMS ORTOGI, 99-739-00-05 SMS AKASI,</t>
        </is>
      </c>
      <c r="G216" s="114" t="inlineStr">
        <is>
          <t xml:space="preserve">Навоий вилояти Кармана тумани, Фарход МФЙ, Фарход кучаси 5-1/8 уй</t>
        </is>
      </c>
      <c r="H216" s="115">
        <v>6.0</v>
      </c>
      <c r="I216" s="115">
        <v>1221409.86</v>
      </c>
      <c r="K216" s="114" t="inlineStr">
        <is>
          <t xml:space="preserve">Telefon ko'tarmadi</t>
        </is>
      </c>
    </row>
    <row r="217">
      <c r="A217" s="114" t="inlineStr">
        <is>
          <t xml:space="preserve">НАВОИЙ ВИЛОЯТИ</t>
        </is>
      </c>
      <c r="C217" s="114" t="inlineStr">
        <is>
          <t xml:space="preserve">Недозвон</t>
        </is>
      </c>
      <c r="D217" s="114" t="inlineStr">
        <is>
          <t xml:space="preserve">Кр-99027892-5</t>
        </is>
      </c>
      <c r="E217" s="114" t="inlineStr">
        <is>
          <t xml:space="preserve">BURONOVA DILFUZA TUXTAYEVNA</t>
        </is>
      </c>
      <c r="F217" s="114" t="inlineStr">
        <is>
          <t xml:space="preserve">99-153-79-70 sms UZI, 93-814-90-00 sms QIZI, 93-653-97-09 sms ERI, 50-070-14-01 sms O’G’LI, 998992480004 SMS ogli new,</t>
        </is>
      </c>
      <c r="G217" s="114" t="inlineStr">
        <is>
          <t xml:space="preserve">NAVOIY VILOYATI ZARAFSHON SHAHAR 12-KICHIK TUMANI 21-UY 135-XONADON</t>
        </is>
      </c>
      <c r="H217" s="115">
        <v>10.0</v>
      </c>
      <c r="I217" s="115">
        <v>1101300.32</v>
      </c>
      <c r="K217" s="114" t="inlineStr">
        <is>
          <t xml:space="preserve">Telefon ko'tarmadi</t>
        </is>
      </c>
    </row>
    <row r="218">
      <c r="A218" s="114" t="inlineStr">
        <is>
          <t xml:space="preserve">НАВОИЙ ВИЛОЯТИ</t>
        </is>
      </c>
      <c r="C218" s="114" t="inlineStr">
        <is>
          <t xml:space="preserve">Недозвон</t>
        </is>
      </c>
      <c r="D218" s="114" t="inlineStr">
        <is>
          <t xml:space="preserve">Кр-99064038-1</t>
        </is>
      </c>
      <c r="E218" s="114" t="inlineStr">
        <is>
          <t xml:space="preserve">SANAKULOVA MALOXAT ISOMITDINOVNA</t>
        </is>
      </c>
      <c r="F218" s="114" t="inlineStr">
        <is>
          <t xml:space="preserve">998937590414 O’ZI, 998937771430 O’G’LI,</t>
        </is>
      </c>
      <c r="G218" s="114" t="inlineStr">
        <is>
          <t xml:space="preserve">ZARGAR KO’CHASI 32 UY</t>
        </is>
      </c>
      <c r="H218" s="115">
        <v>10.0</v>
      </c>
      <c r="I218" s="115">
        <v>1095487.02</v>
      </c>
      <c r="K218" s="114" t="inlineStr">
        <is>
          <t xml:space="preserve">Telefon ko'tarmadi</t>
        </is>
      </c>
    </row>
    <row r="219">
      <c r="A219" s="114" t="inlineStr">
        <is>
          <t xml:space="preserve">НАВОИЙ ВИЛОЯТИ</t>
        </is>
      </c>
      <c r="C219" s="114" t="inlineStr">
        <is>
          <t xml:space="preserve">Недозвон</t>
        </is>
      </c>
      <c r="D219" s="114" t="inlineStr">
        <is>
          <t xml:space="preserve">Кр-99029799-2</t>
        </is>
      </c>
      <c r="E219" s="114" t="inlineStr">
        <is>
          <t xml:space="preserve">BERDIYEV BAXRIDDIN SHUKUROVICH</t>
        </is>
      </c>
      <c r="F219" s="114" t="inlineStr">
        <is>
          <t xml:space="preserve">93-313-25-50 SMS O'ZI  begona    tel qilinmasin , 93-086-25-50 SMS O'ZI 2 , 99-115-58-14 SMS ONASI, 998906183436 new oziniki,</t>
        </is>
      </c>
      <c r="G219" s="114" t="inlineStr">
        <is>
          <t xml:space="preserve">NAVOIY VILOYATI VISHNEVISKIY 12-82 A UY</t>
        </is>
      </c>
      <c r="H219" s="115">
        <v>14.0</v>
      </c>
      <c r="I219" s="115">
        <v>1074108.36</v>
      </c>
      <c r="K219" s="114" t="inlineStr">
        <is>
          <t xml:space="preserve">Telefon ko'tarmadi</t>
        </is>
      </c>
    </row>
    <row r="220">
      <c r="A220" s="114" t="inlineStr">
        <is>
          <t xml:space="preserve">НАВОИЙ ВИЛОЯТИ</t>
        </is>
      </c>
      <c r="C220" s="114" t="inlineStr">
        <is>
          <t xml:space="preserve">Недозвон</t>
        </is>
      </c>
      <c r="D220" s="114" t="inlineStr">
        <is>
          <t xml:space="preserve">Кр-99031486-2</t>
        </is>
      </c>
      <c r="E220" s="114" t="inlineStr">
        <is>
          <t xml:space="preserve">SHARAPOVA MASTURA XAYDAROVNA</t>
        </is>
      </c>
      <c r="F220" s="114" t="inlineStr">
        <is>
          <t xml:space="preserve">99-266-81-68  SMS O’ZI, 90-732-24-07  SMS O’G’LI, 90-619-59-31  SMS SINGLISI, 91-461-12-86  SMS JIYANI, 998906469770 SMS new ozi  oqtuvchi ,</t>
        </is>
      </c>
      <c r="G220" s="114" t="inlineStr">
        <is>
          <t xml:space="preserve">NAVOIY VILOYATI NAVOIY SHAHAR UMID MFY NURAFSHON KO’CHASI 15-UY 1-XONADON</t>
        </is>
      </c>
      <c r="H220" s="115">
        <v>10.0</v>
      </c>
      <c r="I220" s="115">
        <v>1010827.07</v>
      </c>
      <c r="K220" s="114" t="inlineStr">
        <is>
          <t xml:space="preserve">Telefon ko'tarmadi</t>
        </is>
      </c>
    </row>
    <row r="221">
      <c r="A221" s="114" t="inlineStr">
        <is>
          <t xml:space="preserve">НАВОИЙ ВИЛОЯТИ</t>
        </is>
      </c>
      <c r="C221" s="114" t="inlineStr">
        <is>
          <t xml:space="preserve">Недозвон</t>
        </is>
      </c>
      <c r="D221" s="114" t="inlineStr">
        <is>
          <t xml:space="preserve">Кр-99033499-1</t>
        </is>
      </c>
      <c r="E221" s="114" t="inlineStr">
        <is>
          <t xml:space="preserve">XUJAYOROV BEKZOD SALOXIDINOVICH</t>
        </is>
      </c>
      <c r="F221" s="114" t="inlineStr">
        <is>
          <t xml:space="preserve">998900852727 SMS O’ZI, 998976852000 SMS O’ZI 2, 998774242727 SMS new ozi , 998773437901 jiyani,</t>
        </is>
      </c>
      <c r="G221" s="114" t="inlineStr">
        <is>
          <t xml:space="preserve">NAVOIY VILOYATI NAVOIY SHAHAR NAVOIY KO’CHASI QURILISH MFY 1-UY 11-XONADON</t>
        </is>
      </c>
      <c r="I221" s="115">
        <v>802918.63</v>
      </c>
      <c r="K221" s="114" t="inlineStr">
        <is>
          <t xml:space="preserve">Telefon ko'tarmadi</t>
        </is>
      </c>
    </row>
    <row r="222">
      <c r="A222" s="116" t="inlineStr">
        <is>
          <t xml:space="preserve">НАМАНГАН ВИЛОЯТИ</t>
        </is>
      </c>
      <c r="C222" s="116" t="inlineStr">
        <is>
          <t xml:space="preserve">Недозвон</t>
        </is>
      </c>
      <c r="D222" s="116" t="inlineStr">
        <is>
          <t xml:space="preserve">Кр-99038835-1</t>
        </is>
      </c>
      <c r="E222" s="116" t="inlineStr">
        <is>
          <t xml:space="preserve">MAMADJANOV ZOKIR AKMALOVICH</t>
        </is>
      </c>
      <c r="F222" s="116" t="inlineStr">
        <is>
          <t xml:space="preserve">998939155005 SMS OZI, 998958537555 SMS HAKASBI, 998975912020 SMS XAMKASBI, 998958922621 SMS BEGONA,</t>
        </is>
      </c>
      <c r="G222" s="116" t="inlineStr">
        <is>
          <t xml:space="preserve">NAMANGAN VILOYATI NAMANGAN SHAXAR OBI XAYOT MFY 1-PROEZD IBRAT KO’CHA 21 UY</t>
        </is>
      </c>
      <c r="H222" s="117">
        <v>185.0</v>
      </c>
      <c r="I222" s="117">
        <v>54345246.67</v>
      </c>
      <c r="K222" s="116" t="inlineStr">
        <is>
          <t xml:space="preserve">Telefon ko'tarmadi | 23million yep ketgan deyabdi filialni qolganini ozi tolarkan | Плохой</t>
        </is>
      </c>
    </row>
    <row r="223">
      <c r="A223" s="116" t="inlineStr">
        <is>
          <t xml:space="preserve">НАМАНГАН ВИЛОЯТИ</t>
        </is>
      </c>
      <c r="C223" s="116" t="inlineStr">
        <is>
          <t xml:space="preserve">Недозвон</t>
        </is>
      </c>
      <c r="D223" s="116" t="inlineStr">
        <is>
          <t xml:space="preserve">Кр-99030243-1</t>
        </is>
      </c>
      <c r="E223" s="116" t="inlineStr">
        <is>
          <t xml:space="preserve">IBROHIMOV ILYOSXON MAXMUDJON O’G’LI</t>
        </is>
      </c>
      <c r="F223" s="116" t="inlineStr">
        <is>
          <t xml:space="preserve">99-613-07-03  SMS O’ZI, 95-677-19-78  SMS ONASI, 998939155252 SMS tulovchi , 93-918-55-50  SMS OSHNASI begona, 998330002000 TANISHI, 998772935555 tolovchi begona,</t>
        </is>
      </c>
      <c r="G223" s="116" t="inlineStr">
        <is>
          <t xml:space="preserve">NAMANGAN VILOYATI DAVLATOBOD TUMANI  YUQORI G’IRVON MFY N INAMOV KO’CHASI 34 UY</t>
        </is>
      </c>
      <c r="H223" s="117">
        <v>218.0</v>
      </c>
      <c r="I223" s="117">
        <v>49164568.53</v>
      </c>
      <c r="K223" s="116" t="inlineStr">
        <is>
          <t xml:space="preserve">Telefon ko'tarmadi | filial xal qiladi | Плохой</t>
        </is>
      </c>
    </row>
    <row r="224">
      <c r="A224" s="116" t="inlineStr">
        <is>
          <t xml:space="preserve">НАМАНГАН ВИЛОЯТИ</t>
        </is>
      </c>
      <c r="C224" s="116" t="inlineStr">
        <is>
          <t xml:space="preserve">Недозвон</t>
        </is>
      </c>
      <c r="D224" s="116" t="inlineStr">
        <is>
          <t xml:space="preserve">Кр-99035789-2</t>
        </is>
      </c>
      <c r="E224" s="116" t="inlineStr">
        <is>
          <t xml:space="preserve">MAVLONOVA MUQADDAM BOQIYEVNA</t>
        </is>
      </c>
      <c r="F224" s="116" t="inlineStr">
        <is>
          <t xml:space="preserve">998943491849 SMS O’ZI, 998930587200 SMS BEGONA EKAN , 998993907200 SMS O’G’LI , 998505005495 SMS O’G’LI 2, 998947452200 O'G'LI WU ISHLAYDI,</t>
        </is>
      </c>
      <c r="G224" s="116" t="inlineStr">
        <is>
          <t xml:space="preserve">NAMANGAN VILOYATI NORIN TUMANI QOZOQOVUL MFY LOXHIN KO’CHA 248 UY</t>
        </is>
      </c>
      <c r="H224" s="117">
        <v>132.0</v>
      </c>
      <c r="I224" s="117">
        <v>44021362.59</v>
      </c>
      <c r="K224" s="116" t="inlineStr">
        <is>
          <t xml:space="preserve">Telefon ko'tarmadi | filial xal qiladi | Плохой</t>
        </is>
      </c>
    </row>
    <row r="225">
      <c r="A225" s="116" t="inlineStr">
        <is>
          <t xml:space="preserve">НАМАНГАН ВИЛОЯТИ</t>
        </is>
      </c>
      <c r="C225" s="116" t="inlineStr">
        <is>
          <t xml:space="preserve">Недозвон</t>
        </is>
      </c>
      <c r="D225" s="116" t="inlineStr">
        <is>
          <t xml:space="preserve">Кр-99047182-1</t>
        </is>
      </c>
      <c r="E225" s="116" t="inlineStr">
        <is>
          <t xml:space="preserve">SULTANMURADOVA MANZURA ABDULAZIZOVNA</t>
        </is>
      </c>
      <c r="F225" s="116" t="inlineStr">
        <is>
          <t xml:space="preserve">+998507804370 SMS O’ZI, 998935070700 SMS O’G’LI, 998935941713 SMS QIZI,</t>
        </is>
      </c>
      <c r="G225" s="116" t="inlineStr">
        <is>
          <t xml:space="preserve">NAMANGAN VILOYATI CHUST TUMANI TOYMAS MFY QO’RG’ONARIQ KO’CHASI 41 UY</t>
        </is>
      </c>
      <c r="H225" s="117">
        <v>164.0</v>
      </c>
      <c r="I225" s="117">
        <v>30799499.27</v>
      </c>
      <c r="K225" s="116" t="inlineStr">
        <is>
          <t xml:space="preserve">Telefon ko'tarmadi | filial xal qiladi | Плохой</t>
        </is>
      </c>
    </row>
    <row r="226">
      <c r="A226" s="116" t="inlineStr">
        <is>
          <t xml:space="preserve">НАМАНГАН ВИЛОЯТИ</t>
        </is>
      </c>
      <c r="C226" s="116" t="inlineStr">
        <is>
          <t xml:space="preserve">Недозвон</t>
        </is>
      </c>
      <c r="D226" s="116" t="inlineStr">
        <is>
          <t xml:space="preserve">Кр-99042328-1</t>
        </is>
      </c>
      <c r="E226" s="116" t="inlineStr">
        <is>
          <t xml:space="preserve">RUZIYEV SULTONALI IKROMOVICH</t>
        </is>
      </c>
      <c r="F226" s="116" t="inlineStr">
        <is>
          <t xml:space="preserve">998934447302 SMS OZI, 998500351229 SMS AYOLI, 998947013701 SMS OGLI, 998932014300 SMS OGLI 2, 998934812720 SMS O'G'LI ISHLEDI,</t>
        </is>
      </c>
      <c r="G226" s="116" t="inlineStr">
        <is>
          <t xml:space="preserve">NAMANGAN VILOYATI POP TUMANI OZOD MFY NAVRO’Z KO’CHASI 53-UY</t>
        </is>
      </c>
      <c r="H226" s="117">
        <v>135.0</v>
      </c>
      <c r="I226" s="117">
        <v>30548051.52</v>
      </c>
      <c r="K226" s="116" t="inlineStr">
        <is>
          <t xml:space="preserve">Telefon ko'tarmadi | filial xal qiladi | Плохой</t>
        </is>
      </c>
    </row>
    <row r="227">
      <c r="A227" s="116" t="inlineStr">
        <is>
          <t xml:space="preserve">НАМАНГАН ВИЛОЯТИ</t>
        </is>
      </c>
      <c r="C227" s="116" t="inlineStr">
        <is>
          <t xml:space="preserve">Недозвон</t>
        </is>
      </c>
      <c r="D227" s="116" t="inlineStr">
        <is>
          <t xml:space="preserve">Кр-99035342-1</t>
        </is>
      </c>
      <c r="E227" s="116" t="inlineStr">
        <is>
          <t xml:space="preserve">QORABOYEVA INOYATXON SHERTOYEVNA</t>
        </is>
      </c>
      <c r="F227" s="116" t="inlineStr">
        <is>
          <t xml:space="preserve">998950780375 SMS O’ZI, 998332577277 SMS ERI, 998932577277 SMS ERI, 998944049919 SMS O’G’LI,</t>
        </is>
      </c>
      <c r="G227" s="116" t="inlineStr">
        <is>
          <t xml:space="preserve">ANDIQJON VILOYATI BALIQCHI TUMANI GO’ROVON MFY GO’ROVON KO’CHA 20 UY</t>
        </is>
      </c>
      <c r="H227" s="117">
        <v>154.0</v>
      </c>
      <c r="I227" s="117">
        <v>20202829.03</v>
      </c>
      <c r="K227" s="116" t="inlineStr">
        <is>
          <t xml:space="preserve">Telefon ko'tarmadi | filial xal qiladi | Плохой</t>
        </is>
      </c>
    </row>
    <row r="228">
      <c r="A228" s="116" t="inlineStr">
        <is>
          <t xml:space="preserve">НАМАНГАН ВИЛОЯТИ</t>
        </is>
      </c>
      <c r="C228" s="116" t="inlineStr">
        <is>
          <t xml:space="preserve">Недозвон</t>
        </is>
      </c>
      <c r="D228" s="116" t="inlineStr">
        <is>
          <t xml:space="preserve">Кр-99044139-3</t>
        </is>
      </c>
      <c r="E228" s="116" t="inlineStr">
        <is>
          <t xml:space="preserve">MAVLYANOVA MAMLAKAT DJALOLITDINOVNA</t>
        </is>
      </c>
      <c r="F228" s="116" t="inlineStr">
        <is>
          <t xml:space="preserve">+998905248686 SMS , 998882823030 SMS O’G’LI, 998913506560 SMS QIZI, 998913505509 SMS O’ZI,</t>
        </is>
      </c>
      <c r="G228" s="116" t="inlineStr">
        <is>
          <t xml:space="preserve">Богдорчилик 1-тор кучаси, 12 уй</t>
        </is>
      </c>
      <c r="H228" s="117">
        <v>104.0</v>
      </c>
      <c r="I228" s="117">
        <v>14645124.49</v>
      </c>
      <c r="K228" s="116" t="inlineStr">
        <is>
          <t xml:space="preserve">Telefon ko'tarmadi | filial xal qiladi | Плохой</t>
        </is>
      </c>
    </row>
    <row r="229">
      <c r="A229" s="116" t="inlineStr">
        <is>
          <t xml:space="preserve">НАМАНГАН ВИЛОЯТИ</t>
        </is>
      </c>
      <c r="C229" s="116" t="inlineStr">
        <is>
          <t xml:space="preserve">Недозвон</t>
        </is>
      </c>
      <c r="D229" s="116" t="inlineStr">
        <is>
          <t xml:space="preserve">Кр-99063486-1</t>
        </is>
      </c>
      <c r="E229" s="116" t="inlineStr">
        <is>
          <t xml:space="preserve">MIRZAYEV AXROR ALIJONOVICH</t>
        </is>
      </c>
      <c r="F229" s="116" t="inlineStr">
        <is>
          <t xml:space="preserve">+998939243253 SMS O’ZI, 998934941526 SMS AYOLI, 998945085159 DO’STI,</t>
        </is>
      </c>
      <c r="G229" s="116" t="inlineStr">
        <is>
          <t xml:space="preserve">NAMANGAN VILOYATI TO’RAQO’RG’ON TUMANI FAYZABOD MFY BOG’ KO’CHASI 48 UY</t>
        </is>
      </c>
      <c r="H229" s="117">
        <v>10.0</v>
      </c>
      <c r="I229" s="117">
        <v>14304630.92</v>
      </c>
      <c r="K229" s="116" t="inlineStr">
        <is>
          <t xml:space="preserve">Telefon ko'tarmadi | umuman kotarmayabdi | Стандартрый</t>
        </is>
      </c>
    </row>
    <row r="230">
      <c r="A230" s="116" t="inlineStr">
        <is>
          <t xml:space="preserve">НАМАНГАН ВИЛОЯТИ</t>
        </is>
      </c>
      <c r="C230" s="116" t="inlineStr">
        <is>
          <t xml:space="preserve">Недозвон</t>
        </is>
      </c>
      <c r="D230" s="116" t="inlineStr">
        <is>
          <t xml:space="preserve">Кр-99020777-2</t>
        </is>
      </c>
      <c r="E230" s="116" t="inlineStr">
        <is>
          <t xml:space="preserve">ULUG’BEKOVA MADINA-BONU ULUG’BEK QIZI</t>
        </is>
      </c>
      <c r="F230" s="116" t="inlineStr">
        <is>
          <t xml:space="preserve">77-255-00-20 SMS TULOVCHI, 93-947-50-65 SMS Onasi, 93-780-20-20 Sms BEGONA, 94-271-07-70 Sms ukasi , 97-105-70-20 SMS  tolovchi , 77-271-70-20 SMS tolovchi, 998772024010 SMS eri neww, 998958315200 ozi neww,</t>
        </is>
      </c>
      <c r="G230" s="116" t="inlineStr">
        <is>
          <t xml:space="preserve">NAMANGAN VILOYATI POP TUMANI ALISHER NAVOIY MFY NAVRO’Z KO’CHASI 12 UY</t>
        </is>
      </c>
      <c r="H230" s="117">
        <v>9.0</v>
      </c>
      <c r="I230" s="117">
        <v>11841516.02</v>
      </c>
      <c r="K230" s="116" t="inlineStr">
        <is>
          <t xml:space="preserve">Telefon ko'tarmadi | borta nomer kotarmayabdi | Стандартрый</t>
        </is>
      </c>
    </row>
    <row r="231">
      <c r="A231" s="116" t="inlineStr">
        <is>
          <t xml:space="preserve">НАМАНГАН ВИЛОЯТИ</t>
        </is>
      </c>
      <c r="C231" s="116" t="inlineStr">
        <is>
          <t xml:space="preserve">Недозвон</t>
        </is>
      </c>
      <c r="D231" s="116" t="inlineStr">
        <is>
          <t xml:space="preserve">Кр-99041147-1</t>
        </is>
      </c>
      <c r="E231" s="116" t="inlineStr">
        <is>
          <t xml:space="preserve">KODIROVA XOVOXON DJUMANOVNA</t>
        </is>
      </c>
      <c r="F231" s="116" t="inlineStr">
        <is>
          <t xml:space="preserve">+998503020006 SMS OZI, 998500765555 SMS OGLI, 998507775696 SMS KELINI, 998945524848 SMS JIYANI, 998947890996 SMS SARDORBEK TO'LOVCHI,</t>
        </is>
      </c>
      <c r="G231" s="116" t="inlineStr">
        <is>
          <t xml:space="preserve">Саховат МФЙ, Мустакиллик 10 йиллиги кучаси, 357-уй</t>
        </is>
      </c>
      <c r="H231" s="117">
        <v>10.0</v>
      </c>
      <c r="I231" s="117">
        <v>8276543.29</v>
      </c>
      <c r="K231" s="116" t="inlineStr">
        <is>
          <t xml:space="preserve">Telefon ko'tarmadi | umuman kotarmayabdi | Стандартрый</t>
        </is>
      </c>
    </row>
    <row r="232">
      <c r="A232" s="116" t="inlineStr">
        <is>
          <t xml:space="preserve">НАМАНГАН ВИЛОЯТИ</t>
        </is>
      </c>
      <c r="C232" s="116" t="inlineStr">
        <is>
          <t xml:space="preserve">Недозвон</t>
        </is>
      </c>
      <c r="D232" s="116" t="inlineStr">
        <is>
          <t xml:space="preserve">Кр-99039132-1</t>
        </is>
      </c>
      <c r="E232" s="116" t="inlineStr">
        <is>
          <t xml:space="preserve">AZIMOV MUXAMMADAZIM ABDUG’OPUR O’G’LI</t>
        </is>
      </c>
      <c r="F232" s="116" t="inlineStr">
        <is>
          <t xml:space="preserve">998332090009 SMS OZI, 998995240770 SMS AKASI, 998996466206 SMS DADASI, 998913602980 SMS ONASI уртогини онаси, 998934068282 SMS QIZI ,</t>
        </is>
      </c>
      <c r="G232" s="116" t="inlineStr">
        <is>
          <t xml:space="preserve">NAMANGAN VILOYATI NAMANGAN SHAHAR ISHONCH MFY YANGI QURG’ON KO’CHASI 44-XONADON</t>
        </is>
      </c>
      <c r="H232" s="117">
        <v>150.0</v>
      </c>
      <c r="I232" s="117">
        <v>7216228.83</v>
      </c>
      <c r="K232" s="116" t="inlineStr">
        <is>
          <t xml:space="preserve">Telefon ko'tarmadi | kotarmayabdi garov plashatkada umuman tolamayabdi | Плохой</t>
        </is>
      </c>
    </row>
    <row r="233">
      <c r="A233" s="116" t="inlineStr">
        <is>
          <t xml:space="preserve">НАМАНГАН ВИЛОЯТИ</t>
        </is>
      </c>
      <c r="C233" s="116" t="inlineStr">
        <is>
          <t xml:space="preserve">Объезд</t>
        </is>
      </c>
      <c r="D233" s="116" t="inlineStr">
        <is>
          <t xml:space="preserve">Кр-99063350-2</t>
        </is>
      </c>
      <c r="E233" s="116" t="inlineStr">
        <is>
          <t xml:space="preserve">HASANOV NASRIDDIN FAZLIDDINOVICH</t>
        </is>
      </c>
      <c r="F233" s="116" t="inlineStr">
        <is>
          <t xml:space="preserve">+998947058118 SMS O’ZI, 998932726162 SMS QIZI, 998947322062 SMS AYOLI,</t>
        </is>
      </c>
      <c r="G233" s="116" t="inlineStr">
        <is>
          <t xml:space="preserve">НАМАНГАН ВИЛОЯТИ УЙЧИ ТУМАНИ НАВОИЙ МФЙ БОҒИ ЭРАМ КЎЧАСИ 1 УЙ</t>
        </is>
      </c>
      <c r="H233" s="117">
        <v>10.0</v>
      </c>
      <c r="I233" s="117">
        <v>6845285.86</v>
      </c>
      <c r="K233" s="116" t="inlineStr">
        <is>
          <t xml:space="preserve">Uyiga borildi | qisman tolov qilb berdi | Стандартрый</t>
        </is>
      </c>
    </row>
    <row r="234">
      <c r="A234" s="116" t="inlineStr">
        <is>
          <t xml:space="preserve">НАМАНГАН ВИЛОЯТИ</t>
        </is>
      </c>
      <c r="C234" s="116" t="inlineStr">
        <is>
          <t xml:space="preserve">Недозвон</t>
        </is>
      </c>
      <c r="D234" s="116" t="inlineStr">
        <is>
          <t xml:space="preserve">Кр-99039681-1</t>
        </is>
      </c>
      <c r="E234" s="116" t="inlineStr">
        <is>
          <t xml:space="preserve">ERGASHEV ABDURASHID SHUKURJON O’G’LI</t>
        </is>
      </c>
      <c r="F234" s="116" t="inlineStr">
        <is>
          <t xml:space="preserve">998940377767 SMS OZI, 998934015262 SMS ONASI, 998997174743 SMS OTASI,</t>
        </is>
      </c>
      <c r="G234" s="116" t="inlineStr">
        <is>
          <t xml:space="preserve">NAMANGAN VILOYATI TO’RAQO’RG’ON TUMANI, OZOD MSG ,OZOD KO’CHASI, 22-UY</t>
        </is>
      </c>
      <c r="H234" s="117">
        <v>31.0</v>
      </c>
      <c r="I234" s="117">
        <v>6772554.54</v>
      </c>
      <c r="K234" s="116" t="inlineStr">
        <is>
          <t xml:space="preserve">Telefon ko'tarmadi | tel kotarmayabdi | Стандартрый</t>
        </is>
      </c>
    </row>
    <row r="235">
      <c r="A235" s="116" t="inlineStr">
        <is>
          <t xml:space="preserve">НАМАНГАН ВИЛОЯТИ</t>
        </is>
      </c>
      <c r="C235" s="116" t="inlineStr">
        <is>
          <t xml:space="preserve">Недозвон</t>
        </is>
      </c>
      <c r="D235" s="116" t="inlineStr">
        <is>
          <t xml:space="preserve">Кр-99036655-1</t>
        </is>
      </c>
      <c r="E235" s="116" t="inlineStr">
        <is>
          <t xml:space="preserve">YO’LDOSHEV XUSNIDDIN MO’MINJON O’G’LI</t>
        </is>
      </c>
      <c r="F235" s="116" t="inlineStr">
        <is>
          <t xml:space="preserve">998770750190 SMS OZI, 998972500190 SMS OZI 2, 998505090190 SMS AYOLI, 998500540190 sms ish joyi,</t>
        </is>
      </c>
      <c r="G235" s="116" t="inlineStr">
        <is>
          <t xml:space="preserve">NAMANGAN VILOYATI TO’RAQO’RG’ON TUMANI MASHRAB KO’CHA 17 UY</t>
        </is>
      </c>
      <c r="H235" s="117">
        <v>6.0</v>
      </c>
      <c r="I235" s="117">
        <v>6670438.84</v>
      </c>
      <c r="K235" s="116" t="inlineStr">
        <is>
          <t xml:space="preserve">Telefon ko'tarmadi | brorta nomerini kotarmayabdi | Стандартрый</t>
        </is>
      </c>
    </row>
    <row r="236">
      <c r="A236" s="116" t="inlineStr">
        <is>
          <t xml:space="preserve">НАМАНГАН ВИЛОЯТИ</t>
        </is>
      </c>
      <c r="C236" s="116" t="inlineStr">
        <is>
          <t xml:space="preserve">Недозвон</t>
        </is>
      </c>
      <c r="D236" s="116" t="inlineStr">
        <is>
          <t xml:space="preserve">Кр-99032521-1</t>
        </is>
      </c>
      <c r="E236" s="116" t="inlineStr">
        <is>
          <t xml:space="preserve">MAXMUDOVA FERUZA NASIMOVNA</t>
        </is>
      </c>
      <c r="F236" s="116" t="inlineStr">
        <is>
          <t xml:space="preserve">998990512627 SMS O’ZI BEGONA, 998948856336 SMS ERI, 998911864003 SMS QAYNONASI TOLOVCHI, 998912930055 SMS OPASI,</t>
        </is>
      </c>
      <c r="G236" s="116" t="inlineStr">
        <is>
          <t xml:space="preserve">NAMANGAN VILOYATI DAVLATOBOD TUMANI MUSTAQILLIK MFY 1-KICHIK NOXIYA 49 UY 59 XONADON</t>
        </is>
      </c>
      <c r="H236" s="117">
        <v>7.0</v>
      </c>
      <c r="I236" s="117">
        <v>5747551.07</v>
      </c>
      <c r="K236" s="116" t="inlineStr">
        <is>
          <t xml:space="preserve">Telefon ko'tarmadi | kotarmayabdi brorta nomer | Стандартрый</t>
        </is>
      </c>
    </row>
    <row r="237">
      <c r="A237" s="116" t="inlineStr">
        <is>
          <t xml:space="preserve">НАМАНГАН ВИЛОЯТИ</t>
        </is>
      </c>
      <c r="C237" s="116" t="inlineStr">
        <is>
          <t xml:space="preserve">Недозвон</t>
        </is>
      </c>
      <c r="D237" s="116" t="inlineStr">
        <is>
          <t xml:space="preserve">Кр-99062852-2</t>
        </is>
      </c>
      <c r="E237" s="116" t="inlineStr">
        <is>
          <t xml:space="preserve">IMOMNAZAROVA NASIBAXON GANIYEVNA</t>
        </is>
      </c>
      <c r="F237" s="116" t="inlineStr">
        <is>
          <t xml:space="preserve">+998949052497 sms o’zi, 998949087558 sms opasi, 998991450704 sms kelini,</t>
        </is>
      </c>
      <c r="G237" s="116" t="inlineStr">
        <is>
          <t xml:space="preserve">НАМАНГАН ВИЛОЯТИ НОРИН ТУМАНИ НУРЗИЁ МФЙ ЮКСАЛИШ КЎЧАСИ 68-УЙ</t>
        </is>
      </c>
      <c r="H237" s="117">
        <v>10.0</v>
      </c>
      <c r="I237" s="117">
        <v>5354535.99</v>
      </c>
      <c r="K237" s="116" t="inlineStr">
        <is>
          <t xml:space="preserve">Telefon ko'tarmadi | umuman kotarmayabdi | Стандартрый</t>
        </is>
      </c>
    </row>
    <row r="238">
      <c r="A238" s="116" t="inlineStr">
        <is>
          <t xml:space="preserve">НАМАНГАН ВИЛОЯТИ</t>
        </is>
      </c>
      <c r="C238" s="116" t="inlineStr">
        <is>
          <t xml:space="preserve">Недозвон</t>
        </is>
      </c>
      <c r="D238" s="116" t="inlineStr">
        <is>
          <t xml:space="preserve">Кр-99049112-1</t>
        </is>
      </c>
      <c r="E238" s="116" t="inlineStr">
        <is>
          <t xml:space="preserve">NURMATOVA YULDUZXON SODIQJONOVNA</t>
        </is>
      </c>
      <c r="F238" s="116" t="inlineStr">
        <is>
          <t xml:space="preserve">+998930021479 SMS OZI, 998934981479 SMS AYOLI, 998994061479 SMS AKASI, 998944061479 SMS TO'LOVCHI,</t>
        </is>
      </c>
      <c r="G238" s="116" t="inlineStr">
        <is>
          <t xml:space="preserve">NAMANGAN VILOYATI UYCHI TUMANI OLMURUT MFY BOBUR KO’CHASI 15-UY</t>
        </is>
      </c>
      <c r="H238" s="117">
        <v>10.0</v>
      </c>
      <c r="I238" s="117">
        <v>5307761.94</v>
      </c>
      <c r="K238" s="116" t="inlineStr">
        <is>
          <t xml:space="preserve">Telefon ko'tarmadi | umuman kotarmayabdi | Стандартрый</t>
        </is>
      </c>
    </row>
    <row r="239">
      <c r="A239" s="116" t="inlineStr">
        <is>
          <t xml:space="preserve">НАМАНГАН ВИЛОЯТИ</t>
        </is>
      </c>
      <c r="C239" s="116" t="inlineStr">
        <is>
          <t xml:space="preserve">Недозвон</t>
        </is>
      </c>
      <c r="D239" s="116" t="inlineStr">
        <is>
          <t xml:space="preserve">Кр-99021020-4</t>
        </is>
      </c>
      <c r="E239" s="116" t="inlineStr">
        <is>
          <t xml:space="preserve">ABDULLAYEV RAXMATULLOX MUXSIN O‘G‘LI</t>
        </is>
      </c>
      <c r="F239" s="116" t="inlineStr">
        <is>
          <t xml:space="preserve">93-816-22-22 SMS UZI  BEGONA, 90-792-00-77 SMS UZI 2, 88-250-00-05 SMS AKASI, 88-254-00-05 SMS ISHXONA begona,</t>
        </is>
      </c>
      <c r="G239" s="116" t="inlineStr">
        <is>
          <t xml:space="preserve">NAMANGAN SHAHRI G‘UNCHA MFY G‘UNCHA TOR KO‘CHASI 2 UY</t>
        </is>
      </c>
      <c r="H239" s="117">
        <v>15.0</v>
      </c>
      <c r="I239" s="117">
        <v>5212198.61</v>
      </c>
      <c r="K239" s="116" t="inlineStr">
        <is>
          <t xml:space="preserve">Telefon ko'tarmadi | brorta nomeri kotarmayabdi | Стандартрый</t>
        </is>
      </c>
    </row>
    <row r="240">
      <c r="A240" s="116" t="inlineStr">
        <is>
          <t xml:space="preserve">НАМАНГАН ВИЛОЯТИ</t>
        </is>
      </c>
      <c r="C240" s="116" t="inlineStr">
        <is>
          <t xml:space="preserve">Недозвон</t>
        </is>
      </c>
      <c r="D240" s="116" t="inlineStr">
        <is>
          <t xml:space="preserve">Кр-99028498-2</t>
        </is>
      </c>
      <c r="E240" s="116" t="inlineStr">
        <is>
          <t xml:space="preserve">MAVLONOV SARDORBEK ABDURAXMON O’G’LI</t>
        </is>
      </c>
      <c r="F240" s="11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40" s="116" t="inlineStr">
        <is>
          <t xml:space="preserve">NAMANGAN VILOYATI NAMANGAN SHAHAR XAQIQAT MFY TEMUR KO’CHASI 4-TUPIK 2 UY2</t>
        </is>
      </c>
      <c r="H240" s="117">
        <v>10.0</v>
      </c>
      <c r="I240" s="117">
        <v>5074523.54</v>
      </c>
      <c r="K240" s="116" t="inlineStr">
        <is>
          <t xml:space="preserve">Telefon ko'tarmadi | nomerini kotarmayabdi kecha bittasini toliman degan edi | Стандартрый</t>
        </is>
      </c>
    </row>
    <row r="241">
      <c r="A241" s="116" t="inlineStr">
        <is>
          <t xml:space="preserve">НАМАНГАН ВИЛОЯТИ</t>
        </is>
      </c>
      <c r="C241" s="116" t="inlineStr">
        <is>
          <t xml:space="preserve">Недозвон</t>
        </is>
      </c>
      <c r="D241" s="116" t="inlineStr">
        <is>
          <t xml:space="preserve">Кр-99028498-3</t>
        </is>
      </c>
      <c r="E241" s="116" t="inlineStr">
        <is>
          <t xml:space="preserve">MAVLONOV SARDORBEK ABDURAXMON O’G’LI</t>
        </is>
      </c>
      <c r="F241" s="116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241" s="116" t="inlineStr">
        <is>
          <t xml:space="preserve">NAMANGAN VILOYATI NAMANGAN SHAHAR XAQIQAT MFY TEMUR KO’CHASI 4-TUPIK 2 UY2</t>
        </is>
      </c>
      <c r="H241" s="117">
        <v>10.0</v>
      </c>
      <c r="I241" s="117">
        <v>5033986.76</v>
      </c>
      <c r="K241" s="116" t="inlineStr">
        <is>
          <t xml:space="preserve">Telefon ko'tarmadi | nomerini kotarmayabdi kecha bittasini toliman degan edi | Стандартрый</t>
        </is>
      </c>
    </row>
    <row r="242">
      <c r="A242" s="116" t="inlineStr">
        <is>
          <t xml:space="preserve">НАМАНГАН ВИЛОЯТИ</t>
        </is>
      </c>
      <c r="C242" s="116" t="inlineStr">
        <is>
          <t xml:space="preserve">Недозвон</t>
        </is>
      </c>
      <c r="D242" s="116" t="inlineStr">
        <is>
          <t xml:space="preserve">Кр-99034894-1</t>
        </is>
      </c>
      <c r="E242" s="116" t="inlineStr">
        <is>
          <t xml:space="preserve">ERGASHEV SHERMAXAMMAD BAXRIDDINOVICH</t>
        </is>
      </c>
      <c r="F242" s="116" t="inlineStr">
        <is>
          <t xml:space="preserve">998770009255 SMS OZI, 998942850066 SMS OGLI, 998500175088 SMS OGLI, 998931989337 SMS QIZI,</t>
        </is>
      </c>
      <c r="G242" s="116" t="inlineStr">
        <is>
          <t xml:space="preserve">NAMANGAN VILOYATI YANGIQO’RG’ON TUMANI OLMAZOR MFY KUSHTEPA 2 KO’CHA 41 UY</t>
        </is>
      </c>
      <c r="H242" s="117">
        <v>15.0</v>
      </c>
      <c r="I242" s="117">
        <v>4872962.24</v>
      </c>
      <c r="K242" s="116" t="inlineStr">
        <is>
          <t xml:space="preserve">Telefon ko'tarmadi | tel kotarmayabdi uyiga undruvchi boradi | Стандартрый</t>
        </is>
      </c>
    </row>
    <row r="243">
      <c r="A243" s="116" t="inlineStr">
        <is>
          <t xml:space="preserve">НАМАНГАН ВИЛОЯТИ</t>
        </is>
      </c>
      <c r="C243" s="116" t="inlineStr">
        <is>
          <t xml:space="preserve">Недозвон</t>
        </is>
      </c>
      <c r="D243" s="116" t="inlineStr">
        <is>
          <t xml:space="preserve">Кр-99025455-6</t>
        </is>
      </c>
      <c r="E243" s="116" t="inlineStr">
        <is>
          <t xml:space="preserve">XALBEKOV ULUGBEK NURMAMATOVICH</t>
        </is>
      </c>
      <c r="F243" s="116" t="inlineStr">
        <is>
          <t xml:space="preserve">90-215-47-43 SMS OZI, 93-677-72-02  SMS OZI 2, 93-495-27-03 SMS ONASI (BEGONA),</t>
        </is>
      </c>
      <c r="G243" s="116" t="inlineStr">
        <is>
          <t xml:space="preserve">NAMANGAN SHAHAR  DASHTBOG’ MFY 3-PROEZD G’IRVONSOY KO’CHA 18 UY</t>
        </is>
      </c>
      <c r="H243" s="117">
        <v>10.0</v>
      </c>
      <c r="I243" s="117">
        <v>4252504.08</v>
      </c>
      <c r="K243" s="116" t="inlineStr">
        <is>
          <t xml:space="preserve">Telefon ko'tarmadi | sog nomer yoq | Стандартрый</t>
        </is>
      </c>
    </row>
    <row r="244">
      <c r="A244" s="116" t="inlineStr">
        <is>
          <t xml:space="preserve">НАМАНГАН ВИЛОЯТИ</t>
        </is>
      </c>
      <c r="C244" s="116" t="inlineStr">
        <is>
          <t xml:space="preserve">Объезд</t>
        </is>
      </c>
      <c r="D244" s="116" t="inlineStr">
        <is>
          <t xml:space="preserve">Кр-99063450-2</t>
        </is>
      </c>
      <c r="E244" s="116" t="inlineStr">
        <is>
          <t xml:space="preserve">MUYDINOVA GULJAXON YUSUPOVNA</t>
        </is>
      </c>
      <c r="F244" s="116" t="inlineStr">
        <is>
          <t xml:space="preserve">+998942830389 SMS O’ZI, 998508877719 SMS UY, 998932916566 SMS SINGLISI,</t>
        </is>
      </c>
      <c r="G244" s="116" t="inlineStr">
        <is>
          <t xml:space="preserve">НАМАНГАН ВИЛОЯТИ ЯНГИ НАМАНГАН ТУМАНИ КЕЛАЖАК ТОНГИ МФЙ ХАСАНОБОД КЎЧАСИ 28А-УЙ</t>
        </is>
      </c>
      <c r="H244" s="117">
        <v>10.0</v>
      </c>
      <c r="I244" s="117">
        <v>3616653.25</v>
      </c>
      <c r="K244" s="116" t="inlineStr">
        <is>
          <t xml:space="preserve">Uyiga borildi | uyida xch kim yogakan | Стандартрый</t>
        </is>
      </c>
    </row>
    <row r="245">
      <c r="A245" s="116" t="inlineStr">
        <is>
          <t xml:space="preserve">НАМАНГАН ВИЛОЯТИ</t>
        </is>
      </c>
      <c r="C245" s="116" t="inlineStr">
        <is>
          <t xml:space="preserve">Недозвон</t>
        </is>
      </c>
      <c r="D245" s="116" t="inlineStr">
        <is>
          <t xml:space="preserve">Кр-99040064-1</t>
        </is>
      </c>
      <c r="E245" s="116" t="inlineStr">
        <is>
          <t xml:space="preserve">AXMADJONOVA MAVLUDA ABDURASUL QIZI</t>
        </is>
      </c>
      <c r="F245" s="116" t="inlineStr">
        <is>
          <t xml:space="preserve">998932706992 SSMS OZI, 998932706992 SMS ERI, 998505257166 SMS DADASI begona , 998931649098 SMS ONASI begona, 998942762992 SMS ERI,</t>
        </is>
      </c>
      <c r="G245" s="116" t="inlineStr">
        <is>
          <t xml:space="preserve">NAMANGAN VILOYAT CHORTOQ TUMANI BOZORBOSHI MFY ZEBINISO KO'CHASI 39 UY</t>
        </is>
      </c>
      <c r="H245" s="117">
        <v>14.0</v>
      </c>
      <c r="I245" s="117">
        <v>3365669.85</v>
      </c>
      <c r="K245" s="116" t="inlineStr">
        <is>
          <t xml:space="preserve">Telefon ko'tarmadi | umuman kotarmayabdi | Стандартрый</t>
        </is>
      </c>
    </row>
    <row r="246">
      <c r="A246" s="116" t="inlineStr">
        <is>
          <t xml:space="preserve">НАМАНГАН ВИЛОЯТИ</t>
        </is>
      </c>
      <c r="C246" s="116" t="inlineStr">
        <is>
          <t xml:space="preserve">Недозвон</t>
        </is>
      </c>
      <c r="D246" s="116" t="inlineStr">
        <is>
          <t xml:space="preserve">Кр-99033809-1</t>
        </is>
      </c>
      <c r="E246" s="116" t="inlineStr">
        <is>
          <t xml:space="preserve">BAYXANOV OLIM GULAMOVICH</t>
        </is>
      </c>
      <c r="F246" s="116" t="inlineStr">
        <is>
          <t xml:space="preserve">998886267771 SMS O’ZI, 998935700636 SMS UKASI, 998339852021 SMS DADASI, 998882548111 SMS ONASI, 998999752666 SMS O'ZI, 998953000016 SMS uzi new,</t>
        </is>
      </c>
      <c r="G246" s="116" t="inlineStr">
        <is>
          <t xml:space="preserve">NAMANGAN VILOYATI NAMANGAN SHAHAR OBOD MFY  ILG’OR 1 TOR KO’CHA  8 A UY</t>
        </is>
      </c>
      <c r="H246" s="117">
        <v>28.0</v>
      </c>
      <c r="I246" s="117">
        <v>3344464.21</v>
      </c>
      <c r="K246" s="116" t="inlineStr">
        <is>
          <t xml:space="preserve">Telefon ko'tarmadi | brorta nomerini kotarmayabdi | Стандартрый</t>
        </is>
      </c>
    </row>
    <row r="247">
      <c r="A247" s="116" t="inlineStr">
        <is>
          <t xml:space="preserve">НАМАНГАН ВИЛОЯТИ</t>
        </is>
      </c>
      <c r="C247" s="116" t="inlineStr">
        <is>
          <t xml:space="preserve">Недозвон</t>
        </is>
      </c>
      <c r="D247" s="116" t="inlineStr">
        <is>
          <t xml:space="preserve">Кр-99039958-1</t>
        </is>
      </c>
      <c r="E247" s="116" t="inlineStr">
        <is>
          <t xml:space="preserve">MUSABOYEVA MASHHURAXON BOYMIRZA QIZI</t>
        </is>
      </c>
      <c r="F247" s="116" t="inlineStr">
        <is>
          <t xml:space="preserve">998504005151 SMS OZI, 998947580220 SMS MOSHINANI SOTGAN ODAM, 998942701133 SMS OZI,</t>
        </is>
      </c>
      <c r="G247" s="116" t="inlineStr">
        <is>
          <t xml:space="preserve">NAMANGAN VILOYATI YANGIQO’RG’ON TUMANI QIZILYOZI MFY TEMURIYLAR KO’CHASI 41 UY</t>
        </is>
      </c>
      <c r="H247" s="117">
        <v>10.0</v>
      </c>
      <c r="I247" s="117">
        <v>3303170.93</v>
      </c>
      <c r="K247" s="116" t="inlineStr">
        <is>
          <t xml:space="preserve">Telefon ko'tarmadi | umuman kotarmayabdi | Стандартрый</t>
        </is>
      </c>
    </row>
    <row r="248">
      <c r="A248" s="116" t="inlineStr">
        <is>
          <t xml:space="preserve">НАМАНГАН ВИЛОЯТИ</t>
        </is>
      </c>
      <c r="C248" s="116" t="inlineStr">
        <is>
          <t xml:space="preserve">Недозвон</t>
        </is>
      </c>
      <c r="D248" s="116" t="inlineStr">
        <is>
          <t xml:space="preserve">Кр-99027834-2</t>
        </is>
      </c>
      <c r="E248" s="116" t="inlineStr">
        <is>
          <t xml:space="preserve">HAYDARALIYEV IKROMJON MAHMUDJON O’G’LI</t>
        </is>
      </c>
      <c r="F248" s="116" t="inlineStr">
        <is>
          <t xml:space="preserve">998943003001 SMS SARVAR AKA NAMANGAN, +998944960505 SMS JIYANI,</t>
        </is>
      </c>
      <c r="G248" s="116" t="inlineStr">
        <is>
          <t xml:space="preserve">Сузаковул МФЙ, Юкори Сузок кучаси, 24-уй</t>
        </is>
      </c>
      <c r="H248" s="117">
        <v>10.0</v>
      </c>
      <c r="I248" s="117">
        <v>3209444.77</v>
      </c>
      <c r="K248" s="116" t="inlineStr">
        <is>
          <t xml:space="preserve">Telefon ko'tarmadi | sarvar yban oyni oxirida yopadi | Стандартрый</t>
        </is>
      </c>
    </row>
    <row r="249">
      <c r="A249" s="116" t="inlineStr">
        <is>
          <t xml:space="preserve">НАМАНГАН ВИЛОЯТИ</t>
        </is>
      </c>
      <c r="C249" s="116" t="inlineStr">
        <is>
          <t xml:space="preserve">Недозвон</t>
        </is>
      </c>
      <c r="D249" s="116" t="inlineStr">
        <is>
          <t xml:space="preserve">Кр-99036661-1</t>
        </is>
      </c>
      <c r="E249" s="116" t="inlineStr">
        <is>
          <t xml:space="preserve">RAJAPOV ISLOMJON ABDILLAJON O’G’LI</t>
        </is>
      </c>
      <c r="F249" s="116" t="inlineStr">
        <is>
          <t xml:space="preserve">998932657777 SMS OZI, 998948470001 ozi new, 998934041082 SMS OPASI, 998999779567 SMS SHOGIRDI,</t>
        </is>
      </c>
      <c r="G249" s="116" t="inlineStr">
        <is>
          <t xml:space="preserve">NAMANGAN VILOYATI POP TUMANI BOG’ MFY BOG’ KO’CHA 34 UY</t>
        </is>
      </c>
      <c r="H249" s="117">
        <v>6.0</v>
      </c>
      <c r="I249" s="117">
        <v>3162859.43</v>
      </c>
      <c r="K249" s="116" t="inlineStr">
        <is>
          <t xml:space="preserve">Telefon ko'tarmadi | kotarmayabdi | Стандартрый</t>
        </is>
      </c>
    </row>
    <row r="250">
      <c r="A250" s="116" t="inlineStr">
        <is>
          <t xml:space="preserve">НАМАНГАН ВИЛОЯТИ</t>
        </is>
      </c>
      <c r="C250" s="116" t="inlineStr">
        <is>
          <t xml:space="preserve">Недозвон</t>
        </is>
      </c>
      <c r="D250" s="116" t="inlineStr">
        <is>
          <t xml:space="preserve">Кр-99036045-1</t>
        </is>
      </c>
      <c r="E250" s="116" t="inlineStr">
        <is>
          <t xml:space="preserve">MAXKAMOV XASANBOY ERGASHEVICH</t>
        </is>
      </c>
      <c r="F250" s="116" t="inlineStr">
        <is>
          <t xml:space="preserve">998936787208 SMS O‘ZI, 998948252422 SMS KELINI, 998943959559 SMS QIZI, 998931750965 SMS BEGONA, 998977517711 SMS TOLOVCHISI NEW BEGONA,</t>
        </is>
      </c>
      <c r="G250" s="116" t="inlineStr">
        <is>
          <t xml:space="preserve">NAMANGAN VILOYATI UCHQO'RG'ON TUMANI OQTOVLIQ MFY ULUG‘BEK KO‘CHASI 44-UY</t>
        </is>
      </c>
      <c r="H250" s="117">
        <v>3.0</v>
      </c>
      <c r="I250" s="117">
        <v>2911840.67</v>
      </c>
      <c r="K250" s="116" t="inlineStr">
        <is>
          <t xml:space="preserve">Telefon ko'tarmadi | nomerlarini kotarmayabdi | Стандартрый</t>
        </is>
      </c>
    </row>
    <row r="251">
      <c r="A251" s="116" t="inlineStr">
        <is>
          <t xml:space="preserve">НАМАНГАН ВИЛОЯТИ</t>
        </is>
      </c>
      <c r="C251" s="116" t="inlineStr">
        <is>
          <t xml:space="preserve">Недозвон</t>
        </is>
      </c>
      <c r="D251" s="116" t="inlineStr">
        <is>
          <t xml:space="preserve">Кр-99031467-1</t>
        </is>
      </c>
      <c r="E251" s="116" t="inlineStr">
        <is>
          <t xml:space="preserve">MIRVALIYEV YUNUSALI YOQUBJON O’G’LI</t>
        </is>
      </c>
      <c r="F251" s="116" t="inlineStr">
        <is>
          <t xml:space="preserve">94-012-62-12  SMS OZI, 94-178-53-93  SMS DADASI, 93-157-02-22  SMS TOGASI, 94-176-53-93  SMS ONASI,</t>
        </is>
      </c>
      <c r="G251" s="116" t="inlineStr">
        <is>
          <t xml:space="preserve">NAMANGAN VILOYATI NAMANGAN TUMAN XONOBOD MFY YANGI YO’L KO’CHA 65 UY</t>
        </is>
      </c>
      <c r="H251" s="117">
        <v>14.0</v>
      </c>
      <c r="I251" s="117">
        <v>2909377.79</v>
      </c>
      <c r="K251" s="116" t="inlineStr">
        <is>
          <t xml:space="preserve">Telefon ko'tarmadi | kotarmayabdi nomerni | Стандартрый</t>
        </is>
      </c>
    </row>
    <row r="252">
      <c r="A252" s="116" t="inlineStr">
        <is>
          <t xml:space="preserve">НАМАНГАН ВИЛОЯТИ</t>
        </is>
      </c>
      <c r="C252" s="116" t="inlineStr">
        <is>
          <t xml:space="preserve">Недозвон</t>
        </is>
      </c>
      <c r="D252" s="116" t="inlineStr">
        <is>
          <t xml:space="preserve">Кр-99013358-2</t>
        </is>
      </c>
      <c r="E252" s="116" t="inlineStr">
        <is>
          <t xml:space="preserve">TURSUNOV XALIM PARPIYEVICH</t>
        </is>
      </c>
      <c r="F252" s="116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252" s="116" t="inlineStr">
        <is>
          <t xml:space="preserve">NAMANGAN VILOYATI NAMANGAN TUMANI QORATEPA MFY BIRDAMLIK KO‘CHASI 12-UY</t>
        </is>
      </c>
      <c r="H252" s="117">
        <v>3.0</v>
      </c>
      <c r="I252" s="117">
        <v>2882657.03</v>
      </c>
      <c r="K252" s="116" t="inlineStr">
        <is>
          <t xml:space="preserve">Telefon ko'tarmadi | sudga bervorsalaring bervoringlar degandi zalok egasi   tel kotarmayabdi klent | Стандартрый</t>
        </is>
      </c>
    </row>
    <row r="253">
      <c r="A253" s="116" t="inlineStr">
        <is>
          <t xml:space="preserve">НАМАНГАН ВИЛОЯТИ</t>
        </is>
      </c>
      <c r="C253" s="116" t="inlineStr">
        <is>
          <t xml:space="preserve">Объезд</t>
        </is>
      </c>
      <c r="D253" s="116" t="inlineStr">
        <is>
          <t xml:space="preserve">Кр-99034285-1</t>
        </is>
      </c>
      <c r="E253" s="116" t="inlineStr">
        <is>
          <t xml:space="preserve">NURIDDINOV MURODJON ABDULVOXIT O’G’LI</t>
        </is>
      </c>
      <c r="F253" s="116" t="inlineStr">
        <is>
          <t xml:space="preserve">998990903636 SMS O’ZI, 998945087459 SMS DADASI, 998956751004 SMS AYOLI, 998933554343 SMS UKASI,</t>
        </is>
      </c>
      <c r="G253" s="116" t="inlineStr">
        <is>
          <t xml:space="preserve">NAMANGAN VILOYATI UYCHI TUMANI YORQO’RG’ON QFY OQTOSH MFY TARAQQIYOT KO’CHA 22 UY</t>
        </is>
      </c>
      <c r="H253" s="117">
        <v>10.0</v>
      </c>
      <c r="I253" s="117">
        <v>2820987.51</v>
      </c>
      <c r="K253" s="116" t="inlineStr">
        <is>
          <t xml:space="preserve">Uyiga borildi | bittasini yopib berdi qolgani erta indin qisman tolab berdi bunga | Стандартрый</t>
        </is>
      </c>
    </row>
    <row r="254">
      <c r="A254" s="116" t="inlineStr">
        <is>
          <t xml:space="preserve">НАМАНГАН ВИЛОЯТИ</t>
        </is>
      </c>
      <c r="C254" s="116" t="inlineStr">
        <is>
          <t xml:space="preserve">Недозвон</t>
        </is>
      </c>
      <c r="D254" s="116" t="inlineStr">
        <is>
          <t xml:space="preserve">Кр-99037202-1</t>
        </is>
      </c>
      <c r="E254" s="116" t="inlineStr">
        <is>
          <t xml:space="preserve">MAMAJONOV MIRZOXID NE’MATJON O’G’LI</t>
        </is>
      </c>
      <c r="F254" s="116" t="inlineStr">
        <is>
          <t xml:space="preserve">998944202213 SMS OZI, 998941872322 SMS TOGASI BEGONA, 998936603332 SMS AYOLI, 998947541016 SMS KELINOYISI,</t>
        </is>
      </c>
      <c r="G254" s="116" t="inlineStr">
        <is>
          <t xml:space="preserve">NAMANGAN VILOYATI UYCHI TUMANI BO’STON MFY SHAFTOLI KO’CHA 73 UY</t>
        </is>
      </c>
      <c r="H254" s="117">
        <v>10.0</v>
      </c>
      <c r="I254" s="117">
        <v>2759158.81</v>
      </c>
      <c r="K254" s="116" t="inlineStr">
        <is>
          <t xml:space="preserve">Telefon ko'tarmadi | sog nomeri yoq bu gnidaga fond ham urilgan | Стандартрый</t>
        </is>
      </c>
    </row>
    <row r="255">
      <c r="A255" s="116" t="inlineStr">
        <is>
          <t xml:space="preserve">НАМАНГАН ВИЛОЯТИ</t>
        </is>
      </c>
      <c r="C255" s="116" t="inlineStr">
        <is>
          <t xml:space="preserve">Недозвон</t>
        </is>
      </c>
      <c r="D255" s="116" t="inlineStr">
        <is>
          <t xml:space="preserve">Кр-99027648-4</t>
        </is>
      </c>
      <c r="E255" s="116" t="inlineStr">
        <is>
          <t xml:space="preserve">MAMADJONOV OYBEK TURABAYEVICH</t>
        </is>
      </c>
      <c r="F255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55" s="116" t="inlineStr">
        <is>
          <t xml:space="preserve">NAMANGAN VILOYATI NAMANGAN SHAHAR MINGCHINOR MFY ZAVQIY 92 UY</t>
        </is>
      </c>
      <c r="H255" s="117">
        <v>10.0</v>
      </c>
      <c r="I255" s="117">
        <v>2585435.45</v>
      </c>
      <c r="K255" s="116" t="inlineStr">
        <is>
          <t xml:space="preserve">Telefon ko'tarmadi | tel kotarmayabdi uyiga undruvchi boradi | Стандартрый</t>
        </is>
      </c>
    </row>
    <row r="256">
      <c r="A256" s="116" t="inlineStr">
        <is>
          <t xml:space="preserve">НАМАНГАН ВИЛОЯТИ</t>
        </is>
      </c>
      <c r="C256" s="116" t="inlineStr">
        <is>
          <t xml:space="preserve">Недозвон</t>
        </is>
      </c>
      <c r="D256" s="116" t="inlineStr">
        <is>
          <t xml:space="preserve">Кр-99062669-1</t>
        </is>
      </c>
      <c r="E256" s="116" t="inlineStr">
        <is>
          <t xml:space="preserve">ABDUKADIROV RAXIM NEMATOVICH</t>
        </is>
      </c>
      <c r="F256" s="116" t="inlineStr">
        <is>
          <t xml:space="preserve">998934071179 OZI, 998946668815 AYOLI,</t>
        </is>
      </c>
      <c r="G256" s="116" t="inlineStr">
        <is>
          <t xml:space="preserve">NAMANGAN VILOYATI NAMANGAN SHAHRI SHIROK TUPIP 5-UY,1-XONADON</t>
        </is>
      </c>
      <c r="H256" s="117">
        <v>10.0</v>
      </c>
      <c r="I256" s="117">
        <v>2226709.86</v>
      </c>
      <c r="K256" s="116" t="inlineStr">
        <is>
          <t xml:space="preserve">Telefon ko'tarmadi | umuman kotarmayabdi | Стандартрый</t>
        </is>
      </c>
    </row>
    <row r="257">
      <c r="A257" s="116" t="inlineStr">
        <is>
          <t xml:space="preserve">НАМАНГАН ВИЛОЯТИ</t>
        </is>
      </c>
      <c r="C257" s="116" t="inlineStr">
        <is>
          <t xml:space="preserve">Недозвон</t>
        </is>
      </c>
      <c r="D257" s="116" t="inlineStr">
        <is>
          <t xml:space="preserve">Кр-99063156-1</t>
        </is>
      </c>
      <c r="E257" s="116" t="inlineStr">
        <is>
          <t xml:space="preserve">MAMAJONOV ELMUROD DILMUROD O’G’LI</t>
        </is>
      </c>
      <c r="F257" s="116" t="inlineStr">
        <is>
          <t xml:space="preserve">998930025855 SMS DOSTI, 998998817101 SMS OZI, 998999960905 SMS JIYANI,</t>
        </is>
      </c>
      <c r="G257" s="116" t="inlineStr">
        <is>
          <t xml:space="preserve">YANGIXAYOT QFY XO’JAOBOD MFY P.PARPIYEV KO’CHASI 32-UY</t>
        </is>
      </c>
      <c r="H257" s="117">
        <v>10.0</v>
      </c>
      <c r="I257" s="117">
        <v>2068578.54</v>
      </c>
      <c r="K257" s="116" t="inlineStr">
        <is>
          <t xml:space="preserve">Telefon ko'tarmadi | umuman kotarmayabdi | Стандартрый</t>
        </is>
      </c>
    </row>
    <row r="258">
      <c r="A258" s="116" t="inlineStr">
        <is>
          <t xml:space="preserve">НАМАНГАН ВИЛОЯТИ</t>
        </is>
      </c>
      <c r="C258" s="116" t="inlineStr">
        <is>
          <t xml:space="preserve">Недозвон</t>
        </is>
      </c>
      <c r="D258" s="116" t="inlineStr">
        <is>
          <t xml:space="preserve">Кр-99058709-1</t>
        </is>
      </c>
      <c r="E258" s="116" t="inlineStr">
        <is>
          <t xml:space="preserve">ADASHEV RUSTAMJON G’OPIRJONOVICH</t>
        </is>
      </c>
      <c r="F258" s="116" t="inlineStr">
        <is>
          <t xml:space="preserve">998954553001 SMS OZI, 998939241075 SMS ONASI, 998998296527 SMS AYOLI,</t>
        </is>
      </c>
      <c r="G258" s="116" t="inlineStr">
        <is>
          <t xml:space="preserve">NAMANGAN VILOYATI UCHQO’RG’ON TUMANI ISTIQLOL MFY OLMAZOR KO’CHA 117 UY</t>
        </is>
      </c>
      <c r="H258" s="117">
        <v>10.0</v>
      </c>
      <c r="I258" s="117">
        <v>1961422.46</v>
      </c>
      <c r="K258" s="116" t="inlineStr">
        <is>
          <t xml:space="preserve">Telefon ko'tarmadi | umuman kotarmayabdi | Стандартрый</t>
        </is>
      </c>
    </row>
    <row r="259">
      <c r="A259" s="116" t="inlineStr">
        <is>
          <t xml:space="preserve">НАМАНГАН ВИЛОЯТИ</t>
        </is>
      </c>
      <c r="C259" s="116" t="inlineStr">
        <is>
          <t xml:space="preserve">Недозвон</t>
        </is>
      </c>
      <c r="D259" s="116" t="inlineStr">
        <is>
          <t xml:space="preserve">Кр-99039103-3</t>
        </is>
      </c>
      <c r="E259" s="116" t="inlineStr">
        <is>
          <t xml:space="preserve">SODIQOV ABDUSAMAD SOBIRJONOVICH</t>
        </is>
      </c>
      <c r="F259" s="116" t="inlineStr">
        <is>
          <t xml:space="preserve">998932623838 SMS OZI, 998692262707 SMS UYI SHUNGA QILINSIN DOMASHNIY ISHLIDI , 998952732013 SMS OGLI, 998952161212 SMS UKASI, +998932623838 SMS O’ZI,</t>
        </is>
      </c>
      <c r="G259" s="116" t="inlineStr">
        <is>
          <t xml:space="preserve">NAMANGAN VILOYATI UYCHI TUMANI O’NXAYOT MFY NAVRO’Z KO’CHA 47 UY</t>
        </is>
      </c>
      <c r="H259" s="117">
        <v>10.0</v>
      </c>
      <c r="I259" s="117">
        <v>1847733.04</v>
      </c>
      <c r="K259" s="116" t="inlineStr">
        <is>
          <t xml:space="preserve">Telefon ko'tarmadi | brorta nomerini kotarmayabdi | Стандартрый</t>
        </is>
      </c>
    </row>
    <row r="260">
      <c r="A260" s="116" t="inlineStr">
        <is>
          <t xml:space="preserve">НАМАНГАН ВИЛОЯТИ</t>
        </is>
      </c>
      <c r="C260" s="116" t="inlineStr">
        <is>
          <t xml:space="preserve">Недозвон</t>
        </is>
      </c>
      <c r="D260" s="116" t="inlineStr">
        <is>
          <t xml:space="preserve">Кр-99027564-1</t>
        </is>
      </c>
      <c r="E260" s="116" t="inlineStr">
        <is>
          <t xml:space="preserve">SOLIYEV NODIRBEK JUMANBOYEVICH</t>
        </is>
      </c>
      <c r="F260" s="116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60" s="116" t="inlineStr">
        <is>
          <t xml:space="preserve">NAMANGAN VILOYATI NORIN TUMANI BOYOVUL MFY BESHQO’RG’ON KO’CHASI 108 UY</t>
        </is>
      </c>
      <c r="H260" s="117">
        <v>15.0</v>
      </c>
      <c r="I260" s="117">
        <v>1772755.57</v>
      </c>
      <c r="K260" s="116" t="inlineStr">
        <is>
          <t xml:space="preserve">Telefon ko'tarmadi | umuman kotarmayabdi | Стандартрый</t>
        </is>
      </c>
    </row>
    <row r="261">
      <c r="A261" s="116" t="inlineStr">
        <is>
          <t xml:space="preserve">НАМАНГАН ВИЛОЯТИ</t>
        </is>
      </c>
      <c r="C261" s="116" t="inlineStr">
        <is>
          <t xml:space="preserve">Недозвон</t>
        </is>
      </c>
      <c r="D261" s="116" t="inlineStr">
        <is>
          <t xml:space="preserve">Кр-99029087-2</t>
        </is>
      </c>
      <c r="E261" s="116" t="inlineStr">
        <is>
          <t xml:space="preserve">O’LMASOV ZULFIQOR BAXODIR O’G’LI</t>
        </is>
      </c>
      <c r="F261" s="116" t="inlineStr">
        <is>
          <t xml:space="preserve">91-366-68-93  SMS OZI, 33-930-05-55  SMS UY, 91-760-87-82  SMS AYOLI, +998913666893 SMS O’ZI,</t>
        </is>
      </c>
      <c r="G261" s="116" t="inlineStr">
        <is>
          <t xml:space="preserve">NAMANGAN VILOYATI NAMANGAN TUMANI OLAXAMAK MFY ZIYOKOR KO’CHASI 14 UY</t>
        </is>
      </c>
      <c r="H261" s="117">
        <v>10.0</v>
      </c>
      <c r="I261" s="117">
        <v>1682170.01</v>
      </c>
      <c r="K261" s="116" t="inlineStr">
        <is>
          <t xml:space="preserve">Telefon ko'tarmadi | sog nomer yoq umuman kotarmayabdi | Стандартрый</t>
        </is>
      </c>
    </row>
    <row r="262">
      <c r="A262" s="116" t="inlineStr">
        <is>
          <t xml:space="preserve">НАМАНГАН ВИЛОЯТИ</t>
        </is>
      </c>
      <c r="C262" s="116" t="inlineStr">
        <is>
          <t xml:space="preserve">Недозвон</t>
        </is>
      </c>
      <c r="D262" s="116" t="inlineStr">
        <is>
          <t xml:space="preserve">Кр-99035740-1</t>
        </is>
      </c>
      <c r="E262" s="116" t="inlineStr">
        <is>
          <t xml:space="preserve">BAXTIYOROVA GULCHEXRA BAXTIYOR QIZI</t>
        </is>
      </c>
      <c r="F262" s="116" t="inlineStr">
        <is>
          <t xml:space="preserve">998945099419 SMS OZI, 998998874348 SMS AKASI, 998993969419 SMS BEGONA,</t>
        </is>
      </c>
      <c r="G262" s="116" t="inlineStr">
        <is>
          <t xml:space="preserve">NAMANGAN VILOYATI UCHQO’RG’ON TUMANI KO’PRIKBOSHI MFY A TEMUR KO’CHASI 21 UY</t>
        </is>
      </c>
      <c r="H262" s="117">
        <v>15.0</v>
      </c>
      <c r="I262" s="117">
        <v>1600631.34</v>
      </c>
      <c r="K262" s="116" t="inlineStr">
        <is>
          <t xml:space="preserve">Telefon ko'tarmadi | sog nomer yoq | Стандартрый</t>
        </is>
      </c>
    </row>
    <row r="263">
      <c r="A263" s="116" t="inlineStr">
        <is>
          <t xml:space="preserve">НАМАНГАН ВИЛОЯТИ</t>
        </is>
      </c>
      <c r="C263" s="116" t="inlineStr">
        <is>
          <t xml:space="preserve">Недозвон</t>
        </is>
      </c>
      <c r="D263" s="116" t="inlineStr">
        <is>
          <t xml:space="preserve">Кр-99027060-3</t>
        </is>
      </c>
      <c r="E263" s="116" t="inlineStr">
        <is>
          <t xml:space="preserve">TO’RAYEV SOBITXON FAZLIDDIN O’G’LI</t>
        </is>
      </c>
      <c r="F263" s="116" t="inlineStr">
        <is>
          <t xml:space="preserve">93-757-34-77  SMS OZI, 91-052-77-00  SMS UY BEGONA, 88-052-19-97  SMS AYOLI, 90-251-02-00   SMS AKASI BEGONA, 998887275550 SMS UZI NEW chunga tel qilinsin.,</t>
        </is>
      </c>
      <c r="G263" s="116" t="inlineStr">
        <is>
          <t xml:space="preserve">NAMANGAN VILOYATI NAMANGAN TUMAN G’ALCHA MFY KO’RKAM KO’CHA 42 UY</t>
        </is>
      </c>
      <c r="H263" s="117">
        <v>10.0</v>
      </c>
      <c r="I263" s="117">
        <v>1564054.66</v>
      </c>
      <c r="K263" s="116" t="inlineStr">
        <is>
          <t xml:space="preserve">Telefon ko'tarmadi | sog nomeri yoq | Стандартрый</t>
        </is>
      </c>
    </row>
    <row r="264">
      <c r="A264" s="116" t="inlineStr">
        <is>
          <t xml:space="preserve">НАМАНГАН ВИЛОЯТИ</t>
        </is>
      </c>
      <c r="C264" s="116" t="inlineStr">
        <is>
          <t xml:space="preserve">Недозвон</t>
        </is>
      </c>
      <c r="D264" s="116" t="inlineStr">
        <is>
          <t xml:space="preserve">Кр-99036496-1</t>
        </is>
      </c>
      <c r="E264" s="116" t="inlineStr">
        <is>
          <t xml:space="preserve">KARIMOV MUZAFFAR MAXAMMADJON O’G’LI</t>
        </is>
      </c>
      <c r="F264" s="116" t="inlineStr">
        <is>
          <t xml:space="preserve">998886888608 SMS OZI, 998881671727 SMS ZALOGADATEL, 998336068608 SMS UKASI, 998919543767 SMS ZALOGADATEL,</t>
        </is>
      </c>
      <c r="G264" s="116" t="inlineStr">
        <is>
          <t xml:space="preserve">NAMANGAN VILOYATI TO’RAQO’RG’ON TUMANI SHARQ MFY HAQIQAT KO’CHASI 197-UY</t>
        </is>
      </c>
      <c r="H264" s="117">
        <v>14.0</v>
      </c>
      <c r="I264" s="117">
        <v>1523487.58</v>
      </c>
      <c r="K264" s="116" t="inlineStr">
        <is>
          <t xml:space="preserve">Telefon ko'tarmadi | brorta nomerini kotarmayabdi | Стандартрый</t>
        </is>
      </c>
    </row>
    <row r="265">
      <c r="A265" s="116" t="inlineStr">
        <is>
          <t xml:space="preserve">НАМАНГАН ВИЛОЯТИ</t>
        </is>
      </c>
      <c r="C265" s="116" t="inlineStr">
        <is>
          <t xml:space="preserve">Недозвон</t>
        </is>
      </c>
      <c r="D265" s="116" t="inlineStr">
        <is>
          <t xml:space="preserve">Кр-99037582-3</t>
        </is>
      </c>
      <c r="E265" s="116" t="inlineStr">
        <is>
          <t xml:space="preserve">MUXIDDINOV JOBIRXON AXMAD-O’G’LI</t>
        </is>
      </c>
      <c r="F265" s="116" t="inlineStr">
        <is>
          <t xml:space="preserve">998930689738 SMS O’ZI, 998914462929 SMS O’ZI, 998940909507 SMS  UKASI, 998507246667 SMS OSHNASI,</t>
        </is>
      </c>
      <c r="G265" s="116" t="inlineStr">
        <is>
          <t xml:space="preserve">NAMANGAN VILOYATI  NAMANGAN SHAHAR TINCHLIK MFY OROMGOX 1 PROEZD 10 UY</t>
        </is>
      </c>
      <c r="H265" s="117">
        <v>10.0</v>
      </c>
      <c r="I265" s="117">
        <v>1496352.76</v>
      </c>
      <c r="K265" s="116" t="inlineStr">
        <is>
          <t xml:space="preserve">Telefon ko'tarmadi | umuman kotarmayabdi | Стандартрый</t>
        </is>
      </c>
    </row>
    <row r="266">
      <c r="A266" s="116" t="inlineStr">
        <is>
          <t xml:space="preserve">НАМАНГАН ВИЛОЯТИ</t>
        </is>
      </c>
      <c r="C266" s="116" t="inlineStr">
        <is>
          <t xml:space="preserve">Недозвон</t>
        </is>
      </c>
      <c r="D266" s="116" t="inlineStr">
        <is>
          <t xml:space="preserve">Кр-99028776-1</t>
        </is>
      </c>
      <c r="E266" s="116" t="inlineStr">
        <is>
          <t xml:space="preserve">KODIROVA MU’TABAR TOXIROVNA</t>
        </is>
      </c>
      <c r="F266" s="116" t="inlineStr">
        <is>
          <t xml:space="preserve">97-680-52-52  SMS ERI begona, 998939427737 sms ozi shunga tel qilinsin, 90-889-33-77  SMS OGLI, 94-258-33-05  SMS QIZI, 50-072-67-75 SMS tulovchi, 998949737707 SMS O'G'LI,</t>
        </is>
      </c>
      <c r="G266" s="116" t="inlineStr">
        <is>
          <t xml:space="preserve">NAMANGAN VILOYATI NAMANGAN SHAHAR G’IRVON MFY TO’RAQO’RG’ON KO’CHASI 61 UY</t>
        </is>
      </c>
      <c r="H266" s="117">
        <v>28.0</v>
      </c>
      <c r="I266" s="117">
        <v>1402369.51</v>
      </c>
      <c r="K266" s="116" t="inlineStr">
        <is>
          <t xml:space="preserve">Telefon ko'tarmadi | telefonini kotarmayabdi | Стандартрый</t>
        </is>
      </c>
    </row>
    <row r="267">
      <c r="A267" s="116" t="inlineStr">
        <is>
          <t xml:space="preserve">НАМАНГАН ВИЛОЯТИ</t>
        </is>
      </c>
      <c r="C267" s="116" t="inlineStr">
        <is>
          <t xml:space="preserve">Недозвон</t>
        </is>
      </c>
      <c r="D267" s="116" t="inlineStr">
        <is>
          <t xml:space="preserve">Кр-99037088-1</t>
        </is>
      </c>
      <c r="E267" s="116" t="inlineStr">
        <is>
          <t xml:space="preserve">XOLMATOV DJAMOL NASRITDINOVICH</t>
        </is>
      </c>
      <c r="F267" s="116" t="inlineStr">
        <is>
          <t xml:space="preserve">998936776331 SMS OZI, 998993082727 SMS OGLI SHUNGA QILISH KERAK, 998336804040 SMS OGLI, 998900699993 SMS OGLI,</t>
        </is>
      </c>
      <c r="G267" s="116" t="inlineStr">
        <is>
          <t xml:space="preserve">NAMANGAN VILOYATI NAMANGAN SHAHAR SUMALAK GUZARI MFY  ISMOIL MAXDUM KO’CHASI TUPIK 6 A UY</t>
        </is>
      </c>
      <c r="H267" s="117">
        <v>15.0</v>
      </c>
      <c r="I267" s="117">
        <v>1386763.81</v>
      </c>
      <c r="K267" s="116" t="inlineStr">
        <is>
          <t xml:space="preserve">Telefon ko'tarmadi | kotarmayabdi ogli tolovchi | Стандартрый</t>
        </is>
      </c>
    </row>
    <row r="268">
      <c r="A268" s="116" t="inlineStr">
        <is>
          <t xml:space="preserve">НАМАНГАН ВИЛОЯТИ</t>
        </is>
      </c>
      <c r="C268" s="116" t="inlineStr">
        <is>
          <t xml:space="preserve">Объезд</t>
        </is>
      </c>
      <c r="D268" s="116" t="inlineStr">
        <is>
          <t xml:space="preserve">Кр-99050372-2</t>
        </is>
      </c>
      <c r="E268" s="116" t="inlineStr">
        <is>
          <t xml:space="preserve">MAMANAZAROV NODIRBEK ISROIL O’G’LI</t>
        </is>
      </c>
      <c r="F268" s="116" t="inlineStr">
        <is>
          <t xml:space="preserve">+998932534343 SMS O’ZI, 998993790909 SMS O’ZI 2 begona, 998995410505 SMS AYOLI BEGONA,</t>
        </is>
      </c>
      <c r="G268" s="116" t="inlineStr">
        <is>
          <t xml:space="preserve">NAMANGAN VILOYATI NAMANGAN SHAHAR SHODLIK MFY TO’RAQO’RG’ON KO’CHASI 12 UY</t>
        </is>
      </c>
      <c r="H268" s="117">
        <v>10.0</v>
      </c>
      <c r="I268" s="117">
        <v>1336418.11</v>
      </c>
      <c r="K268" s="116" t="inlineStr">
        <is>
          <t xml:space="preserve">Uyiga borildi | yopildi | Стандартрый</t>
        </is>
      </c>
    </row>
    <row r="269">
      <c r="A269" s="116" t="inlineStr">
        <is>
          <t xml:space="preserve">НАМАНГАН ВИЛОЯТИ</t>
        </is>
      </c>
      <c r="C269" s="116" t="inlineStr">
        <is>
          <t xml:space="preserve">Недозвон</t>
        </is>
      </c>
      <c r="D269" s="116" t="inlineStr">
        <is>
          <t xml:space="preserve">Кр-99037722-2</t>
        </is>
      </c>
      <c r="E269" s="116" t="inlineStr">
        <is>
          <t xml:space="preserve">SIDDIQOV ELYORJON KOMILJONOVICH</t>
        </is>
      </c>
      <c r="F269" s="116" t="inlineStr">
        <is>
          <t xml:space="preserve">998934037711 SMS OZI, 998996909292 SMS AYOLI, 998979437777 SMS OZI begona, 998938891109 rais OLAMURUT MFY Muzaffar aka bezovta qilavermanglar ha deb , 998880576757 SMS OZI,</t>
        </is>
      </c>
      <c r="G269" s="116" t="inlineStr">
        <is>
          <t xml:space="preserve">NAMANGAN VILOYATI UYCHI TUMANI OLAMURUT MFY MUSTQAILLIK KO’CHASI 81 UY</t>
        </is>
      </c>
      <c r="H269" s="117">
        <v>10.0</v>
      </c>
      <c r="I269" s="117">
        <v>1269677.86</v>
      </c>
      <c r="K269" s="116" t="inlineStr">
        <is>
          <t xml:space="preserve">Telefon ko'tarmadi | sog nomer yoq | Стандартрый</t>
        </is>
      </c>
    </row>
    <row r="270">
      <c r="A270" s="116" t="inlineStr">
        <is>
          <t xml:space="preserve">НАМАНГАН ВИЛОЯТИ</t>
        </is>
      </c>
      <c r="C270" s="116" t="inlineStr">
        <is>
          <t xml:space="preserve">Недозвон</t>
        </is>
      </c>
      <c r="D270" s="116" t="inlineStr">
        <is>
          <t xml:space="preserve">Кр-99027648-6</t>
        </is>
      </c>
      <c r="E270" s="116" t="inlineStr">
        <is>
          <t xml:space="preserve">MAMADJONOV OYBEK TURABAYEVICH</t>
        </is>
      </c>
      <c r="F270" s="116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70" s="116" t="inlineStr">
        <is>
          <t xml:space="preserve">NAMANGAN VILOYATI NAMANGAN SHAHAR MINGCHINOR MFY ZAVQIY 92 UY</t>
        </is>
      </c>
      <c r="H270" s="117">
        <v>10.0</v>
      </c>
      <c r="I270" s="117">
        <v>1202412.94</v>
      </c>
      <c r="K270" s="116" t="inlineStr">
        <is>
          <t xml:space="preserve">Telefon ko'tarmadi | tel kotarmayabdi uyiga undruvchi boradi | Стандартрый</t>
        </is>
      </c>
    </row>
    <row r="271">
      <c r="A271" s="116" t="inlineStr">
        <is>
          <t xml:space="preserve">НАМАНГАН ВИЛОЯТИ</t>
        </is>
      </c>
      <c r="C271" s="116" t="inlineStr">
        <is>
          <t xml:space="preserve">Недозвон</t>
        </is>
      </c>
      <c r="D271" s="116" t="inlineStr">
        <is>
          <t xml:space="preserve">Кр-99039409-1</t>
        </is>
      </c>
      <c r="E271" s="116" t="inlineStr">
        <is>
          <t xml:space="preserve">SIDDIQOVA BARCHINOY G’ANIJON QIZI</t>
        </is>
      </c>
      <c r="F271" s="116" t="inlineStr">
        <is>
          <t xml:space="preserve">998906985658 SMS ERI, 998507171089 SMS ZALOGADATEL (BEGONA),</t>
        </is>
      </c>
      <c r="G271" s="116" t="inlineStr">
        <is>
          <t xml:space="preserve">NAMANGAN VILOYATI YANGIQO’RG’ON TUMANI YANGIARIQ MFY YANGIARIQ KO’CHA 76 UY</t>
        </is>
      </c>
      <c r="H271" s="117">
        <v>10.0</v>
      </c>
      <c r="I271" s="117">
        <v>1127059.82</v>
      </c>
      <c r="K271" s="116" t="inlineStr">
        <is>
          <t xml:space="preserve">Telefon ko'tarmadi | sog nomer yoq | Плохой</t>
        </is>
      </c>
    </row>
    <row r="272">
      <c r="A272" s="116" t="inlineStr">
        <is>
          <t xml:space="preserve">НАМАНГАН ВИЛОЯТИ</t>
        </is>
      </c>
      <c r="C272" s="116" t="inlineStr">
        <is>
          <t xml:space="preserve">Недозвон</t>
        </is>
      </c>
      <c r="D272" s="116" t="inlineStr">
        <is>
          <t xml:space="preserve">Кр-99029087-1</t>
        </is>
      </c>
      <c r="E272" s="116" t="inlineStr">
        <is>
          <t xml:space="preserve">O’LMASOV ZULFIQOR BAXODIR O’G’LI</t>
        </is>
      </c>
      <c r="F272" s="116" t="inlineStr">
        <is>
          <t xml:space="preserve">91-366-68-93  SMS OZI, 33-930-05-55  SMS UY, 91-760-87-82  SMS AYOLI, +998913666893 SMS O’ZI,</t>
        </is>
      </c>
      <c r="G272" s="116" t="inlineStr">
        <is>
          <t xml:space="preserve">NAMANGAN VILOYATI NAMANGAN TUMANI OLAXAMAK MFY ZIYOKOR KO’CHASI 14 UY</t>
        </is>
      </c>
      <c r="H272" s="117">
        <v>14.0</v>
      </c>
      <c r="I272" s="117">
        <v>1122309.36</v>
      </c>
      <c r="K272" s="116" t="inlineStr">
        <is>
          <t xml:space="preserve">Telefon ko'tarmadi | sog nomer yoq umuman kotarmayabdi | Стандартрый</t>
        </is>
      </c>
    </row>
    <row r="273">
      <c r="A273" s="116" t="inlineStr">
        <is>
          <t xml:space="preserve">НАМАНГАН ВИЛОЯТИ</t>
        </is>
      </c>
      <c r="C273" s="116" t="inlineStr">
        <is>
          <t xml:space="preserve">Объезд</t>
        </is>
      </c>
      <c r="D273" s="116" t="inlineStr">
        <is>
          <t xml:space="preserve">Кр-99034285-2</t>
        </is>
      </c>
      <c r="E273" s="116" t="inlineStr">
        <is>
          <t xml:space="preserve">NURIDDINOV MURODJON ABDULVOXIT O’G’LI</t>
        </is>
      </c>
      <c r="F273" s="116" t="inlineStr">
        <is>
          <t xml:space="preserve">998990903636 SMS O’ZI, 998945087459 SMS DADASI, 998956751004 SMS AYOLI, 998933554343 SMS UKASI,</t>
        </is>
      </c>
      <c r="G273" s="116" t="inlineStr">
        <is>
          <t xml:space="preserve">NAMANGAN VILOYATI UYCHI TUMANI YORQO’RG’ON QFY OQTOSH MFY TARAQQIYOT KO’CHA 22 UY</t>
        </is>
      </c>
      <c r="H273" s="117">
        <v>10.0</v>
      </c>
      <c r="I273" s="117">
        <v>902766.97</v>
      </c>
      <c r="K273" s="116" t="inlineStr">
        <is>
          <t xml:space="preserve">Uyiga borildi | yopildi | Стандартрый</t>
        </is>
      </c>
    </row>
    <row r="274">
      <c r="A274" s="116" t="inlineStr">
        <is>
          <t xml:space="preserve">НАМАНГАН ВИЛОЯТИ</t>
        </is>
      </c>
      <c r="C274" s="116" t="inlineStr">
        <is>
          <t xml:space="preserve">Недозвон</t>
        </is>
      </c>
      <c r="D274" s="116" t="inlineStr">
        <is>
          <t xml:space="preserve">Кр-99039352-1</t>
        </is>
      </c>
      <c r="E274" s="116" t="inlineStr">
        <is>
          <t xml:space="preserve">YUSUFJONOV MURODJON MA’RUFJON O’G’LI</t>
        </is>
      </c>
      <c r="F274" s="116" t="inlineStr">
        <is>
          <t xml:space="preserve">998932656616 SMS OZI, 998932656616 SMS OZI 2, 998913526616 SMS UYI, 998994732622 SMS OPASI,</t>
        </is>
      </c>
      <c r="G274" s="116" t="inlineStr">
        <is>
          <t xml:space="preserve">NAMANGAN SHAXAR ZARBDOR  MFY BESHKAPA KO’CHA 16 UY</t>
        </is>
      </c>
      <c r="H274" s="117">
        <v>10.0</v>
      </c>
      <c r="I274" s="117">
        <v>865332.76</v>
      </c>
      <c r="K274" s="116" t="inlineStr">
        <is>
          <t xml:space="preserve">Telefon ko'tarmadi | brorta nomerini kotarmayabdi | Стандартрый</t>
        </is>
      </c>
    </row>
    <row r="275">
      <c r="A275" s="116" t="inlineStr">
        <is>
          <t xml:space="preserve">НАМАНГАН ВИЛОЯТИ</t>
        </is>
      </c>
      <c r="C275" s="116" t="inlineStr">
        <is>
          <t xml:space="preserve">Недозвон</t>
        </is>
      </c>
      <c r="D275" s="116" t="inlineStr">
        <is>
          <t xml:space="preserve">Кр-99039628-1</t>
        </is>
      </c>
      <c r="E275" s="116" t="inlineStr">
        <is>
          <t xml:space="preserve">AKBARJONOV SAMANDAR BAXTIYOR O’G’LI</t>
        </is>
      </c>
      <c r="F275" s="116" t="inlineStr">
        <is>
          <t xml:space="preserve">998994940324 SMS OZI, 998938801454 SMS AYOLI BEGONA, 998947074844 SMS DADASI, 998954227003 SMS UKASI begona,</t>
        </is>
      </c>
      <c r="G275" s="116" t="inlineStr">
        <is>
          <t xml:space="preserve">NAMANGAN VILOYATI KOSONSOY TUMANI OBODON MFY,ISTIQLOL KO’CHASI 12-UY</t>
        </is>
      </c>
      <c r="H275" s="117">
        <v>2.0</v>
      </c>
      <c r="I275" s="117">
        <v>834442.89</v>
      </c>
      <c r="K275" s="116" t="inlineStr">
        <is>
          <t xml:space="preserve">Telefon ko'tarmadi | sog nomer yoq | Хороший</t>
        </is>
      </c>
    </row>
    <row r="276">
      <c r="A276" s="116" t="inlineStr">
        <is>
          <t xml:space="preserve">НАМАНГАН ВИЛОЯТИ</t>
        </is>
      </c>
      <c r="C276" s="116" t="inlineStr">
        <is>
          <t xml:space="preserve">Недозвон</t>
        </is>
      </c>
      <c r="D276" s="116" t="inlineStr">
        <is>
          <t xml:space="preserve">Кр-99039111-2</t>
        </is>
      </c>
      <c r="E276" s="116" t="inlineStr">
        <is>
          <t xml:space="preserve">ISMAILOV BAXTIYOR ERGASHEVICH</t>
        </is>
      </c>
      <c r="F276" s="116" t="inlineStr">
        <is>
          <t xml:space="preserve">998934581968 SMS OZI, 998508071970 SMS OZI 2, 998934975550 SMS OGLI, 998937939200 SMS KELINI,</t>
        </is>
      </c>
      <c r="G276" s="116" t="inlineStr">
        <is>
          <t xml:space="preserve">NAMANGAN VILOYATI UYCHI TUMAI SOKU MFY SAMARA KO’CHASI 32 UY</t>
        </is>
      </c>
      <c r="H276" s="117">
        <v>10.0</v>
      </c>
      <c r="I276" s="117">
        <v>783712.3</v>
      </c>
      <c r="K276" s="116" t="inlineStr">
        <is>
          <t xml:space="preserve">Telefon ko'tarmadi | umuman kotarmayabdi | Стандартрый</t>
        </is>
      </c>
    </row>
    <row r="277">
      <c r="A277" s="116" t="inlineStr">
        <is>
          <t xml:space="preserve">НАМАНГАН ВИЛОЯТИ</t>
        </is>
      </c>
      <c r="C277" s="116" t="inlineStr">
        <is>
          <t xml:space="preserve">Недозвон</t>
        </is>
      </c>
      <c r="D277" s="116" t="inlineStr">
        <is>
          <t xml:space="preserve">Кр-99040750-1</t>
        </is>
      </c>
      <c r="E277" s="116" t="inlineStr">
        <is>
          <t xml:space="preserve">XAYDAROV IQBOLJON IMINJON O’G’LI</t>
        </is>
      </c>
      <c r="F277" s="116" t="inlineStr">
        <is>
          <t xml:space="preserve">998996581133 SMS OZI, 998774457826 SMS UYI, 998939453448 SMS OPASI, 998367416462 SMS OPASI 2,</t>
        </is>
      </c>
      <c r="G277" s="116" t="inlineStr">
        <is>
          <t xml:space="preserve">NAMANGAN VILOYATI NORIN TUMANI QO’SHCHEK MFY,QO’SHCHEK KO’CHASI 88-UY</t>
        </is>
      </c>
      <c r="H277" s="117">
        <v>10.0</v>
      </c>
      <c r="I277" s="117">
        <v>783601.14</v>
      </c>
      <c r="K277" s="116" t="inlineStr">
        <is>
          <t xml:space="preserve">Telefon ko'tarmadi | umuman kotarmayabdi | Стандартрый</t>
        </is>
      </c>
    </row>
    <row r="278">
      <c r="A278" s="116" t="inlineStr">
        <is>
          <t xml:space="preserve">НАМАНГАН ВИЛОЯТИ</t>
        </is>
      </c>
      <c r="C278" s="116" t="inlineStr">
        <is>
          <t xml:space="preserve">Недозвон</t>
        </is>
      </c>
      <c r="D278" s="116" t="inlineStr">
        <is>
          <t xml:space="preserve">Кр-99063204-1</t>
        </is>
      </c>
      <c r="E278" s="116" t="inlineStr">
        <is>
          <t xml:space="preserve">BAYXANOV OBIDXON GULOM O’G’LI</t>
        </is>
      </c>
      <c r="F278" s="116" t="inlineStr">
        <is>
          <t xml:space="preserve">998872133313 OZI, 998953000016 UY, 998951005225 AYOLI, 998935700636 SHOGIRDI,</t>
        </is>
      </c>
      <c r="G278" s="116" t="inlineStr">
        <is>
          <t xml:space="preserve">NAMANGAN SHAHAR OBOD MFY 1 PR ILG’OR KO’CHASI 8A UY</t>
        </is>
      </c>
      <c r="H278" s="117">
        <v>10.0</v>
      </c>
      <c r="I278" s="117">
        <v>677679.92</v>
      </c>
      <c r="K278" s="116" t="inlineStr">
        <is>
          <t xml:space="preserve">Telefon ko'tarmadi | umuman kotarmayabdi | Стандартрый</t>
        </is>
      </c>
    </row>
    <row r="279">
      <c r="A279" s="116" t="inlineStr">
        <is>
          <t xml:space="preserve">НАМАНГАН ВИЛОЯТИ</t>
        </is>
      </c>
      <c r="C279" s="116" t="inlineStr">
        <is>
          <t xml:space="preserve">Недозвон</t>
        </is>
      </c>
      <c r="D279" s="116" t="inlineStr">
        <is>
          <t xml:space="preserve">Кр-99034976-1</t>
        </is>
      </c>
      <c r="E279" s="116" t="inlineStr">
        <is>
          <t xml:space="preserve">MASUMOV BOBIRXON ODILXONOVICH</t>
        </is>
      </c>
      <c r="F279" s="116" t="inlineStr">
        <is>
          <t xml:space="preserve">998950348883 SMS O’ZI, 998911852556 SMS DADASI, 998913621862 SMS ONASI, 998880328883 SMS NEW NOMER ,</t>
        </is>
      </c>
      <c r="G279" s="116" t="inlineStr">
        <is>
          <t xml:space="preserve">NAMANGAN VILOYATI CHUST TUMANI TEPAQO’RG’ON MFY MUSTAQILLIK KO’CHA</t>
        </is>
      </c>
      <c r="H279" s="117">
        <v>14.0</v>
      </c>
      <c r="I279" s="117">
        <v>474140.67</v>
      </c>
      <c r="K279" s="116" t="inlineStr">
        <is>
          <t xml:space="preserve">Telefon ko'tarmadi | sog nomer yoq | Стандартрый</t>
        </is>
      </c>
    </row>
    <row r="280">
      <c r="A280" s="116" t="inlineStr">
        <is>
          <t xml:space="preserve">НАМАНГАН ВИЛОЯТИ</t>
        </is>
      </c>
      <c r="C280" s="116" t="inlineStr">
        <is>
          <t xml:space="preserve">Недозвон</t>
        </is>
      </c>
      <c r="D280" s="116" t="inlineStr">
        <is>
          <t xml:space="preserve">Кр-99025085-3</t>
        </is>
      </c>
      <c r="E280" s="116" t="inlineStr">
        <is>
          <t xml:space="preserve">XABIROV ELYORBEK ABDIMURODOVICH</t>
        </is>
      </c>
      <c r="F280" s="116" t="inlineStr">
        <is>
          <t xml:space="preserve">94-575-09-87 SMS OZI TULOVCHISI, 93-090-90-21 SMS AYOLI, 99-307-31-67  SMS ONASI, 93-511-84-24 SMS AKASI BEGONA,</t>
        </is>
      </c>
      <c r="G280" s="116" t="inlineStr">
        <is>
          <t xml:space="preserve">NAMANGAN VILOYATI NORIN TUMANI MARG'IZOR QFY KO'KMAZOR MFY </t>
        </is>
      </c>
      <c r="H280" s="117">
        <v>10.0</v>
      </c>
      <c r="I280" s="117">
        <v>422897.28</v>
      </c>
      <c r="K280" s="116" t="inlineStr">
        <is>
          <t xml:space="preserve">Telefon ko'tarmadi | sog nomer yoq | Стандартрый</t>
        </is>
      </c>
    </row>
    <row r="281">
      <c r="A281" s="116" t="inlineStr">
        <is>
          <t xml:space="preserve">НАМАНГАН ВИЛОЯТИ</t>
        </is>
      </c>
      <c r="C281" s="116" t="inlineStr">
        <is>
          <t xml:space="preserve">Недозвон</t>
        </is>
      </c>
      <c r="D281" s="116" t="inlineStr">
        <is>
          <t xml:space="preserve">Кр-99049112-2</t>
        </is>
      </c>
      <c r="E281" s="116" t="inlineStr">
        <is>
          <t xml:space="preserve">NURMATOVA YULDUZXON SODIQJONOVNA</t>
        </is>
      </c>
      <c r="F281" s="116" t="inlineStr">
        <is>
          <t xml:space="preserve">+998930021479 SMS OZI, 998934981479 SMS AYOLI, 998994061479 SMS AKASI, 998944061479 SMS TO'LOVCHI,</t>
        </is>
      </c>
      <c r="G281" s="116" t="inlineStr">
        <is>
          <t xml:space="preserve">NAMANGAN VILOYATI UYCHI TUMANI OLMURUT MFY BOBUR KO’CHASI 15-UY</t>
        </is>
      </c>
      <c r="H281" s="117">
        <v>10.0</v>
      </c>
      <c r="I281" s="117">
        <v>365555.0</v>
      </c>
      <c r="K281" s="116" t="inlineStr">
        <is>
          <t xml:space="preserve">Telefon ko'tarmadi | umuman kotarmayabdi | Стандартрый</t>
        </is>
      </c>
    </row>
    <row r="282">
      <c r="A282" s="98" t="inlineStr">
        <is>
          <t xml:space="preserve">САМАРКАНД ВИЛОЯТИ</t>
        </is>
      </c>
      <c r="C282" s="98" t="inlineStr">
        <is>
          <t xml:space="preserve">Объезд</t>
        </is>
      </c>
      <c r="D282" s="98" t="inlineStr">
        <is>
          <t xml:space="preserve">Кр-99045220-1</t>
        </is>
      </c>
      <c r="E282" s="98" t="inlineStr">
        <is>
          <t xml:space="preserve">ABDIYEV FAXRIDDIN ASKAROVICH</t>
        </is>
      </c>
      <c r="F282" s="98" t="inlineStr">
        <is>
          <t xml:space="preserve">+998935157020 SMS OZI 2, 998937772322 SMS AYOLI, 998940994040 SMS OZI, 998953307020 SMS UYI,</t>
        </is>
      </c>
      <c r="G282" s="98" t="inlineStr">
        <is>
          <t xml:space="preserve">SAMARQAND VILOYATI PAYARIQ TUMANI ILG’OR MFY QOZI QISHLOG’I</t>
        </is>
      </c>
      <c r="H282" s="99">
        <v>73.0</v>
      </c>
      <c r="I282" s="99">
        <v>19138777.76</v>
      </c>
      <c r="K282" s="98" t="inlineStr">
        <is>
          <t xml:space="preserve">Uyiga borildi - va'da berdi | sudda  ishi</t>
        </is>
      </c>
    </row>
    <row r="283">
      <c r="A283" s="98" t="inlineStr">
        <is>
          <t xml:space="preserve">САМАРКАНД ВИЛОЯТИ</t>
        </is>
      </c>
      <c r="C283" s="98" t="inlineStr">
        <is>
          <t xml:space="preserve">Недозвон</t>
        </is>
      </c>
      <c r="D283" s="98" t="inlineStr">
        <is>
          <t xml:space="preserve">Кр-99061834-2</t>
        </is>
      </c>
      <c r="E283" s="98" t="inlineStr">
        <is>
          <t xml:space="preserve">ERGASHEVA FERUZA NASRULLAYEVNA</t>
        </is>
      </c>
      <c r="F283" s="98" t="inlineStr">
        <is>
          <t xml:space="preserve">+998932335550 SMS OZI, 998915495026 SMS QIZI, 998915501666 SMS OZI 2,</t>
        </is>
      </c>
      <c r="G283" s="98" t="inlineStr">
        <is>
          <t xml:space="preserve">SAMARQAND VILOYATI SAMARQAND SHAHAR BOG’BONLAR MFY NAKSHBANDIY 2-TOR KO’CHASI 22-UY</t>
        </is>
      </c>
      <c r="H283" s="99">
        <v>10.0</v>
      </c>
      <c r="I283" s="99">
        <v>18948804.27</v>
      </c>
    </row>
    <row r="284">
      <c r="A284" s="98" t="inlineStr">
        <is>
          <t xml:space="preserve">САМАРКАНД ВИЛОЯТИ</t>
        </is>
      </c>
      <c r="C284" s="98" t="inlineStr">
        <is>
          <t xml:space="preserve">Объезд</t>
        </is>
      </c>
      <c r="D284" s="98" t="inlineStr">
        <is>
          <t xml:space="preserve">Кр-99034543-2</t>
        </is>
      </c>
      <c r="E284" s="98" t="inlineStr">
        <is>
          <t xml:space="preserve">KULIYEV XURSHID ISMAILOVICH</t>
        </is>
      </c>
      <c r="F284" s="98" t="inlineStr">
        <is>
          <t xml:space="preserve">998912975577 SMS O’ZI, 998913140077 SMS ERI, 998915494303 SMS , +998913140077 SMS OZI,</t>
        </is>
      </c>
      <c r="G284" s="98" t="inlineStr">
        <is>
          <t xml:space="preserve">SAMARQAND VILOYATI PASTDARG’OM TUMANI TURON MFY</t>
        </is>
      </c>
      <c r="H284" s="99">
        <v>10.0</v>
      </c>
      <c r="I284" s="99">
        <v>14530822.46</v>
      </c>
      <c r="K284" s="98" t="inlineStr">
        <is>
          <t xml:space="preserve">Uyiga borildi - va'da berdi | ishxonasiga borildi</t>
        </is>
      </c>
    </row>
    <row r="285">
      <c r="A285" s="98" t="inlineStr">
        <is>
          <t xml:space="preserve">САМАРКАНД ВИЛОЯТИ</t>
        </is>
      </c>
      <c r="C285" s="98" t="inlineStr">
        <is>
          <t xml:space="preserve">Недозвон</t>
        </is>
      </c>
      <c r="D285" s="98" t="inlineStr">
        <is>
          <t xml:space="preserve">Кр-99034542-1</t>
        </is>
      </c>
      <c r="E285" s="98" t="inlineStr">
        <is>
          <t xml:space="preserve">XUDAYNAZAROVA NASIBA ORTIKOVNA</t>
        </is>
      </c>
      <c r="F285" s="98" t="inlineStr">
        <is>
          <t xml:space="preserve">+998700155655 sms ozi, 998912975577 SMS OGLI, 998913140077 sms eri, 998915494303 SMS ERI 2,</t>
        </is>
      </c>
      <c r="G285" s="98" t="inlineStr">
        <is>
          <t xml:space="preserve">SAMARQAND SHAHRI BOGICHINOR MFY 81 UY 37 -XONADON</t>
        </is>
      </c>
      <c r="H285" s="99">
        <v>10.0</v>
      </c>
      <c r="I285" s="99">
        <v>14058837.67</v>
      </c>
      <c r="K285" s="98" t="inlineStr">
        <is>
          <t xml:space="preserve">Telefon ko'tarmadi | tilifon kotarmayapti</t>
        </is>
      </c>
    </row>
    <row r="286">
      <c r="A286" s="98" t="inlineStr">
        <is>
          <t xml:space="preserve">САМАРКАНД ВИЛОЯТИ</t>
        </is>
      </c>
      <c r="C286" s="98" t="inlineStr">
        <is>
          <t xml:space="preserve">Недозвон</t>
        </is>
      </c>
      <c r="D286" s="98" t="inlineStr">
        <is>
          <t xml:space="preserve">Кр-99060450-1</t>
        </is>
      </c>
      <c r="E286" s="98" t="inlineStr">
        <is>
          <t xml:space="preserve">ISMATOVA DILFUZA SHARAFOVNA</t>
        </is>
      </c>
      <c r="F286" s="98" t="inlineStr">
        <is>
          <t xml:space="preserve">+998773441611 SMS OZI, 998951261611 SMS UYI, 998951390408 SMS OZI 2,</t>
        </is>
      </c>
      <c r="G286" s="98" t="inlineStr">
        <is>
          <t xml:space="preserve">SAMARQAND VILOYATI ISHTIXON TUMANI JURA MAXMUDOV MFY PAXTOKOR KUCHASI 243-UY</t>
        </is>
      </c>
      <c r="H286" s="99">
        <v>73.0</v>
      </c>
      <c r="I286" s="99">
        <v>11324250.5</v>
      </c>
    </row>
    <row r="287">
      <c r="A287" s="98" t="inlineStr">
        <is>
          <t xml:space="preserve">САМАРКАНД ВИЛОЯТИ</t>
        </is>
      </c>
      <c r="C287" s="98" t="inlineStr">
        <is>
          <t xml:space="preserve">Недозвон</t>
        </is>
      </c>
      <c r="D287" s="98" t="inlineStr">
        <is>
          <t xml:space="preserve">Кр-99057463-1</t>
        </is>
      </c>
      <c r="E287" s="98" t="inlineStr">
        <is>
          <t xml:space="preserve">XOLMIRZAYEV ABDUMALIK MAVLONOVICH</t>
        </is>
      </c>
      <c r="F287" s="98" t="inlineStr">
        <is>
          <t xml:space="preserve">998950680384 SMS OZI, 998905993365 SMS OZI 2, 998923961302 SMS OZ UKASI, 998883586446 SMS OZ AYOLI,</t>
        </is>
      </c>
      <c r="G287" s="98" t="inlineStr">
        <is>
          <t xml:space="preserve">SAMARQAND VILOYATI URGUT TUMANI MANGITOBOD MFY MANGITOBOD KO'CHASI 1041-UY</t>
        </is>
      </c>
      <c r="H287" s="99">
        <v>13.0</v>
      </c>
      <c r="I287" s="99">
        <v>9591745.45</v>
      </c>
    </row>
    <row r="288">
      <c r="A288" s="98" t="inlineStr">
        <is>
          <t xml:space="preserve">САМАРКАНД ВИЛОЯТИ</t>
        </is>
      </c>
      <c r="C288" s="98" t="inlineStr">
        <is>
          <t xml:space="preserve">Объезд</t>
        </is>
      </c>
      <c r="D288" s="98" t="inlineStr">
        <is>
          <t xml:space="preserve">Кр-99045550-1</t>
        </is>
      </c>
      <c r="E288" s="98" t="inlineStr">
        <is>
          <t xml:space="preserve">YO’LYAXSHIYEV MOHIR MANSUR O’G’LI</t>
        </is>
      </c>
      <c r="F288" s="98" t="inlineStr">
        <is>
          <t xml:space="preserve">+998952306777 SMS OZI, 998507068065 SMS AYASI, 998507757594 SMS AYOLI, 998940947545 SMS UKASI,</t>
        </is>
      </c>
      <c r="G288" s="98" t="inlineStr">
        <is>
          <t xml:space="preserve">SAMARQAND VILOYATI URGUT TUMANI YUQORI TEGANA MFY X.BAYQORO KUCHASI 24-UY</t>
        </is>
      </c>
      <c r="H288" s="99">
        <v>43.0</v>
      </c>
      <c r="I288" s="99">
        <v>9416166.3</v>
      </c>
      <c r="K288" s="98" t="inlineStr">
        <is>
          <t xml:space="preserve">Uyiga borildi - va'da berdi</t>
        </is>
      </c>
    </row>
    <row r="289">
      <c r="A289" s="98" t="inlineStr">
        <is>
          <t xml:space="preserve">САМАРКАНД ВИЛОЯТИ</t>
        </is>
      </c>
      <c r="C289" s="98" t="inlineStr">
        <is>
          <t xml:space="preserve">Недозвон</t>
        </is>
      </c>
      <c r="D289" s="98" t="inlineStr">
        <is>
          <t xml:space="preserve">Кр-99064082-1</t>
        </is>
      </c>
      <c r="E289" s="98" t="inlineStr">
        <is>
          <t xml:space="preserve">XODJIQULOVA MAVLYUDA XXX</t>
        </is>
      </c>
      <c r="F289" s="98" t="inlineStr">
        <is>
          <t xml:space="preserve">998871355366 SMS UYI, 998882338080 SMS OZI, 998933535366 SMS ERI, 998940039953 SMS O’G’LI,</t>
        </is>
      </c>
      <c r="G289" s="98" t="inlineStr">
        <is>
          <t xml:space="preserve">SAMARQAND VILOYATI SAMARQAND SHAHAR BOG’BONLAR MFY SIPITAMINSHOX KUCHASI 266-UY 29-XONODON</t>
        </is>
      </c>
      <c r="H289" s="99">
        <v>10.0</v>
      </c>
      <c r="I289" s="99">
        <v>8390728.31</v>
      </c>
    </row>
    <row r="290">
      <c r="A290" s="98" t="inlineStr">
        <is>
          <t xml:space="preserve">САМАРКАНД ВИЛОЯТИ</t>
        </is>
      </c>
      <c r="C290" s="98" t="inlineStr">
        <is>
          <t xml:space="preserve">Недозвон</t>
        </is>
      </c>
      <c r="D290" s="98" t="inlineStr">
        <is>
          <t xml:space="preserve">Кр-99062806-1</t>
        </is>
      </c>
      <c r="E290" s="98" t="inlineStr">
        <is>
          <t xml:space="preserve">SALIMOVA DILAFRUZ DJAMILEVNA</t>
        </is>
      </c>
      <c r="F290" s="98" t="inlineStr">
        <is>
          <t xml:space="preserve">+998904494478 SMS OZI, 998910305162 SMS ERI, 998915468649 SMS O’G’LI,</t>
        </is>
      </c>
      <c r="G290" s="98" t="inlineStr">
        <is>
          <t xml:space="preserve">SAMARQAND VILOYATI KATTAQO’RG’ON TUMANI A.TEMUR MFY A.TEMUR KUCHASI 25-DOM 6-KORPUS 41-KVARTERA</t>
        </is>
      </c>
      <c r="H290" s="99">
        <v>10.0</v>
      </c>
      <c r="I290" s="99">
        <v>6928621.35</v>
      </c>
    </row>
    <row r="291">
      <c r="A291" s="98" t="inlineStr">
        <is>
          <t xml:space="preserve">САМАРКАНД ВИЛОЯТИ</t>
        </is>
      </c>
      <c r="C291" s="98" t="inlineStr">
        <is>
          <t xml:space="preserve">Недозвон</t>
        </is>
      </c>
      <c r="D291" s="98" t="inlineStr">
        <is>
          <t xml:space="preserve">Кр-99061068-1</t>
        </is>
      </c>
      <c r="E291" s="98" t="inlineStr">
        <is>
          <t xml:space="preserve">ISHANKULOVA NAVBAXOR NEMADJONOVNA</t>
        </is>
      </c>
      <c r="F291" s="98" t="inlineStr">
        <is>
          <t xml:space="preserve">998771961020 SMS UYI, 998773822977 SMS OZI, 998777308477 SMS OZI 2, 998996209658 SMS O’G’LI,</t>
        </is>
      </c>
      <c r="G291" s="98" t="inlineStr">
        <is>
          <t xml:space="preserve">SAMARQAND VILOYATI BULUNG’UR TUMANI SAMARQAND MFY UVAYSIY KUCHASI 168/1 UY</t>
        </is>
      </c>
      <c r="H291" s="99">
        <v>43.0</v>
      </c>
      <c r="I291" s="99">
        <v>6653313.55</v>
      </c>
    </row>
    <row r="292">
      <c r="A292" s="98" t="inlineStr">
        <is>
          <t xml:space="preserve">САМАРКАНД ВИЛОЯТИ</t>
        </is>
      </c>
      <c r="C292" s="98" t="inlineStr">
        <is>
          <t xml:space="preserve">Недозвон</t>
        </is>
      </c>
      <c r="D292" s="98" t="inlineStr">
        <is>
          <t xml:space="preserve">Кр-99052964-2</t>
        </is>
      </c>
      <c r="E292" s="98" t="inlineStr">
        <is>
          <t xml:space="preserve">SHAVKATOV LAZIZJON ALISHER O’G’LI</t>
        </is>
      </c>
      <c r="F292" s="98" t="inlineStr">
        <is>
          <t xml:space="preserve">998901927774 SMS OZI, 998505891177 SMS ONASI, 998904501774 SMS OPASI, 998973959393 SMS AKASI,</t>
        </is>
      </c>
      <c r="G292" s="98" t="inlineStr">
        <is>
          <t xml:space="preserve">SAMARQAND VILOYATI SAMARQAND SHAHRI AL FAROVIY MFY IBIN XOLDUN 10 ’B’ DOM 89-KVARTERA</t>
        </is>
      </c>
      <c r="H292" s="99">
        <v>13.0</v>
      </c>
      <c r="I292" s="99">
        <v>6427962.95</v>
      </c>
    </row>
    <row r="293">
      <c r="A293" s="98" t="inlineStr">
        <is>
          <t xml:space="preserve">САМАРКАНД ВИЛОЯТИ</t>
        </is>
      </c>
      <c r="C293" s="98" t="inlineStr">
        <is>
          <t xml:space="preserve">Недозвон</t>
        </is>
      </c>
      <c r="D293" s="98" t="inlineStr">
        <is>
          <t xml:space="preserve">Кр-99052895-2</t>
        </is>
      </c>
      <c r="E293" s="98" t="inlineStr">
        <is>
          <t xml:space="preserve">NIYAZOV BOBUR BAXODIROVICH</t>
        </is>
      </c>
      <c r="F293" s="98" t="inlineStr">
        <is>
          <t xml:space="preserve">998507006600 SMS UKASI, 998950010000 SMS O'ZI, 998904505050 SMS O'ZI 2, 998712050607 ISHXONASI,</t>
        </is>
      </c>
      <c r="G293" s="98" t="inlineStr">
        <is>
          <t xml:space="preserve">IIV18807</t>
        </is>
      </c>
      <c r="H293" s="99">
        <v>10.0</v>
      </c>
      <c r="I293" s="99">
        <v>6372943.96</v>
      </c>
    </row>
    <row r="294">
      <c r="A294" s="98" t="inlineStr">
        <is>
          <t xml:space="preserve">САМАРКАНД ВИЛОЯТИ</t>
        </is>
      </c>
      <c r="C294" s="98" t="inlineStr">
        <is>
          <t xml:space="preserve">Недозвон</t>
        </is>
      </c>
      <c r="D294" s="98" t="inlineStr">
        <is>
          <t xml:space="preserve">Кр-99058301-1</t>
        </is>
      </c>
      <c r="E294" s="98" t="inlineStr">
        <is>
          <t xml:space="preserve">FAYZIYEVA RAFIKA URAKOVNA</t>
        </is>
      </c>
      <c r="F294" s="98" t="inlineStr">
        <is>
          <t xml:space="preserve">998979194772 SMS OZI, 998977374772 SMS ERI, 998505504143 SMS OGLI,</t>
        </is>
      </c>
      <c r="G294" s="98" t="inlineStr">
        <is>
          <t xml:space="preserve">SAMARQAND VILOYATI SAMARQAND SHAHAR SAYXUN MFY FARG'ONA KUCHASI 159-UY</t>
        </is>
      </c>
      <c r="H294" s="99">
        <v>10.0</v>
      </c>
      <c r="I294" s="99">
        <v>6371353.89</v>
      </c>
    </row>
    <row r="295">
      <c r="A295" s="98" t="inlineStr">
        <is>
          <t xml:space="preserve">САМАРКАНД ВИЛОЯТИ</t>
        </is>
      </c>
      <c r="C295" s="98" t="inlineStr">
        <is>
          <t xml:space="preserve">Недозвон</t>
        </is>
      </c>
      <c r="D295" s="98" t="inlineStr">
        <is>
          <t xml:space="preserve">Кр-99052895-1</t>
        </is>
      </c>
      <c r="E295" s="98" t="inlineStr">
        <is>
          <t xml:space="preserve">NIYAZOV BOBUR BAXODIROVICH</t>
        </is>
      </c>
      <c r="F295" s="98" t="inlineStr">
        <is>
          <t xml:space="preserve">998507006600 SMS UKASI, 998950010000 SMS O'ZI, 998904505050 SMS O'ZI 2, 998712050607 ISHXONASI,</t>
        </is>
      </c>
      <c r="G295" s="98" t="inlineStr">
        <is>
          <t xml:space="preserve">IIV18807</t>
        </is>
      </c>
      <c r="H295" s="99">
        <v>10.0</v>
      </c>
      <c r="I295" s="99">
        <v>6363329.55</v>
      </c>
    </row>
    <row r="296">
      <c r="A296" s="98" t="inlineStr">
        <is>
          <t xml:space="preserve">САМАРКАНД ВИЛОЯТИ</t>
        </is>
      </c>
      <c r="C296" s="98" t="inlineStr">
        <is>
          <t xml:space="preserve">Недозвон</t>
        </is>
      </c>
      <c r="D296" s="98" t="inlineStr">
        <is>
          <t xml:space="preserve">Кр-99056900-1</t>
        </is>
      </c>
      <c r="E296" s="98" t="inlineStr">
        <is>
          <t xml:space="preserve">KO’BAYEV BOTIRBEK SHIRINBOYEVICH</t>
        </is>
      </c>
      <c r="F296" s="98" t="inlineStr">
        <is>
          <t xml:space="preserve">998930796111 SMS UZI, 998932202400 SMS O'G'LI, 998953216166 SMS KATTA UGLI, 998940686465 SMS AYOLI,</t>
        </is>
      </c>
      <c r="G296" s="98" t="inlineStr">
        <is>
          <t xml:space="preserve">SAMARQAND VILOYATI QO'SHRABOD TUMANI BULOQBOSHI MFY BULOQBOSHI QISHLOG'I 274-UY</t>
        </is>
      </c>
      <c r="H296" s="99">
        <v>10.0</v>
      </c>
      <c r="I296" s="99">
        <v>6339204.81</v>
      </c>
    </row>
    <row r="297">
      <c r="A297" s="98" t="inlineStr">
        <is>
          <t xml:space="preserve">САМАРКАНД ВИЛОЯТИ</t>
        </is>
      </c>
      <c r="C297" s="98" t="inlineStr">
        <is>
          <t xml:space="preserve">Недозвон</t>
        </is>
      </c>
      <c r="D297" s="98" t="inlineStr">
        <is>
          <t xml:space="preserve">Кр-99041062-1</t>
        </is>
      </c>
      <c r="E297" s="98" t="inlineStr">
        <is>
          <t xml:space="preserve">ISMATOV OTABEK IZZATULLAYEVICH</t>
        </is>
      </c>
      <c r="F297" s="98" t="inlineStr">
        <is>
          <t xml:space="preserve">998500072339 SMS AKASI, 998772016630 SMS AKASI, 998906000972 SMS UKASI,</t>
        </is>
      </c>
      <c r="G297" s="98" t="inlineStr">
        <is>
          <t xml:space="preserve">YOMINIY CHIROQCHI KUCHASI 100-UY</t>
        </is>
      </c>
      <c r="H297" s="99">
        <v>13.0</v>
      </c>
      <c r="I297" s="99">
        <v>6156863.23</v>
      </c>
    </row>
    <row r="298">
      <c r="A298" s="98" t="inlineStr">
        <is>
          <t xml:space="preserve">САМАРКАНД ВИЛОЯТИ</t>
        </is>
      </c>
      <c r="C298" s="98" t="inlineStr">
        <is>
          <t xml:space="preserve">Недозвон</t>
        </is>
      </c>
      <c r="D298" s="98" t="inlineStr">
        <is>
          <t xml:space="preserve">Кр-99032823-2</t>
        </is>
      </c>
      <c r="E298" s="98" t="inlineStr">
        <is>
          <t xml:space="preserve">SHAVAYEV FILYAR BAXSHI-OGLI</t>
        </is>
      </c>
      <c r="F298" s="98" t="inlineStr">
        <is>
          <t xml:space="preserve">998910338884 SMS O’ZI, 998915492288 SMS DO’STI, 998979268884 SMS AYOLI, 998979308440 SMS O’G’LI, +998910338884 SMS OZI,</t>
        </is>
      </c>
      <c r="G298" s="98" t="inlineStr">
        <is>
          <t xml:space="preserve">SAMARQAND VILOYATI SAMARQAND SHAHAR SPITAMIN SHOX KUCHASI 2 TUPIK 14 UY</t>
        </is>
      </c>
      <c r="H298" s="99">
        <v>10.0</v>
      </c>
      <c r="I298" s="99">
        <v>5720816.39</v>
      </c>
    </row>
    <row r="299">
      <c r="A299" s="98" t="inlineStr">
        <is>
          <t xml:space="preserve">САМАРКАНД ВИЛОЯТИ</t>
        </is>
      </c>
      <c r="C299" s="98" t="inlineStr">
        <is>
          <t xml:space="preserve">Недозвон</t>
        </is>
      </c>
      <c r="D299" s="98" t="inlineStr">
        <is>
          <t xml:space="preserve">Кр-99060443-1</t>
        </is>
      </c>
      <c r="E299" s="98" t="inlineStr">
        <is>
          <t xml:space="preserve">IBRAGIMOV SIROJIDDIN ISMOILOVICH</t>
        </is>
      </c>
      <c r="F299" s="98" t="inlineStr">
        <is>
          <t xml:space="preserve">+998991859989 SMS OZI, 998952121246 SMS AKASI TULOVCHI, 998971121246 SMS AKASI, 998993333632 SMS UYI,</t>
        </is>
      </c>
      <c r="G299" s="98" t="inlineStr">
        <is>
          <t xml:space="preserve">SAMARQAND VILOYATI OQDARYO TUMANI UZUNQISHLOQ MFY XOLDOR QISHLOG’I</t>
        </is>
      </c>
      <c r="H299" s="99">
        <v>10.0</v>
      </c>
      <c r="I299" s="99">
        <v>5703081.53</v>
      </c>
    </row>
    <row r="300">
      <c r="A300" s="98" t="inlineStr">
        <is>
          <t xml:space="preserve">САМАРКАНД ВИЛОЯТИ</t>
        </is>
      </c>
      <c r="C300" s="98" t="inlineStr">
        <is>
          <t xml:space="preserve">Недозвон</t>
        </is>
      </c>
      <c r="D300" s="98" t="inlineStr">
        <is>
          <t xml:space="preserve">Кр-99040669-1</t>
        </is>
      </c>
      <c r="E300" s="98" t="inlineStr">
        <is>
          <t xml:space="preserve">NARZULLAYEVA SARVINOZ INAYATILLAYEVNA</t>
        </is>
      </c>
      <c r="F300" s="98" t="inlineStr">
        <is>
          <t xml:space="preserve">998904480702 SMS OZI, 998320910202 SMS OZI 2, 998330076111 SMS TOLOVCHI,</t>
        </is>
      </c>
      <c r="G300" s="98" t="inlineStr">
        <is>
          <t xml:space="preserve">SAMARQAND VILOYATI PAYARIQ TUMANI BESHQURG'ON MFY MOXLOROYIM KUCHASI 36-UY</t>
        </is>
      </c>
      <c r="H300" s="99">
        <v>10.0</v>
      </c>
      <c r="I300" s="99">
        <v>5469219.1</v>
      </c>
    </row>
    <row r="301">
      <c r="A301" s="98" t="inlineStr">
        <is>
          <t xml:space="preserve">САМАРКАНД ВИЛОЯТИ</t>
        </is>
      </c>
      <c r="C301" s="98" t="inlineStr">
        <is>
          <t xml:space="preserve">Недозвон</t>
        </is>
      </c>
      <c r="D301" s="98" t="inlineStr">
        <is>
          <t xml:space="preserve">Кр-99044296-1</t>
        </is>
      </c>
      <c r="E301" s="98" t="inlineStr">
        <is>
          <t xml:space="preserve">MURODQULOV YUSUF SOBIR O’G’LI</t>
        </is>
      </c>
      <c r="F301" s="98" t="inlineStr">
        <is>
          <t xml:space="preserve">+998770740909 Primary phone from road24, 998770740909 Primary phone from road24, 998978916565 SMS OZI, 998982797071 SMS AKASI,</t>
        </is>
      </c>
      <c r="G301" s="98" t="inlineStr">
        <is>
          <t xml:space="preserve">SAMARQAND VILOYATI URGUT TUMANI RASADXONA MFY ZARMETANSKIY 19-UY</t>
        </is>
      </c>
      <c r="H301" s="99">
        <v>10.0</v>
      </c>
      <c r="I301" s="99">
        <v>5412270.85</v>
      </c>
    </row>
    <row r="302">
      <c r="A302" s="98" t="inlineStr">
        <is>
          <t xml:space="preserve">САМАРКАНД ВИЛОЯТИ</t>
        </is>
      </c>
      <c r="C302" s="98" t="inlineStr">
        <is>
          <t xml:space="preserve">Недозвон</t>
        </is>
      </c>
      <c r="D302" s="98" t="inlineStr">
        <is>
          <t xml:space="preserve">Кр-99057416-1</t>
        </is>
      </c>
      <c r="E302" s="98" t="inlineStr">
        <is>
          <t xml:space="preserve">BASHMONOVA DILFUZA ALIMOVNA</t>
        </is>
      </c>
      <c r="F302" s="98" t="inlineStr">
        <is>
          <t xml:space="preserve">998937298058 SMS ERI, 998933480095 SMS OZI, 998330870702 SMS UYI, 998930508058 SMS UZI 2,</t>
        </is>
      </c>
      <c r="G302" s="98" t="inlineStr">
        <is>
          <t xml:space="preserve">SAMARQAND VILOYATI PAYARIQ TUMANI TOMOYROT MFY SHON-SHUHRAT KO'CHASI 113-UY</t>
        </is>
      </c>
      <c r="H302" s="99">
        <v>13.0</v>
      </c>
      <c r="I302" s="99">
        <v>4398221.14</v>
      </c>
    </row>
    <row r="303">
      <c r="A303" s="98" t="inlineStr">
        <is>
          <t xml:space="preserve">САМАРКАНД ВИЛОЯТИ</t>
        </is>
      </c>
      <c r="C303" s="98" t="inlineStr">
        <is>
          <t xml:space="preserve">Недозвон</t>
        </is>
      </c>
      <c r="D303" s="98" t="inlineStr">
        <is>
          <t xml:space="preserve">Кр-99041524-1</t>
        </is>
      </c>
      <c r="E303" s="98" t="inlineStr">
        <is>
          <t xml:space="preserve">SAFAROVA SABINA KAMOLIDDIN QIZI</t>
        </is>
      </c>
      <c r="F303" s="98" t="inlineStr">
        <is>
          <t xml:space="preserve">998331593930 SM ERI, 998889589606 SMS OZI, 998915283929 SMS AYOLI TULOVCHI, 998915506813 TULOVCHI ELDOR AKA,</t>
        </is>
      </c>
      <c r="G303" s="98" t="inlineStr">
        <is>
          <t xml:space="preserve">Кургонча МФЙ, Қўрғонча-8 кучаси, 18-уй</t>
        </is>
      </c>
      <c r="H303" s="99">
        <v>10.0</v>
      </c>
      <c r="I303" s="99">
        <v>4276734.84</v>
      </c>
    </row>
    <row r="304">
      <c r="A304" s="98" t="inlineStr">
        <is>
          <t xml:space="preserve">САМАРКАНД ВИЛОЯТИ</t>
        </is>
      </c>
      <c r="C304" s="98" t="inlineStr">
        <is>
          <t xml:space="preserve">Недозвон</t>
        </is>
      </c>
      <c r="D304" s="98" t="inlineStr">
        <is>
          <t xml:space="preserve">Кр-99063884-1</t>
        </is>
      </c>
      <c r="E304" s="98" t="inlineStr">
        <is>
          <t xml:space="preserve">ABDURASHIDOV AKOBIR VASLIDDIN O’G’LI</t>
        </is>
      </c>
      <c r="F304" s="98" t="inlineStr">
        <is>
          <t xml:space="preserve">998777162444 SMS DOSTI, 998943414303 SMS UZI, 998993961270 SMS TOLOVCHI,</t>
        </is>
      </c>
      <c r="G304" s="98" t="inlineStr">
        <is>
          <t xml:space="preserve">ДУРБЕШ ҚФЙ, ЯНГИРАВОТ МФЙ, ДУРБЕШ ҚИШЛОҒИ,  uy:Р/С</t>
        </is>
      </c>
      <c r="H304" s="99">
        <v>10.0</v>
      </c>
      <c r="I304" s="99">
        <v>4074054.27</v>
      </c>
    </row>
    <row r="305">
      <c r="A305" s="98" t="inlineStr">
        <is>
          <t xml:space="preserve">САМАРКАНД ВИЛОЯТИ</t>
        </is>
      </c>
      <c r="C305" s="98" t="inlineStr">
        <is>
          <t xml:space="preserve">Недозвон</t>
        </is>
      </c>
      <c r="D305" s="98" t="inlineStr">
        <is>
          <t xml:space="preserve">Кр-99044439-2</t>
        </is>
      </c>
      <c r="E305" s="98" t="inlineStr">
        <is>
          <t xml:space="preserve">ALIQULOVA SHAXNOZA MO’MINJONOVNA</t>
        </is>
      </c>
      <c r="F305" s="98" t="inlineStr">
        <is>
          <t xml:space="preserve">+998920528882 SMS OZI, 998916947069 SMS AYASI, 998917048268 SMS UKASI, 998997187671 SMS SINGLISI,</t>
        </is>
      </c>
      <c r="G305" s="98" t="inlineStr">
        <is>
          <t xml:space="preserve">Ферганская область, Учкуприкский район, Учкўприк МСГ, ул. Шодлик, дом 27, кор. 1, кв. 12</t>
        </is>
      </c>
      <c r="H305" s="99">
        <v>10.0</v>
      </c>
      <c r="I305" s="99">
        <v>3947512.9</v>
      </c>
    </row>
    <row r="306">
      <c r="A306" s="98" t="inlineStr">
        <is>
          <t xml:space="preserve">САМАРКАНД ВИЛОЯТИ</t>
        </is>
      </c>
      <c r="C306" s="98" t="inlineStr">
        <is>
          <t xml:space="preserve">Недозвон</t>
        </is>
      </c>
      <c r="D306" s="98" t="inlineStr">
        <is>
          <t xml:space="preserve">Кр-99041181-1</t>
        </is>
      </c>
      <c r="E306" s="98" t="inlineStr">
        <is>
          <t xml:space="preserve">SAIDOV SHOHRO’Z FARHOD O’G’LI</t>
        </is>
      </c>
      <c r="F306" s="98" t="inlineStr">
        <is>
          <t xml:space="preserve">+998934160099 SM OZI, 998886134717 SMS KATTA AKASI, 998930094197 SMS AKASI, 998979071269 SMS DADASI,</t>
        </is>
      </c>
      <c r="G306" s="98" t="inlineStr">
        <is>
          <t xml:space="preserve">БЕШКАХРАМОН ҚФЙ, КУШКУДУК МФЙ,  uy:Р/С</t>
        </is>
      </c>
      <c r="H306" s="99">
        <v>10.0</v>
      </c>
      <c r="I306" s="99">
        <v>3931686.59</v>
      </c>
    </row>
    <row r="307">
      <c r="A307" s="98" t="inlineStr">
        <is>
          <t xml:space="preserve">САМАРКАНД ВИЛОЯТИ</t>
        </is>
      </c>
      <c r="C307" s="98" t="inlineStr">
        <is>
          <t xml:space="preserve">Недозвон</t>
        </is>
      </c>
      <c r="D307" s="98" t="inlineStr">
        <is>
          <t xml:space="preserve">Кр-99041854-1</t>
        </is>
      </c>
      <c r="E307" s="98" t="inlineStr">
        <is>
          <t xml:space="preserve">IZAYEV SHUHRAT DAMIN UGLI</t>
        </is>
      </c>
      <c r="F307" s="98" t="inlineStr">
        <is>
          <t xml:space="preserve">+998979204774 SMS OZI, 998974056026 SMS AAYAASI, 998985733304 SMS UYI, 998997045708 SMS UKASI,</t>
        </is>
      </c>
      <c r="G307" s="98" t="inlineStr">
        <is>
          <t xml:space="preserve">SAMARQAND VILOYATI PASTDARG’OM TUMANI GUNBAZ MFY JANBUL KUCHASI 21-UY</t>
        </is>
      </c>
      <c r="H307" s="99">
        <v>10.0</v>
      </c>
      <c r="I307" s="99">
        <v>3839675.03</v>
      </c>
    </row>
    <row r="308">
      <c r="A308" s="98" t="inlineStr">
        <is>
          <t xml:space="preserve">САМАРКАНД ВИЛОЯТИ</t>
        </is>
      </c>
      <c r="C308" s="98" t="inlineStr">
        <is>
          <t xml:space="preserve">Недозвон</t>
        </is>
      </c>
      <c r="D308" s="98" t="inlineStr">
        <is>
          <t xml:space="preserve">Кр-99062322-1</t>
        </is>
      </c>
      <c r="E308" s="98" t="inlineStr">
        <is>
          <t xml:space="preserve">NARZULLAYEV NODIRBEK BAHODIR O’G’LI</t>
        </is>
      </c>
      <c r="F308" s="98" t="inlineStr">
        <is>
          <t xml:space="preserve">+998889307779 SMS OZI, 998880907779 SMS OZI 2, 998889769799 SMS POCHCHASI, 998976587779 SMS AYASI,</t>
        </is>
      </c>
      <c r="G308" s="98" t="inlineStr">
        <is>
          <t xml:space="preserve">SAMARQAND VILOYATI QUSHRABOD TUMANI QIYQIM MFY</t>
        </is>
      </c>
      <c r="H308" s="99">
        <v>10.0</v>
      </c>
      <c r="I308" s="99">
        <v>3808124.78</v>
      </c>
    </row>
    <row r="309">
      <c r="A309" s="98" t="inlineStr">
        <is>
          <t xml:space="preserve">САМАРКАНД ВИЛОЯТИ</t>
        </is>
      </c>
      <c r="C309" s="98" t="inlineStr">
        <is>
          <t xml:space="preserve">Недозвон</t>
        </is>
      </c>
      <c r="D309" s="98" t="inlineStr">
        <is>
          <t xml:space="preserve">Кр-99032879-3</t>
        </is>
      </c>
      <c r="E309" s="98" t="inlineStr">
        <is>
          <t xml:space="preserve">RUSTAMOVA FIRUZA DJURAYEVNA</t>
        </is>
      </c>
      <c r="F309" s="98" t="inlineStr">
        <is>
          <t xml:space="preserve">998330058044 SMS O’ZI, 998933332525 SMS O’G’LI, 998940133932 SMS QIZI, 998508816056 SMS KELINI, 998931898044 SMS O’ZI,</t>
        </is>
      </c>
      <c r="G309" s="98" t="inlineStr">
        <is>
          <t xml:space="preserve">SAMARQAND VILOYATI KATTAQURG’ON TUMANI MULLAKICHKINA MFY NAVBAHOR KUCHASI 811 -UY</t>
        </is>
      </c>
      <c r="H309" s="99">
        <v>10.0</v>
      </c>
      <c r="I309" s="99">
        <v>3795841.92</v>
      </c>
    </row>
    <row r="310">
      <c r="A310" s="98" t="inlineStr">
        <is>
          <t xml:space="preserve">САМАРКАНД ВИЛОЯТИ</t>
        </is>
      </c>
      <c r="C310" s="98" t="inlineStr">
        <is>
          <t xml:space="preserve">Недозвон</t>
        </is>
      </c>
      <c r="D310" s="98" t="inlineStr">
        <is>
          <t xml:space="preserve">Кр-99020836-8</t>
        </is>
      </c>
      <c r="E310" s="98" t="inlineStr">
        <is>
          <t xml:space="preserve">ISMOILOV MUZAFFAR ALISHEROVICH</t>
        </is>
      </c>
      <c r="F310" s="98" t="inlineStr">
        <is>
          <t xml:space="preserve">91-628-00-02 SMS, 90-286-00-02  SMS AKASI, 99-596-97-97 SMS ZALOGADATEL, 93-728-96-96 SMS ZALOGADATEL UKASI, 998902860002 SMS ZALOGADATEL,</t>
        </is>
      </c>
      <c r="G310" s="98" t="inlineStr">
        <is>
          <t xml:space="preserve">SAMARQAND CILOYATI PAYARIQ TUMANI GUZAL  MFY OTABEK QUVVATOV KUCHASI 22-UY</t>
        </is>
      </c>
      <c r="H310" s="99">
        <v>10.0</v>
      </c>
      <c r="I310" s="99">
        <v>3792700.04</v>
      </c>
    </row>
    <row r="311">
      <c r="A311" s="98" t="inlineStr">
        <is>
          <t xml:space="preserve">САМАРКАНД ВИЛОЯТИ</t>
        </is>
      </c>
      <c r="C311" s="98" t="inlineStr">
        <is>
          <t xml:space="preserve">Недозвон</t>
        </is>
      </c>
      <c r="D311" s="98" t="inlineStr">
        <is>
          <t xml:space="preserve">Кр-99005773-1</t>
        </is>
      </c>
      <c r="E311" s="98" t="inlineStr">
        <is>
          <t xml:space="preserve">SAYID-AXMEDOV TEMUR-MALIK NURITDIN O’G’LI</t>
        </is>
      </c>
      <c r="F311" s="98" t="inlineStr">
        <is>
          <t xml:space="preserve">+998932335550 SMS OZI, 998915495026 SMS UYI, 998915501666 SMS AYASI, 998942424244 SMS OPASI,</t>
        </is>
      </c>
      <c r="G311" s="98" t="inlineStr">
        <is>
          <t xml:space="preserve">SAMARQAND VILOYATI SAMARQAND SHAHAR BOG’BONLAR MFY NAQISHBANDIY KUCHASI 2 PROYEZD 22-UY</t>
        </is>
      </c>
      <c r="H311" s="99">
        <v>10.0</v>
      </c>
      <c r="I311" s="99">
        <v>3767362.3</v>
      </c>
      <c r="K311" s="98" t="inlineStr">
        <is>
          <t xml:space="preserve">Telefon ko'tarmadi | oziniki ochiq</t>
        </is>
      </c>
    </row>
    <row r="312">
      <c r="A312" s="98" t="inlineStr">
        <is>
          <t xml:space="preserve">САМАРКАНД ВИЛОЯТИ</t>
        </is>
      </c>
      <c r="C312" s="98" t="inlineStr">
        <is>
          <t xml:space="preserve">Объезд</t>
        </is>
      </c>
      <c r="D312" s="98" t="inlineStr">
        <is>
          <t xml:space="preserve">Кр-99057329-1</t>
        </is>
      </c>
      <c r="E312" s="98" t="inlineStr">
        <is>
          <t xml:space="preserve">SODIQOV ANVARJON VORISJONOVICH</t>
        </is>
      </c>
      <c r="F312" s="98" t="inlineStr">
        <is>
          <t xml:space="preserve">998953976067 SMS UZI, 998500579222 SMS TULOVCHI, 998997798472 SMS TULOVCHI ZALOGATEL , 998910320010 SMS UY,</t>
        </is>
      </c>
      <c r="G312" s="98" t="inlineStr">
        <is>
          <t xml:space="preserve">SAMARQAND TUMANI</t>
        </is>
      </c>
      <c r="H312" s="99">
        <v>10.0</v>
      </c>
      <c r="I312" s="99">
        <v>3639543.06</v>
      </c>
      <c r="K312" s="98" t="inlineStr">
        <is>
          <t xml:space="preserve">Uyiga borildi - va'da berdi | uyiga borildi</t>
        </is>
      </c>
    </row>
    <row r="313">
      <c r="A313" s="98" t="inlineStr">
        <is>
          <t xml:space="preserve">САМАРКАНД ВИЛОЯТИ</t>
        </is>
      </c>
      <c r="C313" s="98" t="inlineStr">
        <is>
          <t xml:space="preserve">Объезд</t>
        </is>
      </c>
      <c r="D313" s="98" t="inlineStr">
        <is>
          <t xml:space="preserve">Кр-99059521-1</t>
        </is>
      </c>
      <c r="E313" s="98" t="inlineStr">
        <is>
          <t xml:space="preserve">NEMATOVA LOLAXON FARXODJON QIZI</t>
        </is>
      </c>
      <c r="F313" s="98" t="inlineStr">
        <is>
          <t xml:space="preserve">+998944600370 SMS OZI, 998500105600 SMS UKASI, 998949230370 SMS ERI, 998979290370 SMS UYI,</t>
        </is>
      </c>
      <c r="G313" s="98" t="inlineStr">
        <is>
          <t xml:space="preserve">SAMARQAND VILOYATI PAYARIQ TUMANI ERNAZARQURG’ON MFY YANGI ZAMON KUCHASI 54-UY</t>
        </is>
      </c>
      <c r="H313" s="99">
        <v>10.0</v>
      </c>
      <c r="I313" s="99">
        <v>3587565.25</v>
      </c>
      <c r="K313" s="98" t="inlineStr">
        <is>
          <t xml:space="preserve">Uyiga borildi - va'da berdi | uyiga borishdi</t>
        </is>
      </c>
    </row>
    <row r="314">
      <c r="A314" s="98" t="inlineStr">
        <is>
          <t xml:space="preserve">САМАРКАНД ВИЛОЯТИ</t>
        </is>
      </c>
      <c r="C314" s="98" t="inlineStr">
        <is>
          <t xml:space="preserve">Недозвон</t>
        </is>
      </c>
      <c r="D314" s="98" t="inlineStr">
        <is>
          <t xml:space="preserve">Кр-99042821-1</t>
        </is>
      </c>
      <c r="E314" s="98" t="inlineStr">
        <is>
          <t xml:space="preserve">SHARIPOV QARSHI SHAROPOVICH</t>
        </is>
      </c>
      <c r="F314" s="98" t="inlineStr">
        <is>
          <t xml:space="preserve">+998507082787 SMS OZI, 998507282500 SMS UYI, 998941508228 SMS KUYOVI, 998950088956 SMS OZI,</t>
        </is>
      </c>
      <c r="G314" s="98" t="inlineStr">
        <is>
          <t xml:space="preserve">SAMARQAND VILOYATI KATTAQO’RG’ON SHAHAR KUNJUPAY MFY KUNJUPAY KUCHASI 61-UY</t>
        </is>
      </c>
      <c r="H314" s="99">
        <v>10.0</v>
      </c>
      <c r="I314" s="99">
        <v>3567909.97</v>
      </c>
    </row>
    <row r="315">
      <c r="A315" s="98" t="inlineStr">
        <is>
          <t xml:space="preserve">САМАРКАНД ВИЛОЯТИ</t>
        </is>
      </c>
      <c r="C315" s="98" t="inlineStr">
        <is>
          <t xml:space="preserve">Недозвон</t>
        </is>
      </c>
      <c r="D315" s="98" t="inlineStr">
        <is>
          <t xml:space="preserve">Кр-99038089-1</t>
        </is>
      </c>
      <c r="E315" s="98" t="inlineStr">
        <is>
          <t xml:space="preserve">BEKNAZAROV SHERMAMAT XAKBERDIYEVICH</t>
        </is>
      </c>
      <c r="F315" s="98" t="inlineStr">
        <is>
          <t xml:space="preserve">998882891993 SMS OZI, 998913168726 SMSOGLI, 998983381993 SMS UYI бегона ,</t>
        </is>
      </c>
      <c r="G315" s="98" t="inlineStr">
        <is>
          <t xml:space="preserve">SAMARQAND VILOYATI PASTDARG'OM TUMANI YANGI OBOD MFY BOBUR KUCHASI 22-UY</t>
        </is>
      </c>
      <c r="H315" s="99">
        <v>3.0</v>
      </c>
      <c r="I315" s="99">
        <v>3554306.7</v>
      </c>
    </row>
    <row r="316">
      <c r="A316" s="98" t="inlineStr">
        <is>
          <t xml:space="preserve">САМАРКАНД ВИЛОЯТИ</t>
        </is>
      </c>
      <c r="C316" s="98" t="inlineStr">
        <is>
          <t xml:space="preserve">Недозвон</t>
        </is>
      </c>
      <c r="D316" s="98" t="inlineStr">
        <is>
          <t xml:space="preserve">Кр-99030337-1</t>
        </is>
      </c>
      <c r="E316" s="98" t="inlineStr">
        <is>
          <t xml:space="preserve">NABIYEV ABDUVORIS ABDUVOXIDOVCH</t>
        </is>
      </c>
      <c r="F316" s="98" t="inlineStr">
        <is>
          <t xml:space="preserve">88-577-20-02  SMS UZI , 88-917-93-39  SMS AYOLI, 97-918-00-62  SMS uchaskavoy, 99-625-08-41  SMS UYI,</t>
        </is>
      </c>
      <c r="G316" s="98" t="inlineStr">
        <is>
          <t xml:space="preserve">SAMARQAND VILOYATI SAMARQAND TUMANI KO'LBA MFY KO'LBA QISHLOG'I </t>
        </is>
      </c>
      <c r="H316" s="99">
        <v>13.0</v>
      </c>
      <c r="I316" s="99">
        <v>3452322.43</v>
      </c>
    </row>
    <row r="317">
      <c r="A317" s="98" t="inlineStr">
        <is>
          <t xml:space="preserve">САМАРКАНД ВИЛОЯТИ</t>
        </is>
      </c>
      <c r="C317" s="98" t="inlineStr">
        <is>
          <t xml:space="preserve">Объезд</t>
        </is>
      </c>
      <c r="D317" s="98" t="inlineStr">
        <is>
          <t xml:space="preserve">Кр-99062920-1</t>
        </is>
      </c>
      <c r="E317" s="98" t="inlineStr">
        <is>
          <t xml:space="preserve">BOBOYEV SHERXON RUZIMURODOVICH</t>
        </is>
      </c>
      <c r="F317" s="98" t="inlineStr">
        <is>
          <t xml:space="preserve">+998992957374 SMS OZI, 998904757374 SMS OZI 2, 998956738444 SMS UKASI,</t>
        </is>
      </c>
      <c r="G317" s="98" t="inlineStr">
        <is>
          <t xml:space="preserve">SAMARQAND VILOYATI NUROBOD TUMANI OQSOY MFY</t>
        </is>
      </c>
      <c r="H317" s="99">
        <v>10.0</v>
      </c>
      <c r="I317" s="99">
        <v>3443274.88</v>
      </c>
      <c r="J317" s="99">
        <v>3443274.88</v>
      </c>
      <c r="K317" s="98" t="inlineStr">
        <is>
          <t xml:space="preserve">Uyiga borildi - to'ladi | yopildi</t>
        </is>
      </c>
    </row>
    <row r="318">
      <c r="A318" s="98" t="inlineStr">
        <is>
          <t xml:space="preserve">САМАРКАНД ВИЛОЯТИ</t>
        </is>
      </c>
      <c r="C318" s="98" t="inlineStr">
        <is>
          <t xml:space="preserve">Недозвон</t>
        </is>
      </c>
      <c r="D318" s="98" t="inlineStr">
        <is>
          <t xml:space="preserve">Кр-99019881-1</t>
        </is>
      </c>
      <c r="E318" s="98" t="inlineStr">
        <is>
          <t xml:space="preserve">AKRAMOV NODIRJON AKRAMOVICH</t>
        </is>
      </c>
      <c r="F318" s="98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318" s="98" t="inlineStr">
        <is>
          <t xml:space="preserve">SAMARQAND VILOYATI PASTDARG’OM TUMANI ESKI JUMA MFY   CHINOQ QISHLOG’I USTOZLAR KO’CHASI 152-UY</t>
        </is>
      </c>
      <c r="H318" s="99">
        <v>10.0</v>
      </c>
      <c r="I318" s="99">
        <v>3402024.89</v>
      </c>
    </row>
    <row r="319">
      <c r="A319" s="98" t="inlineStr">
        <is>
          <t xml:space="preserve">САМАРКАНД ВИЛОЯТИ</t>
        </is>
      </c>
      <c r="C319" s="98" t="inlineStr">
        <is>
          <t xml:space="preserve">Объезд</t>
        </is>
      </c>
      <c r="D319" s="98" t="inlineStr">
        <is>
          <t xml:space="preserve">Кр-99057430-1</t>
        </is>
      </c>
      <c r="E319" s="98" t="inlineStr">
        <is>
          <t xml:space="preserve">TOSHMURODOV JAVLONBEK ULUG’BEKOVICH</t>
        </is>
      </c>
      <c r="F319" s="98" t="inlineStr">
        <is>
          <t xml:space="preserve">998942894664 SMS UZI, 998918460505 SMS AKASI TULOVCHI, 998942870050 SMS AKASI, 998942131877 SMS AYASI,</t>
        </is>
      </c>
      <c r="G319" s="98" t="inlineStr">
        <is>
          <t xml:space="preserve">SAMARQAND VILOYATI PAXTACHI TUMANI MIRZO NODIM MFY REGISTON KUCHASI 97-UY</t>
        </is>
      </c>
      <c r="H319" s="99">
        <v>10.0</v>
      </c>
      <c r="I319" s="99">
        <v>3387227.9</v>
      </c>
      <c r="J319" s="99">
        <v>3387227.9</v>
      </c>
      <c r="K319" s="98" t="inlineStr">
        <is>
          <t xml:space="preserve">Uyiga borildi - to'ladi | yopildi</t>
        </is>
      </c>
    </row>
    <row r="320">
      <c r="A320" s="98" t="inlineStr">
        <is>
          <t xml:space="preserve">САМАРКАНД ВИЛОЯТИ</t>
        </is>
      </c>
      <c r="C320" s="98" t="inlineStr">
        <is>
          <t xml:space="preserve">Недозвон</t>
        </is>
      </c>
      <c r="D320" s="98" t="inlineStr">
        <is>
          <t xml:space="preserve">Кр-99040479-1</t>
        </is>
      </c>
      <c r="E320" s="98" t="inlineStr">
        <is>
          <t xml:space="preserve">ISKANDAROVA OYGUL ABDURAXMONOVNA</t>
        </is>
      </c>
      <c r="F320" s="98" t="inlineStr">
        <is>
          <t xml:space="preserve">+998338090082 SMS OZ, 998901007940 SINGLISI, 998953385382 UYI, 998979218712 ERI, 998948164046 туловчини номери Азамат,</t>
        </is>
      </c>
      <c r="G320" s="98" t="inlineStr">
        <is>
          <t xml:space="preserve">SANCHIQUL MFY ISTIBOL  KUCHASI 35</t>
        </is>
      </c>
      <c r="H320" s="99">
        <v>10.0</v>
      </c>
      <c r="I320" s="99">
        <v>3345827.81</v>
      </c>
    </row>
    <row r="321">
      <c r="A321" s="98" t="inlineStr">
        <is>
          <t xml:space="preserve">САМАРКАНД ВИЛОЯТИ</t>
        </is>
      </c>
      <c r="C321" s="98" t="inlineStr">
        <is>
          <t xml:space="preserve">Недозвон</t>
        </is>
      </c>
      <c r="D321" s="98" t="inlineStr">
        <is>
          <t xml:space="preserve">Кр-99039114-1</t>
        </is>
      </c>
      <c r="E321" s="98" t="inlineStr">
        <is>
          <t xml:space="preserve">XAYDAROV JAMSHID NORIMKULOVICH</t>
        </is>
      </c>
      <c r="F321" s="98" t="inlineStr">
        <is>
          <t xml:space="preserve">998932224222 SMS OZI, 998377777732 SMS OZI, 998934480448 SMS AYOLI,</t>
        </is>
      </c>
      <c r="G321" s="98" t="inlineStr">
        <is>
          <t xml:space="preserve">SAMARQAND VILOYATI SAMARQAND TUMANI QAYNAMA QFY MIRISHKOR MFY </t>
        </is>
      </c>
      <c r="H321" s="99">
        <v>10.0</v>
      </c>
      <c r="I321" s="99">
        <v>3313263.81</v>
      </c>
    </row>
    <row r="322">
      <c r="A322" s="98" t="inlineStr">
        <is>
          <t xml:space="preserve">САМАРКАНД ВИЛОЯТИ</t>
        </is>
      </c>
      <c r="C322" s="98" t="inlineStr">
        <is>
          <t xml:space="preserve">Недозвон</t>
        </is>
      </c>
      <c r="D322" s="98" t="inlineStr">
        <is>
          <t xml:space="preserve">Кр-99047479-1</t>
        </is>
      </c>
      <c r="E322" s="98" t="inlineStr">
        <is>
          <t xml:space="preserve">SAIDKULOVA GULMIRA MURODJONOVNA</t>
        </is>
      </c>
      <c r="F322" s="98" t="inlineStr">
        <is>
          <t xml:space="preserve">998902244986 SMS ERI, 998909952018 SMS OGLI, 998915301700 SM OZI, 998953309600 SMS OGLI,</t>
        </is>
      </c>
      <c r="G322" s="98" t="inlineStr">
        <is>
          <t xml:space="preserve">SAMARQAND VILOYATI SAMARQAND SHAHRI MIRZO ULUGBEK 48 UY</t>
        </is>
      </c>
      <c r="H322" s="99">
        <v>10.0</v>
      </c>
      <c r="I322" s="99">
        <v>3220116.86</v>
      </c>
    </row>
    <row r="323">
      <c r="A323" s="98" t="inlineStr">
        <is>
          <t xml:space="preserve">САМАРКАНД ВИЛОЯТИ</t>
        </is>
      </c>
      <c r="C323" s="98" t="inlineStr">
        <is>
          <t xml:space="preserve">Недозвон</t>
        </is>
      </c>
      <c r="D323" s="98" t="inlineStr">
        <is>
          <t xml:space="preserve">Кр-99047479-3</t>
        </is>
      </c>
      <c r="E323" s="98" t="inlineStr">
        <is>
          <t xml:space="preserve">SAIDKULOVA GULMIRA MURODJONOVNA</t>
        </is>
      </c>
      <c r="F323" s="98" t="inlineStr">
        <is>
          <t xml:space="preserve">998902244986 SMS ERI, 998909952018 SMS OGLI, 998915301700 SM OZI, 998953309600 SMS OGLI,</t>
        </is>
      </c>
      <c r="G323" s="98" t="inlineStr">
        <is>
          <t xml:space="preserve">SAMARQAND VILOYATI SAMARQAND SHAHRI MIRZO ULUGBEK 48 UY</t>
        </is>
      </c>
      <c r="H323" s="99">
        <v>10.0</v>
      </c>
      <c r="I323" s="99">
        <v>3189470.59</v>
      </c>
    </row>
    <row r="324">
      <c r="A324" s="98" t="inlineStr">
        <is>
          <t xml:space="preserve">САМАРКАНД ВИЛОЯТИ</t>
        </is>
      </c>
      <c r="C324" s="98" t="inlineStr">
        <is>
          <t xml:space="preserve">Недозвон</t>
        </is>
      </c>
      <c r="D324" s="98" t="inlineStr">
        <is>
          <t xml:space="preserve">Кр-99045552-1</t>
        </is>
      </c>
      <c r="E324" s="98" t="inlineStr">
        <is>
          <t xml:space="preserve">SODIQOV SAIDUMAR FURQAT O’G’LI</t>
        </is>
      </c>
      <c r="F324" s="98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324" s="98" t="inlineStr">
        <is>
          <t xml:space="preserve">SAMARQAND VILOYATI NUROBOD TUMANI MASHAL MFY DALABOG’ KUCHASI 126-UY</t>
        </is>
      </c>
      <c r="H324" s="99">
        <v>14.0</v>
      </c>
      <c r="I324" s="99">
        <v>3134890.3</v>
      </c>
    </row>
    <row r="325">
      <c r="A325" s="98" t="inlineStr">
        <is>
          <t xml:space="preserve">САМАРКАНД ВИЛОЯТИ</t>
        </is>
      </c>
      <c r="C325" s="98" t="inlineStr">
        <is>
          <t xml:space="preserve">Недозвон</t>
        </is>
      </c>
      <c r="D325" s="98" t="inlineStr">
        <is>
          <t xml:space="preserve">Кр-99040174-1</t>
        </is>
      </c>
      <c r="E325" s="98" t="inlineStr">
        <is>
          <t xml:space="preserve">ABSALOMOVA SADOKAT UCHKUNOVNA</t>
        </is>
      </c>
      <c r="F325" s="98" t="inlineStr">
        <is>
          <t xml:space="preserve">998973421686 SMS OZI, 998977022672 SMS ERI, 998904491943 SMS QIZI, 998889151718 SMS UYI,</t>
        </is>
      </c>
      <c r="G325" s="98" t="inlineStr">
        <is>
          <t xml:space="preserve">SAMARQAND VILOYATI PAYARIQ TUMANI FIDAKOR MFY YOSHLIK KUCHASI 4-UY</t>
        </is>
      </c>
      <c r="H325" s="99">
        <v>10.0</v>
      </c>
      <c r="I325" s="99">
        <v>3118353.07</v>
      </c>
    </row>
    <row r="326">
      <c r="A326" s="98" t="inlineStr">
        <is>
          <t xml:space="preserve">САМАРКАНД ВИЛОЯТИ</t>
        </is>
      </c>
      <c r="C326" s="98" t="inlineStr">
        <is>
          <t xml:space="preserve">Недозвон</t>
        </is>
      </c>
      <c r="D326" s="98" t="inlineStr">
        <is>
          <t xml:space="preserve">Кр-99041918-1</t>
        </is>
      </c>
      <c r="E326" s="98" t="inlineStr">
        <is>
          <t xml:space="preserve">TURSUNOV G’AYRAT DAVLATOVICH</t>
        </is>
      </c>
      <c r="F326" s="98" t="inlineStr">
        <is>
          <t xml:space="preserve">+998884706797 SMS OZI BEGONA , 998883932255 UKASI, 998951833829 SMS ZALOGADATEL, 998981303304 SMS JIYANI,</t>
        </is>
      </c>
      <c r="G326" s="98" t="inlineStr">
        <is>
          <t xml:space="preserve">SAMARQAND VILOYATI URGUT TUMANI  KATTA KAMONGARON MFY XUJAAXROR 55-UY</t>
        </is>
      </c>
      <c r="H326" s="99">
        <v>10.0</v>
      </c>
      <c r="I326" s="99">
        <v>3060352.31</v>
      </c>
    </row>
    <row r="327">
      <c r="A327" s="98" t="inlineStr">
        <is>
          <t xml:space="preserve">САМАРКАНД ВИЛОЯТИ</t>
        </is>
      </c>
      <c r="C327" s="98" t="inlineStr">
        <is>
          <t xml:space="preserve">Недозвон</t>
        </is>
      </c>
      <c r="D327" s="98" t="inlineStr">
        <is>
          <t xml:space="preserve">Кр-99055924-1</t>
        </is>
      </c>
      <c r="E327" s="98" t="inlineStr">
        <is>
          <t xml:space="preserve">JUMABOYEV SARDORBEK TULQIN O’G’LI</t>
        </is>
      </c>
      <c r="F327" s="98" t="inlineStr">
        <is>
          <t xml:space="preserve">998502109535 SMS O’ZI, 998933325203 SMS UKASI, 998771271616 SMS UYI, 998933315203 SMS DADASI,</t>
        </is>
      </c>
      <c r="G327" s="98" t="inlineStr">
        <is>
          <t xml:space="preserve">SAMARQAND VILOYATI PASTDARG’OM TUMAN IIB</t>
        </is>
      </c>
      <c r="H327" s="99">
        <v>10.0</v>
      </c>
      <c r="I327" s="99">
        <v>2998448.24</v>
      </c>
    </row>
    <row r="328">
      <c r="A328" s="98" t="inlineStr">
        <is>
          <t xml:space="preserve">САМАРКАНД ВИЛОЯТИ</t>
        </is>
      </c>
      <c r="C328" s="98" t="inlineStr">
        <is>
          <t xml:space="preserve">Объезд</t>
        </is>
      </c>
      <c r="D328" s="98" t="inlineStr">
        <is>
          <t xml:space="preserve">Кр-99008241-5</t>
        </is>
      </c>
      <c r="E328" s="98" t="inlineStr">
        <is>
          <t xml:space="preserve">KOMILOV SHERZOD NAJIMOVICH</t>
        </is>
      </c>
      <c r="F328" s="98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328" s="98" t="inlineStr">
        <is>
          <t xml:space="preserve">SAMARQAND VILOYATI KATTAQO’RG’ON TUMANI MULLAKICHKINA</t>
        </is>
      </c>
      <c r="H328" s="99">
        <v>3.0</v>
      </c>
      <c r="I328" s="99">
        <v>2920966.89</v>
      </c>
      <c r="K328" s="98" t="inlineStr">
        <is>
          <t xml:space="preserve">Uyiga borildi - va'da berdi</t>
        </is>
      </c>
    </row>
    <row r="329">
      <c r="A329" s="98" t="inlineStr">
        <is>
          <t xml:space="preserve">САМАРКАНД ВИЛОЯТИ</t>
        </is>
      </c>
      <c r="C329" s="98" t="inlineStr">
        <is>
          <t xml:space="preserve">Недозвон</t>
        </is>
      </c>
      <c r="D329" s="98" t="inlineStr">
        <is>
          <t xml:space="preserve">Кр-99041917-1</t>
        </is>
      </c>
      <c r="E329" s="98" t="inlineStr">
        <is>
          <t xml:space="preserve">SUYUNOV SHERQO’ZI SHERALIYEVICH</t>
        </is>
      </c>
      <c r="F329" s="98" t="inlineStr">
        <is>
          <t xml:space="preserve">+998995705918 SMS OZI, 998335892110 SMS ZALOGADATEL, 998870200058 SMS UKASI, 998902766001 SMS UYI,</t>
        </is>
      </c>
      <c r="G329" s="98" t="inlineStr">
        <is>
          <t xml:space="preserve">SAMARQAND VILOYATI TAYLOQ TUMANI XUJAYUZ MFY</t>
        </is>
      </c>
      <c r="H329" s="99">
        <v>10.0</v>
      </c>
      <c r="I329" s="99">
        <v>2901046.39</v>
      </c>
    </row>
    <row r="330">
      <c r="A330" s="98" t="inlineStr">
        <is>
          <t xml:space="preserve">САМАРКАНД ВИЛОЯТИ</t>
        </is>
      </c>
      <c r="C330" s="98" t="inlineStr">
        <is>
          <t xml:space="preserve">Объезд</t>
        </is>
      </c>
      <c r="D330" s="98" t="inlineStr">
        <is>
          <t xml:space="preserve">Кр-99062811-2</t>
        </is>
      </c>
      <c r="E330" s="98" t="inlineStr">
        <is>
          <t xml:space="preserve">SHOKIROV SAVRIDDIN SALOHIDDIN O’G’LI</t>
        </is>
      </c>
      <c r="F330" s="98" t="inlineStr">
        <is>
          <t xml:space="preserve">+998931430020 SMS OZI, 998505711620 SMS OPASI, 998937243255 SMS UKASI,</t>
        </is>
      </c>
      <c r="G330" s="98" t="inlineStr">
        <is>
          <t xml:space="preserve">SAMARQAND VILOYATI TAYLOQ TUMANI YANGI XAYOT MFY CHOVONDOZ KUCHASI</t>
        </is>
      </c>
      <c r="H330" s="99">
        <v>10.0</v>
      </c>
      <c r="I330" s="99">
        <v>2882928.02</v>
      </c>
      <c r="J330" s="99">
        <v>2882928.02</v>
      </c>
      <c r="K330" s="98" t="inlineStr">
        <is>
          <t xml:space="preserve">Uyiga borildi - to'ladi | yopildi</t>
        </is>
      </c>
    </row>
    <row r="331">
      <c r="A331" s="98" t="inlineStr">
        <is>
          <t xml:space="preserve">САМАРКАНД ВИЛОЯТИ</t>
        </is>
      </c>
      <c r="C331" s="98" t="inlineStr">
        <is>
          <t xml:space="preserve">Недозвон</t>
        </is>
      </c>
      <c r="D331" s="98" t="inlineStr">
        <is>
          <t xml:space="preserve">Кр-99035358-1</t>
        </is>
      </c>
      <c r="E331" s="98" t="inlineStr">
        <is>
          <t xml:space="preserve">QILICHEV O’ROLBEK FARHOD O’G’LI</t>
        </is>
      </c>
      <c r="F331" s="98" t="inlineStr">
        <is>
          <t xml:space="preserve">998337373606 SMS O’ZI, 998901093838 SMS O’ZI, 998995944807 SMS AKASI, 998979372508 SMS YANGASI, 998995676309 SMS tulovchi Anvar aka , +998337373606 SMS OZI,</t>
        </is>
      </c>
      <c r="G331" s="98" t="inlineStr">
        <is>
          <t xml:space="preserve">SAMARQAND VILOYATI URGUT TUMANI QORATEPA MFY QORATEPA QQ</t>
        </is>
      </c>
      <c r="H331" s="99">
        <v>1.0</v>
      </c>
      <c r="I331" s="99">
        <v>2842836.69</v>
      </c>
    </row>
    <row r="332">
      <c r="A332" s="98" t="inlineStr">
        <is>
          <t xml:space="preserve">САМАРКАНД ВИЛОЯТИ</t>
        </is>
      </c>
      <c r="C332" s="98" t="inlineStr">
        <is>
          <t xml:space="preserve">Недозвон</t>
        </is>
      </c>
      <c r="D332" s="98" t="inlineStr">
        <is>
          <t xml:space="preserve">Кр-99020984-4</t>
        </is>
      </c>
      <c r="E332" s="98" t="inlineStr">
        <is>
          <t xml:space="preserve">SHARIPOVA UMIDA MUZAFAROVNA</t>
        </is>
      </c>
      <c r="F332" s="98" t="inlineStr">
        <is>
          <t xml:space="preserve">90-604-54-33 SMS UZI, 90-227-27-26 SMS ZALOGADATEL KUYOV 90-212-53-51 QIZI, 91-531-74-20 SMS ZALOGADATEL DADASI, 90-470-60-03 SMS OGLI, 998700800600 akasi jahon ,</t>
        </is>
      </c>
      <c r="G332" s="98" t="inlineStr">
        <is>
          <t xml:space="preserve">SAMARQAND VILOYATI SAMARQAND SHAHRI BOG’BONLAR MFY BAXOUDDIN NAQISHBANDIY KUCHASI 2-YULAK 19-UY</t>
        </is>
      </c>
      <c r="H332" s="99">
        <v>13.0</v>
      </c>
      <c r="I332" s="99">
        <v>2816317.9</v>
      </c>
    </row>
    <row r="333">
      <c r="A333" s="98" t="inlineStr">
        <is>
          <t xml:space="preserve">САМАРКАНД ВИЛОЯТИ</t>
        </is>
      </c>
      <c r="C333" s="98" t="inlineStr">
        <is>
          <t xml:space="preserve">Недозвон</t>
        </is>
      </c>
      <c r="D333" s="98" t="inlineStr">
        <is>
          <t xml:space="preserve">Кр-99045808-2</t>
        </is>
      </c>
      <c r="E333" s="98" t="inlineStr">
        <is>
          <t xml:space="preserve">BOBOMURODOV SHERZOD UROLBOY O’G’LI</t>
        </is>
      </c>
      <c r="F333" s="98" t="inlineStr">
        <is>
          <t xml:space="preserve">+998979011090 SMS OZI, 998934144600 SMS YANGASI, 998973955590 SMS AYOLI, 998976661516 SMS AKASI,</t>
        </is>
      </c>
      <c r="G333" s="98" t="inlineStr">
        <is>
          <t xml:space="preserve">SAMARQAND VILOYATI QO’SHRABOD TUMANI PANGAT MFY 16-UY</t>
        </is>
      </c>
      <c r="H333" s="99">
        <v>14.0</v>
      </c>
      <c r="I333" s="99">
        <v>2789303.22</v>
      </c>
    </row>
    <row r="334">
      <c r="A334" s="98" t="inlineStr">
        <is>
          <t xml:space="preserve">САМАРКАНД ВИЛОЯТИ</t>
        </is>
      </c>
      <c r="C334" s="98" t="inlineStr">
        <is>
          <t xml:space="preserve">Недозвон</t>
        </is>
      </c>
      <c r="D334" s="98" t="inlineStr">
        <is>
          <t xml:space="preserve">Кр-99053028-1</t>
        </is>
      </c>
      <c r="E334" s="98" t="inlineStr">
        <is>
          <t xml:space="preserve">UMAROV JASUR JUMABOYEVICH</t>
        </is>
      </c>
      <c r="F334" s="98" t="inlineStr">
        <is>
          <t xml:space="preserve">998996737947 SMS OZI , 998915557947 SMS UKASI, 998907427947 SMS UKASI, 998948700083 SMS UYI, 998996737947 SMS OZI,</t>
        </is>
      </c>
      <c r="G334" s="98" t="inlineStr">
        <is>
          <t xml:space="preserve">SMARQANDVILOYATI SMARQAND TUMANI IIB </t>
        </is>
      </c>
      <c r="H334" s="99">
        <v>10.0</v>
      </c>
      <c r="I334" s="99">
        <v>2757427.48</v>
      </c>
    </row>
    <row r="335">
      <c r="A335" s="98" t="inlineStr">
        <is>
          <t xml:space="preserve">САМАРКАНД ВИЛОЯТИ</t>
        </is>
      </c>
      <c r="C335" s="98" t="inlineStr">
        <is>
          <t xml:space="preserve">Недозвон</t>
        </is>
      </c>
      <c r="D335" s="98" t="inlineStr">
        <is>
          <t xml:space="preserve">Кр-99016263-3</t>
        </is>
      </c>
      <c r="E335" s="98" t="inlineStr">
        <is>
          <t xml:space="preserve">QUDRATOV SHEHROZ SHAKARBOY O’G’LI</t>
        </is>
      </c>
      <c r="F335" s="98" t="inlineStr">
        <is>
          <t xml:space="preserve">99-553-56-33 SMS DADASI, 88-990-02-03 SMS BEGONA EKAN SHALLAQI, 97-394-35-05 SMS UKASI, 998770392002 туловчи ,</t>
        </is>
      </c>
      <c r="G335" s="98" t="inlineStr">
        <is>
          <t xml:space="preserve">SAMARQAND VILOYATI PAYARIQ TUMANI ERNAZARQO’RG’ON QFY</t>
        </is>
      </c>
      <c r="H335" s="99">
        <v>15.0</v>
      </c>
      <c r="I335" s="99">
        <v>2563367.58</v>
      </c>
    </row>
    <row r="336">
      <c r="A336" s="98" t="inlineStr">
        <is>
          <t xml:space="preserve">САМАРКАНД ВИЛОЯТИ</t>
        </is>
      </c>
      <c r="C336" s="98" t="inlineStr">
        <is>
          <t xml:space="preserve">Недозвон</t>
        </is>
      </c>
      <c r="D336" s="98" t="inlineStr">
        <is>
          <t xml:space="preserve">Кр-99049122-1</t>
        </is>
      </c>
      <c r="E336" s="98" t="inlineStr">
        <is>
          <t xml:space="preserve">ABDUXAKIMOVA MADINA XUSNIDDIN QIZI</t>
        </is>
      </c>
      <c r="F336" s="98" t="inlineStr">
        <is>
          <t xml:space="preserve">+998500555549 SMS ERI, 998701050088 SMS ZALOGADATEL, 998886144048 SMS UYI, 998940800521 SMS OZI,</t>
        </is>
      </c>
      <c r="G336" s="98" t="inlineStr">
        <is>
          <t xml:space="preserve">SAMARQAND VILOYATI SAMARQAND SHAHAR SHODIYONA MFY 185 DOM 56 XONODON</t>
        </is>
      </c>
      <c r="H336" s="99">
        <v>10.0</v>
      </c>
      <c r="I336" s="99">
        <v>2526729.63</v>
      </c>
    </row>
    <row r="337">
      <c r="A337" s="98" t="inlineStr">
        <is>
          <t xml:space="preserve">САМАРКАНД ВИЛОЯТИ</t>
        </is>
      </c>
      <c r="C337" s="98" t="inlineStr">
        <is>
          <t xml:space="preserve">Недозвон</t>
        </is>
      </c>
      <c r="D337" s="98" t="inlineStr">
        <is>
          <t xml:space="preserve">Кр-99049652-1</t>
        </is>
      </c>
      <c r="E337" s="98" t="inlineStr">
        <is>
          <t xml:space="preserve">SINDOROV MUZAFFAR BEKPULATOVICH</t>
        </is>
      </c>
      <c r="F337" s="98" t="inlineStr">
        <is>
          <t xml:space="preserve">+998938333888 SMS OZI, 998773113571 SMS YANGASI, 998944161091 SMS ZALOGADATEL, 998995717588 SMS UYI,</t>
        </is>
      </c>
      <c r="G337" s="98" t="inlineStr">
        <is>
          <t xml:space="preserve">SAMARQAND VILOYATI PAYARIQ TUMANI PALVONARIQ MFY NURONIYLAR KUCHASI 8-UY</t>
        </is>
      </c>
      <c r="H337" s="99">
        <v>10.0</v>
      </c>
      <c r="I337" s="99">
        <v>2504906.51</v>
      </c>
    </row>
    <row r="338">
      <c r="A338" s="98" t="inlineStr">
        <is>
          <t xml:space="preserve">САМАРКАНД ВИЛОЯТИ</t>
        </is>
      </c>
      <c r="C338" s="98" t="inlineStr">
        <is>
          <t xml:space="preserve">Недозвон</t>
        </is>
      </c>
      <c r="D338" s="98" t="inlineStr">
        <is>
          <t xml:space="preserve">Кр-99058169-1</t>
        </is>
      </c>
      <c r="E338" s="98" t="inlineStr">
        <is>
          <t xml:space="preserve">KURBANOV BAXODIR SAITMUROD O’G’LI</t>
        </is>
      </c>
      <c r="F338" s="98" t="inlineStr">
        <is>
          <t xml:space="preserve">998881677778 SMS OZI, 998009677782 SMS OZI2, 998933332034 SMS AKASI, 998946391004 SMS UYI,</t>
        </is>
      </c>
      <c r="G338" s="98" t="inlineStr">
        <is>
          <t xml:space="preserve">SAMARQAND VILOYATI SAMARQAND SHAHAR NAFOSAT MFY MIRZO ULUG'BEK KUCHASI 130-UY 5</t>
        </is>
      </c>
      <c r="H338" s="99">
        <v>10.0</v>
      </c>
      <c r="I338" s="99">
        <v>2461601.85</v>
      </c>
    </row>
    <row r="339">
      <c r="A339" s="98" t="inlineStr">
        <is>
          <t xml:space="preserve">САМАРКАНД ВИЛОЯТИ</t>
        </is>
      </c>
      <c r="C339" s="98" t="inlineStr">
        <is>
          <t xml:space="preserve">Недозвон</t>
        </is>
      </c>
      <c r="D339" s="98" t="inlineStr">
        <is>
          <t xml:space="preserve">Кр-99036681-1</t>
        </is>
      </c>
      <c r="E339" s="98" t="inlineStr">
        <is>
          <t xml:space="preserve">NAZAROV UMIDJON RAZZOQ O’G’LI</t>
        </is>
      </c>
      <c r="F339" s="98" t="inlineStr">
        <is>
          <t xml:space="preserve">998500532665 SMS OZI, 998933512665 SMS AYASI , 998502302665 SMS OPASI, 998930633907 SMS UKASI, 998507162665 SMS UZI NEWW,</t>
        </is>
      </c>
      <c r="G339" s="98" t="inlineStr">
        <is>
          <t xml:space="preserve">SAMARQAND VILOYATI URGUT TUMANI UKRACH QISHLOG'I </t>
        </is>
      </c>
      <c r="H339" s="99">
        <v>3.0</v>
      </c>
      <c r="I339" s="99">
        <v>2421932.17</v>
      </c>
      <c r="K339" s="98" t="inlineStr">
        <is>
          <t xml:space="preserve">Telefon ko'tarmadi | tilifondi kotarmayapti</t>
        </is>
      </c>
    </row>
    <row r="340">
      <c r="A340" s="98" t="inlineStr">
        <is>
          <t xml:space="preserve">САМАРКАНД ВИЛОЯТИ</t>
        </is>
      </c>
      <c r="C340" s="98" t="inlineStr">
        <is>
          <t xml:space="preserve">Недозвон</t>
        </is>
      </c>
      <c r="D340" s="98" t="inlineStr">
        <is>
          <t xml:space="preserve">Кр-99040022-2</t>
        </is>
      </c>
      <c r="E340" s="98" t="inlineStr">
        <is>
          <t xml:space="preserve">BEGMURODOV KOMILJON SHAVKAT O’G’LI</t>
        </is>
      </c>
      <c r="F340" s="98" t="inlineStr">
        <is>
          <t xml:space="preserve">998997005776 SMS OZZI, 998999502266 SMS UKASI, 998930855276 SMS AKASI, 998932271678 SMS UYI, 998943133180 SMS AKASI,</t>
        </is>
      </c>
      <c r="G340" s="98" t="inlineStr">
        <is>
          <t xml:space="preserve">SAMARQAND VILOYATI KATTAQO’RG’ON TUMANI YANGI OBOD MFY MADANIYAT KUCHASI 19-UY</t>
        </is>
      </c>
      <c r="H340" s="99">
        <v>10.0</v>
      </c>
      <c r="I340" s="99">
        <v>2406593.61</v>
      </c>
    </row>
    <row r="341">
      <c r="A341" s="98" t="inlineStr">
        <is>
          <t xml:space="preserve">САМАРКАНД ВИЛОЯТИ</t>
        </is>
      </c>
      <c r="C341" s="98" t="inlineStr">
        <is>
          <t xml:space="preserve">Недозвон</t>
        </is>
      </c>
      <c r="D341" s="98" t="inlineStr">
        <is>
          <t xml:space="preserve">Кр-99038198-1</t>
        </is>
      </c>
      <c r="E341" s="98" t="inlineStr">
        <is>
          <t xml:space="preserve">ABDUVOXIDOVA MAVLYUDA TOLIBOVNA</t>
        </is>
      </c>
      <c r="F341" s="98" t="inlineStr">
        <is>
          <t xml:space="preserve">998902878483 SMS OZI, 998976156009 SMS ONASI, 998995514083 SMS SINGLISI, 998905059100 SMS YANGASI, +998902878483 SMS OZI,</t>
        </is>
      </c>
      <c r="G341" s="98" t="inlineStr">
        <is>
          <t xml:space="preserve">SAMARQAND VILOYATI PAYARIQ TUMANI JAVSHAR OTA MFY XIROSON KUCHASI 26-UY</t>
        </is>
      </c>
      <c r="I341" s="99">
        <v>2338169.82</v>
      </c>
    </row>
    <row r="342">
      <c r="A342" s="98" t="inlineStr">
        <is>
          <t xml:space="preserve">САМАРКАНД ВИЛОЯТИ</t>
        </is>
      </c>
      <c r="C342" s="98" t="inlineStr">
        <is>
          <t xml:space="preserve">Недозвон</t>
        </is>
      </c>
      <c r="D342" s="98" t="inlineStr">
        <is>
          <t xml:space="preserve">Кр-99058383-1</t>
        </is>
      </c>
      <c r="E342" s="98" t="inlineStr">
        <is>
          <t xml:space="preserve">SHODIYOROV UCHQUN ERKIN O’G’LI</t>
        </is>
      </c>
      <c r="F342" s="98" t="inlineStr">
        <is>
          <t xml:space="preserve">+998955433545 SMS OZI, 998704747545 SMS AYOLI, 998904621910 SMS OZI 2, 998930721512 SMS UYI,</t>
        </is>
      </c>
      <c r="G342" s="98" t="inlineStr">
        <is>
          <t xml:space="preserve">SAMARQAND VILOYATI ISHTIXON TUMANI CHOG’OTOY MFY</t>
        </is>
      </c>
      <c r="H342" s="99">
        <v>10.0</v>
      </c>
      <c r="I342" s="99">
        <v>2335815.79</v>
      </c>
    </row>
    <row r="343">
      <c r="A343" s="98" t="inlineStr">
        <is>
          <t xml:space="preserve">САМАРКАНД ВИЛОЯТИ</t>
        </is>
      </c>
      <c r="C343" s="98" t="inlineStr">
        <is>
          <t xml:space="preserve">Объезд</t>
        </is>
      </c>
      <c r="D343" s="98" t="inlineStr">
        <is>
          <t xml:space="preserve">Кр-99037081-1</t>
        </is>
      </c>
      <c r="E343" s="98" t="inlineStr">
        <is>
          <t xml:space="preserve">QUZIYEV SHERZOD HAMDAMKULOVICH</t>
        </is>
      </c>
      <c r="F343" s="98" t="inlineStr">
        <is>
          <t xml:space="preserve">998944771277 SMS OZI, 998940090440 SMS AYOLI, 998990215277 SMS OGLI, 998930388336 SMS QIZI, 998700444786 SMS UZI NEW, 998700111786 SMS XOTINI NEW, 998990215277 SMS UY,</t>
        </is>
      </c>
      <c r="G343" s="98" t="inlineStr">
        <is>
          <t xml:space="preserve">SAMARQAND VILOYATI TAYLOQ TUMANI NAYMAN MFY JASORAT KUCHASI 1-UY</t>
        </is>
      </c>
      <c r="H343" s="99">
        <v>15.0</v>
      </c>
      <c r="I343" s="99">
        <v>2231295.53</v>
      </c>
      <c r="K343" s="98" t="inlineStr">
        <is>
          <t xml:space="preserve">Uyiga borildi - va'da berdi</t>
        </is>
      </c>
    </row>
    <row r="344">
      <c r="A344" s="98" t="inlineStr">
        <is>
          <t xml:space="preserve">САМАРКАНД ВИЛОЯТИ</t>
        </is>
      </c>
      <c r="C344" s="98" t="inlineStr">
        <is>
          <t xml:space="preserve">Недозвон</t>
        </is>
      </c>
      <c r="D344" s="98" t="inlineStr">
        <is>
          <t xml:space="preserve">Кр-99049192-3</t>
        </is>
      </c>
      <c r="E344" s="98" t="inlineStr">
        <is>
          <t xml:space="preserve">ASLAMOV SARDOR AMRIDDINOVICH</t>
        </is>
      </c>
      <c r="F344" s="98" t="inlineStr">
        <is>
          <t xml:space="preserve">+998770240797 SMS OZI, 998770564141 SMA UYI, 998941292652 SMS OZI 2, 998997700246 SMS UKASI,</t>
        </is>
      </c>
      <c r="G344" s="98" t="inlineStr">
        <is>
          <t xml:space="preserve">Самаркандская область, Нурабадский район, Сазаган ССГ, ул. Сазағон-1, дом 67-уй</t>
        </is>
      </c>
      <c r="H344" s="99">
        <v>10.0</v>
      </c>
      <c r="I344" s="99">
        <v>2210841.51</v>
      </c>
    </row>
    <row r="345">
      <c r="A345" s="98" t="inlineStr">
        <is>
          <t xml:space="preserve">САМАРКАНД ВИЛОЯТИ</t>
        </is>
      </c>
      <c r="C345" s="98" t="inlineStr">
        <is>
          <t xml:space="preserve">Недозвон</t>
        </is>
      </c>
      <c r="D345" s="98" t="inlineStr">
        <is>
          <t xml:space="preserve">Кр-99018831-4</t>
        </is>
      </c>
      <c r="E345" s="98" t="inlineStr">
        <is>
          <t xml:space="preserve">XAYDAROVA GULNOZA XASANBAYEVNA</t>
        </is>
      </c>
      <c r="F345" s="98" t="inlineStr">
        <is>
          <t xml:space="preserve">94-245-79-57 SMS UZI, 94-182-79-57 SMS UZI 2, 91-708-18-83 SMS UYI, 91-708-18-87 SMS O’G’LI,</t>
        </is>
      </c>
      <c r="G345" s="98" t="inlineStr">
        <is>
          <t xml:space="preserve">SAMARQAND VILOYATI JOMBOY TUMANI SOXIBKOR MFY ERGANAKLI QISHLOG’I </t>
        </is>
      </c>
      <c r="H345" s="99">
        <v>3.0</v>
      </c>
      <c r="I345" s="99">
        <v>2199306.85</v>
      </c>
    </row>
    <row r="346">
      <c r="A346" s="98" t="inlineStr">
        <is>
          <t xml:space="preserve">САМАРКАНД ВИЛОЯТИ</t>
        </is>
      </c>
      <c r="C346" s="98" t="inlineStr">
        <is>
          <t xml:space="preserve">Недозвон</t>
        </is>
      </c>
      <c r="D346" s="98" t="inlineStr">
        <is>
          <t xml:space="preserve">Кр-99048134-1</t>
        </is>
      </c>
      <c r="E346" s="98" t="inlineStr">
        <is>
          <t xml:space="preserve">UMAROVA NIGINA SAIDKULOVNA</t>
        </is>
      </c>
      <c r="F346" s="98" t="inlineStr">
        <is>
          <t xml:space="preserve">+998910383833 SMS OZI, 998910330807 SMS UYI, 998910336888 SMS ZALOGADATEL, 998972880575 SMS OZI 2,</t>
        </is>
      </c>
      <c r="G346" s="98" t="inlineStr">
        <is>
          <t xml:space="preserve">SAMARQAND VILOYATI SAMARQAND TUMANI KULBA MFY KULBA KUCHASI 8-UY</t>
        </is>
      </c>
      <c r="H346" s="99">
        <v>10.0</v>
      </c>
      <c r="I346" s="99">
        <v>2156410.15</v>
      </c>
    </row>
    <row r="347">
      <c r="A347" s="98" t="inlineStr">
        <is>
          <t xml:space="preserve">САМАРКАНД ВИЛОЯТИ</t>
        </is>
      </c>
      <c r="C347" s="98" t="inlineStr">
        <is>
          <t xml:space="preserve">Недозвон</t>
        </is>
      </c>
      <c r="D347" s="98" t="inlineStr">
        <is>
          <t xml:space="preserve">Кр-99036674-4</t>
        </is>
      </c>
      <c r="E347" s="98" t="inlineStr">
        <is>
          <t xml:space="preserve">ZOKIROV LAZIZBEK ULUG’BEK O’G’LI</t>
        </is>
      </c>
      <c r="F347" s="98" t="inlineStr">
        <is>
          <t xml:space="preserve">998935446351 SMS O’ZI, 998995546351 SMS OZI 2, 998500256351 SMS AYOLI, 998942825358 SMS UKASI,</t>
        </is>
      </c>
      <c r="G347" s="98" t="inlineStr">
        <is>
          <t xml:space="preserve">SAMARQAND VILOYATI KATTAQO’RG’ON TUMANI OMONBOY KUPRIK MFY IFTIXOR KUCHASI</t>
        </is>
      </c>
      <c r="H347" s="99">
        <v>10.0</v>
      </c>
      <c r="I347" s="99">
        <v>2154551.34</v>
      </c>
      <c r="K347" s="98" t="inlineStr">
        <is>
          <t xml:space="preserve">Telefon ko'tarmadi | hamma nomerlar ochiq</t>
        </is>
      </c>
    </row>
    <row r="348">
      <c r="A348" s="98" t="inlineStr">
        <is>
          <t xml:space="preserve">САМАРКАНД ВИЛОЯТИ</t>
        </is>
      </c>
      <c r="C348" s="98" t="inlineStr">
        <is>
          <t xml:space="preserve">Недозвон</t>
        </is>
      </c>
      <c r="D348" s="98" t="inlineStr">
        <is>
          <t xml:space="preserve">Кр-99017675-2</t>
        </is>
      </c>
      <c r="E348" s="98" t="inlineStr">
        <is>
          <t xml:space="preserve">DAVRONOV SHEXROZ AZAMAT O’G’LI</t>
        </is>
      </c>
      <c r="F348" s="98" t="inlineStr">
        <is>
          <t xml:space="preserve">91-314-41-42  SMS UZI, 97-929-03-70  SMS tolovchi, 97-643-03-30  SMS UKASI, 97-919-52-22  SMS UYI, 998949230370 SMS TULOVCHI,</t>
        </is>
      </c>
      <c r="G348" s="98" t="inlineStr">
        <is>
          <t xml:space="preserve">SAMARQAND VILOYATI PASTDARGOM TUMANI TURKMAN MFY ISLOMOBOD KUCHASI 5-UY</t>
        </is>
      </c>
      <c r="H348" s="99">
        <v>10.0</v>
      </c>
      <c r="I348" s="99">
        <v>2051838.14</v>
      </c>
    </row>
    <row r="349">
      <c r="A349" s="98" t="inlineStr">
        <is>
          <t xml:space="preserve">САМАРКАНД ВИЛОЯТИ</t>
        </is>
      </c>
      <c r="C349" s="98" t="inlineStr">
        <is>
          <t xml:space="preserve">Недозвон</t>
        </is>
      </c>
      <c r="D349" s="98" t="inlineStr">
        <is>
          <t xml:space="preserve">Кр-99018831-5</t>
        </is>
      </c>
      <c r="E349" s="98" t="inlineStr">
        <is>
          <t xml:space="preserve">XAYDAROVA GULNOZA XASANBAYEVNA</t>
        </is>
      </c>
      <c r="F349" s="98" t="inlineStr">
        <is>
          <t xml:space="preserve">94-245-79-57 SMS UZI, 94-182-79-57 SMS UZI 2, 91-708-18-83 SMS UYI, 91-708-18-87 SMS O’G’LI,</t>
        </is>
      </c>
      <c r="G349" s="98" t="inlineStr">
        <is>
          <t xml:space="preserve">SAMARQAND VILOYATI JOMBOY TUMANI SOXIBKOR MFY ERGANAKLI QISHLOG’I </t>
        </is>
      </c>
      <c r="H349" s="99">
        <v>1.0</v>
      </c>
      <c r="I349" s="99">
        <v>2003516.78</v>
      </c>
    </row>
    <row r="350">
      <c r="A350" s="98" t="inlineStr">
        <is>
          <t xml:space="preserve">САМАРКАНД ВИЛОЯТИ</t>
        </is>
      </c>
      <c r="C350" s="98" t="inlineStr">
        <is>
          <t xml:space="preserve">Недозвон</t>
        </is>
      </c>
      <c r="D350" s="98" t="inlineStr">
        <is>
          <t xml:space="preserve">Кр-99040775-1</t>
        </is>
      </c>
      <c r="E350" s="98" t="inlineStr">
        <is>
          <t xml:space="preserve">UMIRZOQOV JASURBEK NEYATULLO O’G’LI</t>
        </is>
      </c>
      <c r="F350" s="98" t="inlineStr">
        <is>
          <t xml:space="preserve">998773446252 SMS OZI, 998771353464 SMS UKASI, 998930833517 SMS  DADASI, 998940140909 SMS UY, 998773446252 SMS OZI,</t>
        </is>
      </c>
      <c r="G350" s="98" t="inlineStr">
        <is>
          <t xml:space="preserve">ISHTIXON TUMANI</t>
        </is>
      </c>
      <c r="H350" s="99">
        <v>10.0</v>
      </c>
      <c r="I350" s="99">
        <v>1973468.61</v>
      </c>
    </row>
    <row r="351">
      <c r="A351" s="98" t="inlineStr">
        <is>
          <t xml:space="preserve">САМАРКАНД ВИЛОЯТИ</t>
        </is>
      </c>
      <c r="C351" s="98" t="inlineStr">
        <is>
          <t xml:space="preserve">Недозвон</t>
        </is>
      </c>
      <c r="D351" s="98" t="inlineStr">
        <is>
          <t xml:space="preserve">Кр-99058774-2</t>
        </is>
      </c>
      <c r="E351" s="98" t="inlineStr">
        <is>
          <t xml:space="preserve">OCHILOV ZOHIR ANVARJON O’G’LI</t>
        </is>
      </c>
      <c r="F351" s="98" t="inlineStr">
        <is>
          <t xml:space="preserve">998932407007 SMS UZI, 998331410071 SMS akasi, 998982717100 SMS DADASI , 998943296317 SMS UY, +998932407007 SMS OZI,</t>
        </is>
      </c>
      <c r="G351" s="98" t="inlineStr">
        <is>
          <t xml:space="preserve">SAMARQAND VILOYATI KATTAQORGON TUMANI BALANT RAVOT MFY UZUN BUST KUCHASI 11-UY</t>
        </is>
      </c>
      <c r="H351" s="99">
        <v>10.0</v>
      </c>
      <c r="I351" s="99">
        <v>1903421.83</v>
      </c>
    </row>
    <row r="352">
      <c r="A352" s="98" t="inlineStr">
        <is>
          <t xml:space="preserve">САМАРКАНД ВИЛОЯТИ</t>
        </is>
      </c>
      <c r="C352" s="98" t="inlineStr">
        <is>
          <t xml:space="preserve">Недозвон</t>
        </is>
      </c>
      <c r="D352" s="98" t="inlineStr">
        <is>
          <t xml:space="preserve">Кр-99052969-1</t>
        </is>
      </c>
      <c r="E352" s="98" t="inlineStr">
        <is>
          <t xml:space="preserve">BERDIYEV G’OLIB ELMURATOVICH</t>
        </is>
      </c>
      <c r="F352" s="98" t="inlineStr">
        <is>
          <t xml:space="preserve">998902703815 SMS OZI, 998934908907 SMS QIZI, 998944498087 SMS AYOLI, 998935515209 SMS O`G`LI, 998902703815 SMS OZI,</t>
        </is>
      </c>
      <c r="G352" s="98" t="inlineStr">
        <is>
          <t xml:space="preserve">SAMARQAND VILOYATI PASTDARG'OM TUMANI PARCHA CHANDIR MFY SHIFO NUR KUCHASI 12-UY</t>
        </is>
      </c>
      <c r="H352" s="99">
        <v>10.0</v>
      </c>
      <c r="I352" s="99">
        <v>1897917.65</v>
      </c>
    </row>
    <row r="353">
      <c r="A353" s="98" t="inlineStr">
        <is>
          <t xml:space="preserve">САМАРКАНД ВИЛОЯТИ</t>
        </is>
      </c>
      <c r="C353" s="98" t="inlineStr">
        <is>
          <t xml:space="preserve">Недозвон</t>
        </is>
      </c>
      <c r="D353" s="98" t="inlineStr">
        <is>
          <t xml:space="preserve">Кр-99016634-3</t>
        </is>
      </c>
      <c r="E353" s="98" t="inlineStr">
        <is>
          <t xml:space="preserve">YAZDONOV QAHRAMON BOTIR O’G’LI</t>
        </is>
      </c>
      <c r="F353" s="98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353" s="98" t="inlineStr">
        <is>
          <t xml:space="preserve">SAMARQAND VILOYATI URGUT TUMANI QAYROQLI MFY QAYROQLI QISHLOG’I 444-UY</t>
        </is>
      </c>
      <c r="H353" s="99">
        <v>10.0</v>
      </c>
      <c r="I353" s="99">
        <v>1870524.3</v>
      </c>
    </row>
    <row r="354">
      <c r="A354" s="98" t="inlineStr">
        <is>
          <t xml:space="preserve">САМАРКАНД ВИЛОЯТИ</t>
        </is>
      </c>
      <c r="C354" s="98" t="inlineStr">
        <is>
          <t xml:space="preserve">Объезд</t>
        </is>
      </c>
      <c r="D354" s="98" t="inlineStr">
        <is>
          <t xml:space="preserve">Кр-99050656-2</t>
        </is>
      </c>
      <c r="E354" s="98" t="inlineStr">
        <is>
          <t xml:space="preserve">BERDIMURODOV NUMONJON KOMILJONOVICH</t>
        </is>
      </c>
      <c r="F354" s="98" t="inlineStr">
        <is>
          <t xml:space="preserve">+998939705584 SMS OZI, 998770530720 SMS UYI, 998933599647 SMS AYOLI, 998997189688 SMS ZALOGADATEL,</t>
        </is>
      </c>
      <c r="G354" s="98" t="inlineStr">
        <is>
          <t xml:space="preserve">SAMARQAND VILOYATI PAYARIQ TUMANI ZARAFSHON MFY KASHFIYOT 49-UY</t>
        </is>
      </c>
      <c r="I354" s="99">
        <v>1852074.84</v>
      </c>
      <c r="K354" s="98" t="inlineStr">
        <is>
          <t xml:space="preserve">Uyiga borildi - va'da berdi | uyida doston aka</t>
        </is>
      </c>
    </row>
    <row r="355">
      <c r="A355" s="98" t="inlineStr">
        <is>
          <t xml:space="preserve">САМАРКАНД ВИЛОЯТИ</t>
        </is>
      </c>
      <c r="C355" s="98" t="inlineStr">
        <is>
          <t xml:space="preserve">Недозвон</t>
        </is>
      </c>
      <c r="D355" s="98" t="inlineStr">
        <is>
          <t xml:space="preserve">Кр-99041918-2</t>
        </is>
      </c>
      <c r="E355" s="98" t="inlineStr">
        <is>
          <t xml:space="preserve">TURSUNOV G’AYRAT DAVLATOVICH</t>
        </is>
      </c>
      <c r="F355" s="98" t="inlineStr">
        <is>
          <t xml:space="preserve">+998884706797 SMS OZI BEGONA , 998883932255 UKASI, 998951833829 SMS ZALOGADATEL, 998981303304 SMS JIYANI,</t>
        </is>
      </c>
      <c r="G355" s="98" t="inlineStr">
        <is>
          <t xml:space="preserve">SAMARQAND VILOYATI URGUT TUMANI  KATTA KAMONGARON MFY XUJAAXROR 55-UY</t>
        </is>
      </c>
      <c r="H355" s="99">
        <v>10.0</v>
      </c>
      <c r="I355" s="99">
        <v>1803657.42</v>
      </c>
    </row>
    <row r="356">
      <c r="A356" s="98" t="inlineStr">
        <is>
          <t xml:space="preserve">САМАРКАНД ВИЛОЯТИ</t>
        </is>
      </c>
      <c r="C356" s="98" t="inlineStr">
        <is>
          <t xml:space="preserve">Объезд</t>
        </is>
      </c>
      <c r="D356" s="98" t="inlineStr">
        <is>
          <t xml:space="preserve">Кр-99007936-14</t>
        </is>
      </c>
      <c r="E356" s="98" t="inlineStr">
        <is>
          <t xml:space="preserve">MAMASHARIPOV UTKIR MAMARZAYEVICH</t>
        </is>
      </c>
      <c r="F356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56" s="98" t="inlineStr">
        <is>
          <t xml:space="preserve">SAMARQAND VILOYATI OQDARYO TUMANI A.TEMUR MFY KALLAR QISHLOG’I</t>
        </is>
      </c>
      <c r="H356" s="99">
        <v>10.0</v>
      </c>
      <c r="I356" s="99">
        <v>1779309.22</v>
      </c>
      <c r="K356" s="98" t="inlineStr">
        <is>
          <t xml:space="preserve">Uyiga borildi - va'da berdi</t>
        </is>
      </c>
    </row>
    <row r="357">
      <c r="A357" s="98" t="inlineStr">
        <is>
          <t xml:space="preserve">САМАРКАНД ВИЛОЯТИ</t>
        </is>
      </c>
      <c r="C357" s="98" t="inlineStr">
        <is>
          <t xml:space="preserve">Недозвон</t>
        </is>
      </c>
      <c r="D357" s="98" t="inlineStr">
        <is>
          <t xml:space="preserve">Кр-99041312-1</t>
        </is>
      </c>
      <c r="E357" s="98" t="inlineStr">
        <is>
          <t xml:space="preserve">XO’JAYEV G’AYRAT AMONTURDIYEVICH</t>
        </is>
      </c>
      <c r="F357" s="98" t="inlineStr">
        <is>
          <t xml:space="preserve">+998999818643 SMS OZI, 998909298903 SMS UKASI, 998990743194 SMS QAYNISI, 998996118822 SMS AYOLI,</t>
        </is>
      </c>
      <c r="G357" s="98" t="inlineStr">
        <is>
          <t xml:space="preserve">Тошкент Вилояти Зангиота Тумани Абдужалил боб МФЙ, Матрудий кучаси, 15-уй</t>
        </is>
      </c>
      <c r="H357" s="99">
        <v>10.0</v>
      </c>
      <c r="I357" s="99">
        <v>1776187.66</v>
      </c>
    </row>
    <row r="358">
      <c r="A358" s="98" t="inlineStr">
        <is>
          <t xml:space="preserve">САМАРКАНД ВИЛОЯТИ</t>
        </is>
      </c>
      <c r="C358" s="98" t="inlineStr">
        <is>
          <t xml:space="preserve">Объезд</t>
        </is>
      </c>
      <c r="D358" s="98" t="inlineStr">
        <is>
          <t xml:space="preserve">Кр-99040926-1</t>
        </is>
      </c>
      <c r="E358" s="98" t="inlineStr">
        <is>
          <t xml:space="preserve">ABDIVALIYEVA IRODA URAQOVNA</t>
        </is>
      </c>
      <c r="F358" s="98" t="inlineStr">
        <is>
          <t xml:space="preserve">+998993827337 SMS OZI, 998701085409 SMS OPASI, 998945378668 SMS UZI 2, 998993837337 SMS ERI,</t>
        </is>
      </c>
      <c r="G358" s="98" t="inlineStr">
        <is>
          <t xml:space="preserve">А.НАВОИЙ ҚФЙ, ЯНГИОБОД МФЙ, МУЗОН ҚИШЛОҒИ,  uy:Р/С</t>
        </is>
      </c>
      <c r="H358" s="99">
        <v>15.0</v>
      </c>
      <c r="I358" s="99">
        <v>1681946.37</v>
      </c>
      <c r="K358" s="98" t="inlineStr">
        <is>
          <t xml:space="preserve">Uyiga borildi - va'da berdi</t>
        </is>
      </c>
    </row>
    <row r="359">
      <c r="A359" s="98" t="inlineStr">
        <is>
          <t xml:space="preserve">САМАРКАНД ВИЛОЯТИ</t>
        </is>
      </c>
      <c r="C359" s="98" t="inlineStr">
        <is>
          <t xml:space="preserve">Недозвон</t>
        </is>
      </c>
      <c r="D359" s="98" t="inlineStr">
        <is>
          <t xml:space="preserve">Кр-99039207-2</t>
        </is>
      </c>
      <c r="E359" s="98" t="inlineStr">
        <is>
          <t xml:space="preserve">MOVLONOV RAHIMJON MURODJON O’G’LI</t>
        </is>
      </c>
      <c r="F359" s="98" t="inlineStr">
        <is>
          <t xml:space="preserve">998331005091 SMS UZI, 998947454504 SMS UKASI, 998771219609 SMS JIYANI, 998770742777 SMS UYI, +998331005091 SMS OZI,</t>
        </is>
      </c>
      <c r="G359" s="98" t="inlineStr">
        <is>
          <t xml:space="preserve">SAMARQAND VILOYATI URGUT TUMANI SARIQTEPQ MFY CHAMANZOR KUCHASI 25-UY</t>
        </is>
      </c>
      <c r="H359" s="99">
        <v>10.0</v>
      </c>
      <c r="I359" s="99">
        <v>1476305.17</v>
      </c>
    </row>
    <row r="360">
      <c r="A360" s="98" t="inlineStr">
        <is>
          <t xml:space="preserve">САМАРКАНД ВИЛОЯТИ</t>
        </is>
      </c>
      <c r="C360" s="98" t="inlineStr">
        <is>
          <t xml:space="preserve">Недозвон</t>
        </is>
      </c>
      <c r="D360" s="98" t="inlineStr">
        <is>
          <t xml:space="preserve">Кр-99063856-2</t>
        </is>
      </c>
      <c r="E360" s="98" t="inlineStr">
        <is>
          <t xml:space="preserve">XUSHANOVA MAXBUBA JAZILOVNA</t>
        </is>
      </c>
      <c r="F360" s="98" t="inlineStr">
        <is>
          <t xml:space="preserve">+998941879595 SMS OZI, 998889931922 SMS QIZI, 998938339898 SMS O’G’LI, 998949595951 SMS OZI 2,</t>
        </is>
      </c>
      <c r="G360" s="98" t="inlineStr">
        <is>
          <t xml:space="preserve">SAMARQAND VILOYATI QUSHRABOT  TUMANI BULOKBOSHI MFY BULOKBOSHI QISHLOG’I 1439-UY</t>
        </is>
      </c>
      <c r="H360" s="99">
        <v>10.0</v>
      </c>
      <c r="I360" s="99">
        <v>1304130.2</v>
      </c>
    </row>
    <row r="361">
      <c r="A361" s="98" t="inlineStr">
        <is>
          <t xml:space="preserve">САМАРКАНД ВИЛОЯТИ</t>
        </is>
      </c>
      <c r="C361" s="98" t="inlineStr">
        <is>
          <t xml:space="preserve">Объезд</t>
        </is>
      </c>
      <c r="D361" s="98" t="inlineStr">
        <is>
          <t xml:space="preserve">Кр-99007936-12</t>
        </is>
      </c>
      <c r="E361" s="98" t="inlineStr">
        <is>
          <t xml:space="preserve">MAMASHARIPOV UTKIR MAMARZAYEVICH</t>
        </is>
      </c>
      <c r="F361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61" s="98" t="inlineStr">
        <is>
          <t xml:space="preserve">SAMARQAND VILOYATI OQDARYO TUMANI A.TEMUR MFY KALLAR QISHLOG’I</t>
        </is>
      </c>
      <c r="H361" s="99">
        <v>10.0</v>
      </c>
      <c r="I361" s="99">
        <v>1197934.82</v>
      </c>
      <c r="K361" s="98" t="inlineStr">
        <is>
          <t xml:space="preserve">Uyiga borildi - va'da berdi</t>
        </is>
      </c>
    </row>
    <row r="362">
      <c r="A362" s="98" t="inlineStr">
        <is>
          <t xml:space="preserve">САМАРКАНД ВИЛОЯТИ</t>
        </is>
      </c>
      <c r="C362" s="98" t="inlineStr">
        <is>
          <t xml:space="preserve">Объезд</t>
        </is>
      </c>
      <c r="D362" s="98" t="inlineStr">
        <is>
          <t xml:space="preserve">Кр-99007936-11</t>
        </is>
      </c>
      <c r="E362" s="98" t="inlineStr">
        <is>
          <t xml:space="preserve">MAMASHARIPOV UTKIR MAMARZAYEVICH</t>
        </is>
      </c>
      <c r="F362" s="98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62" s="98" t="inlineStr">
        <is>
          <t xml:space="preserve">SAMARQAND VILOYATI OQDARYO TUMANI A.TEMUR MFY KALLAR QISHLOG’I</t>
        </is>
      </c>
      <c r="H362" s="99">
        <v>3.0</v>
      </c>
      <c r="I362" s="99">
        <v>1176359.03</v>
      </c>
      <c r="K362" s="98" t="inlineStr">
        <is>
          <t xml:space="preserve">Uyiga borildi - va'da berdi</t>
        </is>
      </c>
    </row>
    <row r="363">
      <c r="A363" s="98" t="inlineStr">
        <is>
          <t xml:space="preserve">САМАРКАНД ВИЛОЯТИ</t>
        </is>
      </c>
      <c r="C363" s="98" t="inlineStr">
        <is>
          <t xml:space="preserve">Недозвон</t>
        </is>
      </c>
      <c r="D363" s="98" t="inlineStr">
        <is>
          <t xml:space="preserve">Кр-99030028-2</t>
        </is>
      </c>
      <c r="E363" s="98" t="inlineStr">
        <is>
          <t xml:space="preserve">VAFOYEV AVAZ RABBIMOVICH</t>
        </is>
      </c>
      <c r="F363" s="98" t="inlineStr">
        <is>
          <t xml:space="preserve">93-724-90-87  SMS O’ZI, 93-330-72-27  SMS AKASI  , 93-555-03-77  SMS AKASI  2, 93-795-41-44  SMS AYOLI , +998935550377 SMS OZI,</t>
        </is>
      </c>
      <c r="G363" s="98" t="inlineStr">
        <is>
          <t xml:space="preserve">SAMARQAND VILOYATI TAYLOQ TUMANI  KUSHCHINOR MFY PAYSHABASIYOB QISHLOGI 19-UY</t>
        </is>
      </c>
      <c r="H363" s="99">
        <v>10.0</v>
      </c>
      <c r="I363" s="99">
        <v>1161840.07</v>
      </c>
      <c r="K363" s="98" t="inlineStr">
        <is>
          <t xml:space="preserve">Telefon ko'tarmadi | tusholmadim filialdi jonatildi</t>
        </is>
      </c>
    </row>
    <row r="364">
      <c r="A364" s="98" t="inlineStr">
        <is>
          <t xml:space="preserve">САМАРКАНД ВИЛОЯТИ</t>
        </is>
      </c>
      <c r="C364" s="98" t="inlineStr">
        <is>
          <t xml:space="preserve">Недозвон</t>
        </is>
      </c>
      <c r="D364" s="98" t="inlineStr">
        <is>
          <t xml:space="preserve">Кр-99059346-1</t>
        </is>
      </c>
      <c r="E364" s="98" t="inlineStr">
        <is>
          <t xml:space="preserve">ACHILOV SHERXON SHAKAROVICH</t>
        </is>
      </c>
      <c r="F364" s="98" t="inlineStr">
        <is>
          <t xml:space="preserve">+998330041688 SMS OZI, 998932375188 SMS OZI, 998933492556 SMS DADASI, 998939911888 SMS AYOLI,</t>
        </is>
      </c>
      <c r="G364" s="98" t="inlineStr">
        <is>
          <t xml:space="preserve">SAMARQAND VILOYATI NUROBOD TUMANI ULUS MFY SOY BUYI KUCHASI 196-UY</t>
        </is>
      </c>
      <c r="H364" s="99">
        <v>10.0</v>
      </c>
      <c r="I364" s="99">
        <v>1119496.19</v>
      </c>
    </row>
    <row r="365">
      <c r="A365" s="98" t="inlineStr">
        <is>
          <t xml:space="preserve">САМАРКАНД ВИЛОЯТИ</t>
        </is>
      </c>
      <c r="C365" s="98" t="inlineStr">
        <is>
          <t xml:space="preserve">Недозвон</t>
        </is>
      </c>
      <c r="D365" s="98" t="inlineStr">
        <is>
          <t xml:space="preserve">Кр-99047915-1</t>
        </is>
      </c>
      <c r="E365" s="98" t="inlineStr">
        <is>
          <t xml:space="preserve">NAMAZOVA DILOROM XIDIROVNA</t>
        </is>
      </c>
      <c r="F365" s="98" t="inlineStr">
        <is>
          <t xml:space="preserve">+998904481719 SMS OZI, 998931202837 SMS O’G’LI, 998941929705 SMS OZI 2, 998945020297 SMS QIZI,</t>
        </is>
      </c>
      <c r="G365" s="98" t="inlineStr">
        <is>
          <t xml:space="preserve">SAMARQAND VILOYATI PAYARIQ TUMANI XOSA MFY CHUQUR QISHLOG’I</t>
        </is>
      </c>
      <c r="H365" s="99">
        <v>10.0</v>
      </c>
      <c r="I365" s="99">
        <v>1099284.01</v>
      </c>
    </row>
    <row r="366">
      <c r="A366" s="98" t="inlineStr">
        <is>
          <t xml:space="preserve">САМАРКАНД ВИЛОЯТИ</t>
        </is>
      </c>
      <c r="C366" s="98" t="inlineStr">
        <is>
          <t xml:space="preserve">Недозвон</t>
        </is>
      </c>
      <c r="D366" s="98" t="inlineStr">
        <is>
          <t xml:space="preserve">Кр-99042992-1</t>
        </is>
      </c>
      <c r="E366" s="98" t="inlineStr">
        <is>
          <t xml:space="preserve">JONUZOQOV MIRZOHID G’OFUR O’G’LI</t>
        </is>
      </c>
      <c r="F366" s="98" t="inlineStr">
        <is>
          <t xml:space="preserve">+998913309695 SMS UZI, 998938569795 TURMUSH URTOGI, 998938579895 UZI 2 NOMERI, 998972973262 UKASI,</t>
        </is>
      </c>
      <c r="G366" s="98" t="inlineStr">
        <is>
          <t xml:space="preserve">НУГАЙ МФЙ, НУГАЙ ҚИШЛОҒИ,  uy:Р/С</t>
        </is>
      </c>
      <c r="H366" s="99">
        <v>10.0</v>
      </c>
      <c r="I366" s="99">
        <v>1020160.57</v>
      </c>
    </row>
    <row r="367">
      <c r="A367" s="98" t="inlineStr">
        <is>
          <t xml:space="preserve">САМАРКАНД ВИЛОЯТИ</t>
        </is>
      </c>
      <c r="C367" s="98" t="inlineStr">
        <is>
          <t xml:space="preserve">Недозвон</t>
        </is>
      </c>
      <c r="D367" s="98" t="inlineStr">
        <is>
          <t xml:space="preserve">Кр-99053428-1</t>
        </is>
      </c>
      <c r="E367" s="98" t="inlineStr">
        <is>
          <t xml:space="preserve">MELIBOYEVA AZIZA AZIMJONOVNA</t>
        </is>
      </c>
      <c r="F367" s="98" t="inlineStr">
        <is>
          <t xml:space="preserve">998944291093 SMS OZI, 998945222790 SMS ERI, 998902830777 SMS UYI, 998948059212 SMS QIZI, 998944291093 SMS QIZI,</t>
        </is>
      </c>
      <c r="G367" s="98" t="inlineStr">
        <is>
          <t xml:space="preserve">SAMARQAND VILOYATI NARPAY TUMANI UMID MFY UMID KUCHASI 4-UY</t>
        </is>
      </c>
      <c r="H367" s="99">
        <v>10.0</v>
      </c>
      <c r="I367" s="99">
        <v>1016732.48</v>
      </c>
    </row>
    <row r="368">
      <c r="A368" s="98" t="inlineStr">
        <is>
          <t xml:space="preserve">САМАРКАНД ВИЛОЯТИ</t>
        </is>
      </c>
      <c r="C368" s="98" t="inlineStr">
        <is>
          <t xml:space="preserve">Недозвон</t>
        </is>
      </c>
      <c r="D368" s="98" t="inlineStr">
        <is>
          <t xml:space="preserve">Кр-99007504-14</t>
        </is>
      </c>
      <c r="E368" s="98" t="inlineStr">
        <is>
          <t xml:space="preserve">SAMIYEVA BOXOROY AHTAMOVNA</t>
        </is>
      </c>
      <c r="F368" s="98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368" s="98" t="inlineStr">
        <is>
          <t xml:space="preserve">SAMARQAND VILOYATI JOMBOY TUMANI ZARAFSHON MFY O’RTABUZ QISHLOG’I 4-UY</t>
        </is>
      </c>
      <c r="H368" s="99">
        <v>10.0</v>
      </c>
      <c r="I368" s="99">
        <v>979465.49</v>
      </c>
      <c r="K368" s="98" t="inlineStr">
        <is>
          <t xml:space="preserve">Telefon ko'tarmadi | hamma nomer ochiq</t>
        </is>
      </c>
    </row>
    <row r="369">
      <c r="A369" s="98" t="inlineStr">
        <is>
          <t xml:space="preserve">САМАРКАНД ВИЛОЯТИ</t>
        </is>
      </c>
      <c r="C369" s="98" t="inlineStr">
        <is>
          <t xml:space="preserve">Объезд</t>
        </is>
      </c>
      <c r="D369" s="98" t="inlineStr">
        <is>
          <t xml:space="preserve">Кр-99008241-6</t>
        </is>
      </c>
      <c r="E369" s="98" t="inlineStr">
        <is>
          <t xml:space="preserve">KOMILOV SHERZOD NAJIMOVICH</t>
        </is>
      </c>
      <c r="F369" s="98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369" s="98" t="inlineStr">
        <is>
          <t xml:space="preserve">SAMARQAND VILOYATI KATTAQO’RG’ON TUMANI MULLAKICHKINA</t>
        </is>
      </c>
      <c r="H369" s="99">
        <v>2.0</v>
      </c>
      <c r="I369" s="99">
        <v>921961.21</v>
      </c>
      <c r="J369" s="99">
        <v>921961.21</v>
      </c>
      <c r="K369" s="98" t="inlineStr">
        <is>
          <t xml:space="preserve">Uyiga borildi - to'ladi | yopildi</t>
        </is>
      </c>
    </row>
    <row r="370">
      <c r="A370" s="98" t="inlineStr">
        <is>
          <t xml:space="preserve">САМАРКАНД ВИЛОЯТИ</t>
        </is>
      </c>
      <c r="C370" s="98" t="inlineStr">
        <is>
          <t xml:space="preserve">Объезд</t>
        </is>
      </c>
      <c r="D370" s="98" t="inlineStr">
        <is>
          <t xml:space="preserve">Кр-99034419-1</t>
        </is>
      </c>
      <c r="E370" s="98" t="inlineStr">
        <is>
          <t xml:space="preserve">ABDULLAYEVA SOADAT ALLAMURADOVNA</t>
        </is>
      </c>
      <c r="F370" s="98" t="inlineStr">
        <is>
          <t xml:space="preserve">998991332753 SMS O’ZI, 998942561450 SMS O’G’LI, 998992742115 SMS  NABIRASI,</t>
        </is>
      </c>
      <c r="G370" s="98" t="inlineStr">
        <is>
          <t xml:space="preserve">SAMARQAND VILOYATI PAXTACHI TUMANI ZARAFSHON MFY ORZU KUCHASI 34-UY</t>
        </is>
      </c>
      <c r="I370" s="99">
        <v>777575.78</v>
      </c>
      <c r="J370" s="99">
        <v>777575.78</v>
      </c>
      <c r="K370" s="98" t="inlineStr">
        <is>
          <t xml:space="preserve">Uyiga borildi - to'ladi | yopildi</t>
        </is>
      </c>
    </row>
    <row r="371">
      <c r="A371" s="98" t="inlineStr">
        <is>
          <t xml:space="preserve">САМАРКАНД ВИЛОЯТИ</t>
        </is>
      </c>
      <c r="C371" s="98" t="inlineStr">
        <is>
          <t xml:space="preserve">Объезд</t>
        </is>
      </c>
      <c r="D371" s="98" t="inlineStr">
        <is>
          <t xml:space="preserve">Кр-99037081-3</t>
        </is>
      </c>
      <c r="E371" s="98" t="inlineStr">
        <is>
          <t xml:space="preserve">QUZIYEV SHERZOD HAMDAMKULOVICH</t>
        </is>
      </c>
      <c r="F371" s="98" t="inlineStr">
        <is>
          <t xml:space="preserve">998944771277 SMS OZI, 998940090440 SMS AYOLI, 998990215277 SMS OGLI, 998930388336 SMS QIZI, 998700444786 SMS UZI NEW, 998700111786 SMS XOTINI NEW, 998990215277 SMS UY,</t>
        </is>
      </c>
      <c r="G371" s="98" t="inlineStr">
        <is>
          <t xml:space="preserve">SAMARQAND VILOYATI TAYLOQ TUMANI NAYMAN MFY JASORAT KUCHASI 1-UY</t>
        </is>
      </c>
      <c r="H371" s="99">
        <v>10.0</v>
      </c>
      <c r="I371" s="99">
        <v>687256.27</v>
      </c>
      <c r="K371" s="98" t="inlineStr">
        <is>
          <t xml:space="preserve">Uyiga borildi - va'da berdi</t>
        </is>
      </c>
    </row>
    <row r="372">
      <c r="A372" s="98" t="inlineStr">
        <is>
          <t xml:space="preserve">САМАРКАНД ВИЛОЯТИ</t>
        </is>
      </c>
      <c r="C372" s="98" t="inlineStr">
        <is>
          <t xml:space="preserve">Недозвон</t>
        </is>
      </c>
      <c r="D372" s="98" t="inlineStr">
        <is>
          <t xml:space="preserve">Кр-99063830-1</t>
        </is>
      </c>
      <c r="E372" s="98" t="inlineStr">
        <is>
          <t xml:space="preserve">XAMIDOVA MARHABO RAHMANOVNA</t>
        </is>
      </c>
      <c r="F372" s="98" t="inlineStr">
        <is>
          <t xml:space="preserve">+998915268657 SMS OZI, 998955268657 SMS UYI, 998975268657 SMS DADASI,</t>
        </is>
      </c>
      <c r="G372" s="98" t="inlineStr">
        <is>
          <t xml:space="preserve">SAMARQAND VILOYATI OQDARYO TUMANI PAXTAOBOD MFY PAXTAOBOD KUCHASI 44-UY</t>
        </is>
      </c>
      <c r="H372" s="99">
        <v>10.0</v>
      </c>
      <c r="I372" s="99">
        <v>562481.46</v>
      </c>
    </row>
    <row r="373">
      <c r="A373" s="98" t="inlineStr">
        <is>
          <t xml:space="preserve">САМАРКАНД ВИЛОЯТИ</t>
        </is>
      </c>
      <c r="C373" s="98" t="inlineStr">
        <is>
          <t xml:space="preserve">Недозвон</t>
        </is>
      </c>
      <c r="D373" s="98" t="inlineStr">
        <is>
          <t xml:space="preserve">Кр-99040231-1</t>
        </is>
      </c>
      <c r="E373" s="98" t="inlineStr">
        <is>
          <t xml:space="preserve">KUVAYEV MUHRIDDIN G’ULOMJON O’G’LI</t>
        </is>
      </c>
      <c r="F373" s="98" t="inlineStr">
        <is>
          <t xml:space="preserve">998701051101 SMS OZI, 998121114322 SMS OZI2, 998700511972 SMS ZALOGATEL,</t>
        </is>
      </c>
      <c r="G373" s="98" t="inlineStr">
        <is>
          <t xml:space="preserve">SAMARQAND VILOYATI PASTDARG'OM TUMANI XAMZO OBOD MFY SINCHI KUCHASI 35-UY</t>
        </is>
      </c>
      <c r="H373" s="99">
        <v>10.0</v>
      </c>
      <c r="I373" s="99">
        <v>386952.83</v>
      </c>
    </row>
    <row r="374">
      <c r="A374" s="100" t="inlineStr">
        <is>
          <t xml:space="preserve">СИРДАРЁ ВИЛОЯТИ</t>
        </is>
      </c>
      <c r="C374" s="100" t="inlineStr">
        <is>
          <t xml:space="preserve">Недозвон</t>
        </is>
      </c>
      <c r="D374" s="100" t="inlineStr">
        <is>
          <t xml:space="preserve">Кр-99038468-1</t>
        </is>
      </c>
      <c r="E374" s="100" t="inlineStr">
        <is>
          <t xml:space="preserve">NORQULOV SHOKIRJON BAXRIDDIN O’G’LI</t>
        </is>
      </c>
      <c r="F374" s="100" t="inlineStr">
        <is>
          <t xml:space="preserve">998979021400 SMS OZI, 998336821000 SMS UKASI begona , 998975237707 SMS AKASI,</t>
        </is>
      </c>
      <c r="G374" s="100" t="inlineStr">
        <is>
          <t xml:space="preserve">SIRDARYO VILOYATI SIRDARYO TUMANI,DEXKONOBOD MFY,BAYRAM KO’CHASI ,20-UY</t>
        </is>
      </c>
      <c r="H374" s="101">
        <v>87.0</v>
      </c>
      <c r="I374" s="101">
        <v>20266965.62</v>
      </c>
    </row>
    <row r="375">
      <c r="A375" s="100" t="inlineStr">
        <is>
          <t xml:space="preserve">СИРДАРЁ ВИЛОЯТИ</t>
        </is>
      </c>
      <c r="C375" s="100" t="inlineStr">
        <is>
          <t xml:space="preserve">Недозвон</t>
        </is>
      </c>
      <c r="D375" s="100" t="inlineStr">
        <is>
          <t xml:space="preserve">Кр-99063441-3</t>
        </is>
      </c>
      <c r="E375" s="100" t="inlineStr">
        <is>
          <t xml:space="preserve">NURMATOVA DILRABO NISHANOVNA</t>
        </is>
      </c>
      <c r="F375" s="100" t="inlineStr">
        <is>
          <t xml:space="preserve">998777273062 KICHIK O’G’LI, 998870001705 SMS O’ZO, 998971052101 O’G’LI,</t>
        </is>
      </c>
      <c r="G375" s="100" t="inlineStr">
        <is>
          <t xml:space="preserve">SIRDARYO VILOYATI GULISTON SHAHRI AXILLIK MFY BAXT KO’CHASI 18 UY</t>
        </is>
      </c>
      <c r="H375" s="101">
        <v>43.0</v>
      </c>
      <c r="I375" s="101">
        <v>13462613.04</v>
      </c>
    </row>
    <row r="376">
      <c r="A376" s="100" t="inlineStr">
        <is>
          <t xml:space="preserve">СИРДАРЁ ВИЛОЯТИ</t>
        </is>
      </c>
      <c r="C376" s="100" t="inlineStr">
        <is>
          <t xml:space="preserve">Недозвон</t>
        </is>
      </c>
      <c r="D376" s="100" t="inlineStr">
        <is>
          <t xml:space="preserve">Кр-99063182-1</t>
        </is>
      </c>
      <c r="E376" s="100" t="inlineStr">
        <is>
          <t xml:space="preserve">SIN ELZA XXX</t>
        </is>
      </c>
      <c r="F376" s="100" t="inlineStr">
        <is>
          <t xml:space="preserve">998999941925 OZI, 998906104509 QOSHNISI, 998994351703 QOSHNISI 2, 998999941925 узи 2,</t>
        </is>
      </c>
      <c r="G376" s="100" t="inlineStr">
        <is>
          <t xml:space="preserve">SIRDARYO VILOYATI YANGIYER,SHODIYONA MFY TALABALAR KO'CHASI 2-UY 46-XONADON </t>
        </is>
      </c>
      <c r="H376" s="101">
        <v>73.0</v>
      </c>
      <c r="I376" s="101">
        <v>13326464.28</v>
      </c>
    </row>
    <row r="377">
      <c r="A377" s="100" t="inlineStr">
        <is>
          <t xml:space="preserve">СИРДАРЁ ВИЛОЯТИ</t>
        </is>
      </c>
      <c r="C377" s="100" t="inlineStr">
        <is>
          <t xml:space="preserve">Недозвон</t>
        </is>
      </c>
      <c r="D377" s="100" t="inlineStr">
        <is>
          <t xml:space="preserve">Кр-99062686-1</t>
        </is>
      </c>
      <c r="E377" s="100" t="inlineStr">
        <is>
          <t xml:space="preserve">TOJIBOYEVA KUNDUZXON XXX</t>
        </is>
      </c>
      <c r="F377" s="100" t="inlineStr">
        <is>
          <t xml:space="preserve">998885378870 SMS OZI, 998871898886 SMS OGLI, 918888788218 SMS KELINI бегона нишонов махмуд номери бу, 998773641963 SMS ONASI ,</t>
        </is>
      </c>
      <c r="G377" s="100" t="inlineStr">
        <is>
          <t xml:space="preserve">SIRDARYO VILOYATI OQOLTIN TUMANI KO'RKAMDIYOR MFY MULKDOR KO'CHASI 11-UY </t>
        </is>
      </c>
      <c r="H377" s="101">
        <v>43.0</v>
      </c>
      <c r="I377" s="101">
        <v>9861737.62</v>
      </c>
    </row>
    <row r="378">
      <c r="A378" s="100" t="inlineStr">
        <is>
          <t xml:space="preserve">СИРДАРЁ ВИЛОЯТИ</t>
        </is>
      </c>
      <c r="C378" s="100" t="inlineStr">
        <is>
          <t xml:space="preserve">Недозвон</t>
        </is>
      </c>
      <c r="D378" s="100" t="inlineStr">
        <is>
          <t xml:space="preserve">Кр-99057470-1</t>
        </is>
      </c>
      <c r="E378" s="100" t="inlineStr">
        <is>
          <t xml:space="preserve">ABDUXOLIQOV JAVLON SHAVKATJON O’G’LI</t>
        </is>
      </c>
      <c r="F378" s="100" t="inlineStr">
        <is>
          <t xml:space="preserve">998999105595 SMS UZI, 998994360212 SMS AYOLI, 998904044343 AMA AKASI,</t>
        </is>
      </c>
      <c r="G378" s="100" t="inlineStr">
        <is>
          <t xml:space="preserve">SIRDARYO VILOYATI BOYOVUT TUMANI YANGI AVLOD MFY XUR O'LKA KUCHASI 22 UY </t>
        </is>
      </c>
      <c r="H378" s="101">
        <v>13.0</v>
      </c>
      <c r="I378" s="101">
        <v>9598538.76</v>
      </c>
    </row>
    <row r="379">
      <c r="A379" s="100" t="inlineStr">
        <is>
          <t xml:space="preserve">СИРДАРЁ ВИЛОЯТИ</t>
        </is>
      </c>
      <c r="C379" s="100" t="inlineStr">
        <is>
          <t xml:space="preserve">Недозвон</t>
        </is>
      </c>
      <c r="D379" s="100" t="inlineStr">
        <is>
          <t xml:space="preserve">Кр-99063455-3</t>
        </is>
      </c>
      <c r="E379" s="100" t="inlineStr">
        <is>
          <t xml:space="preserve">TASHKULOV BAXROM BAXRIDIN O’G’LI</t>
        </is>
      </c>
      <c r="F379" s="100" t="inlineStr">
        <is>
          <t xml:space="preserve">998882241205 UKASI, 998884049413 SMS O’ZI, 998884099802 AYOLI,</t>
        </is>
      </c>
      <c r="G379" s="100" t="inlineStr">
        <is>
          <t xml:space="preserve">SIRDARYO VILOYATI MIRZAOBOD TUMANI, NAVRO’Z MFY,CHO’LPON KO’CHASI 1-UY</t>
        </is>
      </c>
      <c r="H379" s="101">
        <v>10.0</v>
      </c>
      <c r="I379" s="101">
        <v>8582156.71</v>
      </c>
    </row>
    <row r="380">
      <c r="A380" s="100" t="inlineStr">
        <is>
          <t xml:space="preserve">СИРДАРЁ ВИЛОЯТИ</t>
        </is>
      </c>
      <c r="C380" s="100" t="inlineStr">
        <is>
          <t xml:space="preserve">Недозвон</t>
        </is>
      </c>
      <c r="D380" s="100" t="inlineStr">
        <is>
          <t xml:space="preserve">Кр-99059532-1</t>
        </is>
      </c>
      <c r="E380" s="100" t="inlineStr">
        <is>
          <t xml:space="preserve">MUXTOROV SHUHRAT HAZRATQUL O’G’LI</t>
        </is>
      </c>
      <c r="F380" s="100" t="inlineStr">
        <is>
          <t xml:space="preserve">998996161117 ozi BEGONA , 998332285050 akasi BEGONA , 998990473840 akasi,</t>
        </is>
      </c>
      <c r="G380" s="100" t="inlineStr">
        <is>
          <t xml:space="preserve">SIRDARYO VILOYATI SARDOBA TUMANI IIB</t>
        </is>
      </c>
      <c r="H380" s="101">
        <v>13.0</v>
      </c>
      <c r="I380" s="101">
        <v>8073869.4</v>
      </c>
    </row>
    <row r="381">
      <c r="A381" s="100" t="inlineStr">
        <is>
          <t xml:space="preserve">СИРДАРЁ ВИЛОЯТИ</t>
        </is>
      </c>
      <c r="C381" s="100" t="inlineStr">
        <is>
          <t xml:space="preserve">Недозвон</t>
        </is>
      </c>
      <c r="D381" s="100" t="inlineStr">
        <is>
          <t xml:space="preserve">Кр-99063040-1</t>
        </is>
      </c>
      <c r="E381" s="100" t="inlineStr">
        <is>
          <t xml:space="preserve">SODIKOVA MUXABBAT EGAMBERDIYEVNA</t>
        </is>
      </c>
      <c r="F381" s="100" t="inlineStr">
        <is>
          <t xml:space="preserve">998775019717 OZI, 998993737400 OGLI, 998996059944 JIYANI,</t>
        </is>
      </c>
      <c r="G381" s="100" t="inlineStr">
        <is>
          <t xml:space="preserve">SIRDARYO VILOYATI SARDOBA TUMANI DOSTLIK MFY NURAFSHON KOCHASI 23 UY 18 XONADON</t>
        </is>
      </c>
      <c r="H381" s="101">
        <v>13.0</v>
      </c>
      <c r="I381" s="101">
        <v>6842697.19</v>
      </c>
    </row>
    <row r="382">
      <c r="A382" s="100" t="inlineStr">
        <is>
          <t xml:space="preserve">СИРДАРЁ ВИЛОЯТИ</t>
        </is>
      </c>
      <c r="C382" s="100" t="inlineStr">
        <is>
          <t xml:space="preserve">Недозвон</t>
        </is>
      </c>
      <c r="D382" s="100" t="inlineStr">
        <is>
          <t xml:space="preserve">Кр-99063625-1</t>
        </is>
      </c>
      <c r="E382" s="100" t="inlineStr">
        <is>
          <t xml:space="preserve">MIRAXMEDOVA XIMOYAT LAPASOVNA</t>
        </is>
      </c>
      <c r="F382" s="100" t="inlineStr">
        <is>
          <t xml:space="preserve">998941619857 ONASI, 998945857070 ERI, 998976247717 SMS O’ZI,</t>
        </is>
      </c>
      <c r="G382" s="100" t="inlineStr">
        <is>
          <t xml:space="preserve">SIRDARYO VILOYATI</t>
        </is>
      </c>
      <c r="H382" s="101">
        <v>10.0</v>
      </c>
      <c r="I382" s="101">
        <v>6767413.67</v>
      </c>
    </row>
    <row r="383">
      <c r="A383" s="100" t="inlineStr">
        <is>
          <t xml:space="preserve">СИРДАРЁ ВИЛОЯТИ</t>
        </is>
      </c>
      <c r="C383" s="100" t="inlineStr">
        <is>
          <t xml:space="preserve">Недозвон</t>
        </is>
      </c>
      <c r="D383" s="100" t="inlineStr">
        <is>
          <t xml:space="preserve">Кр-99062786-1</t>
        </is>
      </c>
      <c r="E383" s="100" t="inlineStr">
        <is>
          <t xml:space="preserve">NORKUSHAKOVA GAVXAR DJUMANOVNA</t>
        </is>
      </c>
      <c r="F383" s="100" t="inlineStr">
        <is>
          <t xml:space="preserve">998904048101 OZI, 998906867177 ERI, 998888195159 QAYNONASI,</t>
        </is>
      </c>
      <c r="G383" s="100" t="inlineStr">
        <is>
          <t xml:space="preserve">SIRDARYO VILOYATI MIRZAOBOD TUMANI TINCHLIK MFY TOTUVLIK KO'CHASI 35-UY  </t>
        </is>
      </c>
      <c r="H383" s="101">
        <v>13.0</v>
      </c>
      <c r="I383" s="101">
        <v>6677733.85</v>
      </c>
    </row>
    <row r="384">
      <c r="A384" s="100" t="inlineStr">
        <is>
          <t xml:space="preserve">СИРДАРЁ ВИЛОЯТИ</t>
        </is>
      </c>
      <c r="C384" s="100" t="inlineStr">
        <is>
          <t xml:space="preserve">Недозвон</t>
        </is>
      </c>
      <c r="D384" s="100" t="inlineStr">
        <is>
          <t xml:space="preserve">Кр-99063984-1</t>
        </is>
      </c>
      <c r="E384" s="100" t="inlineStr">
        <is>
          <t xml:space="preserve">TURDIYEV MUROD FAYZIYEVICH</t>
        </is>
      </c>
      <c r="F384" s="100" t="inlineStr">
        <is>
          <t xml:space="preserve">+998947178184 SMS O’ZI, 998507708184 O’G’LI, 998932316955 AYOLI,</t>
        </is>
      </c>
      <c r="G384" s="100" t="inlineStr">
        <is>
          <t xml:space="preserve">SIRDARYO VILOYATI SIRDARYO TUMANI NAVRUZ MFY JASORAT KO’CHASI 25-UY</t>
        </is>
      </c>
      <c r="H384" s="101">
        <v>10.0</v>
      </c>
      <c r="I384" s="101">
        <v>5227759.25</v>
      </c>
    </row>
    <row r="385">
      <c r="A385" s="100" t="inlineStr">
        <is>
          <t xml:space="preserve">СИРДАРЁ ВИЛОЯТИ</t>
        </is>
      </c>
      <c r="C385" s="100" t="inlineStr">
        <is>
          <t xml:space="preserve">Недозвон</t>
        </is>
      </c>
      <c r="D385" s="100" t="inlineStr">
        <is>
          <t xml:space="preserve">Кр-99041345-1</t>
        </is>
      </c>
      <c r="E385" s="100" t="inlineStr">
        <is>
          <t xml:space="preserve">VALIYEV HURSHIDBEK SHERALI-O’G’LI</t>
        </is>
      </c>
      <c r="F385" s="100" t="inlineStr">
        <is>
          <t xml:space="preserve">+998979030596 SMS O’ZI, 998941500970 SMS OTASI, 998990069371 SMS AKASI, 998993909874 SMS ONASI,</t>
        </is>
      </c>
      <c r="G385" s="100" t="inlineStr">
        <is>
          <t xml:space="preserve">МЕХНАТОБОД КФЙ, ЯНГИ ЙЎЛ МФЙ, ОХУНБОБОЕВ КЎЧАСИ,  uy:Р/С</t>
        </is>
      </c>
      <c r="H385" s="101">
        <v>10.0</v>
      </c>
      <c r="I385" s="101">
        <v>4979924.33</v>
      </c>
    </row>
    <row r="386">
      <c r="A386" s="100" t="inlineStr">
        <is>
          <t xml:space="preserve">СИРДАРЁ ВИЛОЯТИ</t>
        </is>
      </c>
      <c r="C386" s="100" t="inlineStr">
        <is>
          <t xml:space="preserve">Недозвон</t>
        </is>
      </c>
      <c r="D386" s="100" t="inlineStr">
        <is>
          <t xml:space="preserve">Кр-99062723-1</t>
        </is>
      </c>
      <c r="E386" s="100" t="inlineStr">
        <is>
          <t xml:space="preserve">YOQUBOVA DILDORA BAHODIR QIZI</t>
        </is>
      </c>
      <c r="F386" s="100" t="inlineStr">
        <is>
          <t xml:space="preserve">998770023943 UY EGASI, 998935644021 DADASI, 998505208080 OPACHASI,</t>
        </is>
      </c>
      <c r="G386" s="100" t="inlineStr">
        <is>
          <t xml:space="preserve">SIRDARYO VILOYATI MIRZAOBOD TUMANI  OYDIN MFY DO'STLIK KO'CHASI 19-UY</t>
        </is>
      </c>
      <c r="H386" s="101">
        <v>15.0</v>
      </c>
      <c r="I386" s="101">
        <v>4678655.06</v>
      </c>
    </row>
    <row r="387">
      <c r="A387" s="100" t="inlineStr">
        <is>
          <t xml:space="preserve">СИРДАРЁ ВИЛОЯТИ</t>
        </is>
      </c>
      <c r="C387" s="100" t="inlineStr">
        <is>
          <t xml:space="preserve">Недозвон</t>
        </is>
      </c>
      <c r="D387" s="100" t="inlineStr">
        <is>
          <t xml:space="preserve">Кр-99032279-2</t>
        </is>
      </c>
      <c r="E387" s="100" t="inlineStr">
        <is>
          <t xml:space="preserve">RUZIYEVA ZILOLA XIRAJIDDINOVNA</t>
        </is>
      </c>
      <c r="F387" s="100" t="inlineStr">
        <is>
          <t xml:space="preserve">998996188285 SMS ERI, 998900348284 SMS O’ZI, 998953601108 SMS UY, 998330622025 SMS O’RTOG’I TOYIR,</t>
        </is>
      </c>
      <c r="G387" s="100" t="inlineStr">
        <is>
          <t xml:space="preserve">SIRDARYO VILOYATI SAYXUNOBOD TUMANI NURMATOBOD MFY ISTIQLOL QFY 6-UY</t>
        </is>
      </c>
      <c r="H387" s="101">
        <v>10.0</v>
      </c>
      <c r="I387" s="101">
        <v>4447274.76</v>
      </c>
    </row>
    <row r="388">
      <c r="A388" s="100" t="inlineStr">
        <is>
          <t xml:space="preserve">СИРДАРЁ ВИЛОЯТИ</t>
        </is>
      </c>
      <c r="C388" s="100" t="inlineStr">
        <is>
          <t xml:space="preserve">Недозвон</t>
        </is>
      </c>
      <c r="D388" s="100" t="inlineStr">
        <is>
          <t xml:space="preserve">Кр-99041885-2</t>
        </is>
      </c>
      <c r="E388" s="100" t="inlineStr">
        <is>
          <t xml:space="preserve">KUPAYEV ALIDJON JUMONOVICH</t>
        </is>
      </c>
      <c r="F388" s="100" t="inlineStr">
        <is>
          <t xml:space="preserve">+998945897003 SMS O’ZI, 998911044487 SMS UKASI, 998949184343 SMS AYOLI 2, 998994774851 SMS AYOLI,</t>
        </is>
      </c>
      <c r="G388" s="100" t="inlineStr">
        <is>
          <t xml:space="preserve">СИРДАРЁ ВИЛОЯТИ ХАВАСТ ТУМАНИ МУСТАКИЛЛИК МФЙ,Мустакиллик кучаси   uy:53/2</t>
        </is>
      </c>
      <c r="H388" s="101">
        <v>10.0</v>
      </c>
      <c r="I388" s="101">
        <v>3861875.41</v>
      </c>
    </row>
    <row r="389">
      <c r="A389" s="100" t="inlineStr">
        <is>
          <t xml:space="preserve">СИРДАРЁ ВИЛОЯТИ</t>
        </is>
      </c>
      <c r="C389" s="100" t="inlineStr">
        <is>
          <t xml:space="preserve">Недозвон</t>
        </is>
      </c>
      <c r="D389" s="100" t="inlineStr">
        <is>
          <t xml:space="preserve">Кр-99035766-1</t>
        </is>
      </c>
      <c r="E389" s="100" t="inlineStr">
        <is>
          <t xml:space="preserve">MUXITDINOVA FERUZA IMMATOVNA</t>
        </is>
      </c>
      <c r="F389" s="100" t="inlineStr">
        <is>
          <t xml:space="preserve">998995087337 SMS O’ZI , 998931987121 SMS ERI алдавоти пидарас манмасман диб, 998999141683 SMS QIZI , 998996115773 SMS UY TELEFONI,</t>
        </is>
      </c>
      <c r="G389" s="100" t="inlineStr">
        <is>
          <t xml:space="preserve">SIRDARYO VILOYATI MIRZAOBOD TUMANI NAVRUZ SHAXARCHASI BAXOR KO’CHASI 24-UY</t>
        </is>
      </c>
      <c r="H389" s="101">
        <v>3.0</v>
      </c>
      <c r="I389" s="101">
        <v>3793453.36</v>
      </c>
    </row>
    <row r="390">
      <c r="A390" s="100" t="inlineStr">
        <is>
          <t xml:space="preserve">СИРДАРЁ ВИЛОЯТИ</t>
        </is>
      </c>
      <c r="C390" s="100" t="inlineStr">
        <is>
          <t xml:space="preserve">Недозвон</t>
        </is>
      </c>
      <c r="D390" s="100" t="inlineStr">
        <is>
          <t xml:space="preserve">Кр-99063295-1</t>
        </is>
      </c>
      <c r="E390" s="100" t="inlineStr">
        <is>
          <t xml:space="preserve">SAIDOVA DILSHODA AZIZOVNA</t>
        </is>
      </c>
      <c r="F390" s="100" t="inlineStr">
        <is>
          <t xml:space="preserve">998507240493 UY EGASI AYOLI, 998880201093 SMS O’ZI, 998950421226 uY EGASI OPACHASI, 998990080493 UY EGASI,</t>
        </is>
      </c>
      <c r="G390" s="100" t="inlineStr">
        <is>
          <t xml:space="preserve">SIRDARYO VILOYATI OQOLTIN TUMANI  KO’RKAMDIYOR MFY INTILISH KO’CHASI 10-UY 6-XONADON</t>
        </is>
      </c>
      <c r="H390" s="101">
        <v>10.0</v>
      </c>
      <c r="I390" s="101">
        <v>3749797.29</v>
      </c>
    </row>
    <row r="391">
      <c r="A391" s="100" t="inlineStr">
        <is>
          <t xml:space="preserve">СИРДАРЁ ВИЛОЯТИ</t>
        </is>
      </c>
      <c r="C391" s="100" t="inlineStr">
        <is>
          <t xml:space="preserve">Недозвон</t>
        </is>
      </c>
      <c r="D391" s="100" t="inlineStr">
        <is>
          <t xml:space="preserve">Кр-99051337-1</t>
        </is>
      </c>
      <c r="E391" s="100" t="inlineStr">
        <is>
          <t xml:space="preserve">NURMATOV ISLOMJON MUSTAFAKULOVICH</t>
        </is>
      </c>
      <c r="F391" s="100" t="inlineStr">
        <is>
          <t xml:space="preserve">998910226530 SMS OZI,</t>
        </is>
      </c>
      <c r="G391" s="100" t="inlineStr">
        <is>
          <t xml:space="preserve">SIRDARYO VILOYATI SAYXUNOBOD TUMAN NUROBOD MFY RAVOKLI KUCHASI 36-UY</t>
        </is>
      </c>
      <c r="H391" s="101">
        <v>10.0</v>
      </c>
      <c r="I391" s="101">
        <v>3404232.76</v>
      </c>
    </row>
    <row r="392">
      <c r="A392" s="100" t="inlineStr">
        <is>
          <t xml:space="preserve">СИРДАРЁ ВИЛОЯТИ</t>
        </is>
      </c>
      <c r="C392" s="100" t="inlineStr">
        <is>
          <t xml:space="preserve">Недозвон</t>
        </is>
      </c>
      <c r="D392" s="100" t="inlineStr">
        <is>
          <t xml:space="preserve">Кр-99058772-1</t>
        </is>
      </c>
      <c r="E392" s="100" t="inlineStr">
        <is>
          <t xml:space="preserve">XAITKULOV NURILLO UBAYDULLAYEVICH</t>
        </is>
      </c>
      <c r="F392" s="100" t="inlineStr">
        <is>
          <t xml:space="preserve">998888348087 SMS OZI, 998910233161 SMS AYOLI, 998915069232 SMS ONASI,</t>
        </is>
      </c>
      <c r="G392" s="100" t="inlineStr">
        <is>
          <t xml:space="preserve">SIRDARYO VILOYATI SIRDARYO TUMANI BESHBULOQ MFY CHAROGON KO'CHASI 4-UY </t>
        </is>
      </c>
      <c r="H392" s="101">
        <v>10.0</v>
      </c>
      <c r="I392" s="101">
        <v>3382505.91</v>
      </c>
    </row>
    <row r="393">
      <c r="A393" s="100" t="inlineStr">
        <is>
          <t xml:space="preserve">СИРДАРЁ ВИЛОЯТИ</t>
        </is>
      </c>
      <c r="C393" s="100" t="inlineStr">
        <is>
          <t xml:space="preserve">Недозвон</t>
        </is>
      </c>
      <c r="D393" s="100" t="inlineStr">
        <is>
          <t xml:space="preserve">Кр-99034037-1</t>
        </is>
      </c>
      <c r="E393" s="100" t="inlineStr">
        <is>
          <t xml:space="preserve">XUSANBAYEVA XOLIDA MIRXALILOVNA</t>
        </is>
      </c>
      <c r="F393" s="100" t="inlineStr">
        <is>
          <t xml:space="preserve">998993722072 SMS OZI qizi tolidi , 998978761991 SMS OGLI, 998884756464 SMS OGLI БЕГОНА,</t>
        </is>
      </c>
      <c r="G393" s="100" t="inlineStr">
        <is>
          <t xml:space="preserve">SIRDARYO VILOYATI, SIRDARYO TUMANI, YOSHLIK MFY, M. AXMEDOV KUCHASI 89 UY </t>
        </is>
      </c>
      <c r="H393" s="101">
        <v>13.0</v>
      </c>
      <c r="I393" s="101">
        <v>3341665.18</v>
      </c>
    </row>
    <row r="394">
      <c r="A394" s="100" t="inlineStr">
        <is>
          <t xml:space="preserve">СИРДАРЁ ВИЛОЯТИ</t>
        </is>
      </c>
      <c r="C394" s="100" t="inlineStr">
        <is>
          <t xml:space="preserve">Недозвон</t>
        </is>
      </c>
      <c r="D394" s="100" t="inlineStr">
        <is>
          <t xml:space="preserve">Кр-99063055-1</t>
        </is>
      </c>
      <c r="E394" s="100" t="inlineStr">
        <is>
          <t xml:space="preserve">BOBOYEVA DILNOZA O’RINXODJAYEVNA</t>
        </is>
      </c>
      <c r="F394" s="100" t="inlineStr">
        <is>
          <t xml:space="preserve">998918032785 OZI, 998908520497 QIZI, 998901092365 ONASI,</t>
        </is>
      </c>
      <c r="G394" s="100" t="inlineStr">
        <is>
          <t xml:space="preserve">SIRDARYO VILOYATI SHIRIN SHAHRI A.TEMUR MFY HALQLAR DO'STLIGI SHOX KO'CHASI 9-UY 70-XONADON</t>
        </is>
      </c>
      <c r="H394" s="101">
        <v>10.0</v>
      </c>
      <c r="I394" s="101">
        <v>3319343.56</v>
      </c>
    </row>
    <row r="395">
      <c r="A395" s="100" t="inlineStr">
        <is>
          <t xml:space="preserve">СИРДАРЁ ВИЛОЯТИ</t>
        </is>
      </c>
      <c r="C395" s="100" t="inlineStr">
        <is>
          <t xml:space="preserve">Недозвон</t>
        </is>
      </c>
      <c r="D395" s="100" t="inlineStr">
        <is>
          <t xml:space="preserve">Кр-99062749-1</t>
        </is>
      </c>
      <c r="E395" s="100" t="inlineStr">
        <is>
          <t xml:space="preserve">NASRIDDINOV ZOIRJON TOJIKULOVICH</t>
        </is>
      </c>
      <c r="F395" s="100" t="inlineStr">
        <is>
          <t xml:space="preserve">998994778022 UY EGASI, 998999242571 ERI, 998918897878 O’G’LI,</t>
        </is>
      </c>
      <c r="G395" s="100" t="inlineStr">
        <is>
          <t xml:space="preserve">SIRDARYO VILOYATI XAVAST TUMANI YANGIER MFY MARVARID KUCHASI 34-UY  </t>
        </is>
      </c>
      <c r="H395" s="101">
        <v>14.0</v>
      </c>
      <c r="I395" s="101">
        <v>3153564.64</v>
      </c>
    </row>
    <row r="396">
      <c r="A396" s="100" t="inlineStr">
        <is>
          <t xml:space="preserve">СИРДАРЁ ВИЛОЯТИ</t>
        </is>
      </c>
      <c r="C396" s="100" t="inlineStr">
        <is>
          <t xml:space="preserve">Недозвон</t>
        </is>
      </c>
      <c r="D396" s="100" t="inlineStr">
        <is>
          <t xml:space="preserve">Кр-99037455-1</t>
        </is>
      </c>
      <c r="E396" s="100" t="inlineStr">
        <is>
          <t xml:space="preserve">XIDIROV BEKZOD ABDUXALILOVICH</t>
        </is>
      </c>
      <c r="F396" s="100" t="inlineStr">
        <is>
          <t xml:space="preserve">998958307772 SMS O’ZI, 998902551040 SMS AKASI, 998902557772 SMS DADASI, 998915041272 SMS ONASI,</t>
        </is>
      </c>
      <c r="G396" s="100" t="inlineStr">
        <is>
          <t xml:space="preserve">SIRDARYO VILOYATI SIRDARYO TUMANI YOSHLIK MFY ULUG'BEK  KUCHASI 142-UY</t>
        </is>
      </c>
      <c r="H396" s="101">
        <v>1.0</v>
      </c>
      <c r="I396" s="101">
        <v>3110811.34</v>
      </c>
    </row>
    <row r="397">
      <c r="A397" s="100" t="inlineStr">
        <is>
          <t xml:space="preserve">СИРДАРЁ ВИЛОЯТИ</t>
        </is>
      </c>
      <c r="C397" s="100" t="inlineStr">
        <is>
          <t xml:space="preserve">Недозвон</t>
        </is>
      </c>
      <c r="D397" s="100" t="inlineStr">
        <is>
          <t xml:space="preserve">Кр-99041076-1</t>
        </is>
      </c>
      <c r="E397" s="100" t="inlineStr">
        <is>
          <t xml:space="preserve">TAJIBAYEVA MAVLYUDA ABDURASULOVNA</t>
        </is>
      </c>
      <c r="F397" s="100" t="inlineStr">
        <is>
          <t xml:space="preserve">+998880876663 SMS O’ZI, 998882374048 SMS O’G’LI, 998902385727 SMS O’G’LI 2, 998906857682 SMS QIZI,</t>
        </is>
      </c>
      <c r="G397" s="100" t="inlineStr">
        <is>
          <t xml:space="preserve">ДЕХКОНОБОД ШФЙ; ДЎСТЛИК МФЙ, ДЕХКОНОБОД ШФЙ, ДЎСТЛИК МФЙ, НАВБАХОР,  uy:10</t>
        </is>
      </c>
      <c r="H397" s="101">
        <v>10.0</v>
      </c>
      <c r="I397" s="101">
        <v>2891515.6</v>
      </c>
    </row>
    <row r="398">
      <c r="A398" s="100" t="inlineStr">
        <is>
          <t xml:space="preserve">СИРДАРЁ ВИЛОЯТИ</t>
        </is>
      </c>
      <c r="C398" s="100" t="inlineStr">
        <is>
          <t xml:space="preserve">Недозвон</t>
        </is>
      </c>
      <c r="D398" s="100" t="inlineStr">
        <is>
          <t xml:space="preserve">Кр-99063455-4</t>
        </is>
      </c>
      <c r="E398" s="100" t="inlineStr">
        <is>
          <t xml:space="preserve">TASHKULOV BAXROM BAXRIDIN O’G’LI</t>
        </is>
      </c>
      <c r="F398" s="100" t="inlineStr">
        <is>
          <t xml:space="preserve">998882241205 UKASI, 998884049413 SMS O’ZI, 998884099802 AYOLI,</t>
        </is>
      </c>
      <c r="G398" s="100" t="inlineStr">
        <is>
          <t xml:space="preserve">SIRDARYO VILOYATI MIRZAOBOD TUMANI, NAVRO’Z MFY,CHO’LPON KO’CHASI 1-UY</t>
        </is>
      </c>
      <c r="H398" s="101">
        <v>10.0</v>
      </c>
      <c r="I398" s="101">
        <v>2837886.76</v>
      </c>
    </row>
    <row r="399">
      <c r="A399" s="100" t="inlineStr">
        <is>
          <t xml:space="preserve">СИРДАРЁ ВИЛОЯТИ</t>
        </is>
      </c>
      <c r="C399" s="100" t="inlineStr">
        <is>
          <t xml:space="preserve">Недозвон</t>
        </is>
      </c>
      <c r="D399" s="100" t="inlineStr">
        <is>
          <t xml:space="preserve">Кр-99041027-1</t>
        </is>
      </c>
      <c r="E399" s="100" t="inlineStr">
        <is>
          <t xml:space="preserve">NOSIROV UMIDJON ABDUNAZAROVICH</t>
        </is>
      </c>
      <c r="F399" s="100" t="inlineStr">
        <is>
          <t xml:space="preserve">+998949064060 SMS O’ZI, 998994725252 SMS AYOLI, 998999351062 SMS AYOLI BEGONA ,</t>
        </is>
      </c>
      <c r="G399" s="100" t="inlineStr">
        <is>
          <t xml:space="preserve">Ижодкор МФЙ, Огахий кучаси, 8-уй</t>
        </is>
      </c>
      <c r="H399" s="101">
        <v>13.0</v>
      </c>
      <c r="I399" s="101">
        <v>2762457.32</v>
      </c>
    </row>
    <row r="400">
      <c r="A400" s="100" t="inlineStr">
        <is>
          <t xml:space="preserve">СИРДАРЁ ВИЛОЯТИ</t>
        </is>
      </c>
      <c r="C400" s="100" t="inlineStr">
        <is>
          <t xml:space="preserve">Недозвон</t>
        </is>
      </c>
      <c r="D400" s="100" t="inlineStr">
        <is>
          <t xml:space="preserve">Кр-99032500-1</t>
        </is>
      </c>
      <c r="E400" s="100" t="inlineStr">
        <is>
          <t xml:space="preserve">ISAYEVA SHARAFAT NARBAYEVNA</t>
        </is>
      </c>
      <c r="F400" s="100" t="inlineStr">
        <is>
          <t xml:space="preserve">998993094812 SMS O’ZI, 998994421212 SMS QO’SHNISI, 998994720137 SMS QAYNISI, 998993909644 туловчисини номери ERI,</t>
        </is>
      </c>
      <c r="G400" s="100" t="inlineStr">
        <is>
          <t xml:space="preserve">SIRDARYO VILOYATI, SIRDARYO TUMANI, XALQOBOD QFY, QUYOSH MFY, BAXT KO’CHASI 7-UY</t>
        </is>
      </c>
      <c r="H400" s="101">
        <v>8.0</v>
      </c>
      <c r="I400" s="101">
        <v>2671251.69</v>
      </c>
    </row>
    <row r="401">
      <c r="A401" s="100" t="inlineStr">
        <is>
          <t xml:space="preserve">СИРДАРЁ ВИЛОЯТИ</t>
        </is>
      </c>
      <c r="C401" s="100" t="inlineStr">
        <is>
          <t xml:space="preserve">Недозвон</t>
        </is>
      </c>
      <c r="D401" s="100" t="inlineStr">
        <is>
          <t xml:space="preserve">Кр-99038062-2</t>
        </is>
      </c>
      <c r="E401" s="100" t="inlineStr">
        <is>
          <t xml:space="preserve">ELIBAYEV ALISHER AXMATOVICH</t>
        </is>
      </c>
      <c r="F401" s="100" t="inlineStr">
        <is>
          <t xml:space="preserve">998977520115 SMS  OZI, 998974417602 SMS OPASI, 998977807602 SMS POCHASI begona, 998943531331 aliwer sms,</t>
        </is>
      </c>
      <c r="G401" s="100" t="inlineStr">
        <is>
          <t xml:space="preserve">SIRDARYO VILOYATI SIRDARYO SHAHAR DUSTLIK MFY,X.OLIMJON 172-UY</t>
        </is>
      </c>
      <c r="H401" s="101">
        <v>10.0</v>
      </c>
      <c r="I401" s="101">
        <v>2550875.91</v>
      </c>
    </row>
    <row r="402">
      <c r="A402" s="100" t="inlineStr">
        <is>
          <t xml:space="preserve">СИРДАРЁ ВИЛОЯТИ</t>
        </is>
      </c>
      <c r="C402" s="100" t="inlineStr">
        <is>
          <t xml:space="preserve">Недозвон</t>
        </is>
      </c>
      <c r="D402" s="100" t="inlineStr">
        <is>
          <t xml:space="preserve">Кр-99040239-1</t>
        </is>
      </c>
      <c r="E402" s="100" t="inlineStr">
        <is>
          <t xml:space="preserve">ABDULLAYEV DONIYOR BAXTIYOR O’G’LI</t>
        </is>
      </c>
      <c r="F402" s="100" t="inlineStr">
        <is>
          <t xml:space="preserve">998945717201 SMS OZI, 998949817201 SMS AYOLI, 998881470222 SMS UKASI, 998856502222 SMS UKASI 2,</t>
        </is>
      </c>
      <c r="G402" s="100" t="inlineStr">
        <is>
          <t xml:space="preserve">SIRDARYO VILOYATI SARDOBA TUMANI BIRLIK MFY TINCHLIKSEVAR KUCHASI 28A-UY</t>
        </is>
      </c>
      <c r="H402" s="101">
        <v>10.0</v>
      </c>
      <c r="I402" s="101">
        <v>2401997.61</v>
      </c>
    </row>
    <row r="403">
      <c r="A403" s="100" t="inlineStr">
        <is>
          <t xml:space="preserve">СИРДАРЁ ВИЛОЯТИ</t>
        </is>
      </c>
      <c r="C403" s="100" t="inlineStr">
        <is>
          <t xml:space="preserve">Недозвон</t>
        </is>
      </c>
      <c r="D403" s="100" t="inlineStr">
        <is>
          <t xml:space="preserve">Кр-99038640-1</t>
        </is>
      </c>
      <c r="E403" s="100" t="inlineStr">
        <is>
          <t xml:space="preserve">USMANOVA MUXABAT XXX</t>
        </is>
      </c>
      <c r="F403" s="100" t="inlineStr">
        <is>
          <t xml:space="preserve">998904005505 SMS OZI, 998918024040 SMS OGLI begona, 998904044005 SMS NEVARASI, 998995355511 SMS KELINI,</t>
        </is>
      </c>
      <c r="G403" s="100" t="inlineStr">
        <is>
          <t xml:space="preserve">SIRDARYO VILOYATI GULISTON SHAHAR  ULUGOBOD  MFY NASTARIN KUCHASI 2/1-UY</t>
        </is>
      </c>
      <c r="H403" s="101">
        <v>13.0</v>
      </c>
      <c r="I403" s="101">
        <v>2043031.89</v>
      </c>
    </row>
    <row r="404">
      <c r="A404" s="100" t="inlineStr">
        <is>
          <t xml:space="preserve">СИРДАРЁ ВИЛОЯТИ</t>
        </is>
      </c>
      <c r="C404" s="100" t="inlineStr">
        <is>
          <t xml:space="preserve">Недозвон</t>
        </is>
      </c>
      <c r="D404" s="100" t="inlineStr">
        <is>
          <t xml:space="preserve">Кр-99062711-1</t>
        </is>
      </c>
      <c r="E404" s="100" t="inlineStr">
        <is>
          <t xml:space="preserve">URALOV ABDURASHID SINDAROVICH</t>
        </is>
      </c>
      <c r="F404" s="100" t="inlineStr">
        <is>
          <t xml:space="preserve">998771293776 SMS OZI, 998995373778 SMS AYOLI, 998991293776 SMS OGLI BEGONA,</t>
        </is>
      </c>
      <c r="G404" s="100" t="inlineStr">
        <is>
          <t xml:space="preserve">SIRDARYO VILOYATI SAYXUNOBOD TUMANI FAROVON MFY BAYNALMILAL KO'CHASI 4-UY  </t>
        </is>
      </c>
      <c r="H404" s="101">
        <v>15.0</v>
      </c>
      <c r="I404" s="101">
        <v>2040918.12</v>
      </c>
    </row>
    <row r="405">
      <c r="A405" s="100" t="inlineStr">
        <is>
          <t xml:space="preserve">СИРДАРЁ ВИЛОЯТИ</t>
        </is>
      </c>
      <c r="C405" s="100" t="inlineStr">
        <is>
          <t xml:space="preserve">Недозвон</t>
        </is>
      </c>
      <c r="D405" s="100" t="inlineStr">
        <is>
          <t xml:space="preserve">Кр-99050710-1</t>
        </is>
      </c>
      <c r="E405" s="100" t="inlineStr">
        <is>
          <t xml:space="preserve">XUSANOVA GULBAXOR RAXMATULLAYEVNA</t>
        </is>
      </c>
      <c r="F405" s="100" t="inlineStr">
        <is>
          <t xml:space="preserve">998933227666 узи, 998971048884 эри, 998906838188 укаси, 998932783322 yiban eri,</t>
        </is>
      </c>
      <c r="G405" s="100" t="inlineStr">
        <is>
          <t xml:space="preserve">XOVOS TUMANI</t>
        </is>
      </c>
      <c r="H405" s="101">
        <v>10.0</v>
      </c>
      <c r="I405" s="101">
        <v>1973233.88</v>
      </c>
    </row>
    <row r="406">
      <c r="A406" s="100" t="inlineStr">
        <is>
          <t xml:space="preserve">СИРДАРЁ ВИЛОЯТИ</t>
        </is>
      </c>
      <c r="C406" s="100" t="inlineStr">
        <is>
          <t xml:space="preserve">Недозвон</t>
        </is>
      </c>
      <c r="D406" s="100" t="inlineStr">
        <is>
          <t xml:space="preserve">Кр-99057383-1</t>
        </is>
      </c>
      <c r="E406" s="100" t="inlineStr">
        <is>
          <t xml:space="preserve">ALIBERDIYEVA IRODA DAVLAT QIZI</t>
        </is>
      </c>
      <c r="F406" s="100" t="inlineStr">
        <is>
          <t xml:space="preserve">998901069392 SMS UZI, 998990495033 SMS ERI, 998150150022 SMS ERI 2,</t>
        </is>
      </c>
      <c r="G406" s="100" t="inlineStr">
        <is>
          <t xml:space="preserve">SIRDARYO VILOYATI XOVOS TUMANI XOVOSOBOD MFY G'ALABA KUCHASI 22-UY</t>
        </is>
      </c>
      <c r="H406" s="101">
        <v>10.0</v>
      </c>
      <c r="I406" s="101">
        <v>1799458.64</v>
      </c>
    </row>
    <row r="407">
      <c r="A407" s="100" t="inlineStr">
        <is>
          <t xml:space="preserve">СИРДАРЁ ВИЛОЯТИ</t>
        </is>
      </c>
      <c r="C407" s="100" t="inlineStr">
        <is>
          <t xml:space="preserve">Недозвон</t>
        </is>
      </c>
      <c r="D407" s="100" t="inlineStr">
        <is>
          <t xml:space="preserve">Кр-99063157-2</t>
        </is>
      </c>
      <c r="E407" s="100" t="inlineStr">
        <is>
          <t xml:space="preserve">KUNAROVA SHAXNOZA ANORKUL QIZI</t>
        </is>
      </c>
      <c r="F407" s="100" t="inlineStr">
        <is>
          <t xml:space="preserve">+998933471411 SMS O’ZI, 998949416631 UY EGASI TO'LOVCHI, 998996501458 QIZI, 998933233588 SMS O'ZI NEW,</t>
        </is>
      </c>
      <c r="G407" s="100" t="inlineStr">
        <is>
          <t xml:space="preserve">SIRDARYO VILOYATI GULISTON TUMANI ISHONCH MFY ADOLAT KO’CHASI 67-UY</t>
        </is>
      </c>
      <c r="H407" s="101">
        <v>10.0</v>
      </c>
      <c r="I407" s="101">
        <v>1749382.02</v>
      </c>
    </row>
    <row r="408">
      <c r="A408" s="100" t="inlineStr">
        <is>
          <t xml:space="preserve">СИРДАРЁ ВИЛОЯТИ</t>
        </is>
      </c>
      <c r="C408" s="100" t="inlineStr">
        <is>
          <t xml:space="preserve">Недозвон</t>
        </is>
      </c>
      <c r="D408" s="100" t="inlineStr">
        <is>
          <t xml:space="preserve">Кр-99038054-1</t>
        </is>
      </c>
      <c r="E408" s="100" t="inlineStr">
        <is>
          <t xml:space="preserve">DEHQONOV KAMOLIDDIN NE’MATJON O’G’LI</t>
        </is>
      </c>
      <c r="F408" s="100" t="inlineStr">
        <is>
          <t xml:space="preserve">998889090646 SMS OZI, 998887017444 SMS AKASI begana tel qilinmasin, 998980105220 SMS AKASI,</t>
        </is>
      </c>
      <c r="G408" s="100" t="inlineStr">
        <is>
          <t xml:space="preserve">SIRDRAYO VILOYATI MIRZAOBOD TUMANI MIRZO ULUG'BEK MFY KAMOLAT KUCHASI 1 UY</t>
        </is>
      </c>
      <c r="H408" s="101">
        <v>6.0</v>
      </c>
      <c r="I408" s="101">
        <v>1700200.55</v>
      </c>
    </row>
    <row r="409">
      <c r="A409" s="100" t="inlineStr">
        <is>
          <t xml:space="preserve">СИРДАРЁ ВИЛОЯТИ</t>
        </is>
      </c>
      <c r="C409" s="100" t="inlineStr">
        <is>
          <t xml:space="preserve">Недозвон</t>
        </is>
      </c>
      <c r="D409" s="100" t="inlineStr">
        <is>
          <t xml:space="preserve">Кр-99041286-1</t>
        </is>
      </c>
      <c r="E409" s="100" t="inlineStr">
        <is>
          <t xml:space="preserve">TOYCHIYEV G’AYRATJON TO’LQINOVICH</t>
        </is>
      </c>
      <c r="F409" s="100" t="inlineStr">
        <is>
          <t xml:space="preserve">+998979777919 SMS O’ZI, 998889777919 SMS ONASI, 998941670281 SMS AYOLI, 998972777919 SMS O’ZI 2,</t>
        </is>
      </c>
      <c r="G409" s="100" t="inlineStr">
        <is>
          <t xml:space="preserve">МИРЗАЧУЛ КФЙ, ЯНГИОВУЛ МФЙ, НИХОЛ КЎЧАСИ,  uy:1/2</t>
        </is>
      </c>
      <c r="H409" s="101">
        <v>10.0</v>
      </c>
      <c r="I409" s="101">
        <v>1550794.94</v>
      </c>
    </row>
    <row r="410">
      <c r="A410" s="100" t="inlineStr">
        <is>
          <t xml:space="preserve">СИРДАРЁ ВИЛОЯТИ</t>
        </is>
      </c>
      <c r="C410" s="100" t="inlineStr">
        <is>
          <t xml:space="preserve">Недозвон</t>
        </is>
      </c>
      <c r="D410" s="100" t="inlineStr">
        <is>
          <t xml:space="preserve">Кр-99057415-1</t>
        </is>
      </c>
      <c r="E410" s="100" t="inlineStr">
        <is>
          <t xml:space="preserve">KUCHKAROVA SALIMA FAYZULLAYEVNA</t>
        </is>
      </c>
      <c r="F410" s="100" t="inlineStr">
        <is>
          <t xml:space="preserve">998949191078 SMS UZI, 998701811477 SMS ERI, 998953367774 SMS QIZI,</t>
        </is>
      </c>
      <c r="G410" s="100" t="inlineStr">
        <is>
          <t xml:space="preserve">SIRDARYO VILOYATI SIRDARYO TUMANI ISHONCH MFY TIKUVCHI KO'CHASI 7/2-UY </t>
        </is>
      </c>
      <c r="H410" s="101">
        <v>10.0</v>
      </c>
      <c r="I410" s="101">
        <v>1509160.07</v>
      </c>
    </row>
    <row r="411">
      <c r="A411" s="100" t="inlineStr">
        <is>
          <t xml:space="preserve">СИРДАРЁ ВИЛОЯТИ</t>
        </is>
      </c>
      <c r="C411" s="100" t="inlineStr">
        <is>
          <t xml:space="preserve">Недозвон</t>
        </is>
      </c>
      <c r="D411" s="100" t="inlineStr">
        <is>
          <t xml:space="preserve">Кр-99037280-1</t>
        </is>
      </c>
      <c r="E411" s="100" t="inlineStr">
        <is>
          <t xml:space="preserve">SAIDOV G’ULAMJON RAIMBERDIYEVICH</t>
        </is>
      </c>
      <c r="F411" s="100" t="inlineStr">
        <is>
          <t xml:space="preserve">998902249087 SMS OZI, 998931536554 SMS AYOLI, 998900209100 SMS UKASI,</t>
        </is>
      </c>
      <c r="G411" s="100" t="inlineStr">
        <is>
          <t xml:space="preserve">SIRDARYO VILOYATI GULISTON SHAHAR BUYUK KELAJAK MFY SHABNAM KUCHASI 37-UY 30-XONADON </t>
        </is>
      </c>
      <c r="H411" s="101">
        <v>7.0</v>
      </c>
      <c r="I411" s="101">
        <v>1260381.54</v>
      </c>
    </row>
    <row r="412">
      <c r="A412" s="100" t="inlineStr">
        <is>
          <t xml:space="preserve">СИРДАРЁ ВИЛОЯТИ</t>
        </is>
      </c>
      <c r="C412" s="100" t="inlineStr">
        <is>
          <t xml:space="preserve">Недозвон</t>
        </is>
      </c>
      <c r="D412" s="100" t="inlineStr">
        <is>
          <t xml:space="preserve">Кр-99036631-1</t>
        </is>
      </c>
      <c r="E412" s="100" t="inlineStr">
        <is>
          <t xml:space="preserve">USAROV ELMUROD IBROXIMXALILOVICH</t>
        </is>
      </c>
      <c r="F412" s="100" t="inlineStr">
        <is>
          <t xml:space="preserve">998970231183 SMS OZI ukasiga qilinsin , 998770151590 SMS UKASI tolovchi bobomurod, 998999906102 SMS UKASI, 998915012607 SMS OGLI,</t>
        </is>
      </c>
      <c r="G412" s="100" t="inlineStr">
        <is>
          <t xml:space="preserve">SIRDARYO VILOYATI GULISTON TUMANI NUROBOD QFY OLTIN VODIY  MFY BULOQBOSHI KUCHASI 13-UY</t>
        </is>
      </c>
      <c r="I412" s="101">
        <v>1049319.15</v>
      </c>
    </row>
    <row r="413">
      <c r="A413" s="100" t="inlineStr">
        <is>
          <t xml:space="preserve">СИРДАРЁ ВИЛОЯТИ</t>
        </is>
      </c>
      <c r="C413" s="100" t="inlineStr">
        <is>
          <t xml:space="preserve">Недозвон</t>
        </is>
      </c>
      <c r="D413" s="100" t="inlineStr">
        <is>
          <t xml:space="preserve">Кр-99038866-1</t>
        </is>
      </c>
      <c r="E413" s="100" t="inlineStr">
        <is>
          <t xml:space="preserve">VASIYEVA XADISA KOMILOVNA</t>
        </is>
      </c>
      <c r="F413" s="100" t="inlineStr">
        <is>
          <t xml:space="preserve">998136006652 SMS OZI, 998910200665 SMS OZI 2, 998901023733 SMS QAYNOTASI,</t>
        </is>
      </c>
      <c r="G413" s="100" t="inlineStr">
        <is>
          <t xml:space="preserve">SIRDARYO VILOYATI BAXT SHAHRI ITTIFOQ MFY ITTIFOQ KO’CHA 33 UY / SIRDARYO VILOYATI SAYXUNOBOD TUMANI ITTIFOQ MFY BOG' KO'CHASI 31-UY</t>
        </is>
      </c>
      <c r="I413" s="101">
        <v>699967.94</v>
      </c>
    </row>
    <row r="414">
      <c r="A414" s="100" t="inlineStr">
        <is>
          <t xml:space="preserve">СИРДАРЁ ВИЛОЯТИ</t>
        </is>
      </c>
      <c r="C414" s="100" t="inlineStr">
        <is>
          <t xml:space="preserve">Недозвон</t>
        </is>
      </c>
      <c r="D414" s="100" t="inlineStr">
        <is>
          <t xml:space="preserve">Кр-99050588-2</t>
        </is>
      </c>
      <c r="E414" s="100" t="inlineStr">
        <is>
          <t xml:space="preserve">KUSHIMOVA NIGORA NARZIKULOVNA</t>
        </is>
      </c>
      <c r="F414" s="100" t="inlineStr">
        <is>
          <t xml:space="preserve">+998774080577 SMS O’ZI, 998774300577 SMS QIZI, 998956248585 SMS ERI,</t>
        </is>
      </c>
      <c r="G414" s="100" t="inlineStr">
        <is>
          <t xml:space="preserve">SIRDARYO VILOYATI GULISTON SHAHAR BUSTON MFY 4-MAVZE KUCHASI 21A-UY 16-XONADON</t>
        </is>
      </c>
      <c r="H414" s="101">
        <v>10.0</v>
      </c>
      <c r="I414" s="101">
        <v>696941.23</v>
      </c>
    </row>
    <row r="415">
      <c r="A415" s="100" t="inlineStr">
        <is>
          <t xml:space="preserve">СИРДАРЁ ВИЛОЯТИ</t>
        </is>
      </c>
      <c r="C415" s="100" t="inlineStr">
        <is>
          <t xml:space="preserve">Недозвон</t>
        </is>
      </c>
      <c r="D415" s="100" t="inlineStr">
        <is>
          <t xml:space="preserve">Кр-99029471-1</t>
        </is>
      </c>
      <c r="E415" s="100" t="inlineStr">
        <is>
          <t xml:space="preserve">KARIMBERDIYEV G’ANIJON VALIJON O’G’LI</t>
        </is>
      </c>
      <c r="F415" s="100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415" s="100" t="inlineStr">
        <is>
          <t xml:space="preserve">SIRDARYO VILOYATI BOYOVUT TUMANI MARKAZ MFY AVESTO KOCHASI 11-UY</t>
        </is>
      </c>
      <c r="H415" s="101">
        <v>6.0</v>
      </c>
      <c r="I415" s="101">
        <v>617077.51</v>
      </c>
    </row>
    <row r="416">
      <c r="A416" s="100" t="inlineStr">
        <is>
          <t xml:space="preserve">СИРДАРЁ ВИЛОЯТИ</t>
        </is>
      </c>
      <c r="C416" s="100" t="inlineStr">
        <is>
          <t xml:space="preserve">Недозвон</t>
        </is>
      </c>
      <c r="D416" s="100" t="inlineStr">
        <is>
          <t xml:space="preserve">Кр-99049724-1</t>
        </is>
      </c>
      <c r="E416" s="100" t="inlineStr">
        <is>
          <t xml:space="preserve">ABDURAXMANOV FARXOD KUSHBAKOVICH</t>
        </is>
      </c>
      <c r="F416" s="100" t="inlineStr">
        <is>
          <t xml:space="preserve">+998993402169 SMS O’ZI, 998958260927 SMS QIZI, 998973315687 SMS AYOLI,</t>
        </is>
      </c>
      <c r="G416" s="100" t="inlineStr">
        <is>
          <t xml:space="preserve">SIRDARYO VILOYATI GULISTON TUMANI A.NAVOIY MFY AL-XORAZMIY KUCHASI 13-UY</t>
        </is>
      </c>
      <c r="H416" s="101">
        <v>10.0</v>
      </c>
      <c r="I416" s="101">
        <v>571658.17</v>
      </c>
    </row>
    <row r="417">
      <c r="A417" s="100" t="inlineStr">
        <is>
          <t xml:space="preserve">СИРДАРЁ ВИЛОЯТИ</t>
        </is>
      </c>
      <c r="C417" s="100" t="inlineStr">
        <is>
          <t xml:space="preserve">Недозвон</t>
        </is>
      </c>
      <c r="D417" s="100" t="inlineStr">
        <is>
          <t xml:space="preserve">Кр-99062604-1</t>
        </is>
      </c>
      <c r="E417" s="100" t="inlineStr">
        <is>
          <t xml:space="preserve">MINGBAYEVA SHOXISTA TASHPULOTOVNA</t>
        </is>
      </c>
      <c r="F417" s="100" t="inlineStr">
        <is>
          <t xml:space="preserve">998943368627 узи, 998954543282 эри, 998335701015 кизи, +998943368627 смс узи,</t>
        </is>
      </c>
      <c r="G417" s="100" t="inlineStr">
        <is>
          <t xml:space="preserve">SIRDARYO VILOYATI BOYOVUT TUMANI MUKUMIY MFY ISTE’DOD KO’CHASI 11-UY</t>
        </is>
      </c>
      <c r="H417" s="101">
        <v>10.0</v>
      </c>
      <c r="I417" s="101">
        <v>81517.34</v>
      </c>
    </row>
    <row r="418">
      <c r="A418" s="100" t="inlineStr">
        <is>
          <t xml:space="preserve">СИРДАРЁ ВИЛОЯТИ</t>
        </is>
      </c>
      <c r="C418" s="100" t="inlineStr">
        <is>
          <t xml:space="preserve">Недозвон</t>
        </is>
      </c>
      <c r="D418" s="100" t="inlineStr">
        <is>
          <t xml:space="preserve">Кр-99063578-3</t>
        </is>
      </c>
      <c r="E418" s="100" t="inlineStr">
        <is>
          <t xml:space="preserve">NORMATOV ABDUMALIK CHINBERDIYEVICH</t>
        </is>
      </c>
      <c r="F418" s="100" t="inlineStr">
        <is>
          <t xml:space="preserve">998200341997 O’GLI, 998901052966 AYOLI, 998903126012 SMS O’ZI,</t>
        </is>
      </c>
      <c r="G418" s="100" t="inlineStr">
        <is>
          <t xml:space="preserve">SIRDARYO VILOYATI GULISTON, NAVBAXOR MFY,YANGI TURMUSH KO’CHASI 5A-UY</t>
        </is>
      </c>
      <c r="H418" s="101">
        <v>10.0</v>
      </c>
      <c r="I418" s="101">
        <v>76830.5</v>
      </c>
    </row>
    <row r="419">
      <c r="A419" s="100" t="inlineStr">
        <is>
          <t xml:space="preserve">СИРДАРЁ ВИЛОЯТИ</t>
        </is>
      </c>
      <c r="C419" s="100" t="inlineStr">
        <is>
          <t xml:space="preserve">Недозвон</t>
        </is>
      </c>
      <c r="D419" s="100" t="inlineStr">
        <is>
          <t xml:space="preserve">Кр-99024872-2</t>
        </is>
      </c>
      <c r="E419" s="100" t="inlineStr">
        <is>
          <t xml:space="preserve">EGAMKULOVA SALOMAT XXX</t>
        </is>
      </c>
      <c r="F419" s="100" t="inlineStr">
        <is>
          <t xml:space="preserve">88-245-40-40  SMS OZI, 91-508-10-07  SMS O'G'LI, 33-639-90-93  SMS KELINI, 93-322-00-29  SMS QIZI, 998871901007 SMS O'ZI,</t>
        </is>
      </c>
      <c r="G419" s="100" t="inlineStr">
        <is>
          <t xml:space="preserve">JIZZAX VILOYATI MIRZACHO'L TUMANI G'ALABA MFY PAXTAKOR KO’CHASI 19-UY 19-XONADON</t>
        </is>
      </c>
      <c r="H419" s="101">
        <v>15.0</v>
      </c>
      <c r="I419" s="101">
        <v>401.47</v>
      </c>
    </row>
    <row r="420">
      <c r="A420" s="102" t="inlineStr">
        <is>
          <t xml:space="preserve">СУРХОНДАРЁ ВИЛОЯТИ</t>
        </is>
      </c>
      <c r="C420" s="102" t="inlineStr">
        <is>
          <t xml:space="preserve">Недозвон</t>
        </is>
      </c>
      <c r="D420" s="102" t="inlineStr">
        <is>
          <t xml:space="preserve">Кр-99040524-1</t>
        </is>
      </c>
      <c r="E420" s="102" t="inlineStr">
        <is>
          <t xml:space="preserve">BOBORAJABOV MUSLIMBEK OLIMJONOVICH</t>
        </is>
      </c>
      <c r="F420" s="102" t="inlineStr">
        <is>
          <t xml:space="preserve">998910774888 SMS OZI, 998915119511 SMS UY otasi, 998917117900 SMS onasi,</t>
        </is>
      </c>
      <c r="G420" s="102" t="inlineStr">
        <is>
          <t xml:space="preserve">ДЕНОВ ҚФЙ, ГУЛИСТОН МФЙ,  uy:Б/Н</t>
        </is>
      </c>
      <c r="H420" s="103">
        <v>196.0</v>
      </c>
      <c r="I420" s="103">
        <v>58642752.94</v>
      </c>
      <c r="K420" s="102" t="inlineStr">
        <is>
          <t xml:space="preserve">Telefon ko'tarmadi | abror ogan | 905</t>
        </is>
      </c>
    </row>
    <row r="421">
      <c r="A421" s="102" t="inlineStr">
        <is>
          <t xml:space="preserve">СУРХОНДАРЁ ВИЛОЯТИ</t>
        </is>
      </c>
      <c r="C421" s="102" t="inlineStr">
        <is>
          <t xml:space="preserve">Недозвон</t>
        </is>
      </c>
      <c r="D421" s="102" t="inlineStr">
        <is>
          <t xml:space="preserve">Кр-99039336-1</t>
        </is>
      </c>
      <c r="E421" s="102" t="inlineStr">
        <is>
          <t xml:space="preserve">AXMEDOV SARDOR SALIMOVICH</t>
        </is>
      </c>
      <c r="F421" s="102" t="inlineStr">
        <is>
          <t xml:space="preserve">998990466913 SMS OZI, 998338530304 SMS UY, 998952426616 SMS UKASI, 998885030488 SMS PAOCHCHASI,</t>
        </is>
      </c>
      <c r="G421" s="102" t="inlineStr">
        <is>
          <t xml:space="preserve">SURXONDARYO VILOYATI DENOV TUMANI GULISTON MFY GULISTON 22-UY</t>
        </is>
      </c>
      <c r="H421" s="103">
        <v>253.0</v>
      </c>
      <c r="I421" s="103">
        <v>43149014.11</v>
      </c>
      <c r="K421" s="102" t="inlineStr">
        <is>
          <t xml:space="preserve">Telefon ko'tarmadi | shaxnozga bergan | 776</t>
        </is>
      </c>
    </row>
    <row r="422">
      <c r="A422" s="102" t="inlineStr">
        <is>
          <t xml:space="preserve">СУРХОНДАРЁ ВИЛОЯТИ</t>
        </is>
      </c>
      <c r="C422" s="102" t="inlineStr">
        <is>
          <t xml:space="preserve">Недозвон</t>
        </is>
      </c>
      <c r="D422" s="102" t="inlineStr">
        <is>
          <t xml:space="preserve">Кр-99041196-1</t>
        </is>
      </c>
      <c r="E422" s="102" t="inlineStr">
        <is>
          <t xml:space="preserve">AZIZOVA GULZAR TAJIYEVNA</t>
        </is>
      </c>
      <c r="F422" s="102" t="inlineStr">
        <is>
          <t xml:space="preserve">+998904196364 SMS O’ZI, 998915773010 SMS UY, 998917277694 SMS O’G’LI,</t>
        </is>
      </c>
      <c r="G422" s="102" t="inlineStr">
        <is>
          <t xml:space="preserve">ТЕЛПАКЧИНОР ҚФЙ, УЗУН ҚИШЛОҚ МФЙ, ТЕЛПАКЧИНОР ҚФЙ, УЗУН ҚИШЛОҚ МФЙ, ЧАНГАК КИШЛОГИ,  uy:.</t>
        </is>
      </c>
      <c r="H422" s="103">
        <v>135.0</v>
      </c>
      <c r="I422" s="103">
        <v>36508492.3</v>
      </c>
      <c r="K422" s="102" t="inlineStr">
        <is>
          <t xml:space="preserve">Telefon ko'tarmadi | wahnoz tolidi | 970</t>
        </is>
      </c>
    </row>
    <row r="423">
      <c r="A423" s="102" t="inlineStr">
        <is>
          <t xml:space="preserve">СУРХОНДАРЁ ВИЛОЯТИ</t>
        </is>
      </c>
      <c r="C423" s="102" t="inlineStr">
        <is>
          <t xml:space="preserve">Недозвон</t>
        </is>
      </c>
      <c r="D423" s="102" t="inlineStr">
        <is>
          <t xml:space="preserve">Кр-99039532-1</t>
        </is>
      </c>
      <c r="E423" s="102" t="inlineStr">
        <is>
          <t xml:space="preserve">MUSIRMONOVA SABRINISO MURODALI QIZI</t>
        </is>
      </c>
      <c r="F423" s="102" t="inlineStr">
        <is>
          <t xml:space="preserve">998990625405 SMS OZI, 998991287784 SMS ONASI, 998881062555 SMS OILASI,</t>
        </is>
      </c>
      <c r="G423" s="102" t="inlineStr">
        <is>
          <t xml:space="preserve">SURXONDARYO VILOYATI TUMANI UMANI BOG'ISHAMOL  MFY SHARQ GAVHARI KO‘CHASI 40-UY</t>
        </is>
      </c>
      <c r="H423" s="103">
        <v>191.0</v>
      </c>
      <c r="I423" s="103">
        <v>36373247.65</v>
      </c>
      <c r="K423" s="102" t="inlineStr">
        <is>
          <t xml:space="preserve">Telefon ko'tarmadi | unduruv zalokka qaratilgan | 802</t>
        </is>
      </c>
    </row>
    <row r="424">
      <c r="A424" s="102" t="inlineStr">
        <is>
          <t xml:space="preserve">СУРХОНДАРЁ ВИЛОЯТИ</t>
        </is>
      </c>
      <c r="C424" s="102" t="inlineStr">
        <is>
          <t xml:space="preserve">Недозвон</t>
        </is>
      </c>
      <c r="D424" s="102" t="inlineStr">
        <is>
          <t xml:space="preserve">Кр-99037390-1</t>
        </is>
      </c>
      <c r="E424" s="102" t="inlineStr">
        <is>
          <t xml:space="preserve">TURSUNBADALOVA SAIDABONU TOLIBJON QIZI</t>
        </is>
      </c>
      <c r="F424" s="102" t="inlineStr">
        <is>
          <t xml:space="preserve">998908159906 SMS, 998888109694 SMS UY, 998908159697 SMS UKASI, 998919700206 SMS,</t>
        </is>
      </c>
      <c r="G424" s="102" t="inlineStr">
        <is>
          <t xml:space="preserve">SURXONDARYO VILOYATI SARIOSIYO TUMANI SHARG'UN SHFY SHAXTIYORLAR KO’CHASI 53-UY 5-XONADON</t>
        </is>
      </c>
      <c r="H424" s="103">
        <v>94.0</v>
      </c>
      <c r="I424" s="103">
        <v>33260258.77</v>
      </c>
      <c r="K424" s="102" t="inlineStr">
        <is>
          <t xml:space="preserve">Telefon ko'tarmadi | abror  olgan | 639</t>
        </is>
      </c>
    </row>
    <row r="425">
      <c r="A425" s="102" t="inlineStr">
        <is>
          <t xml:space="preserve">СУРХОНДАРЁ ВИЛОЯТИ</t>
        </is>
      </c>
      <c r="C425" s="102" t="inlineStr">
        <is>
          <t xml:space="preserve">Недозвон</t>
        </is>
      </c>
      <c r="D425" s="102" t="inlineStr">
        <is>
          <t xml:space="preserve">Кр-99038761-1</t>
        </is>
      </c>
      <c r="E425" s="102" t="inlineStr">
        <is>
          <t xml:space="preserve">JUMAYEV MIRZOBEK BAHODIROVICH</t>
        </is>
      </c>
      <c r="F425" s="102" t="inlineStr">
        <is>
          <t xml:space="preserve">998994284567 SMS O’ZI, 998952264343 SMS AKASI, 998881910375 SMS ONASI, 998881512151 SMS UYI,</t>
        </is>
      </c>
      <c r="G425" s="102" t="inlineStr">
        <is>
          <t xml:space="preserve">SURXONDARYO VILOYATI DENOV TUMANI DAXANA QFY MEXNATOBOD MFY SINA  KO’CHASI 3-UY  </t>
        </is>
      </c>
      <c r="H425" s="103">
        <v>155.0</v>
      </c>
      <c r="I425" s="103">
        <v>33184697.55</v>
      </c>
      <c r="K425" s="102" t="inlineStr">
        <is>
          <t xml:space="preserve">Telefon ko'tarmadi | abror olgan | 725</t>
        </is>
      </c>
    </row>
    <row r="426">
      <c r="A426" s="102" t="inlineStr">
        <is>
          <t xml:space="preserve">СУРХОНДАРЁ ВИЛОЯТИ</t>
        </is>
      </c>
      <c r="C426" s="102" t="inlineStr">
        <is>
          <t xml:space="preserve">Недозвон</t>
        </is>
      </c>
      <c r="D426" s="102" t="inlineStr">
        <is>
          <t xml:space="preserve">Кр-99040622-1</t>
        </is>
      </c>
      <c r="E426" s="102" t="inlineStr">
        <is>
          <t xml:space="preserve">TURDIYEV ASLIDDIN CHORIYEVICH</t>
        </is>
      </c>
      <c r="F426" s="102" t="inlineStr">
        <is>
          <t xml:space="preserve">+998906450323 SMS O’ZI, 998774540323 SMS OILASI, 998997179198 SMS UY,</t>
        </is>
      </c>
      <c r="G426" s="102" t="inlineStr">
        <is>
          <t xml:space="preserve">АНБАРСОЙ ҚФЙ, ОБОДОН МФЙ,  uy:Б/Н</t>
        </is>
      </c>
      <c r="H426" s="103">
        <v>104.0</v>
      </c>
      <c r="I426" s="103">
        <v>24485024.51</v>
      </c>
      <c r="K426" s="102" t="inlineStr">
        <is>
          <t xml:space="preserve">Telefon ko'tarmadi | abror ogan | 909</t>
        </is>
      </c>
    </row>
    <row r="427">
      <c r="A427" s="102" t="inlineStr">
        <is>
          <t xml:space="preserve">СУРХОНДАРЁ ВИЛОЯТИ</t>
        </is>
      </c>
      <c r="C427" s="102" t="inlineStr">
        <is>
          <t xml:space="preserve">Объезд</t>
        </is>
      </c>
      <c r="D427" s="102" t="inlineStr">
        <is>
          <t xml:space="preserve">Кр-99039320-1</t>
        </is>
      </c>
      <c r="E427" s="102" t="inlineStr">
        <is>
          <t xml:space="preserve">KURBANOV FAZLIDDIN ABDUKAXOROVICH</t>
        </is>
      </c>
      <c r="F427" s="102" t="inlineStr">
        <is>
          <t xml:space="preserve">998991354667 SMS OZI, 998991205994 SMS AYOLI, 998994513084 SMS AKASI, 998745116760 SMS UY,</t>
        </is>
      </c>
      <c r="G427" s="102" t="inlineStr">
        <is>
          <t xml:space="preserve">SURXONDARYO VILOYATI DENOV TUMANI OYBARAK MFY CHINORSOY  KO’CHASI 42-UY</t>
        </is>
      </c>
      <c r="H427" s="103">
        <v>167.0</v>
      </c>
      <c r="I427" s="103">
        <v>20832794.66</v>
      </c>
      <c r="K427" s="102" t="inlineStr">
        <is>
          <t xml:space="preserve">Uyiga borildi - va'da berdi | 21sanaga tolov | 771</t>
        </is>
      </c>
    </row>
    <row r="428">
      <c r="A428" s="102" t="inlineStr">
        <is>
          <t xml:space="preserve">СУРХОНДАРЁ ВИЛОЯТИ</t>
        </is>
      </c>
      <c r="C428" s="102" t="inlineStr">
        <is>
          <t xml:space="preserve">Недозвон</t>
        </is>
      </c>
      <c r="D428" s="102" t="inlineStr">
        <is>
          <t xml:space="preserve">Кр-99040308-1</t>
        </is>
      </c>
      <c r="E428" s="102" t="inlineStr">
        <is>
          <t xml:space="preserve">SUVONOV NURBEK OYBEK O’G’LI</t>
        </is>
      </c>
      <c r="F428" s="102" t="inlineStr">
        <is>
          <t xml:space="preserve">998997511064 SMS OZI, 998952191064 SMS UY begona, 998997310499 SMS KELINI, 998996848911 SMS KELINI 2,</t>
        </is>
      </c>
      <c r="G428" s="102" t="inlineStr">
        <is>
          <t xml:space="preserve">SURXONDARYO VILOYATI BANDIXON TUMANI OBADTURMUSH MFY BEXIZOR 48-UY</t>
        </is>
      </c>
      <c r="H428" s="103">
        <v>164.0</v>
      </c>
      <c r="I428" s="103">
        <v>18704091.4</v>
      </c>
      <c r="K428" s="102" t="inlineStr">
        <is>
          <t xml:space="preserve">Telefon ko'tarmadi | tgdan yozdm javob kemad hali | 881</t>
        </is>
      </c>
    </row>
    <row r="429">
      <c r="A429" s="102" t="inlineStr">
        <is>
          <t xml:space="preserve">СУРХОНДАРЁ ВИЛОЯТИ</t>
        </is>
      </c>
      <c r="C429" s="102" t="inlineStr">
        <is>
          <t xml:space="preserve">Недозвон</t>
        </is>
      </c>
      <c r="D429" s="102" t="inlineStr">
        <is>
          <t xml:space="preserve">Кр-99025609-1</t>
        </is>
      </c>
      <c r="E429" s="102" t="inlineStr">
        <is>
          <t xml:space="preserve">XOLMAMATOV ULUG’BEK JO’RA O’G’LI</t>
        </is>
      </c>
      <c r="F429" s="102" t="inlineStr">
        <is>
          <t xml:space="preserve">93-419-96-96 SMS, 99-032-26-20 SMS UY, 99-042-26-20 SMS AYOLI, 93-933-59-28 SMS DADASI,</t>
        </is>
      </c>
      <c r="G429" s="102" t="inlineStr">
        <is>
          <t xml:space="preserve">QASHQADARYO VILOYATI DEHQONOBOD TUMANI</t>
        </is>
      </c>
      <c r="H429" s="103">
        <v>92.0</v>
      </c>
      <c r="I429" s="103">
        <v>17440375.91</v>
      </c>
      <c r="K429" s="102" t="inlineStr">
        <is>
          <t xml:space="preserve">Telefon ko'tarmadi | abror ogan | 146</t>
        </is>
      </c>
    </row>
    <row r="430">
      <c r="A430" s="102" t="inlineStr">
        <is>
          <t xml:space="preserve">СУРХОНДАРЁ ВИЛОЯТИ</t>
        </is>
      </c>
      <c r="C430" s="102" t="inlineStr">
        <is>
          <t xml:space="preserve">Недозвон</t>
        </is>
      </c>
      <c r="D430" s="102" t="inlineStr">
        <is>
          <t xml:space="preserve">Кр-99062676-1</t>
        </is>
      </c>
      <c r="E430" s="102" t="inlineStr">
        <is>
          <t xml:space="preserve">MAMASIDIQOVA GULSUNOY ALIMOVNA</t>
        </is>
      </c>
      <c r="F430" s="102" t="inlineStr">
        <is>
          <t xml:space="preserve">998940773072 OZI, 998700530521 QIZI, 998915882110 UY,</t>
        </is>
      </c>
      <c r="G430" s="102" t="inlineStr">
        <is>
          <t xml:space="preserve">SURXONDARYO VILOYATI SARIOSIYO TUMANI FERUZ MFY DONISHMAND KUCHASI 25-UY</t>
        </is>
      </c>
      <c r="H430" s="103">
        <v>73.0</v>
      </c>
      <c r="I430" s="103">
        <v>17324621.44</v>
      </c>
      <c r="K430" s="102" t="inlineStr">
        <is>
          <t xml:space="preserve">Telefon ko'tarmadi | pulni toliq omagan abrordan | 1418</t>
        </is>
      </c>
    </row>
    <row r="431">
      <c r="A431" s="102" t="inlineStr">
        <is>
          <t xml:space="preserve">СУРХОНДАРЁ ВИЛОЯТИ</t>
        </is>
      </c>
      <c r="C431" s="102" t="inlineStr">
        <is>
          <t xml:space="preserve">Недозвон</t>
        </is>
      </c>
      <c r="D431" s="102" t="inlineStr">
        <is>
          <t xml:space="preserve">Кр-99044355-1</t>
        </is>
      </c>
      <c r="E431" s="102" t="inlineStr">
        <is>
          <t xml:space="preserve">O’RINOV TO’LQIN KENJAYEVICH</t>
        </is>
      </c>
      <c r="F431" s="102" t="inlineStr">
        <is>
          <t xml:space="preserve">+998939320993 SMS O’ZI, 998932220070 SMS AKASI, 998932933095 SMS AYOLI,</t>
        </is>
      </c>
      <c r="G431" s="102" t="inlineStr">
        <is>
          <t xml:space="preserve">СЕПЛОН ҚФЙ, ЧУКУРКЎЛ МФЙ, ГУЛЗОР КУЧАСИ uy:46W/43 UY</t>
        </is>
      </c>
      <c r="H431" s="103">
        <v>104.0</v>
      </c>
      <c r="I431" s="103">
        <v>17287695.4</v>
      </c>
      <c r="K431" s="102" t="inlineStr">
        <is>
          <t xml:space="preserve">Telefon ko'tarmadi | ayoli bn gaplawdm erm ustidan 12 ta ariza tuwgan yaqinda sudi dd | 1091</t>
        </is>
      </c>
    </row>
    <row r="432">
      <c r="A432" s="102" t="inlineStr">
        <is>
          <t xml:space="preserve">СУРХОНДАРЁ ВИЛОЯТИ</t>
        </is>
      </c>
      <c r="C432" s="102" t="inlineStr">
        <is>
          <t xml:space="preserve">Недозвон</t>
        </is>
      </c>
      <c r="D432" s="102" t="inlineStr">
        <is>
          <t xml:space="preserve">Кр-99041030-1</t>
        </is>
      </c>
      <c r="E432" s="102" t="inlineStr">
        <is>
          <t xml:space="preserve">KARABOYEV ILHOM CHORIYEVICH</t>
        </is>
      </c>
      <c r="F432" s="102" t="inlineStr">
        <is>
          <t xml:space="preserve">+998508828224 SMS O’ZI, 998882426242 SMS QIZI, 998952128999 SMS QIZI, 998500126575 SMS OZI ,</t>
        </is>
      </c>
      <c r="G432" s="102" t="inlineStr">
        <is>
          <t xml:space="preserve">ДЕНОВ ШАХАР, САНОАТЧИЛИК МФЙ, М.БЕДИЛ,  uy:1А</t>
        </is>
      </c>
      <c r="H432" s="103">
        <v>45.0</v>
      </c>
      <c r="I432" s="103">
        <v>13662568.26</v>
      </c>
      <c r="K432" s="102" t="inlineStr">
        <is>
          <t xml:space="preserve">Telefon ko'tarmadi | tgdan gaplawvoma | 951</t>
        </is>
      </c>
    </row>
    <row r="433">
      <c r="A433" s="102" t="inlineStr">
        <is>
          <t xml:space="preserve">СУРХОНДАРЁ ВИЛОЯТИ</t>
        </is>
      </c>
      <c r="C433" s="102" t="inlineStr">
        <is>
          <t xml:space="preserve">Недозвон</t>
        </is>
      </c>
      <c r="D433" s="102" t="inlineStr">
        <is>
          <t xml:space="preserve">Кр-99039071-1</t>
        </is>
      </c>
      <c r="E433" s="102" t="inlineStr">
        <is>
          <t xml:space="preserve">NOROV OYBEK ABDUSATTOR O’G’LI</t>
        </is>
      </c>
      <c r="F433" s="102" t="inlineStr">
        <is>
          <t xml:space="preserve">998990324390 SMS O’ZI, 998919039933 SMS UY, 998995637474 SMS TO’LOVCHI, 998949420686 SMS O’ZI,</t>
        </is>
      </c>
      <c r="G433" s="102" t="inlineStr">
        <is>
          <t xml:space="preserve">SURXONDARYO VILOYATI SARIOSIYO TUMANI SHARG'UN SHFY BOG' 21-UY</t>
        </is>
      </c>
      <c r="H433" s="103">
        <v>150.0</v>
      </c>
      <c r="I433" s="103">
        <v>11833653.66</v>
      </c>
      <c r="K433" s="102" t="inlineStr">
        <is>
          <t xml:space="preserve">Telefon ko'tarmadi | abror olgan | 750</t>
        </is>
      </c>
    </row>
    <row r="434">
      <c r="A434" s="102" t="inlineStr">
        <is>
          <t xml:space="preserve">СУРХОНДАРЁ ВИЛОЯТИ</t>
        </is>
      </c>
      <c r="C434" s="102" t="inlineStr">
        <is>
          <t xml:space="preserve">Недозвон</t>
        </is>
      </c>
      <c r="D434" s="102" t="inlineStr">
        <is>
          <t xml:space="preserve">Кр-99033371-1</t>
        </is>
      </c>
      <c r="E434" s="102" t="inlineStr">
        <is>
          <t xml:space="preserve">JAPPOROVA NIGORA USMONOVNA</t>
        </is>
      </c>
      <c r="F434" s="102" t="inlineStr">
        <is>
          <t xml:space="preserve">998976999602 SMS O’ZI, 998888457780 SMS  UY, 998949539602 SMS UY 2, 998888449602 SMS QIZI,</t>
        </is>
      </c>
      <c r="G434" s="102" t="inlineStr">
        <is>
          <t xml:space="preserve">SURXONDARYO VILOYATI DENOV TUMANI YANGIKUCH MFY TARAQQIYOT YO'LI KO’CHASI 26-UY</t>
        </is>
      </c>
      <c r="H434" s="103">
        <v>101.0</v>
      </c>
      <c r="I434" s="103">
        <v>11706266.12</v>
      </c>
      <c r="K434" s="102" t="inlineStr">
        <is>
          <t xml:space="preserve">Telefon ko'tarmadi | qizini nomerini tgga sax qldm ciqd yozdm | 390</t>
        </is>
      </c>
    </row>
    <row r="435">
      <c r="A435" s="102" t="inlineStr">
        <is>
          <t xml:space="preserve">СУРХОНДАРЁ ВИЛОЯТИ</t>
        </is>
      </c>
      <c r="C435" s="102" t="inlineStr">
        <is>
          <t xml:space="preserve">Недозвон</t>
        </is>
      </c>
      <c r="D435" s="102" t="inlineStr">
        <is>
          <t xml:space="preserve">Кр-99038650-1</t>
        </is>
      </c>
      <c r="E435" s="102" t="inlineStr">
        <is>
          <t xml:space="preserve">MIRZAYEV MURODJON SAMADOVICH</t>
        </is>
      </c>
      <c r="F435" s="102" t="inlineStr">
        <is>
          <t xml:space="preserve">998959402120 SMS OZI , 998337725850 SMS OZI 2, 998978475999 SMS KUYOVI, 998990953755 SMS OGLI,</t>
        </is>
      </c>
      <c r="G435" s="102" t="inlineStr">
        <is>
          <t xml:space="preserve">SURXONDARYO VILOYATI DENOV TUMANI JOMIY MFY JOMIY 159-UY</t>
        </is>
      </c>
      <c r="H435" s="103">
        <v>73.0</v>
      </c>
      <c r="I435" s="103">
        <v>10891176.67</v>
      </c>
      <c r="K435" s="102" t="inlineStr">
        <is>
          <t xml:space="preserve">Telefon ko'tarmadi | tgdan yozdim | 711</t>
        </is>
      </c>
    </row>
    <row r="436">
      <c r="A436" s="102" t="inlineStr">
        <is>
          <t xml:space="preserve">СУРХОНДАРЁ ВИЛОЯТИ</t>
        </is>
      </c>
      <c r="C436" s="102" t="inlineStr">
        <is>
          <t xml:space="preserve">Недозвон</t>
        </is>
      </c>
      <c r="D436" s="102" t="inlineStr">
        <is>
          <t xml:space="preserve">Кр-99029152-3</t>
        </is>
      </c>
      <c r="E436" s="102" t="inlineStr">
        <is>
          <t xml:space="preserve">GIYASOV AKBAR RAVSHANOVICH</t>
        </is>
      </c>
      <c r="F436" s="10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36" s="102" t="inlineStr">
        <is>
          <t xml:space="preserve">SURXONDARYO VILOYATI DENOV SHAXAR  QUYOSHLI YURT  MFY OLBUXARI  KO’CHASI 104-UY</t>
        </is>
      </c>
      <c r="H436" s="103">
        <v>128.0</v>
      </c>
      <c r="I436" s="103">
        <v>9442795.33</v>
      </c>
      <c r="K436" s="102" t="inlineStr">
        <is>
          <t xml:space="preserve">Telefon ko'tarmadi | juda muammoli klient | 227</t>
        </is>
      </c>
    </row>
    <row r="437">
      <c r="A437" s="102" t="inlineStr">
        <is>
          <t xml:space="preserve">СУРХОНДАРЁ ВИЛОЯТИ</t>
        </is>
      </c>
      <c r="C437" s="102" t="inlineStr">
        <is>
          <t xml:space="preserve">Недозвон</t>
        </is>
      </c>
      <c r="D437" s="102" t="inlineStr">
        <is>
          <t xml:space="preserve">Кр-99041369-2</t>
        </is>
      </c>
      <c r="E437" s="102" t="inlineStr">
        <is>
          <t xml:space="preserve">YAXSHIBAYEV BOTIRALI BOZAROVICH</t>
        </is>
      </c>
      <c r="F437" s="102" t="inlineStr">
        <is>
          <t xml:space="preserve">998700427872 SMS O’ZI ЗАНГИОТАДА ИШЛИРКАН ТИПЛИЦАДА , 998912331287 SMS OILASI, 998954189496 SMS UY,</t>
        </is>
      </c>
      <c r="G437" s="102" t="inlineStr">
        <is>
          <t xml:space="preserve">СУРХОНДАРЁ ВИЛОЯТИ ШУРЧИ ТУМАНИ ЯНГИБОЗОР ҚФЙ, ЖАРҚИШЛОҚ ШФЙ, ОЛМАЗОР КУЧАСИ 57-uy:Р/С</t>
        </is>
      </c>
      <c r="H437" s="103">
        <v>73.0</v>
      </c>
      <c r="I437" s="103">
        <v>8530048.09</v>
      </c>
      <c r="K437" s="102" t="inlineStr">
        <is>
          <t xml:space="preserve">Telefon ko'tarmadi | iskandar ogan | 992</t>
        </is>
      </c>
    </row>
    <row r="438">
      <c r="A438" s="102" t="inlineStr">
        <is>
          <t xml:space="preserve">СУРХОНДАРЁ ВИЛОЯТИ</t>
        </is>
      </c>
      <c r="C438" s="102" t="inlineStr">
        <is>
          <t xml:space="preserve">Недозвон</t>
        </is>
      </c>
      <c r="D438" s="102" t="inlineStr">
        <is>
          <t xml:space="preserve">Кр-99029152-2</t>
        </is>
      </c>
      <c r="E438" s="102" t="inlineStr">
        <is>
          <t xml:space="preserve">GIYASOV AKBAR RAVSHANOVICH</t>
        </is>
      </c>
      <c r="F438" s="102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438" s="102" t="inlineStr">
        <is>
          <t xml:space="preserve">SURXONDARYO VILOYATI DENOV SHAXAR  QUYOSHLI YURT  MFY OLBUXARI  KO’CHASI 104-UY</t>
        </is>
      </c>
      <c r="H438" s="103">
        <v>66.0</v>
      </c>
      <c r="I438" s="103">
        <v>8077670.12</v>
      </c>
      <c r="K438" s="102" t="inlineStr">
        <is>
          <t xml:space="preserve">Telefon ko'tarmadi | juda muammoli klient | 226</t>
        </is>
      </c>
    </row>
    <row r="439">
      <c r="A439" s="102" t="inlineStr">
        <is>
          <t xml:space="preserve">СУРХОНДАРЁ ВИЛОЯТИ</t>
        </is>
      </c>
      <c r="C439" s="102" t="inlineStr">
        <is>
          <t xml:space="preserve">Недозвон</t>
        </is>
      </c>
      <c r="D439" s="102" t="inlineStr">
        <is>
          <t xml:space="preserve">Кр-99058440-3</t>
        </is>
      </c>
      <c r="E439" s="102" t="inlineStr">
        <is>
          <t xml:space="preserve">TURDIYEV XOLMUROD RAMAZANOVICH</t>
        </is>
      </c>
      <c r="F439" s="102" t="inlineStr">
        <is>
          <t xml:space="preserve">998500062760 SMS OZI, 998912299595 SMS AYOLI, +998935248787 SMS OZI, 998902950159 SMS UKASI,</t>
        </is>
      </c>
      <c r="G439" s="102" t="inlineStr">
        <is>
          <t xml:space="preserve">SURXONDARYO VILOYATI OLTINSOY TUMANI JILIBULOQ MFY GULZOR KO’CHASI 43-UY</t>
        </is>
      </c>
      <c r="H439" s="103">
        <v>10.0</v>
      </c>
      <c r="I439" s="103">
        <v>8073958.12</v>
      </c>
      <c r="K439" s="102" t="inlineStr">
        <is>
          <t xml:space="preserve">Telefon ko'tarmadi | tg dan yozdm | 1323</t>
        </is>
      </c>
    </row>
    <row r="440">
      <c r="A440" s="102" t="inlineStr">
        <is>
          <t xml:space="preserve">СУРХОНДАРЁ ВИЛОЯТИ</t>
        </is>
      </c>
      <c r="C440" s="102" t="inlineStr">
        <is>
          <t xml:space="preserve">Недозвон</t>
        </is>
      </c>
      <c r="D440" s="102" t="inlineStr">
        <is>
          <t xml:space="preserve">Кр-99049393-1</t>
        </is>
      </c>
      <c r="E440" s="102" t="inlineStr">
        <is>
          <t xml:space="preserve">UMAROV ODIL XAYRULLAYEVICH</t>
        </is>
      </c>
      <c r="F440" s="102" t="inlineStr">
        <is>
          <t xml:space="preserve">+998912380077 SMS O’ZI, 998333513138 SMS UKASI, 998934330683 SMS AYOLI,</t>
        </is>
      </c>
      <c r="G440" s="102" t="inlineStr">
        <is>
          <t xml:space="preserve">Termiz tuman Tinchlik ko’chasi 25 uy</t>
        </is>
      </c>
      <c r="H440" s="103">
        <v>43.0</v>
      </c>
      <c r="I440" s="103">
        <v>6770188.57</v>
      </c>
      <c r="K440" s="102" t="inlineStr">
        <is>
          <t xml:space="preserve">Telefon ko'tarmadi | sms yozb qoydm uyiga xodm jonataman | 1169</t>
        </is>
      </c>
    </row>
    <row r="441">
      <c r="A441" s="102" t="inlineStr">
        <is>
          <t xml:space="preserve">СУРХОНДАРЁ ВИЛОЯТИ</t>
        </is>
      </c>
      <c r="C441" s="102" t="inlineStr">
        <is>
          <t xml:space="preserve">Недозвон</t>
        </is>
      </c>
      <c r="D441" s="102" t="inlineStr">
        <is>
          <t xml:space="preserve">Кр-99019822-4</t>
        </is>
      </c>
      <c r="E441" s="102" t="inlineStr">
        <is>
          <t xml:space="preserve">TOG’AYEV ZAYNIDDIN XAITMUROD O’G’LI</t>
        </is>
      </c>
      <c r="F441" s="102" t="inlineStr">
        <is>
          <t xml:space="preserve">95-079-03-45 SMS , 88-354-19-95 SMS  begona tel qimayla, 99-235-56-93 SMS begona tel qimayla, 998950790395 SMS OZI , 998771230395 SMS OZI, 998951784101 SMS ozi new,</t>
        </is>
      </c>
      <c r="G441" s="102" t="inlineStr">
        <is>
          <t xml:space="preserve">SURXONDARYO VILOYATIUZUN TUMANI BOBOTOG’ QFY BOBOTOQ MFY NAVBAHOR KO’CHASI 10-UY</t>
        </is>
      </c>
      <c r="H441" s="103">
        <v>13.0</v>
      </c>
      <c r="I441" s="103">
        <v>4964760.26</v>
      </c>
      <c r="K441" s="102" t="inlineStr">
        <is>
          <t xml:space="preserve">Telefon ko'tarmadi | tgda gaplawdim mibga xat kk tolo tayyor dvot polni qarzdorlign bn kel ddm | 82</t>
        </is>
      </c>
    </row>
    <row r="442">
      <c r="A442" s="102" t="inlineStr">
        <is>
          <t xml:space="preserve">СУРХОНДАРЁ ВИЛОЯТИ</t>
        </is>
      </c>
      <c r="C442" s="102" t="inlineStr">
        <is>
          <t xml:space="preserve">Недозвон</t>
        </is>
      </c>
      <c r="D442" s="102" t="inlineStr">
        <is>
          <t xml:space="preserve">Кр-99057364-2</t>
        </is>
      </c>
      <c r="E442" s="102" t="inlineStr">
        <is>
          <t xml:space="preserve">RAXMATULLAYEVA IRODA SAYDULLO QIZI</t>
        </is>
      </c>
      <c r="F442" s="102" t="inlineStr">
        <is>
          <t xml:space="preserve">998903771990 SMS OZI, 998777291004 SMS OZI, 998975306012 SMS OZI 2,</t>
        </is>
      </c>
      <c r="G442" s="102" t="inlineStr">
        <is>
          <t xml:space="preserve">SURXONDARYO VILOYATI DENOV TUMANI A.JOMIY MFY NODIRABEGIM KO’CHASI 65-UY</t>
        </is>
      </c>
      <c r="H442" s="103">
        <v>10.0</v>
      </c>
      <c r="I442" s="103">
        <v>4659470.07</v>
      </c>
      <c r="K442" s="102" t="inlineStr">
        <is>
          <t xml:space="preserve">Telefon ko'tarmadi | sms yozvordim undruv garovga qoygan turar-joyga qaratilad db | 1280</t>
        </is>
      </c>
    </row>
    <row r="443">
      <c r="A443" s="102" t="inlineStr">
        <is>
          <t xml:space="preserve">СУРХОНДАРЁ ВИЛОЯТИ</t>
        </is>
      </c>
      <c r="C443" s="102" t="inlineStr">
        <is>
          <t xml:space="preserve">Объезд</t>
        </is>
      </c>
      <c r="D443" s="102" t="inlineStr">
        <is>
          <t xml:space="preserve">Кр-99041110-1</t>
        </is>
      </c>
      <c r="E443" s="102" t="inlineStr">
        <is>
          <t xml:space="preserve">KASIMOV NODIRBEK BAYKABILOVICH</t>
        </is>
      </c>
      <c r="F443" s="102" t="inlineStr">
        <is>
          <t xml:space="preserve">+998998830188 SMS O’ZI, 998770043004 SMS KELINI, 998958449474 SMS AYOLI, 998991090189 SMS DO’STDI, 998998830188 Primary phone from road24,</t>
        </is>
      </c>
      <c r="G443" s="102" t="inlineStr">
        <is>
          <t xml:space="preserve">ЖОНЧЕККА ҚФЙ, ДЕХКОН МФЙ, ЖОНЧЕККА ҚФЙ, ДЕХКОН МФЙ, ДЕХКОН,  uy:.</t>
        </is>
      </c>
      <c r="H443" s="103">
        <v>10.0</v>
      </c>
      <c r="I443" s="103">
        <v>4357378.6</v>
      </c>
      <c r="K443" s="102" t="inlineStr">
        <is>
          <t xml:space="preserve">Uyiga borildi - va'da berdi | oy oxrga | 960</t>
        </is>
      </c>
    </row>
    <row r="444">
      <c r="A444" s="102" t="inlineStr">
        <is>
          <t xml:space="preserve">СУРХОНДАРЁ ВИЛОЯТИ</t>
        </is>
      </c>
      <c r="C444" s="102" t="inlineStr">
        <is>
          <t xml:space="preserve">Недозвон</t>
        </is>
      </c>
      <c r="D444" s="102" t="inlineStr">
        <is>
          <t xml:space="preserve">Кр-99039462-1</t>
        </is>
      </c>
      <c r="E444" s="102" t="inlineStr">
        <is>
          <t xml:space="preserve">ABILOVA RA’NO ABDURAXMANOVNA</t>
        </is>
      </c>
      <c r="F444" s="102" t="inlineStr">
        <is>
          <t xml:space="preserve">998952481079 SMS OZI, 998952481079 SMS OZI, 998942742076 SMS UYI, 998917183717 SMS AYOLI,</t>
        </is>
      </c>
      <c r="G444" s="102" t="inlineStr">
        <is>
          <t xml:space="preserve">SURXONDARYO VILOYATI QUQO'RG'ON TUMANI MEHRABOD  MFY TEGIRMONARIQ KO‘CHASI  68 UY</t>
        </is>
      </c>
      <c r="H444" s="103">
        <v>9.0</v>
      </c>
      <c r="I444" s="103">
        <v>3825055.01</v>
      </c>
      <c r="K444" s="102" t="inlineStr">
        <is>
          <t xml:space="preserve">Telefon ko'tarmadi | bog`lanib bo`lmadi | 793</t>
        </is>
      </c>
    </row>
    <row r="445">
      <c r="A445" s="102" t="inlineStr">
        <is>
          <t xml:space="preserve">СУРХОНДАРЁ ВИЛОЯТИ</t>
        </is>
      </c>
      <c r="C445" s="102" t="inlineStr">
        <is>
          <t xml:space="preserve">Недозвон</t>
        </is>
      </c>
      <c r="D445" s="102" t="inlineStr">
        <is>
          <t xml:space="preserve">Кр-99024173-2</t>
        </is>
      </c>
      <c r="E445" s="102" t="inlineStr">
        <is>
          <t xml:space="preserve">KURBONOV RUSTAM ABDUKAXOROVICH</t>
        </is>
      </c>
      <c r="F445" s="102" t="inlineStr">
        <is>
          <t xml:space="preserve">99-451-30-84 SMS, 99-102-15-80 SMS UY, 99-135-46-67 SMS UKASI FAZLIDDIN, 94-511-67-60 SMS O’ZI, 998978441975 SMS MAHALLA RAISI,</t>
        </is>
      </c>
      <c r="G445" s="102" t="inlineStr">
        <is>
          <t xml:space="preserve">SURXONDARYO VILOYATI DENOV TUMANI OYBARAK MFY CHINORSOY KO’CHASI 47-UY</t>
        </is>
      </c>
      <c r="H445" s="103">
        <v>6.0</v>
      </c>
      <c r="I445" s="103">
        <v>3786531.53</v>
      </c>
      <c r="K445" s="102" t="inlineStr">
        <is>
          <t xml:space="preserve">Telefon ko'tarmadi | tgdan yozdm | 126</t>
        </is>
      </c>
    </row>
    <row r="446">
      <c r="A446" s="102" t="inlineStr">
        <is>
          <t xml:space="preserve">СУРХОНДАРЁ ВИЛОЯТИ</t>
        </is>
      </c>
      <c r="C446" s="102" t="inlineStr">
        <is>
          <t xml:space="preserve">Недозвон</t>
        </is>
      </c>
      <c r="D446" s="102" t="inlineStr">
        <is>
          <t xml:space="preserve">Кр-99019822-3</t>
        </is>
      </c>
      <c r="E446" s="102" t="inlineStr">
        <is>
          <t xml:space="preserve">TOG’AYEV ZAYNIDDIN XAITMUROD O’G’LI</t>
        </is>
      </c>
      <c r="F446" s="102" t="inlineStr">
        <is>
          <t xml:space="preserve">95-079-03-45 SMS , 88-354-19-95 SMS  begona tel qimayla, 99-235-56-93 SMS begona tel qimayla, 998950790395 SMS OZI , 998771230395 SMS OZI, 998951784101 SMS ozi new,</t>
        </is>
      </c>
      <c r="G446" s="102" t="inlineStr">
        <is>
          <t xml:space="preserve">SURXONDARYO VILOYATIUZUN TUMANI BOBOTOG’ QFY BOBOTOQ MFY NAVBAHOR KO’CHASI 10-UY</t>
        </is>
      </c>
      <c r="H446" s="103">
        <v>9.0</v>
      </c>
      <c r="I446" s="103">
        <v>3738595.96</v>
      </c>
      <c r="K446" s="102" t="inlineStr">
        <is>
          <t xml:space="preserve">Telefon ko'tarmadi | tgda gaplawdim mibga xat kk tolo tayyor dvot polni qarzdorlign bn kel ddm | 81</t>
        </is>
      </c>
    </row>
    <row r="447">
      <c r="A447" s="102" t="inlineStr">
        <is>
          <t xml:space="preserve">СУРХОНДАРЁ ВИЛОЯТИ</t>
        </is>
      </c>
      <c r="C447" s="102" t="inlineStr">
        <is>
          <t xml:space="preserve">Недозвон</t>
        </is>
      </c>
      <c r="D447" s="102" t="inlineStr">
        <is>
          <t xml:space="preserve">Кр-99055892-1</t>
        </is>
      </c>
      <c r="E447" s="102" t="inlineStr">
        <is>
          <t xml:space="preserve">ALTIBAYEV BAXRIDIN KUDRATOVICH</t>
        </is>
      </c>
      <c r="F447" s="102" t="inlineStr">
        <is>
          <t xml:space="preserve">+998994038024 Primary phone from road24, 998994038024 Primary phone from road24,</t>
        </is>
      </c>
      <c r="G447" s="102" t="inlineStr">
        <is>
          <t xml:space="preserve">ОКЖАР КФЙ, ЯНГИХАЁТ МФЙ, ОКЖАР КФЙ, ЯНГИХАЁТ МФЙ, ЯНГИХАЁТ,</t>
        </is>
      </c>
      <c r="H447" s="103">
        <v>139.0</v>
      </c>
      <c r="I447" s="103">
        <v>3656055.98</v>
      </c>
      <c r="K447" s="102" t="inlineStr">
        <is>
          <t xml:space="preserve">Telefon ko'tarmadi | sms yozvordm | 1247</t>
        </is>
      </c>
    </row>
    <row r="448">
      <c r="A448" s="102" t="inlineStr">
        <is>
          <t xml:space="preserve">СУРХОНДАРЁ ВИЛОЯТИ</t>
        </is>
      </c>
      <c r="C448" s="102" t="inlineStr">
        <is>
          <t xml:space="preserve">Недозвон</t>
        </is>
      </c>
      <c r="D448" s="102" t="inlineStr">
        <is>
          <t xml:space="preserve">Кр-99029584-1</t>
        </is>
      </c>
      <c r="E448" s="102" t="inlineStr">
        <is>
          <t xml:space="preserve">MULLOJONOV JAMSHID ABDURASHITOVICH</t>
        </is>
      </c>
      <c r="F448" s="102" t="inlineStr">
        <is>
          <t xml:space="preserve">99-249-37-57 SMS , 99-248-37-57 SMS UY, 90-523-07-63 SMS OILASI, 99-061-07-88  SMS SHERIGI,</t>
        </is>
      </c>
      <c r="G448" s="102" t="inlineStr">
        <is>
          <t xml:space="preserve">SURXONDARYO VILOYATI SARIOSIYO TUMANI X.TOXIROV MFY QALDIRG’OCH KO’CHASI 45-UY</t>
        </is>
      </c>
      <c r="H448" s="103">
        <v>2.0</v>
      </c>
      <c r="I448" s="103">
        <v>3395020.95</v>
      </c>
      <c r="K448" s="102" t="inlineStr">
        <is>
          <t xml:space="preserve">Telefon ko'tarmadi | tgdan yozb qoydm | 247</t>
        </is>
      </c>
    </row>
    <row r="449">
      <c r="A449" s="102" t="inlineStr">
        <is>
          <t xml:space="preserve">СУРХОНДАРЁ ВИЛОЯТИ</t>
        </is>
      </c>
      <c r="C449" s="102" t="inlineStr">
        <is>
          <t xml:space="preserve">Недозвон</t>
        </is>
      </c>
      <c r="D449" s="102" t="inlineStr">
        <is>
          <t xml:space="preserve">Кр-99032752-4</t>
        </is>
      </c>
      <c r="E449" s="102" t="inlineStr">
        <is>
          <t xml:space="preserve">NOMOZOV MUHAMMADJON MUZAFFAR O’G’LI</t>
        </is>
      </c>
      <c r="F449" s="102" t="inlineStr">
        <is>
          <t xml:space="preserve">998900000000 SMS, 998909554949 SMS OZI , 998997014949 SMS UKASI , 998997426093 SMS UY , 998979490094 SMS UY ,</t>
        </is>
      </c>
      <c r="G449" s="102" t="inlineStr">
        <is>
          <t xml:space="preserve">SURXONDARYO VILOYATI DENOV TUMANI TASMASOY MFY</t>
        </is>
      </c>
      <c r="H449" s="103">
        <v>10.0</v>
      </c>
      <c r="I449" s="103">
        <v>3166534.89</v>
      </c>
      <c r="K449" s="102" t="inlineStr">
        <is>
          <t xml:space="preserve">Telefon ko'tarmadi | iwlidigan nomeri yo buni tgdan yozdmm | 364</t>
        </is>
      </c>
    </row>
    <row r="450">
      <c r="A450" s="102" t="inlineStr">
        <is>
          <t xml:space="preserve">СУРХОНДАРЁ ВИЛОЯТИ</t>
        </is>
      </c>
      <c r="C450" s="102" t="inlineStr">
        <is>
          <t xml:space="preserve">Недозвон</t>
        </is>
      </c>
      <c r="D450" s="102" t="inlineStr">
        <is>
          <t xml:space="preserve">Кр-99039297-1</t>
        </is>
      </c>
      <c r="E450" s="102" t="inlineStr">
        <is>
          <t xml:space="preserve">TOSHPULATOV AKMAL MAXMUD O’G’LI</t>
        </is>
      </c>
      <c r="F450" s="102" t="inlineStr">
        <is>
          <t xml:space="preserve">998771779917 SMS OZI, 999809770995 SMS BEGONA, 998958561818 SMS OILASI BEGONA ODAM TEL QLINMASIN , 998919107375 MFY raisi SMS,</t>
        </is>
      </c>
      <c r="G450" s="102" t="inlineStr">
        <is>
          <t xml:space="preserve">SURXONDARYO VILOYATI DENOV SHAHAR JOMIY MFY   Y.RAJABIY 15-UY</t>
        </is>
      </c>
      <c r="H450" s="103">
        <v>15.0</v>
      </c>
      <c r="I450" s="103">
        <v>2952775.61</v>
      </c>
      <c r="K450" s="102" t="inlineStr">
        <is>
          <t xml:space="preserve">Telefon ko'tarmadi | bunda malumot yo | 766</t>
        </is>
      </c>
    </row>
    <row r="451">
      <c r="A451" s="102" t="inlineStr">
        <is>
          <t xml:space="preserve">СУРХОНДАРЁ ВИЛОЯТИ</t>
        </is>
      </c>
      <c r="C451" s="102" t="inlineStr">
        <is>
          <t xml:space="preserve">Недозвон</t>
        </is>
      </c>
      <c r="D451" s="102" t="inlineStr">
        <is>
          <t xml:space="preserve">Кр-99032276-1</t>
        </is>
      </c>
      <c r="E451" s="102" t="inlineStr">
        <is>
          <t xml:space="preserve">NASIMOVA NOZIMAXON ABULQOSIM QIZI</t>
        </is>
      </c>
      <c r="F451" s="102" t="inlineStr">
        <is>
          <t xml:space="preserve">998883833315 SMS O’ZI, 998993881881 SMS TO’LOVCHI, 998888029494 SMS ZALOG QO’YUVCHI, 998901141252 SMS,</t>
        </is>
      </c>
      <c r="G451" s="102" t="inlineStr">
        <is>
          <t xml:space="preserve">SURXANDARYO VILOYATI DENOV TUMANI LAG’MON OTA MFY QAMASHI KO’CHASI 111-UY</t>
        </is>
      </c>
      <c r="H451" s="103">
        <v>13.0</v>
      </c>
      <c r="I451" s="103">
        <v>2930143.81</v>
      </c>
      <c r="K451" s="102" t="inlineStr">
        <is>
          <t xml:space="preserve">Telefon ko'tarmadi | sms yozvordm | 342</t>
        </is>
      </c>
    </row>
    <row r="452">
      <c r="A452" s="102" t="inlineStr">
        <is>
          <t xml:space="preserve">СУРХОНДАРЁ ВИЛОЯТИ</t>
        </is>
      </c>
      <c r="C452" s="102" t="inlineStr">
        <is>
          <t xml:space="preserve">Недозвон</t>
        </is>
      </c>
      <c r="D452" s="102" t="inlineStr">
        <is>
          <t xml:space="preserve">Кр-99062602-1</t>
        </is>
      </c>
      <c r="E452" s="102" t="inlineStr">
        <is>
          <t xml:space="preserve">OLIMOVA CHAROS SHAVKATOVNA</t>
        </is>
      </c>
      <c r="F452" s="102" t="inlineStr">
        <is>
          <t xml:space="preserve">+998954911487 SMS OZI, 998886649502 SMS UKASI, 998993874000 SMS ERI,</t>
        </is>
      </c>
      <c r="G452" s="102" t="inlineStr">
        <is>
          <t xml:space="preserve">АНГОР ТУМАНИ,ТАЛЛИМАРОН ҚФЙ, ТЎЛҚИН МФЙ, ТАЛЛИМАРОН ҚФЙ, ТЎЛҚИН МФЙ,  uy:0</t>
        </is>
      </c>
      <c r="H452" s="103">
        <v>10.0</v>
      </c>
      <c r="I452" s="103">
        <v>2825344.86</v>
      </c>
      <c r="K452" s="102" t="inlineStr">
        <is>
          <t xml:space="preserve">Telefon ko'tarmadi | xozrca iwlamad nomeri sms yozb qoydm | 1405</t>
        </is>
      </c>
    </row>
    <row r="453">
      <c r="A453" s="102" t="inlineStr">
        <is>
          <t xml:space="preserve">СУРХОНДАРЁ ВИЛОЯТИ</t>
        </is>
      </c>
      <c r="C453" s="102" t="inlineStr">
        <is>
          <t xml:space="preserve">Недозвон</t>
        </is>
      </c>
      <c r="D453" s="102" t="inlineStr">
        <is>
          <t xml:space="preserve">Кр-99028408-1</t>
        </is>
      </c>
      <c r="E453" s="102" t="inlineStr">
        <is>
          <t xml:space="preserve">MALLAYEVA DILAFRUZ ABDULLAYEVNA</t>
        </is>
      </c>
      <c r="F453" s="102" t="inlineStr">
        <is>
          <t xml:space="preserve">91-585-67-12 SMS OZI BEGONA, 91-585-28-03 SMS UY, 998996777207 SMS TO'LOVCHI, 91-900-17-24 SMS OILASI,</t>
        </is>
      </c>
      <c r="G453" s="102" t="inlineStr">
        <is>
          <t xml:space="preserve">SURXONDARYO VILOYAT SHO’RCHI TUMANI JALOIR QFY DUSTLIK MFY DUSTLIK KO’CHASI 59-UY</t>
        </is>
      </c>
      <c r="H453" s="103">
        <v>8.0</v>
      </c>
      <c r="I453" s="103">
        <v>2817448.78</v>
      </c>
      <c r="K453" s="102" t="inlineStr">
        <is>
          <t xml:space="preserve">Telefon ko'tarmadi | tgdan yozdm | 200</t>
        </is>
      </c>
    </row>
    <row r="454">
      <c r="A454" s="102" t="inlineStr">
        <is>
          <t xml:space="preserve">СУРХОНДАРЁ ВИЛОЯТИ</t>
        </is>
      </c>
      <c r="C454" s="102" t="inlineStr">
        <is>
          <t xml:space="preserve">Недозвон</t>
        </is>
      </c>
      <c r="D454" s="102" t="inlineStr">
        <is>
          <t xml:space="preserve">Кр-99021671-3</t>
        </is>
      </c>
      <c r="E454" s="102" t="inlineStr">
        <is>
          <t xml:space="preserve">SAFAROVA ILMIRA BOZOR QIZI</t>
        </is>
      </c>
      <c r="F454" s="102" t="inlineStr">
        <is>
          <t xml:space="preserve">99-718-98-01 SMS OZI, 88-301-93-01  SMS UY BEGONA , 95-222-35-71 SMS , 998951906881 akasi tolovchi,</t>
        </is>
      </c>
      <c r="G454" s="102" t="inlineStr">
        <is>
          <t xml:space="preserve">SURXONDARYO VILOYATI DENOV TUMANI LAG’MONOTA MFY BAXT K’OCHASI 39-UY </t>
        </is>
      </c>
      <c r="H454" s="103">
        <v>76.0</v>
      </c>
      <c r="I454" s="103">
        <v>2571983.94</v>
      </c>
      <c r="K454" s="102" t="inlineStr">
        <is>
          <t xml:space="preserve">Telefon ko'tarmadi | iskandar ogan | 104</t>
        </is>
      </c>
    </row>
    <row r="455">
      <c r="A455" s="102" t="inlineStr">
        <is>
          <t xml:space="preserve">СУРХОНДАРЁ ВИЛОЯТИ</t>
        </is>
      </c>
      <c r="C455" s="102" t="inlineStr">
        <is>
          <t xml:space="preserve">Недозвон</t>
        </is>
      </c>
      <c r="D455" s="102" t="inlineStr">
        <is>
          <t xml:space="preserve">Кр-99025723-2</t>
        </is>
      </c>
      <c r="E455" s="102" t="inlineStr">
        <is>
          <t xml:space="preserve">G’ANIYEV XURSHIDBEK ABDSAMAD O’G’LI</t>
        </is>
      </c>
      <c r="F455" s="102" t="inlineStr">
        <is>
          <t xml:space="preserve">94-272-03-27 SMS OZI begona, 99-578-37-91 SMS UY, 97-151-70-20 SMS UY, 91-517-21-03 SMS JIYANI, 94-272-03-79 SMS SUKA UZI TOLIDI, 998940015779 SMS AYOLI,</t>
        </is>
      </c>
      <c r="G455" s="102" t="inlineStr">
        <is>
          <t xml:space="preserve">SURXONDARYO VILOYATI OLTINSOY TUMANI JOBI MFY  28-UY</t>
        </is>
      </c>
      <c r="H455" s="103">
        <v>13.0</v>
      </c>
      <c r="I455" s="103">
        <v>2568074.66</v>
      </c>
      <c r="K455" s="102" t="inlineStr">
        <is>
          <t xml:space="preserve">Telefon ko'tarmadi | iwlidigan nomeri yo mfy siga ciqdm | 149</t>
        </is>
      </c>
    </row>
    <row r="456">
      <c r="A456" s="102" t="inlineStr">
        <is>
          <t xml:space="preserve">СУРХОНДАРЁ ВИЛОЯТИ</t>
        </is>
      </c>
      <c r="C456" s="102" t="inlineStr">
        <is>
          <t xml:space="preserve">Недозвон</t>
        </is>
      </c>
      <c r="D456" s="102" t="inlineStr">
        <is>
          <t xml:space="preserve">Кр-99043030-1</t>
        </is>
      </c>
      <c r="E456" s="102" t="inlineStr">
        <is>
          <t xml:space="preserve">QO’LDOSHEVA MAVLYUDA MELIQULOVNA</t>
        </is>
      </c>
      <c r="F456" s="102" t="inlineStr">
        <is>
          <t xml:space="preserve">+998945101466 SMS O’ZI, 998937644757 SMS ERI, 998946064642 SMS QIZI,</t>
        </is>
      </c>
      <c r="G456" s="102" t="inlineStr">
        <is>
          <t xml:space="preserve">МУЗРАБОТ ТУМАН САРХАД ҚФЙ, АТ ТЕРМИЗИЙ МФЙ,  uy:00</t>
        </is>
      </c>
      <c r="H456" s="103">
        <v>10.0</v>
      </c>
      <c r="I456" s="103">
        <v>2557979.51</v>
      </c>
      <c r="K456" s="102" t="inlineStr">
        <is>
          <t xml:space="preserve">Telefon ko'tarmadi | sms yozdm | 1072</t>
        </is>
      </c>
    </row>
    <row r="457">
      <c r="A457" s="102" t="inlineStr">
        <is>
          <t xml:space="preserve">СУРХОНДАРЁ ВИЛОЯТИ</t>
        </is>
      </c>
      <c r="C457" s="102" t="inlineStr">
        <is>
          <t xml:space="preserve">Объезд</t>
        </is>
      </c>
      <c r="D457" s="102" t="inlineStr">
        <is>
          <t xml:space="preserve">Кр-99035964-1</t>
        </is>
      </c>
      <c r="E457" s="102" t="inlineStr">
        <is>
          <t xml:space="preserve">SULOYMONOV ERKIN NOZIMOVICH</t>
        </is>
      </c>
      <c r="F457" s="102" t="inlineStr">
        <is>
          <t xml:space="preserve">998770300464 SMS O’ZI, 998881538883 SMS AYOLI, 998770320564 SMS O’G’LI, 998936034414 SMS OSHNASI,</t>
        </is>
      </c>
      <c r="G457" s="102" t="inlineStr">
        <is>
          <t xml:space="preserve">SURXONDARYO VILOYATI DENOV TUMANI O’RTAQISHLOQ MFY TAVAKULL K’OCHASI 21-UY</t>
        </is>
      </c>
      <c r="H457" s="103">
        <v>3.0</v>
      </c>
      <c r="I457" s="103">
        <v>2520863.96</v>
      </c>
      <c r="K457" s="102" t="inlineStr">
        <is>
          <t xml:space="preserve">Uyiga borildi - va'da berdi | wu hafta yopad | 543</t>
        </is>
      </c>
    </row>
    <row r="458">
      <c r="A458" s="102" t="inlineStr">
        <is>
          <t xml:space="preserve">СУРХОНДАРЁ ВИЛОЯТИ</t>
        </is>
      </c>
      <c r="C458" s="102" t="inlineStr">
        <is>
          <t xml:space="preserve">Недозвон</t>
        </is>
      </c>
      <c r="D458" s="102" t="inlineStr">
        <is>
          <t xml:space="preserve">Кр-99057472-1</t>
        </is>
      </c>
      <c r="E458" s="102" t="inlineStr">
        <is>
          <t xml:space="preserve">JABBAROVA MAHLIYO MARDANAQUL QIZI</t>
        </is>
      </c>
      <c r="F458" s="102" t="inlineStr">
        <is>
          <t xml:space="preserve">998991609650 SMS UZI, 998772499000 SMS UY, 998953149690 SMS OILASI, 998771100683 SMS oilasi begona,</t>
        </is>
      </c>
      <c r="G458" s="102" t="inlineStr">
        <is>
          <t xml:space="preserve">SURXONDARYO VILOYATI DENOV TUMANI LOCHIN MFY FAYZLI 20-UY</t>
        </is>
      </c>
      <c r="H458" s="103">
        <v>10.0</v>
      </c>
      <c r="I458" s="103">
        <v>2500837.53</v>
      </c>
      <c r="K458" s="102" t="inlineStr">
        <is>
          <t xml:space="preserve">Telefon ko'tarmadi | sms yozb qoydm | 1303</t>
        </is>
      </c>
    </row>
    <row r="459">
      <c r="A459" s="102" t="inlineStr">
        <is>
          <t xml:space="preserve">СУРХОНДАРЁ ВИЛОЯТИ</t>
        </is>
      </c>
      <c r="C459" s="102" t="inlineStr">
        <is>
          <t xml:space="preserve">Недозвон</t>
        </is>
      </c>
      <c r="D459" s="102" t="inlineStr">
        <is>
          <t xml:space="preserve">Кр-99030406-1</t>
        </is>
      </c>
      <c r="E459" s="102" t="inlineStr">
        <is>
          <t xml:space="preserve">MAMATALIYEV JAHONGIR MAMARAJABOVICH</t>
        </is>
      </c>
      <c r="F459" s="102" t="inlineStr">
        <is>
          <t xml:space="preserve">99-065-06-92 SMS O’ZI, 88-015-06-92 SMS UY, 94-464-67-74 SMS OTASI,</t>
        </is>
      </c>
      <c r="G459" s="102" t="inlineStr">
        <is>
          <t xml:space="preserve">SURXONDARYO VILOYATI DENOV TUMANI DUNYOTEPA M.F.Y QAXRAMON 24-UY</t>
        </is>
      </c>
      <c r="H459" s="103">
        <v>10.0</v>
      </c>
      <c r="I459" s="103">
        <v>2463002.86</v>
      </c>
      <c r="K459" s="102" t="inlineStr">
        <is>
          <t xml:space="preserve">Telefon ko'tarmadi | tgdan yozdm | 272</t>
        </is>
      </c>
    </row>
    <row r="460">
      <c r="A460" s="102" t="inlineStr">
        <is>
          <t xml:space="preserve">СУРХОНДАРЁ ВИЛОЯТИ</t>
        </is>
      </c>
      <c r="C460" s="102" t="inlineStr">
        <is>
          <t xml:space="preserve">Недозвон</t>
        </is>
      </c>
      <c r="D460" s="102" t="inlineStr">
        <is>
          <t xml:space="preserve">Кр-99032339-1</t>
        </is>
      </c>
      <c r="E460" s="102" t="inlineStr">
        <is>
          <t xml:space="preserve">ISKANDAROV GIYOSIDIN MAMAXONOVICH</t>
        </is>
      </c>
      <c r="F460" s="102" t="inlineStr">
        <is>
          <t xml:space="preserve">998939863538 SMS O’G’LI, 998941512655 SMS ZALOGODATEL, 998994528898 SMS O’G’LI 2, 998910771877 SMS O’G’LI 3,</t>
        </is>
      </c>
      <c r="G460" s="102" t="inlineStr">
        <is>
          <t xml:space="preserve">SURXONDARYO VILOYATI SARIOSIYO TUMANI SHAROF OBOD MAHALLASI AMIR TEMUR KO’CHASI 62-UY</t>
        </is>
      </c>
      <c r="H460" s="103">
        <v>10.0</v>
      </c>
      <c r="I460" s="103">
        <v>2444143.49</v>
      </c>
      <c r="K460" s="102" t="inlineStr">
        <is>
          <t xml:space="preserve">Telefon ko'tarmadi | oglini tg siga yozdm | 348</t>
        </is>
      </c>
    </row>
    <row r="461">
      <c r="A461" s="102" t="inlineStr">
        <is>
          <t xml:space="preserve">СУРХОНДАРЁ ВИЛОЯТИ</t>
        </is>
      </c>
      <c r="C461" s="102" t="inlineStr">
        <is>
          <t xml:space="preserve">Недозвон</t>
        </is>
      </c>
      <c r="D461" s="102" t="inlineStr">
        <is>
          <t xml:space="preserve">Кр-99033591-1</t>
        </is>
      </c>
      <c r="E461" s="102" t="inlineStr">
        <is>
          <t xml:space="preserve">XOLLIYEV ABDUMAJID ESHBO’RIYEVICH</t>
        </is>
      </c>
      <c r="F461" s="102" t="inlineStr">
        <is>
          <t xml:space="preserve">998997561174 SMS O’ZI, 998937683686 SMS UKASI, 998884290204 SMS O’G’LI, 998990768400 SMS UKASI, 998770505870 SMS ,</t>
        </is>
      </c>
      <c r="G461" s="102" t="inlineStr">
        <is>
          <t xml:space="preserve">SURXONDARYO VILOYATI ANGOR TUMAN MARKAZ MFY FIDOKOR KO’CHASI </t>
        </is>
      </c>
      <c r="H461" s="103">
        <v>3.0</v>
      </c>
      <c r="I461" s="103">
        <v>2424000.0</v>
      </c>
      <c r="K461" s="102" t="inlineStr">
        <is>
          <t xml:space="preserve">Telefon ko'tarmadi | sms yozb qoydm | 413</t>
        </is>
      </c>
    </row>
    <row r="462">
      <c r="A462" s="102" t="inlineStr">
        <is>
          <t xml:space="preserve">СУРХОНДАРЁ ВИЛОЯТИ</t>
        </is>
      </c>
      <c r="C462" s="102" t="inlineStr">
        <is>
          <t xml:space="preserve">Недозвон</t>
        </is>
      </c>
      <c r="D462" s="102" t="inlineStr">
        <is>
          <t xml:space="preserve">Кр-99039904-1</t>
        </is>
      </c>
      <c r="E462" s="102" t="inlineStr">
        <is>
          <t xml:space="preserve">ESHQURBONOV SHERALI RIZAQULOVICH</t>
        </is>
      </c>
      <c r="F462" s="102" t="inlineStr">
        <is>
          <t xml:space="preserve">998955952286 SMS UZI, 998955752286 SMS AYOLI, 998954440849 SMS O'G'LI,</t>
        </is>
      </c>
      <c r="G462" s="102" t="inlineStr">
        <is>
          <t xml:space="preserve">SURXONDARYO VILOYAT BANDIXON TUMAN OBIKOR MFY YANGI ZAMON KO’CHASI 119-UY</t>
        </is>
      </c>
      <c r="H462" s="103">
        <v>10.0</v>
      </c>
      <c r="I462" s="103">
        <v>2349608.97</v>
      </c>
      <c r="K462" s="102" t="inlineStr">
        <is>
          <t xml:space="preserve">Telefon ko'tarmadi | sms yozdm | 843</t>
        </is>
      </c>
    </row>
    <row r="463">
      <c r="A463" s="102" t="inlineStr">
        <is>
          <t xml:space="preserve">СУРХОНДАРЁ ВИЛОЯТИ</t>
        </is>
      </c>
      <c r="C463" s="102" t="inlineStr">
        <is>
          <t xml:space="preserve">Недозвон</t>
        </is>
      </c>
      <c r="D463" s="102" t="inlineStr">
        <is>
          <t xml:space="preserve">Кр-99061885-1</t>
        </is>
      </c>
      <c r="E463" s="102" t="inlineStr">
        <is>
          <t xml:space="preserve">RAXIMOV ERNAZAR XUDOYBERDI O’G’LI</t>
        </is>
      </c>
      <c r="F463" s="102" t="inlineStr">
        <is>
          <t xml:space="preserve">+998952656464 SMS O’ZI, 998978069008 SMS AKASI, 998990749898 SMS AKASI,</t>
        </is>
      </c>
      <c r="G463" s="102" t="inlineStr">
        <is>
          <t xml:space="preserve">БАНДИХОН ТУМАНИ ҚИЗИРИҚ ҚФЙ, ПАХТАКОР МФЙ,  uy:139</t>
        </is>
      </c>
      <c r="H463" s="103">
        <v>10.0</v>
      </c>
      <c r="I463" s="103">
        <v>2321020.88</v>
      </c>
      <c r="K463" s="102" t="inlineStr">
        <is>
          <t xml:space="preserve">Telefon ko'tarmadi | akasi bn gaplawdm ernazarni oziga sms yozvordm | 1389</t>
        </is>
      </c>
    </row>
    <row r="464">
      <c r="A464" s="102" t="inlineStr">
        <is>
          <t xml:space="preserve">СУРХОНДАРЁ ВИЛОЯТИ</t>
        </is>
      </c>
      <c r="C464" s="102" t="inlineStr">
        <is>
          <t xml:space="preserve">Недозвон</t>
        </is>
      </c>
      <c r="D464" s="102" t="inlineStr">
        <is>
          <t xml:space="preserve">Кр-99028203-2</t>
        </is>
      </c>
      <c r="E464" s="102" t="inlineStr">
        <is>
          <t xml:space="preserve">TOSHMURODOV SHAXBOZ URALBOY O’G’LI</t>
        </is>
      </c>
      <c r="F464" s="102" t="inlineStr">
        <is>
          <t xml:space="preserve">88-810-99-97 SMS O'ZI, 91-234-75-34  SMS UKASI, 91-968-85-77  SMS DADASI, 90-748-85-77  SMS UY,</t>
        </is>
      </c>
      <c r="G464" s="102" t="inlineStr">
        <is>
          <t xml:space="preserve">SURXONDARYO VILOYATI SARIOSIYO TUMANI BILLUR MFY BILUR  K’OCHASI 82-UY </t>
        </is>
      </c>
      <c r="H464" s="103">
        <v>13.0</v>
      </c>
      <c r="I464" s="103">
        <v>2309294.67</v>
      </c>
      <c r="K464" s="102" t="inlineStr">
        <is>
          <t xml:space="preserve">Telefon ko'tarmadi | sms yozdm nomerini kotarmadi | 197</t>
        </is>
      </c>
    </row>
    <row r="465">
      <c r="A465" s="102" t="inlineStr">
        <is>
          <t xml:space="preserve">СУРХОНДАРЁ ВИЛОЯТИ</t>
        </is>
      </c>
      <c r="C465" s="102" t="inlineStr">
        <is>
          <t xml:space="preserve">Недозвон</t>
        </is>
      </c>
      <c r="D465" s="102" t="inlineStr">
        <is>
          <t xml:space="preserve">Кр-99023037-2</t>
        </is>
      </c>
      <c r="E465" s="102" t="inlineStr">
        <is>
          <t xml:space="preserve">ABDIRAIMOVA DILNOZA RAXMAT QIZI</t>
        </is>
      </c>
      <c r="F465" s="102" t="inlineStr">
        <is>
          <t xml:space="preserve"> 99-584-96-32 sms, 99-369-25-14 sms , 998919030755 SMS UJKASI, 998910773875 SMS AKASI, 998919052503 uzi new,</t>
        </is>
      </c>
      <c r="G465" s="102" t="inlineStr">
        <is>
          <t xml:space="preserve">SURXONDARYO VILOYATI SHO’RCHI TUMANI KATTA SOVUR MFY KO’KLAM K’OCHASI 14-UY</t>
        </is>
      </c>
      <c r="H465" s="103">
        <v>7.0</v>
      </c>
      <c r="I465" s="103">
        <v>2269210.54</v>
      </c>
      <c r="K465" s="102" t="inlineStr">
        <is>
          <t xml:space="preserve">Telefon ko'tarmadi | ayoli bn gaplawdm erm kesn etaman dd | 121</t>
        </is>
      </c>
    </row>
    <row r="466">
      <c r="A466" s="102" t="inlineStr">
        <is>
          <t xml:space="preserve">СУРХОНДАРЁ ВИЛОЯТИ</t>
        </is>
      </c>
      <c r="C466" s="102" t="inlineStr">
        <is>
          <t xml:space="preserve">Объезд</t>
        </is>
      </c>
      <c r="D466" s="102" t="inlineStr">
        <is>
          <t xml:space="preserve">Кр-99035996-1</t>
        </is>
      </c>
      <c r="E466" s="102" t="inlineStr">
        <is>
          <t xml:space="preserve">ALMARDONOV BOBOMUROD BOBORAXMATOVICH</t>
        </is>
      </c>
      <c r="F466" s="102" t="inlineStr">
        <is>
          <t xml:space="preserve">998995444686 SMS OZI, 998883176868 SMS SHERIGI, 998978967555 SMS UY, 998975502586 SMS,</t>
        </is>
      </c>
      <c r="G466" s="102" t="inlineStr">
        <is>
          <t xml:space="preserve">SURXONDARYO VILOYATI DENOV TUMANI FAYZLI MFY BUYUK IPAKYULI KO'CHASI 1-UY</t>
        </is>
      </c>
      <c r="H466" s="103">
        <v>3.0</v>
      </c>
      <c r="I466" s="103">
        <v>2248695.19</v>
      </c>
      <c r="J466" s="103">
        <v>2248695.19</v>
      </c>
      <c r="K466" s="102" t="inlineStr">
        <is>
          <t xml:space="preserve">Uyiga borildi - to'ladi | toladi | 544</t>
        </is>
      </c>
    </row>
    <row r="467">
      <c r="A467" s="102" t="inlineStr">
        <is>
          <t xml:space="preserve">СУРХОНДАРЁ ВИЛОЯТИ</t>
        </is>
      </c>
      <c r="C467" s="102" t="inlineStr">
        <is>
          <t xml:space="preserve">Объезд</t>
        </is>
      </c>
      <c r="D467" s="102" t="inlineStr">
        <is>
          <t xml:space="preserve">Кр-99039591-1</t>
        </is>
      </c>
      <c r="E467" s="102" t="inlineStr">
        <is>
          <t xml:space="preserve">YO’LDOSHEV BAHODIR HAZRATQULOVICH</t>
        </is>
      </c>
      <c r="F467" s="102" t="inlineStr">
        <is>
          <t xml:space="preserve">998975339787 SMS OZI, 998971231999 SMS UY, 998884207571 SMS ONASI,</t>
        </is>
      </c>
      <c r="G467" s="102" t="inlineStr">
        <is>
          <t xml:space="preserve">SURXONDARYO VILOYATI DENOV TUMANI MUQUMIY MFY TARAQQIYOT 6-UY</t>
        </is>
      </c>
      <c r="H467" s="103">
        <v>3.0</v>
      </c>
      <c r="I467" s="103">
        <v>2242888.97</v>
      </c>
      <c r="K467" s="102" t="inlineStr">
        <is>
          <t xml:space="preserve">Uyiga borildi - va'da berdi | bugun erte tolo qlad | 806</t>
        </is>
      </c>
    </row>
    <row r="468">
      <c r="A468" s="102" t="inlineStr">
        <is>
          <t xml:space="preserve">СУРХОНДАРЁ ВИЛОЯТИ</t>
        </is>
      </c>
      <c r="C468" s="102" t="inlineStr">
        <is>
          <t xml:space="preserve">Недозвон</t>
        </is>
      </c>
      <c r="D468" s="102" t="inlineStr">
        <is>
          <t xml:space="preserve">Кр-99029597-1</t>
        </is>
      </c>
      <c r="E468" s="102" t="inlineStr">
        <is>
          <t xml:space="preserve">MARDANOV ERGASH XURSANOVICH</t>
        </is>
      </c>
      <c r="F468" s="102" t="inlineStr">
        <is>
          <t xml:space="preserve">94-202-80-73 SMS, 97-550-73-80  SMS UY, 93-163-02-28  SMS UKASI , 94-553-21-13  SMS OILASI,</t>
        </is>
      </c>
      <c r="G468" s="102" t="inlineStr">
        <is>
          <t xml:space="preserve">SURXONDARYO VILOYATI JARQO’RG’ON TUMANI ESKIQISHLOQ MFY O’ZBEKISTON KO’CHASI 95-UY</t>
        </is>
      </c>
      <c r="H468" s="103">
        <v>1.0</v>
      </c>
      <c r="I468" s="103">
        <v>2196866.57</v>
      </c>
      <c r="K468" s="102" t="inlineStr">
        <is>
          <t xml:space="preserve">Telefon ko'tarmadi | uyiga odam jonatdm bugun erte tolo qlad | 250</t>
        </is>
      </c>
    </row>
    <row r="469">
      <c r="A469" s="102" t="inlineStr">
        <is>
          <t xml:space="preserve">СУРХОНДАРЁ ВИЛОЯТИ</t>
        </is>
      </c>
      <c r="C469" s="102" t="inlineStr">
        <is>
          <t xml:space="preserve">Недозвон</t>
        </is>
      </c>
      <c r="D469" s="102" t="inlineStr">
        <is>
          <t xml:space="preserve">Кр-99021830-2</t>
        </is>
      </c>
      <c r="E469" s="102" t="inlineStr">
        <is>
          <t xml:space="preserve">YULDOSHEVA MAKSUDA DJURABAYEVNA</t>
        </is>
      </c>
      <c r="F469" s="102" t="inlineStr">
        <is>
          <t xml:space="preserve">998978408289 SMS , 998981760183 SMS UY , 998888480485 SMS,</t>
        </is>
      </c>
      <c r="G469" s="102" t="inlineStr">
        <is>
          <t xml:space="preserve">SURXONDARYO VILOYATI UZUN TUMANI FAYZOVA QFY  DOZARA MFY ALPOMISH KOCHASI 50-UY</t>
        </is>
      </c>
      <c r="H469" s="103">
        <v>3.0</v>
      </c>
      <c r="I469" s="103">
        <v>2084183.22</v>
      </c>
      <c r="K469" s="102" t="inlineStr">
        <is>
          <t xml:space="preserve">Telefon ko'tarmadi | abrorga tolaga | 106</t>
        </is>
      </c>
    </row>
    <row r="470">
      <c r="A470" s="102" t="inlineStr">
        <is>
          <t xml:space="preserve">СУРХОНДАРЁ ВИЛОЯТИ</t>
        </is>
      </c>
      <c r="C470" s="102" t="inlineStr">
        <is>
          <t xml:space="preserve">Недозвон</t>
        </is>
      </c>
      <c r="D470" s="102" t="inlineStr">
        <is>
          <t xml:space="preserve">Кр-99008104-2</t>
        </is>
      </c>
      <c r="E470" s="102" t="inlineStr">
        <is>
          <t xml:space="preserve">MURODOV JURABEK RO’ZIMUROTOVICH</t>
        </is>
      </c>
      <c r="F470" s="102" t="inlineStr">
        <is>
          <t xml:space="preserve">97-841-06-81 SMS OZI, 93-633-06-81 SMS O’ZI 2, 88-843-06-81 SMS UY, 88-844-06-81 SMS OZI 3 BEGONA,</t>
        </is>
      </c>
      <c r="G470" s="102" t="inlineStr">
        <is>
          <t xml:space="preserve">SURXONDARYO VILOYATI DENOV TUMANI OZOD MFY NURLIHAYOT 32-UY</t>
        </is>
      </c>
      <c r="H470" s="103">
        <v>7.0</v>
      </c>
      <c r="I470" s="103">
        <v>2068731.12</v>
      </c>
      <c r="K470" s="102" t="inlineStr">
        <is>
          <t xml:space="preserve">Telefon ko'tarmadi | hamma nomer begona mfysi aniqlawtramz dd | 26</t>
        </is>
      </c>
    </row>
    <row r="471">
      <c r="A471" s="102" t="inlineStr">
        <is>
          <t xml:space="preserve">СУРХОНДАРЁ ВИЛОЯТИ</t>
        </is>
      </c>
      <c r="C471" s="102" t="inlineStr">
        <is>
          <t xml:space="preserve">Недозвон</t>
        </is>
      </c>
      <c r="D471" s="102" t="inlineStr">
        <is>
          <t xml:space="preserve">Кр-99041502-3</t>
        </is>
      </c>
      <c r="E471" s="102" t="inlineStr">
        <is>
          <t xml:space="preserve">SALIMOVA PARVINA SO’XROBOVNA</t>
        </is>
      </c>
      <c r="F471" s="102" t="inlineStr">
        <is>
          <t xml:space="preserve">998888038774 SMS DADASI, 998888039774 SMS O’ZI, 998990948901 SMS O’ZI,</t>
        </is>
      </c>
      <c r="G471" s="102" t="inlineStr">
        <is>
          <t xml:space="preserve">СУРХОНДАРЁ ВИЛОЯТИ САРИОСЁ ТУМАНИ СЕБЗОР МФЙ, ЧИНОР КЎЧАСИ,  58-uy:Р/С</t>
        </is>
      </c>
      <c r="H471" s="103">
        <v>10.0</v>
      </c>
      <c r="I471" s="103">
        <v>2013295.87</v>
      </c>
      <c r="K471" s="102" t="inlineStr">
        <is>
          <t xml:space="preserve">Telefon ko'tarmadi | iwlidigan nomeri yo tgdan yozvoma | 1004</t>
        </is>
      </c>
    </row>
    <row r="472">
      <c r="A472" s="102" t="inlineStr">
        <is>
          <t xml:space="preserve">СУРХОНДАРЁ ВИЛОЯТИ</t>
        </is>
      </c>
      <c r="C472" s="102" t="inlineStr">
        <is>
          <t xml:space="preserve">Недозвон</t>
        </is>
      </c>
      <c r="D472" s="102" t="inlineStr">
        <is>
          <t xml:space="preserve">Кр-99029696-1</t>
        </is>
      </c>
      <c r="E472" s="102" t="inlineStr">
        <is>
          <t xml:space="preserve">ISMATOVA NASIBA ABDURASULOVNA</t>
        </is>
      </c>
      <c r="F472" s="102" t="inlineStr">
        <is>
          <t xml:space="preserve">99-382-00-77 SMS O’ZI, 91-237-07-00  SMS UY, 97-848-88-08  SMS UKASI AKBAR, 95-831-99-99  SMS JIYANI SULTON, 998996707198 tulovchi Izzat,</t>
        </is>
      </c>
      <c r="G472" s="102" t="inlineStr">
        <is>
          <t xml:space="preserve">SURXONDARYO VILOYATI OLTINSOY TUMANI MARMIN MFY  KUCHASI  58-UY</t>
        </is>
      </c>
      <c r="H472" s="103">
        <v>2.0</v>
      </c>
      <c r="I472" s="103">
        <v>1969613.7</v>
      </c>
      <c r="K472" s="102" t="inlineStr">
        <is>
          <t xml:space="preserve">Telefon ko'tarmadi | tgdan gaplawvoma | 254</t>
        </is>
      </c>
    </row>
    <row r="473">
      <c r="A473" s="102" t="inlineStr">
        <is>
          <t xml:space="preserve">СУРХОНДАРЁ ВИЛОЯТИ</t>
        </is>
      </c>
      <c r="C473" s="102" t="inlineStr">
        <is>
          <t xml:space="preserve">Недозвон</t>
        </is>
      </c>
      <c r="D473" s="102" t="inlineStr">
        <is>
          <t xml:space="preserve">Кр-99029504-1</t>
        </is>
      </c>
      <c r="E473" s="102" t="inlineStr">
        <is>
          <t xml:space="preserve">TURAYEVA MUQADDAS ZIYODULLAYEVNA</t>
        </is>
      </c>
      <c r="F473" s="102" t="inlineStr">
        <is>
          <t xml:space="preserve">99-258-00-94 SMS ERI TAKSIST , 95-212-28-18 SMS OZI, 91-510-17-38 SMS UY, 88-634-00-94  SMS AKASI, 998702180854 SMS ERI TOLOVCHISI,</t>
        </is>
      </c>
      <c r="G473" s="102" t="inlineStr">
        <is>
          <t xml:space="preserve">SURXONDARYO VILOYATI DENOV SHAXAR  BO’G’ISHOMOL MFY BAXTUYI  KO’CHASI 2-UY</t>
        </is>
      </c>
      <c r="H473" s="103">
        <v>3.0</v>
      </c>
      <c r="I473" s="103">
        <v>1938075.59</v>
      </c>
      <c r="K473" s="102" t="inlineStr">
        <is>
          <t xml:space="preserve">Telefon ko'tarmadi | eriga tgdan yozdm | 240</t>
        </is>
      </c>
    </row>
    <row r="474">
      <c r="A474" s="102" t="inlineStr">
        <is>
          <t xml:space="preserve">СУРХОНДАРЁ ВИЛОЯТИ</t>
        </is>
      </c>
      <c r="C474" s="102" t="inlineStr">
        <is>
          <t xml:space="preserve">Недозвон</t>
        </is>
      </c>
      <c r="D474" s="102" t="inlineStr">
        <is>
          <t xml:space="preserve">Кр-99033688-1</t>
        </is>
      </c>
      <c r="E474" s="102" t="inlineStr">
        <is>
          <t xml:space="preserve">XODJAMURATOV JUMMA UROLOVICH</t>
        </is>
      </c>
      <c r="F474" s="102" t="inlineStr">
        <is>
          <t xml:space="preserve">998884880838 SMS OZI, 998978447482 SMS AYOLI, 998880003645 SMS OGLI, 998975521507 SMS AKASI, 998886380838 SMS OZI TOLOVCHI ,</t>
        </is>
      </c>
      <c r="G474" s="102" t="inlineStr">
        <is>
          <t xml:space="preserve">SURXONDARYO VILOYATI DENOV TUMANI ZIOKOR  MAHALLASI BARAQAT KO’CHASI 15-UY</t>
        </is>
      </c>
      <c r="H474" s="103">
        <v>31.0</v>
      </c>
      <c r="I474" s="103">
        <v>1916660.46</v>
      </c>
      <c r="K474" s="102" t="inlineStr">
        <is>
          <t xml:space="preserve">Telefon ko'tarmadi | akasi bn gaplawdm etaman dd | 421</t>
        </is>
      </c>
    </row>
    <row r="475">
      <c r="A475" s="102" t="inlineStr">
        <is>
          <t xml:space="preserve">СУРХОНДАРЁ ВИЛОЯТИ</t>
        </is>
      </c>
      <c r="C475" s="102" t="inlineStr">
        <is>
          <t xml:space="preserve">Недозвон</t>
        </is>
      </c>
      <c r="D475" s="102" t="inlineStr">
        <is>
          <t xml:space="preserve">Кр-99016711-3</t>
        </is>
      </c>
      <c r="E475" s="102" t="inlineStr">
        <is>
          <t xml:space="preserve">TAG’AYEV ASADTILLO TOSHTEMIROVICH</t>
        </is>
      </c>
      <c r="F475" s="102" t="inlineStr">
        <is>
          <t xml:space="preserve">99-026-78-78 sms, 99-762-20-12 sms uy, 99-242-20-15 sms BEGONA,</t>
        </is>
      </c>
      <c r="G475" s="102" t="inlineStr">
        <is>
          <t xml:space="preserve">ТОРТУВЛИ ҚФЙ, НАВБАХОР МФЙ,  uy:Б/Н</t>
        </is>
      </c>
      <c r="H475" s="103">
        <v>10.0</v>
      </c>
      <c r="I475" s="103">
        <v>1906431.07</v>
      </c>
      <c r="K475" s="102" t="inlineStr">
        <is>
          <t xml:space="preserve">Telefon ko'tarmadi | sms yozb qoydm gudok | 59</t>
        </is>
      </c>
    </row>
    <row r="476">
      <c r="A476" s="102" t="inlineStr">
        <is>
          <t xml:space="preserve">СУРХОНДАРЁ ВИЛОЯТИ</t>
        </is>
      </c>
      <c r="C476" s="102" t="inlineStr">
        <is>
          <t xml:space="preserve">Объезд</t>
        </is>
      </c>
      <c r="D476" s="102" t="inlineStr">
        <is>
          <t xml:space="preserve">Кр-99038010-1</t>
        </is>
      </c>
      <c r="E476" s="102" t="inlineStr">
        <is>
          <t xml:space="preserve">ABDURAXIMOVA MUNAVVAR XO’SHBOQ QIZI</t>
        </is>
      </c>
      <c r="F476" s="102" t="inlineStr">
        <is>
          <t xml:space="preserve">998942004892 SMS OZI, 998958987789 SMS UYI , 998958110962 SMS SINGLISi, 998945300101 SMS UYI 2 ,</t>
        </is>
      </c>
      <c r="G476" s="102" t="inlineStr">
        <is>
          <t xml:space="preserve">SURXONDARYO VILOYATI DENOV TUMANI ELOBOD MFY NURLISAODAT 19-UY</t>
        </is>
      </c>
      <c r="H476" s="103">
        <v>9.0</v>
      </c>
      <c r="I476" s="103">
        <v>1890409.96</v>
      </c>
      <c r="J476" s="103">
        <v>1890409.96</v>
      </c>
      <c r="K476" s="102" t="inlineStr">
        <is>
          <t xml:space="preserve">Uyiga borildi - to'ladi | oylik tolovi yopild | 671</t>
        </is>
      </c>
    </row>
    <row r="477">
      <c r="A477" s="102" t="inlineStr">
        <is>
          <t xml:space="preserve">СУРХОНДАРЁ ВИЛОЯТИ</t>
        </is>
      </c>
      <c r="C477" s="102" t="inlineStr">
        <is>
          <t xml:space="preserve">Недозвон</t>
        </is>
      </c>
      <c r="D477" s="102" t="inlineStr">
        <is>
          <t xml:space="preserve">Кр-99053010-1</t>
        </is>
      </c>
      <c r="E477" s="102" t="inlineStr">
        <is>
          <t xml:space="preserve">TUXTAYEV AKBAR XAYRULLA O’G’LI</t>
        </is>
      </c>
      <c r="F477" s="102" t="inlineStr">
        <is>
          <t xml:space="preserve">998902884898 SMS OZI, 998931739806 SMS AYOLI, 998942673698 SMS DADASI, 998937040616 SMS ONASI,</t>
        </is>
      </c>
      <c r="G477" s="102" t="inlineStr">
        <is>
          <t xml:space="preserve">SURXANDARYO VILOYATI MUZRABOT TUMANI MEXNATOBOD MFY QAXRAMON-1 GUZARI 56-UY</t>
        </is>
      </c>
      <c r="H477" s="103">
        <v>10.0</v>
      </c>
      <c r="I477" s="103">
        <v>1791708.42</v>
      </c>
      <c r="K477" s="102" t="inlineStr">
        <is>
          <t xml:space="preserve">Telefon ko'tarmadi | ayoliga sms qvordm | 1225</t>
        </is>
      </c>
    </row>
    <row r="478">
      <c r="A478" s="102" t="inlineStr">
        <is>
          <t xml:space="preserve">СУРХОНДАРЁ ВИЛОЯТИ</t>
        </is>
      </c>
      <c r="C478" s="102" t="inlineStr">
        <is>
          <t xml:space="preserve">Недозвон</t>
        </is>
      </c>
      <c r="D478" s="102" t="inlineStr">
        <is>
          <t xml:space="preserve">Кр-99030323-1</t>
        </is>
      </c>
      <c r="E478" s="102" t="inlineStr">
        <is>
          <t xml:space="preserve">ERONOV YUNUS TO’LAGANOVICH</t>
        </is>
      </c>
      <c r="F478" s="102" t="inlineStr">
        <is>
          <t xml:space="preserve">88-611-55-53 SMS O’ZI, 88-939-29-97  SMS UKASI, 99-557-23-55  SMS AYOLI, 97-696-05-65  SMS UY,</t>
        </is>
      </c>
      <c r="G478" s="102" t="inlineStr">
        <is>
          <t xml:space="preserve">SURXONDARYO VILOYATI DENOV  SHAXAR  QIZILCHA MFY  OL’GA  KO’CHASI 42-UY</t>
        </is>
      </c>
      <c r="H478" s="103">
        <v>13.0</v>
      </c>
      <c r="I478" s="103">
        <v>1781815.43</v>
      </c>
      <c r="K478" s="102" t="inlineStr">
        <is>
          <t xml:space="preserve">Telefon ko'tarmadi | ayoli bn gaplawdm man daladedm uyga bore etaman dd | 269</t>
        </is>
      </c>
    </row>
    <row r="479">
      <c r="A479" s="102" t="inlineStr">
        <is>
          <t xml:space="preserve">СУРХОНДАРЁ ВИЛОЯТИ</t>
        </is>
      </c>
      <c r="C479" s="102" t="inlineStr">
        <is>
          <t xml:space="preserve">Недозвон</t>
        </is>
      </c>
      <c r="D479" s="102" t="inlineStr">
        <is>
          <t xml:space="preserve">Кр-99035330-1</t>
        </is>
      </c>
      <c r="E479" s="102" t="inlineStr">
        <is>
          <t xml:space="preserve">XIMMATOV MUXRIDDIN ALIMNAZAROVICH</t>
        </is>
      </c>
      <c r="F479" s="102" t="inlineStr">
        <is>
          <t xml:space="preserve">998943375000 SMS O’ZI, 998999757097 SMS UKASI, 999859396869 SMS DADASI, 998951881396 SMS AKASI,</t>
        </is>
      </c>
      <c r="G479" s="102" t="inlineStr">
        <is>
          <t xml:space="preserve">SURXONDARYO VILOYATI DENOV TUMANI ANBARSOY QFY OBODON MFY TURON 9-UY</t>
        </is>
      </c>
      <c r="H479" s="103">
        <v>2.0</v>
      </c>
      <c r="I479" s="103">
        <v>1769616.77</v>
      </c>
      <c r="K479" s="102" t="inlineStr">
        <is>
          <t xml:space="preserve">Telefon ko'tarmadi | 6869nomer begona bog`lanadigan nomerini uchirib quygan | 503</t>
        </is>
      </c>
    </row>
    <row r="480">
      <c r="A480" s="102" t="inlineStr">
        <is>
          <t xml:space="preserve">СУРХОНДАРЁ ВИЛОЯТИ</t>
        </is>
      </c>
      <c r="C480" s="102" t="inlineStr">
        <is>
          <t xml:space="preserve">Недозвон</t>
        </is>
      </c>
      <c r="D480" s="102" t="inlineStr">
        <is>
          <t xml:space="preserve">Кр-99042229-1</t>
        </is>
      </c>
      <c r="E480" s="102" t="inlineStr">
        <is>
          <t xml:space="preserve">SHAYMARDANOVA SANOAT XAKIMOVNA</t>
        </is>
      </c>
      <c r="F480" s="102" t="inlineStr">
        <is>
          <t xml:space="preserve">998917177356 SMS O’G’LI, 998933329101 SMS UY, 998951768044 SMS O’ZI, 998902485398 SMS OGLI TOLOVCHI, 998955502955 SMS UZI new,</t>
        </is>
      </c>
      <c r="G480" s="102" t="inlineStr">
        <is>
          <t xml:space="preserve">СУРХОНДАРЁ ВИЛОЯТИ ДЕНОВ ШАХАР, ТОТУВЛИК МФЙ, ОЙБЕК,  uy:52</t>
        </is>
      </c>
      <c r="I480" s="103">
        <v>1763006.67</v>
      </c>
      <c r="K480" s="102" t="inlineStr">
        <is>
          <t xml:space="preserve">Telefon ko'tarmadi | sms yozb qoydm | 1046</t>
        </is>
      </c>
    </row>
    <row r="481">
      <c r="A481" s="102" t="inlineStr">
        <is>
          <t xml:space="preserve">СУРХОНДАРЁ ВИЛОЯТИ</t>
        </is>
      </c>
      <c r="C481" s="102" t="inlineStr">
        <is>
          <t xml:space="preserve">Недозвон</t>
        </is>
      </c>
      <c r="D481" s="102" t="inlineStr">
        <is>
          <t xml:space="preserve">Кр-99014251-5</t>
        </is>
      </c>
      <c r="E481" s="102" t="inlineStr">
        <is>
          <t xml:space="preserve">QULTURAYEV ERKIN NORMURATOVICH</t>
        </is>
      </c>
      <c r="F481" s="102" t="inlineStr">
        <is>
          <t xml:space="preserve">99-585-33-40 SMS , 91-077-87-80 SMS  UKASI AVAZBEK, 90-747-12-15 SMS  O’G’LI MUXRIDDIN, 91-574-59-37 SMS  UY, 90-375-04-75 SMS OZI SHU , 998915740475 ozi  new,</t>
        </is>
      </c>
      <c r="G481" s="102" t="inlineStr">
        <is>
          <t xml:space="preserve">SURXONDARYO VILOYATI DENOV TUMANI CHAMBIL MFY TINCHLIK KO’CHASI 67-UY</t>
        </is>
      </c>
      <c r="H481" s="103">
        <v>10.0</v>
      </c>
      <c r="I481" s="103">
        <v>1744471.27</v>
      </c>
      <c r="K481" s="102" t="inlineStr">
        <is>
          <t xml:space="preserve">Telefon ko'tarmadi | nomeri iwlidi kotarmad sms yozvordm | 51</t>
        </is>
      </c>
    </row>
    <row r="482">
      <c r="A482" s="102" t="inlineStr">
        <is>
          <t xml:space="preserve">СУРХОНДАРЁ ВИЛОЯТИ</t>
        </is>
      </c>
      <c r="C482" s="102" t="inlineStr">
        <is>
          <t xml:space="preserve">Недозвон</t>
        </is>
      </c>
      <c r="D482" s="102" t="inlineStr">
        <is>
          <t xml:space="preserve">Кр-99034974-1</t>
        </is>
      </c>
      <c r="E482" s="102" t="inlineStr">
        <is>
          <t xml:space="preserve">XUSHBAQOV MANSURBEK XUDAYBERDI O’G’LI</t>
        </is>
      </c>
      <c r="F482" s="102" t="inlineStr">
        <is>
          <t xml:space="preserve">998972427172 SMS OZI, 998500532519 SMS UY, 998884231373 SMS OILASI, 998903750890 SMS OZI,</t>
        </is>
      </c>
      <c r="G482" s="102" t="inlineStr">
        <is>
          <t xml:space="preserve">SURXONDARYO VILOYATI OLTINSOY TUMANI DUG’OBA QFY OLMAZOR MFY MARJON BULOQ KO’CHASI 59-UY</t>
        </is>
      </c>
      <c r="H482" s="103">
        <v>14.0</v>
      </c>
      <c r="I482" s="103">
        <v>1703401.11</v>
      </c>
      <c r="K482" s="102" t="inlineStr">
        <is>
          <t xml:space="preserve">Telefon ko'tarmadi | gudok ketebdi gaplawganman bugun kotarmad sms yozb qoydm | 473</t>
        </is>
      </c>
    </row>
    <row r="483">
      <c r="A483" s="102" t="inlineStr">
        <is>
          <t xml:space="preserve">СУРХОНДАРЁ ВИЛОЯТИ</t>
        </is>
      </c>
      <c r="C483" s="102" t="inlineStr">
        <is>
          <t xml:space="preserve">Недозвон</t>
        </is>
      </c>
      <c r="D483" s="102" t="inlineStr">
        <is>
          <t xml:space="preserve">Кр-99040161-1</t>
        </is>
      </c>
      <c r="E483" s="102" t="inlineStr">
        <is>
          <t xml:space="preserve">JOVLIYEV ZOXID XURSANQUL O’G’LI</t>
        </is>
      </c>
      <c r="F483" s="102" t="inlineStr">
        <is>
          <t xml:space="preserve">998951578486 SMS OZI, 998942078486 SMS AYOLI, 998942000757 SMS ONASI,</t>
        </is>
      </c>
      <c r="G483" s="102" t="inlineStr">
        <is>
          <t xml:space="preserve">StJttХoNDARYO vlLoYAT IvlUZRABoT TUMAN oRlYAT MF'Y</t>
        </is>
      </c>
      <c r="H483" s="103">
        <v>10.0</v>
      </c>
      <c r="I483" s="103">
        <v>1607835.07</v>
      </c>
      <c r="K483" s="102" t="inlineStr">
        <is>
          <t xml:space="preserve">Telefon ko'tarmadi | nomeri iwlidi kotarmad sms yozvordm | 867</t>
        </is>
      </c>
    </row>
    <row r="484">
      <c r="A484" s="102" t="inlineStr">
        <is>
          <t xml:space="preserve">СУРХОНДАРЁ ВИЛОЯТИ</t>
        </is>
      </c>
      <c r="C484" s="102" t="inlineStr">
        <is>
          <t xml:space="preserve">Недозвон</t>
        </is>
      </c>
      <c r="D484" s="102" t="inlineStr">
        <is>
          <t xml:space="preserve">Кр-99036131-1</t>
        </is>
      </c>
      <c r="E484" s="102" t="inlineStr">
        <is>
          <t xml:space="preserve">TEMIROV SOBIR SOYDILOVICH</t>
        </is>
      </c>
      <c r="F484" s="102" t="inlineStr">
        <is>
          <t xml:space="preserve">998991206481 SMS O’ZI , 998976949006 SMS UYI, 998770234636 SMS O’G’LI , 998976949006 SMS AYOLI ,</t>
        </is>
      </c>
      <c r="G484" s="102" t="inlineStr">
        <is>
          <t xml:space="preserve">SURXONDARYO VILOYATI UZUN TUMANI BOBOTOG’QFY BOBOTOG’ MFY </t>
        </is>
      </c>
      <c r="H484" s="103">
        <v>1.0</v>
      </c>
      <c r="I484" s="103">
        <v>1581454.93</v>
      </c>
      <c r="K484" s="102" t="inlineStr">
        <is>
          <t xml:space="preserve">Telefon ko'tarmadi | bog`lanib bo`lmadi | 565</t>
        </is>
      </c>
    </row>
    <row r="485">
      <c r="A485" s="102" t="inlineStr">
        <is>
          <t xml:space="preserve">СУРХОНДАРЁ ВИЛОЯТИ</t>
        </is>
      </c>
      <c r="C485" s="102" t="inlineStr">
        <is>
          <t xml:space="preserve">Недозвон</t>
        </is>
      </c>
      <c r="D485" s="102" t="inlineStr">
        <is>
          <t xml:space="preserve">Кр-99040484-1</t>
        </is>
      </c>
      <c r="E485" s="102" t="inlineStr">
        <is>
          <t xml:space="preserve">NASREDDINOV SANJAR XASAN O’G’LI</t>
        </is>
      </c>
      <c r="F485" s="102" t="inlineStr">
        <is>
          <t xml:space="preserve">+998505709009 SMS OZI, 998904102242 SMS SHERIGI, 998976052002 SMS UY,</t>
        </is>
      </c>
      <c r="G485" s="102" t="inlineStr">
        <is>
          <t xml:space="preserve">Хазарбоғ ҚФЙ, Тасмасой МФЙ, ул. Обод манзил, дом 2</t>
        </is>
      </c>
      <c r="H485" s="103">
        <v>10.0</v>
      </c>
      <c r="I485" s="103">
        <v>1395168.87</v>
      </c>
      <c r="K485" s="102" t="inlineStr">
        <is>
          <t xml:space="preserve">Telefon ko'tarmadi | sms yozdm 9009 ownasi iwlatad | 902</t>
        </is>
      </c>
    </row>
    <row r="486">
      <c r="A486" s="102" t="inlineStr">
        <is>
          <t xml:space="preserve">СУРХОНДАРЁ ВИЛОЯТИ</t>
        </is>
      </c>
      <c r="C486" s="102" t="inlineStr">
        <is>
          <t xml:space="preserve">Недозвон</t>
        </is>
      </c>
      <c r="D486" s="102" t="inlineStr">
        <is>
          <t xml:space="preserve">Кр-99025252-1</t>
        </is>
      </c>
      <c r="E486" s="102" t="inlineStr">
        <is>
          <t xml:space="preserve">MAMATQULOVA BAXTIGUL SHERMATOVNA</t>
        </is>
      </c>
      <c r="F486" s="102" t="inlineStr">
        <is>
          <t xml:space="preserve">998990419672 SMS OZI, 998336871223 SMS OZI, 99-641-13-23 SMS UY,</t>
        </is>
      </c>
      <c r="G486" s="102" t="inlineStr">
        <is>
          <t xml:space="preserve">SURXANDARYO VILOYATI BOYSUN TUMANI BOSHRABOT MFY ZAMAXSHARIY KUCHASI 5-UY</t>
        </is>
      </c>
      <c r="H486" s="103">
        <v>10.0</v>
      </c>
      <c r="I486" s="103">
        <v>1306694.38</v>
      </c>
      <c r="K486" s="102" t="inlineStr">
        <is>
          <t xml:space="preserve">Telefon ko'tarmadi | abror ogan | 137</t>
        </is>
      </c>
    </row>
    <row r="487">
      <c r="A487" s="102" t="inlineStr">
        <is>
          <t xml:space="preserve">СУРХОНДАРЁ ВИЛОЯТИ</t>
        </is>
      </c>
      <c r="C487" s="102" t="inlineStr">
        <is>
          <t xml:space="preserve">Недозвон</t>
        </is>
      </c>
      <c r="D487" s="102" t="inlineStr">
        <is>
          <t xml:space="preserve">Кр-99034455-1</t>
        </is>
      </c>
      <c r="E487" s="102" t="inlineStr">
        <is>
          <t xml:space="preserve">XOLMUROTOV ABDURAHMON ABDUVOID O’G’LI</t>
        </is>
      </c>
      <c r="F487" s="102" t="inlineStr">
        <is>
          <t xml:space="preserve">998883287008 SMS O’ZI, 998900720746 SMS UY, 998990620746 SMS ONASI, 998993820077 SMS TOG’ASI,</t>
        </is>
      </c>
      <c r="G487" s="102" t="inlineStr">
        <is>
          <t xml:space="preserve">SURXONDARYO VILOYATI DENOV SHAHR  QUYOSHLI YURT MFY FIRDAVSIY KO’CHASI 14-UY </t>
        </is>
      </c>
      <c r="H487" s="103">
        <v>3.0</v>
      </c>
      <c r="I487" s="103">
        <v>1190990.32</v>
      </c>
      <c r="K487" s="102" t="inlineStr">
        <is>
          <t xml:space="preserve">Telefon ko'tarmadi | sms yozdim bog`lanib bo`lmadi | 458</t>
        </is>
      </c>
    </row>
    <row r="488">
      <c r="A488" s="102" t="inlineStr">
        <is>
          <t xml:space="preserve">СУРХОНДАРЁ ВИЛОЯТИ</t>
        </is>
      </c>
      <c r="C488" s="102" t="inlineStr">
        <is>
          <t xml:space="preserve">Объезд</t>
        </is>
      </c>
      <c r="D488" s="102" t="inlineStr">
        <is>
          <t xml:space="preserve">Кр-99011383-5</t>
        </is>
      </c>
      <c r="E488" s="102" t="inlineStr">
        <is>
          <t xml:space="preserve">BURONOV ESHMAMAT KENJAYEVICH</t>
        </is>
      </c>
      <c r="F488" s="102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488" s="102" t="inlineStr">
        <is>
          <t xml:space="preserve">SURXONDARYO VILOYATI DENOV TUMANI BINOKOR QFY OZOD MFY TERAKZOR KO’CHASI 89-UY  </t>
        </is>
      </c>
      <c r="H488" s="103">
        <v>10.0</v>
      </c>
      <c r="I488" s="103">
        <v>1150057.03</v>
      </c>
      <c r="K488" s="102" t="inlineStr">
        <is>
          <t xml:space="preserve">Uyiga borildi - va'da berdi | 20 cilarida tolo qlad | 34</t>
        </is>
      </c>
    </row>
    <row r="489">
      <c r="A489" s="102" t="inlineStr">
        <is>
          <t xml:space="preserve">СУРХОНДАРЁ ВИЛОЯТИ</t>
        </is>
      </c>
      <c r="C489" s="102" t="inlineStr">
        <is>
          <t xml:space="preserve">Недозвон</t>
        </is>
      </c>
      <c r="D489" s="102" t="inlineStr">
        <is>
          <t xml:space="preserve">Кр-99037349-1</t>
        </is>
      </c>
      <c r="E489" s="102" t="inlineStr">
        <is>
          <t xml:space="preserve">SUVONOV XUSAN OYBEK O’G’LI</t>
        </is>
      </c>
      <c r="F489" s="102" t="inlineStr">
        <is>
          <t xml:space="preserve">998941471747 SMS BEGONA, 998936101666 SMS AKASI ZALOGADATEL, 998903771666 SMS OPASI, 998907490280 SMS UY, 998999532332 uzi new BEGONA ,</t>
        </is>
      </c>
      <c r="G489" s="102" t="inlineStr">
        <is>
          <t xml:space="preserve">SURXONDARYO VILOYATI OLTINSOY  TUMANI IPAK  MFY ISTIQLOL 17-UY</t>
        </is>
      </c>
      <c r="H489" s="103">
        <v>2.0</v>
      </c>
      <c r="I489" s="103">
        <v>1124039.39</v>
      </c>
      <c r="K489" s="102" t="inlineStr">
        <is>
          <t xml:space="preserve">Telefon ko'tarmadi | sms yozb qoydm xozrca javob yozmad | 634</t>
        </is>
      </c>
    </row>
    <row r="490">
      <c r="A490" s="102" t="inlineStr">
        <is>
          <t xml:space="preserve">СУРХОНДАРЁ ВИЛОЯТИ</t>
        </is>
      </c>
      <c r="C490" s="102" t="inlineStr">
        <is>
          <t xml:space="preserve">Недозвон</t>
        </is>
      </c>
      <c r="D490" s="102" t="inlineStr">
        <is>
          <t xml:space="preserve">Кр-99030594-2</t>
        </is>
      </c>
      <c r="E490" s="102" t="inlineStr">
        <is>
          <t xml:space="preserve">SHAIMOV NODIRBEK ISMOILOVICH</t>
        </is>
      </c>
      <c r="F490" s="102" t="inlineStr">
        <is>
          <t xml:space="preserve">97-076-89-99 SMS O’ZI, 97-194-39-99  SMS UKASI, 99-599-99-43  SMS UKASI 2 begona tel qimanglar, 50-071-10-03  SMS UY begona,</t>
        </is>
      </c>
      <c r="G490" s="102" t="inlineStr">
        <is>
          <t xml:space="preserve">SURXONDARYO VILOYATI DENOV TUMANI XAZARBOG QFY CHORGUL MFY TARQULAT KO’CHASI 12-UY</t>
        </is>
      </c>
      <c r="H490" s="103">
        <v>10.0</v>
      </c>
      <c r="I490" s="103">
        <v>1118804.25</v>
      </c>
      <c r="K490" s="102" t="inlineStr">
        <is>
          <t xml:space="preserve">Telefon ko'tarmadi | iwldigann nomeri yo | 282</t>
        </is>
      </c>
    </row>
    <row r="491">
      <c r="A491" s="102" t="inlineStr">
        <is>
          <t xml:space="preserve">СУРХОНДАРЁ ВИЛОЯТИ</t>
        </is>
      </c>
      <c r="C491" s="102" t="inlineStr">
        <is>
          <t xml:space="preserve">Недозвон</t>
        </is>
      </c>
      <c r="D491" s="102" t="inlineStr">
        <is>
          <t xml:space="preserve">Кр-99013324-3</t>
        </is>
      </c>
      <c r="E491" s="102" t="inlineStr">
        <is>
          <t xml:space="preserve">MENGKABILOV ABDUSALIM ABDUJABBAROVICH</t>
        </is>
      </c>
      <c r="F491" s="102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491" s="102" t="inlineStr">
        <is>
          <t xml:space="preserve">SURXONDARYO VILOYAT DENOV SHAHRI  SH.RASHIDOV KO’CHASI 131-UY </t>
        </is>
      </c>
      <c r="H491" s="103">
        <v>10.0</v>
      </c>
      <c r="I491" s="103">
        <v>1094017.22</v>
      </c>
      <c r="K491" s="102" t="inlineStr">
        <is>
          <t xml:space="preserve">Telefon ko'tarmadi | sms yozb qoydm | 48</t>
        </is>
      </c>
    </row>
    <row r="492">
      <c r="A492" s="102" t="inlineStr">
        <is>
          <t xml:space="preserve">СУРХОНДАРЁ ВИЛОЯТИ</t>
        </is>
      </c>
      <c r="C492" s="102" t="inlineStr">
        <is>
          <t xml:space="preserve">Недозвон</t>
        </is>
      </c>
      <c r="D492" s="102" t="inlineStr">
        <is>
          <t xml:space="preserve">Кр-99027763-1</t>
        </is>
      </c>
      <c r="E492" s="102" t="inlineStr">
        <is>
          <t xml:space="preserve">TANGRIYEV XUJAMKUL IBODULLAYEVICH</t>
        </is>
      </c>
      <c r="F492" s="102" t="inlineStr">
        <is>
          <t xml:space="preserve">95-553-04-45 SMS, 99-388-18-81 SMS JIYANI, 90-114-12-52 SMS UY, 77-021-30-81 SMS,</t>
        </is>
      </c>
      <c r="G492" s="102" t="inlineStr">
        <is>
          <t xml:space="preserve">SURXONDARYO DENOV TUMANI LAG’MON OTA MFY QAMASHI KO’CHASI 59-UY</t>
        </is>
      </c>
      <c r="H492" s="103">
        <v>9.0</v>
      </c>
      <c r="I492" s="103">
        <v>999396.56</v>
      </c>
      <c r="K492" s="102" t="inlineStr">
        <is>
          <t xml:space="preserve">Telefon ko'tarmadi | tgdan ciqd yozb qoydm | 185</t>
        </is>
      </c>
    </row>
    <row r="493">
      <c r="A493" s="102" t="inlineStr">
        <is>
          <t xml:space="preserve">СУРХОНДАРЁ ВИЛОЯТИ</t>
        </is>
      </c>
      <c r="C493" s="102" t="inlineStr">
        <is>
          <t xml:space="preserve">Недозвон</t>
        </is>
      </c>
      <c r="D493" s="102" t="inlineStr">
        <is>
          <t xml:space="preserve">Кр-99022504-3</t>
        </is>
      </c>
      <c r="E493" s="102" t="inlineStr">
        <is>
          <t xml:space="preserve">MUQUMOVA MAXFURAT QUVOTOVNA</t>
        </is>
      </c>
      <c r="F493" s="102" t="inlineStr">
        <is>
          <t xml:space="preserve">91-229-38-19 SMS, 91-715-95-96  SMS UY, 91-075-20-16  SMS O’G’LI BEKZOD, 998917191006 SMS ozi, 998882439996 SMS OZI TOLOVCHI , 998887239996 SMS new uzi,</t>
        </is>
      </c>
      <c r="G493" s="102" t="inlineStr">
        <is>
          <t xml:space="preserve">SURXONDARYO VILOYATI SHO’RCHI TUMANI YANGIBOZOR QFY OQQURG’ON MFY MUSTAQILLIK KO’CHASI 132-UY</t>
        </is>
      </c>
      <c r="H493" s="103">
        <v>3.0</v>
      </c>
      <c r="I493" s="103">
        <v>920442.18</v>
      </c>
      <c r="K493" s="102" t="inlineStr">
        <is>
          <t xml:space="preserve">Telefon ko'tarmadi | smsda yozwdm | 115</t>
        </is>
      </c>
    </row>
    <row r="494">
      <c r="A494" s="102" t="inlineStr">
        <is>
          <t xml:space="preserve">СУРХОНДАРЁ ВИЛОЯТИ</t>
        </is>
      </c>
      <c r="C494" s="102" t="inlineStr">
        <is>
          <t xml:space="preserve">Недозвон</t>
        </is>
      </c>
      <c r="D494" s="102" t="inlineStr">
        <is>
          <t xml:space="preserve">Кр-99030323-2</t>
        </is>
      </c>
      <c r="E494" s="102" t="inlineStr">
        <is>
          <t xml:space="preserve">ERONOV YUNUS TO’LAGANOVICH</t>
        </is>
      </c>
      <c r="F494" s="102" t="inlineStr">
        <is>
          <t xml:space="preserve">88-611-55-53 SMS O’ZI, 88-939-29-97  SMS UKASI, 99-557-23-55  SMS AYOLI, 97-696-05-65  SMS UY,</t>
        </is>
      </c>
      <c r="G494" s="102" t="inlineStr">
        <is>
          <t xml:space="preserve">SURXONDARYO VILOYATI DENOV  SHAXAR  QIZILCHA MFY  OL’GA  KO’CHASI 42-UY</t>
        </is>
      </c>
      <c r="H494" s="103">
        <v>10.0</v>
      </c>
      <c r="I494" s="103">
        <v>895577.89</v>
      </c>
      <c r="K494" s="102" t="inlineStr">
        <is>
          <t xml:space="preserve">Telefon ko'tarmadi | ayoli bn gaplawdm man daladedm uyga bore etaman dd | 270</t>
        </is>
      </c>
    </row>
    <row r="495">
      <c r="A495" s="102" t="inlineStr">
        <is>
          <t xml:space="preserve">СУРХОНДАРЁ ВИЛОЯТИ</t>
        </is>
      </c>
      <c r="C495" s="102" t="inlineStr">
        <is>
          <t xml:space="preserve">Объезд</t>
        </is>
      </c>
      <c r="D495" s="102" t="inlineStr">
        <is>
          <t xml:space="preserve">Кр-99031360-1</t>
        </is>
      </c>
      <c r="E495" s="102" t="inlineStr">
        <is>
          <t xml:space="preserve">AZIMOVA IRODA ISMATULLAYEVNA</t>
        </is>
      </c>
      <c r="F495" s="102" t="inlineStr">
        <is>
          <t xml:space="preserve">99-425-57-94 SMS OZi, 99-204-57-94  SMS UY, 93-634-35-69  SMS DADASI, 99-209-57-94  SMS OZI,</t>
        </is>
      </c>
      <c r="G495" s="102" t="inlineStr">
        <is>
          <t xml:space="preserve">SURXONDARYO VILOYATI SARIOSIYO TUMANI BOGI-IRAM QFY SHAXRIOBOD MFY SAXI KO’CHASI 69-UY </t>
        </is>
      </c>
      <c r="I495" s="103">
        <v>883090.92</v>
      </c>
      <c r="K495" s="102" t="inlineStr">
        <is>
          <t xml:space="preserve">Uyiga borildi - va'da berdi | wahnoz ogan | 311</t>
        </is>
      </c>
    </row>
    <row r="496">
      <c r="A496" s="102" t="inlineStr">
        <is>
          <t xml:space="preserve">СУРХОНДАРЁ ВИЛОЯТИ</t>
        </is>
      </c>
      <c r="C496" s="102" t="inlineStr">
        <is>
          <t xml:space="preserve">Недозвон</t>
        </is>
      </c>
      <c r="D496" s="102" t="inlineStr">
        <is>
          <t xml:space="preserve">Кр-99023068-2</t>
        </is>
      </c>
      <c r="E496" s="102" t="inlineStr">
        <is>
          <t xml:space="preserve">AZIZOV NODIR AZIM O’G’LI</t>
        </is>
      </c>
      <c r="F496" s="102" t="inlineStr">
        <is>
          <t xml:space="preserve">998940800100 SMS uzi,</t>
        </is>
      </c>
      <c r="H496" s="103">
        <v>10.0</v>
      </c>
      <c r="I496" s="103">
        <v>871489.2</v>
      </c>
      <c r="K496" s="102" t="inlineStr">
        <is>
          <t xml:space="preserve">Telefon ko'tarmadi | bunaqa klient yo | 122</t>
        </is>
      </c>
    </row>
    <row r="497">
      <c r="A497" s="102" t="inlineStr">
        <is>
          <t xml:space="preserve">СУРХОНДАРЁ ВИЛОЯТИ</t>
        </is>
      </c>
      <c r="C497" s="102" t="inlineStr">
        <is>
          <t xml:space="preserve">Недозвон</t>
        </is>
      </c>
      <c r="D497" s="102" t="inlineStr">
        <is>
          <t xml:space="preserve">Кр-99025196-2</t>
        </is>
      </c>
      <c r="E497" s="102" t="inlineStr">
        <is>
          <t xml:space="preserve">G’OPPOROVA MEHKAMTOSH YUNUSOVNA</t>
        </is>
      </c>
      <c r="F497" s="102" t="inlineStr">
        <is>
          <t xml:space="preserve">91-900-74-90 SMS OZI, 99-146-42-94  SMS UY, 88-534-70-90  SMS OILASI,</t>
        </is>
      </c>
      <c r="G497" s="102" t="inlineStr">
        <is>
          <t xml:space="preserve">SURXONDARYO VILOYATI SHO’RCHI TUMANI QULDOSH QFY OLIY HIMMAT MFY OBOD 6-UY</t>
        </is>
      </c>
      <c r="H497" s="103">
        <v>3.0</v>
      </c>
      <c r="I497" s="103">
        <v>801257.45</v>
      </c>
      <c r="K497" s="102" t="inlineStr">
        <is>
          <t xml:space="preserve">Telefon ko'tarmadi | abror ogan | 136</t>
        </is>
      </c>
    </row>
    <row r="498">
      <c r="A498" s="102" t="inlineStr">
        <is>
          <t xml:space="preserve">СУРХОНДАРЁ ВИЛОЯТИ</t>
        </is>
      </c>
      <c r="C498" s="102" t="inlineStr">
        <is>
          <t xml:space="preserve">Недозвон</t>
        </is>
      </c>
      <c r="D498" s="102" t="inlineStr">
        <is>
          <t xml:space="preserve">Кр-99012623-4</t>
        </is>
      </c>
      <c r="E498" s="102" t="inlineStr">
        <is>
          <t xml:space="preserve">XASANOVA MEHRINISO MELIYEVNA</t>
        </is>
      </c>
      <c r="F498" s="102" t="inlineStr">
        <is>
          <t xml:space="preserve">33-656-00-89 SMS OZI, 94-894-49-95 SMS UY, 94-206-47-86 SMS AKASI, 97-850-13-15 Begona ,</t>
        </is>
      </c>
      <c r="G498" s="102" t="inlineStr">
        <is>
          <t xml:space="preserve">СУРХОДАРЁ ВИЛОЯТИ ДЕНОВ ТУМАНИ ГУЛОБОД МФЙ НУРЛИ ЙУЛ 7-УЙ</t>
        </is>
      </c>
      <c r="H498" s="103">
        <v>10.0</v>
      </c>
      <c r="I498" s="103">
        <v>649607.98</v>
      </c>
      <c r="K498" s="102" t="inlineStr">
        <is>
          <t xml:space="preserve">Telefon ko'tarmadi | abror ogan | 45</t>
        </is>
      </c>
    </row>
    <row r="499">
      <c r="A499" s="102" t="inlineStr">
        <is>
          <t xml:space="preserve">СУРХОНДАРЁ ВИЛОЯТИ</t>
        </is>
      </c>
      <c r="C499" s="102" t="inlineStr">
        <is>
          <t xml:space="preserve">Недозвон</t>
        </is>
      </c>
      <c r="D499" s="102" t="inlineStr">
        <is>
          <t xml:space="preserve">Кр-99033231-2</t>
        </is>
      </c>
      <c r="E499" s="102" t="inlineStr">
        <is>
          <t xml:space="preserve">ESHNAZAROV SUNNATULLA AXMATOVICH</t>
        </is>
      </c>
      <c r="F499" s="102" t="inlineStr">
        <is>
          <t xml:space="preserve">998883032896 SMS O’ZI, 998888070187 SMS UY, 998771628983 SMS OILASI, 998978486888 SMS SHERIGI,</t>
        </is>
      </c>
      <c r="G499" s="102" t="inlineStr">
        <is>
          <t xml:space="preserve">ДИЙДОР МФЙ, ОБОД КЎЧАСИ,  uy:Р/С</t>
        </is>
      </c>
      <c r="H499" s="103">
        <v>10.0</v>
      </c>
      <c r="I499" s="103">
        <v>621471.75</v>
      </c>
      <c r="K499" s="102" t="inlineStr">
        <is>
          <t xml:space="preserve">Telefon ko'tarmadi | sms yozdm nomerini kotarmadi | 384</t>
        </is>
      </c>
    </row>
    <row r="500">
      <c r="A500" s="102" t="inlineStr">
        <is>
          <t xml:space="preserve">СУРХОНДАРЁ ВИЛОЯТИ</t>
        </is>
      </c>
      <c r="C500" s="102" t="inlineStr">
        <is>
          <t xml:space="preserve">Недозвон</t>
        </is>
      </c>
      <c r="D500" s="102" t="inlineStr">
        <is>
          <t xml:space="preserve">Кр-99011132-4</t>
        </is>
      </c>
      <c r="E500" s="102" t="inlineStr">
        <is>
          <t xml:space="preserve">XUDOYQULOV SHOHZOD ODILOVICH</t>
        </is>
      </c>
      <c r="F500" s="102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500" s="102" t="inlineStr">
        <is>
          <t xml:space="preserve">SURXONDARYO VILOYATI SHO’RCHI TUMANI DALVARZIN QFY EGARCHI MFY ADIR KO’CHASI 6-UY</t>
        </is>
      </c>
      <c r="H500" s="103">
        <v>3.0</v>
      </c>
      <c r="I500" s="103">
        <v>585073.32</v>
      </c>
      <c r="K500" s="102" t="inlineStr">
        <is>
          <t xml:space="preserve">Telefon ko'tarmadi | kotarb bosb qoyvoti uyiga odam jonataman erte | 32</t>
        </is>
      </c>
    </row>
    <row r="501">
      <c r="A501" s="102" t="inlineStr">
        <is>
          <t xml:space="preserve">СУРХОНДАРЁ ВИЛОЯТИ</t>
        </is>
      </c>
      <c r="C501" s="102" t="inlineStr">
        <is>
          <t xml:space="preserve">Недозвон</t>
        </is>
      </c>
      <c r="D501" s="102" t="inlineStr">
        <is>
          <t xml:space="preserve">Кр-99021788-3</t>
        </is>
      </c>
      <c r="E501" s="102" t="inlineStr">
        <is>
          <t xml:space="preserve">XAKIMOV IKROMJON SAFAROVICH</t>
        </is>
      </c>
      <c r="F501" s="102" t="inlineStr">
        <is>
          <t xml:space="preserve">99-563-63-55 SMS OZI, 88-753-83-77 SMS, 99-105-22-72  SMS UY,</t>
        </is>
      </c>
      <c r="G501" s="102" t="inlineStr">
        <is>
          <t xml:space="preserve">SURXONDARYO VILOYATI DENOV TUMANI  DENOV QFY LAG’MON OTA MFY BAXT KO’CHASI 54-UY</t>
        </is>
      </c>
      <c r="I501" s="103">
        <v>557266.05</v>
      </c>
      <c r="K501" s="102" t="inlineStr">
        <is>
          <t xml:space="preserve">Telefon ko'tarmadi | iwlidigan nomeri yo gudok ham ketmadi | 105</t>
        </is>
      </c>
    </row>
    <row r="502">
      <c r="A502" s="102" t="inlineStr">
        <is>
          <t xml:space="preserve">СУРХОНДАРЁ ВИЛОЯТИ</t>
        </is>
      </c>
      <c r="C502" s="102" t="inlineStr">
        <is>
          <t xml:space="preserve">Недозвон</t>
        </is>
      </c>
      <c r="D502" s="102" t="inlineStr">
        <is>
          <t xml:space="preserve">Кр-99011132-5</t>
        </is>
      </c>
      <c r="E502" s="102" t="inlineStr">
        <is>
          <t xml:space="preserve">XUDOYQULOV SHOHZOD ODILOVICH</t>
        </is>
      </c>
      <c r="F502" s="102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502" s="102" t="inlineStr">
        <is>
          <t xml:space="preserve">SURXONDARYO VILOYATI SHO’RCHI TUMANI DALVARZIN QFY EGARCHI MFY ADIR KO’CHASI 6-UY</t>
        </is>
      </c>
      <c r="H502" s="103">
        <v>10.0</v>
      </c>
      <c r="I502" s="103">
        <v>318637.02</v>
      </c>
      <c r="K502" s="102" t="inlineStr">
        <is>
          <t xml:space="preserve">Telefon ko'tarmadi | kotarb bosb qoyvoti uyiga odam jonataman erte | 33</t>
        </is>
      </c>
    </row>
    <row r="503">
      <c r="A503" s="102" t="inlineStr">
        <is>
          <t xml:space="preserve">СУРХОНДАРЁ ВИЛОЯТИ</t>
        </is>
      </c>
      <c r="C503" s="102" t="inlineStr">
        <is>
          <t xml:space="preserve">Недозвон</t>
        </is>
      </c>
      <c r="D503" s="102" t="inlineStr">
        <is>
          <t xml:space="preserve">Кр-99014989-4</t>
        </is>
      </c>
      <c r="E503" s="102" t="inlineStr">
        <is>
          <t xml:space="preserve">RUZIYEV UKTAM ABDIRAYEMOVICH</t>
        </is>
      </c>
      <c r="F503" s="102" t="inlineStr">
        <is>
          <t xml:space="preserve">99-335-45-80 SMS, 99-715-45-80 SMS UY, 99-454-45-80 SMS, 99-742-60-93 SMS ISHXONA,</t>
        </is>
      </c>
      <c r="G503" s="102" t="inlineStr">
        <is>
          <t xml:space="preserve">МИРШОДИ ҚФЙ, ОБОД ТУРМУШ МФЙ,  uy:00</t>
        </is>
      </c>
      <c r="I503" s="103">
        <v>150170.13</v>
      </c>
      <c r="K503" s="102" t="inlineStr">
        <is>
          <t xml:space="preserve">Telefon ko'tarmadi | iskandar olgan | 52</t>
        </is>
      </c>
    </row>
    <row r="504">
      <c r="A504" s="102" t="inlineStr">
        <is>
          <t xml:space="preserve">СУРХОНДАРЁ ВИЛОЯТИ</t>
        </is>
      </c>
      <c r="C504" s="102" t="inlineStr">
        <is>
          <t xml:space="preserve">Недозвон</t>
        </is>
      </c>
      <c r="D504" s="102" t="inlineStr">
        <is>
          <t xml:space="preserve">Кр-99012096-4</t>
        </is>
      </c>
      <c r="E504" s="102" t="inlineStr">
        <is>
          <t xml:space="preserve">FORMONOV BOZAR MUMINOVICH</t>
        </is>
      </c>
      <c r="F504" s="102" t="inlineStr">
        <is>
          <t xml:space="preserve">998950407744 SMS OZI, 998942057744 SMS UY, 998943274777 SMS OGLI, 998942670015 SMS OGLI HALIM,</t>
        </is>
      </c>
      <c r="G504" s="102" t="inlineStr">
        <is>
          <t xml:space="preserve">SURXONDARYO VILOYATI DENOV TUMANI OYBARAK MFY A. YUQORI QISHLOQ KO’CHASI 45-UY</t>
        </is>
      </c>
      <c r="H504" s="103">
        <v>10.0</v>
      </c>
      <c r="I504" s="103">
        <v>80102.17</v>
      </c>
      <c r="K504" s="102" t="inlineStr">
        <is>
          <t xml:space="preserve">Telefon ko'tarmadi | kotarmayabdi nomerin ertaga odam jonataman | 41</t>
        </is>
      </c>
    </row>
    <row r="505">
      <c r="A505" s="104" t="inlineStr">
        <is>
          <t xml:space="preserve">ТОШКЕНТ ВИЛОЯТИ</t>
        </is>
      </c>
      <c r="C505" s="104" t="inlineStr">
        <is>
          <t xml:space="preserve">Недозвон</t>
        </is>
      </c>
      <c r="D505" s="104" t="inlineStr">
        <is>
          <t xml:space="preserve">Кр-99040873-2</t>
        </is>
      </c>
      <c r="E505" s="104" t="inlineStr">
        <is>
          <t xml:space="preserve">KABIROV ROMAN RAFAELEVICH</t>
        </is>
      </c>
      <c r="F505" s="104" t="inlineStr">
        <is>
          <t xml:space="preserve">998934746660 SMS OZI, 998942570677 SMS SINGLISI, 998908180719 SMS ZALOGATEL, 998505091327 SMS RUSTAM Zalogodatel, 998941312713 SMS RUSTAM Zalogodatel,</t>
        </is>
      </c>
      <c r="G505" s="104" t="inlineStr">
        <is>
          <t xml:space="preserve">TOSHKENT VILOYATI CHIRCHIQ SHAHAR 8-MIKRORAYON 53-UY, 4-XONADON</t>
        </is>
      </c>
      <c r="H505" s="105">
        <v>255.0</v>
      </c>
      <c r="I505" s="105">
        <v>152839157.5</v>
      </c>
    </row>
    <row r="506">
      <c r="A506" s="104" t="inlineStr">
        <is>
          <t xml:space="preserve">ТОШКЕНТ ВИЛОЯТИ</t>
        </is>
      </c>
      <c r="C506" s="104" t="inlineStr">
        <is>
          <t xml:space="preserve">Недозвон</t>
        </is>
      </c>
      <c r="D506" s="104" t="inlineStr">
        <is>
          <t xml:space="preserve">Кр-99032324-1</t>
        </is>
      </c>
      <c r="E506" s="104" t="inlineStr">
        <is>
          <t xml:space="preserve">ABDUSATTOROV XAYRILLA ASKAROVICH</t>
        </is>
      </c>
      <c r="F506" s="104" t="inlineStr">
        <is>
          <t xml:space="preserve">998770215400 SMS O’ZI TURIZM DA ISHLIRKAN , 998905017070 SMS TO’LOVCHI ANVAR, 998870000122 SMS TO’LOVCHI 2, 998901788600 SMS FIRMA RAHBARI,</t>
        </is>
      </c>
      <c r="G506" s="104" t="inlineStr">
        <is>
          <t xml:space="preserve">TOSHKENT VILOYATI ZANGIOTA TUMANI ERKIN QFY QURILISH MFY PAXLOVON KO’CHASI 14-UY</t>
        </is>
      </c>
      <c r="H506" s="105">
        <v>223.0</v>
      </c>
      <c r="I506" s="105">
        <v>81497290.14</v>
      </c>
    </row>
    <row r="507">
      <c r="A507" s="104" t="inlineStr">
        <is>
          <t xml:space="preserve">ТОШКЕНТ ВИЛОЯТИ</t>
        </is>
      </c>
      <c r="C507" s="104" t="inlineStr">
        <is>
          <t xml:space="preserve">Недозвон</t>
        </is>
      </c>
      <c r="D507" s="104" t="inlineStr">
        <is>
          <t xml:space="preserve">Кр-99057260-1</t>
        </is>
      </c>
      <c r="E507" s="104" t="inlineStr">
        <is>
          <t xml:space="preserve">ZOITOVA NIGORA UMAROVNA</t>
        </is>
      </c>
      <c r="F507" s="104" t="inlineStr">
        <is>
          <t xml:space="preserve">998900022566 SMS OZI, 998979061580 SMS ONASI, 998900022577 SMS OTASI, 998971994991 SMS AKASIU,</t>
        </is>
      </c>
      <c r="G507" s="104" t="inlineStr">
        <is>
          <t xml:space="preserve">TOSHKENT VILOYATI CHIRCHIQ SHAHRI BOBUR MFY 10-KICHIK NOXIYA 87-UY,43-XONADON</t>
        </is>
      </c>
      <c r="H507" s="105">
        <v>135.0</v>
      </c>
      <c r="I507" s="105">
        <v>65475171.06</v>
      </c>
    </row>
    <row r="508">
      <c r="A508" s="104" t="inlineStr">
        <is>
          <t xml:space="preserve">ТОШКЕНТ ВИЛОЯТИ</t>
        </is>
      </c>
      <c r="C508" s="104" t="inlineStr">
        <is>
          <t xml:space="preserve">Недозвон</t>
        </is>
      </c>
      <c r="D508" s="104" t="inlineStr">
        <is>
          <t xml:space="preserve">Кр-99039427-1</t>
        </is>
      </c>
      <c r="E508" s="104" t="inlineStr">
        <is>
          <t xml:space="preserve">OSMANOV MEMET NAFEYEVICH</t>
        </is>
      </c>
      <c r="F508" s="104" t="inlineStr">
        <is>
          <t xml:space="preserve">998895214815 SMS OZI, 998909429237 SMS OPASI, 998959019516 SMS AYOLI,</t>
        </is>
      </c>
      <c r="G508" s="104" t="inlineStr">
        <is>
          <t xml:space="preserve">TOSHKENT VILOYATI YANGIYO’L SHAHAR MUSTAQILLIK MFY UZUMZOR KO’CHASI 59-UY, 16-XONADON </t>
        </is>
      </c>
      <c r="H508" s="105">
        <v>162.0</v>
      </c>
      <c r="I508" s="105">
        <v>64220380.91</v>
      </c>
    </row>
    <row r="509">
      <c r="A509" s="104" t="inlineStr">
        <is>
          <t xml:space="preserve">ТОШКЕНТ ВИЛОЯТИ</t>
        </is>
      </c>
      <c r="C509" s="104" t="inlineStr">
        <is>
          <t xml:space="preserve">Недозвон</t>
        </is>
      </c>
      <c r="D509" s="104" t="inlineStr">
        <is>
          <t xml:space="preserve">Кр-99062938-1</t>
        </is>
      </c>
      <c r="E509" s="104" t="inlineStr">
        <is>
          <t xml:space="preserve">SOBIROVA RUXSHONA NADIR QIZI</t>
        </is>
      </c>
      <c r="F509" s="104" t="inlineStr">
        <is>
          <t xml:space="preserve">+998983114494 SMS-O’ZI, 998700145858 SMS-POCHASI, 998900101414 SMS-O’ZI, 998998706110 SMS-OPASI,</t>
        </is>
      </c>
      <c r="G509" s="104" t="inlineStr">
        <is>
          <t xml:space="preserve">GULISTON KO’CHASI 31A-UY</t>
        </is>
      </c>
      <c r="H509" s="105">
        <v>43.0</v>
      </c>
      <c r="I509" s="105">
        <v>36593294.23</v>
      </c>
    </row>
    <row r="510">
      <c r="A510" s="104" t="inlineStr">
        <is>
          <t xml:space="preserve">ТОШКЕНТ ВИЛОЯТИ</t>
        </is>
      </c>
      <c r="C510" s="104" t="inlineStr">
        <is>
          <t xml:space="preserve">Недозвон</t>
        </is>
      </c>
      <c r="D510" s="104" t="inlineStr">
        <is>
          <t xml:space="preserve">Кр-99029512-1</t>
        </is>
      </c>
      <c r="E510" s="104" t="inlineStr">
        <is>
          <t xml:space="preserve">XASANOV ORIF KUCHKAROVICH</t>
        </is>
      </c>
      <c r="F510" s="104" t="inlineStr">
        <is>
          <t xml:space="preserve">998943553039 SMS OZI 1 , 998946086728 SMS UKASI, 998700523222 SMS UKASI , 998977697700 SMS AYOLI, 998973655556 SMS OZI 2, 998971455556 SMS OZI 3,</t>
        </is>
      </c>
      <c r="G510" s="104" t="inlineStr">
        <is>
          <t xml:space="preserve">TOSHKENT VILOYATI ZANGIOTA TUMANI TURKISTON QFY, ALIMBUVA MFY, TURKISTON OSUDA 19-UY</t>
        </is>
      </c>
      <c r="H510" s="105">
        <v>199.0</v>
      </c>
      <c r="I510" s="105">
        <v>31551892.72</v>
      </c>
    </row>
    <row r="511">
      <c r="A511" s="104" t="inlineStr">
        <is>
          <t xml:space="preserve">ТОШКЕНТ ВИЛОЯТИ</t>
        </is>
      </c>
      <c r="C511" s="104" t="inlineStr">
        <is>
          <t xml:space="preserve">Недозвон</t>
        </is>
      </c>
      <c r="D511" s="104" t="inlineStr">
        <is>
          <t xml:space="preserve">Кр-99038942-1</t>
        </is>
      </c>
      <c r="E511" s="104" t="inlineStr">
        <is>
          <t xml:space="preserve">QO’ZIYEV MUXAMMADALI KAMOLIDDIN O’G’LI</t>
        </is>
      </c>
      <c r="F511" s="104" t="inlineStr">
        <is>
          <t xml:space="preserve">998900641616 SMS OZI, 998981151995 SMS OZI 2, 998950649699 SMS SINGLISI,</t>
        </is>
      </c>
      <c r="G511" s="104" t="inlineStr">
        <is>
          <t xml:space="preserve">TOSHKENT VILOYATI BEKOBOD TUMANI DALVARZIN QFY BOBUR MIRZO MFY,TARAQQIYOT 1-UY</t>
        </is>
      </c>
      <c r="H511" s="105">
        <v>90.0</v>
      </c>
      <c r="I511" s="105">
        <v>18688889.05</v>
      </c>
    </row>
    <row r="512">
      <c r="A512" s="104" t="inlineStr">
        <is>
          <t xml:space="preserve">ТОШКЕНТ ВИЛОЯТИ</t>
        </is>
      </c>
      <c r="C512" s="104" t="inlineStr">
        <is>
          <t xml:space="preserve">Недозвон</t>
        </is>
      </c>
      <c r="D512" s="104" t="inlineStr">
        <is>
          <t xml:space="preserve">Кр-99044333-2</t>
        </is>
      </c>
      <c r="E512" s="104" t="inlineStr">
        <is>
          <t xml:space="preserve">NARMATOV XAMIDULLA SAYFULLAYEVICH</t>
        </is>
      </c>
      <c r="F512" s="104" t="inlineStr">
        <is>
          <t xml:space="preserve">+998994000214 SMS OZI, 998974300214 SMS OZI 2, 998998390214 SMS OPASI,</t>
        </is>
      </c>
      <c r="G512" s="104" t="inlineStr">
        <is>
          <t xml:space="preserve">КИЗГАЛДОК КФЙ, ФАЙЗОБОД МФЙ, КИЗГАЛДОК КФЙ, ФАЙЗОБОД МФЙ, ИСЛОХОТ,  uy:5А</t>
        </is>
      </c>
      <c r="H512" s="105">
        <v>13.0</v>
      </c>
      <c r="I512" s="105">
        <v>18170108.19</v>
      </c>
    </row>
    <row r="513">
      <c r="A513" s="104" t="inlineStr">
        <is>
          <t xml:space="preserve">ТОШКЕНТ ВИЛОЯТИ</t>
        </is>
      </c>
      <c r="C513" s="104" t="inlineStr">
        <is>
          <t xml:space="preserve">Недозвон</t>
        </is>
      </c>
      <c r="D513" s="104" t="inlineStr">
        <is>
          <t xml:space="preserve">Кр-99055935-1</t>
        </is>
      </c>
      <c r="E513" s="104" t="inlineStr">
        <is>
          <t xml:space="preserve">XO'JANAZAROV SHAHZODBEK RAVSHAN O'G'LI</t>
        </is>
      </c>
      <c r="F513" s="104" t="inlineStr">
        <is>
          <t xml:space="preserve">998946714848 SMS O'ZI, 998990424242 SMS AKASI, 998974120712 SMS OGAYNI, 998973423536 SMS OPASI,</t>
        </is>
      </c>
      <c r="G513" s="104" t="inlineStr">
        <is>
          <t xml:space="preserve">TOSHKENT VILOYATI QIBRAY TUMANI  UNKURGON QFY BAXOR 3A</t>
        </is>
      </c>
      <c r="H513" s="105">
        <v>73.0</v>
      </c>
      <c r="I513" s="105">
        <v>14198340.64</v>
      </c>
    </row>
    <row r="514">
      <c r="A514" s="104" t="inlineStr">
        <is>
          <t xml:space="preserve">ТОШКЕНТ ВИЛОЯТИ</t>
        </is>
      </c>
      <c r="C514" s="104" t="inlineStr">
        <is>
          <t xml:space="preserve">Недозвон</t>
        </is>
      </c>
      <c r="D514" s="104" t="inlineStr">
        <is>
          <t xml:space="preserve">Кр-99013988-3</t>
        </is>
      </c>
      <c r="E514" s="104" t="inlineStr">
        <is>
          <t xml:space="preserve">MIRSOBITOV BOTIR AXMADOVICH</t>
        </is>
      </c>
      <c r="F514" s="104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514" s="104" t="inlineStr">
        <is>
          <t xml:space="preserve">TOSHKENT VILOYATI TOSHKENT TUMANI KELES SHAHARCHASI KELES YOLI KOCHASI 1-UY 21-KVARTIRA</t>
        </is>
      </c>
      <c r="H514" s="105">
        <v>10.0</v>
      </c>
      <c r="I514" s="105">
        <v>12332377.35</v>
      </c>
    </row>
    <row r="515">
      <c r="A515" s="104" t="inlineStr">
        <is>
          <t xml:space="preserve">ТОШКЕНТ ВИЛОЯТИ</t>
        </is>
      </c>
      <c r="C515" s="104" t="inlineStr">
        <is>
          <t xml:space="preserve">Недозвон</t>
        </is>
      </c>
      <c r="D515" s="104" t="inlineStr">
        <is>
          <t xml:space="preserve">Кр-99062610-1</t>
        </is>
      </c>
      <c r="E515" s="104" t="inlineStr">
        <is>
          <t xml:space="preserve">BEGMANOVA GULBUVI AXMATOVNA</t>
        </is>
      </c>
      <c r="F515" s="104" t="inlineStr">
        <is>
          <t xml:space="preserve">998970438603 SMS OZI, 998900108300 SMS ERI, 998970108618 SMS OGLI,</t>
        </is>
      </c>
      <c r="G515" s="104" t="inlineStr">
        <is>
          <t xml:space="preserve">TOSHKENT VILOYATI OQQO'RG'ON TUMANI, SULTONOBOD MFY, NUR KO'CHASI 31-UY</t>
        </is>
      </c>
      <c r="H515" s="105">
        <v>13.0</v>
      </c>
      <c r="I515" s="105">
        <v>12321879.38</v>
      </c>
    </row>
    <row r="516">
      <c r="A516" s="104" t="inlineStr">
        <is>
          <t xml:space="preserve">ТОШКЕНТ ВИЛОЯТИ</t>
        </is>
      </c>
      <c r="C516" s="104" t="inlineStr">
        <is>
          <t xml:space="preserve">Недозвон</t>
        </is>
      </c>
      <c r="D516" s="104" t="inlineStr">
        <is>
          <t xml:space="preserve">Кр-99038323-2</t>
        </is>
      </c>
      <c r="E516" s="104" t="inlineStr">
        <is>
          <t xml:space="preserve">SAFAROV AVAZ QAHRAMANOVICH</t>
        </is>
      </c>
      <c r="F516" s="104" t="inlineStr">
        <is>
          <t xml:space="preserve">998994956737 SMS OZI, 998959883737 SMS OZI, 998956566737 SMS OGLI, 998956566727 SMS OGLI 2,</t>
        </is>
      </c>
      <c r="G516" s="104" t="inlineStr">
        <is>
          <t xml:space="preserve">TOSHKENT VILOYATI ZANGIOTA TUMANI DO’STLIK MFY MIKRORAYON 2, 3-UY, 44-XONADON</t>
        </is>
      </c>
      <c r="H516" s="105">
        <v>13.0</v>
      </c>
      <c r="I516" s="105">
        <v>12126586.83</v>
      </c>
    </row>
    <row r="517">
      <c r="A517" s="104" t="inlineStr">
        <is>
          <t xml:space="preserve">ТОШКЕНТ ВИЛОЯТИ</t>
        </is>
      </c>
      <c r="C517" s="104" t="inlineStr">
        <is>
          <t xml:space="preserve">Недозвон</t>
        </is>
      </c>
      <c r="D517" s="104" t="inlineStr">
        <is>
          <t xml:space="preserve">Кр-99063574-1</t>
        </is>
      </c>
      <c r="E517" s="104" t="inlineStr">
        <is>
          <t xml:space="preserve">NARMATOV SARDOR BAXTIYAROVICH</t>
        </is>
      </c>
      <c r="F517" s="104" t="inlineStr">
        <is>
          <t xml:space="preserve">998948883882 SMS-UKASI, 998951790088 SMS-O’ZI, 998975986595 SMS-ADASI, 998994017069 SMS-ONASI,</t>
        </is>
      </c>
      <c r="G517" s="104" t="inlineStr">
        <is>
          <t xml:space="preserve">TOSHKENT VILOYATI CHIRCHIQ SHAHAR MA’RIFAT MFY NIZOMI KO’CHASI 18-UY</t>
        </is>
      </c>
      <c r="H517" s="105">
        <v>10.0</v>
      </c>
      <c r="I517" s="105">
        <v>11934892.95</v>
      </c>
    </row>
    <row r="518">
      <c r="A518" s="104" t="inlineStr">
        <is>
          <t xml:space="preserve">ТОШКЕНТ ВИЛОЯТИ</t>
        </is>
      </c>
      <c r="C518" s="104" t="inlineStr">
        <is>
          <t xml:space="preserve">Недозвон</t>
        </is>
      </c>
      <c r="D518" s="104" t="inlineStr">
        <is>
          <t xml:space="preserve">Кр-99019166-1</t>
        </is>
      </c>
      <c r="E518" s="104" t="inlineStr">
        <is>
          <t xml:space="preserve">TO’LAGANOV MIRXALIL QAXXOROVICH</t>
        </is>
      </c>
      <c r="F518" s="104" t="inlineStr">
        <is>
          <t xml:space="preserve">99-405-52-00  SMS OZI, 93-702-52-00  SMS OZI 2, 99-450-52-00  SMS UY, 99-408-52-00  SMS UY 2,</t>
        </is>
      </c>
      <c r="G518" s="104" t="inlineStr">
        <is>
          <t xml:space="preserve">TOSHKENT VILOYATI PISKENT TUMANI ULUGBEK 73-XONADON</t>
        </is>
      </c>
      <c r="H518" s="105">
        <v>15.0</v>
      </c>
      <c r="I518" s="105">
        <v>11931745.0</v>
      </c>
    </row>
    <row r="519">
      <c r="A519" s="104" t="inlineStr">
        <is>
          <t xml:space="preserve">ТОШКЕНТ ВИЛОЯТИ</t>
        </is>
      </c>
      <c r="C519" s="104" t="inlineStr">
        <is>
          <t xml:space="preserve">Недозвон</t>
        </is>
      </c>
      <c r="D519" s="104" t="inlineStr">
        <is>
          <t xml:space="preserve">Кр-99057457-2</t>
        </is>
      </c>
      <c r="E519" s="104" t="inlineStr">
        <is>
          <t xml:space="preserve">IBROHIMOV SARDOR FARXOD O’G’LI</t>
        </is>
      </c>
      <c r="F519" s="104" t="inlineStr">
        <is>
          <t xml:space="preserve">+998998936967 SMS OZI, 998930729994 SMS ONASI, 998998785218 SMS AKASI,</t>
        </is>
      </c>
      <c r="G519" s="104" t="inlineStr">
        <is>
          <t xml:space="preserve">TOSHKENT VILOYATI TOSHKENT TUMANI KO’K SAROY OQTOSH MFY  ARCHA KOCHASI 16A-UY</t>
        </is>
      </c>
      <c r="H519" s="105">
        <v>10.0</v>
      </c>
      <c r="I519" s="105">
        <v>11406707.26</v>
      </c>
    </row>
    <row r="520">
      <c r="A520" s="104" t="inlineStr">
        <is>
          <t xml:space="preserve">ТОШКЕНТ ВИЛОЯТИ</t>
        </is>
      </c>
      <c r="C520" s="104" t="inlineStr">
        <is>
          <t xml:space="preserve">Недозвон</t>
        </is>
      </c>
      <c r="D520" s="104" t="inlineStr">
        <is>
          <t xml:space="preserve">Кр-99031911-3</t>
        </is>
      </c>
      <c r="E520" s="104" t="inlineStr">
        <is>
          <t xml:space="preserve">ABLAZOV SARDOR ABDIXAMID O’G’LI</t>
        </is>
      </c>
      <c r="F520" s="104" t="inlineStr">
        <is>
          <t xml:space="preserve">998339299304 SMS O’ZI, 998990971662 SMS ONASI, 998335099304 TURMUSH O’RTOG’I , 998951370340 OPASI, 998997846566 ozin yengi nomeri,</t>
        </is>
      </c>
      <c r="G520" s="104" t="inlineStr">
        <is>
          <t xml:space="preserve">TOSHKENT VILOYATI OXANGARON TUMAN NUROBOD SHAHARCHASI 4-UY 5- XONODON</t>
        </is>
      </c>
      <c r="H520" s="105">
        <v>143.0</v>
      </c>
      <c r="I520" s="105">
        <v>11006633.47</v>
      </c>
    </row>
    <row r="521">
      <c r="A521" s="104" t="inlineStr">
        <is>
          <t xml:space="preserve">ТОШКЕНТ ВИЛОЯТИ</t>
        </is>
      </c>
      <c r="C521" s="104" t="inlineStr">
        <is>
          <t xml:space="preserve">Недозвон</t>
        </is>
      </c>
      <c r="D521" s="104" t="inlineStr">
        <is>
          <t xml:space="preserve">Кр-99059341-4</t>
        </is>
      </c>
      <c r="E521" s="104" t="inlineStr">
        <is>
          <t xml:space="preserve">KALDIBEKOV ULUGBEK ADILBEKOVICH</t>
        </is>
      </c>
      <c r="F521" s="104" t="inlineStr">
        <is>
          <t xml:space="preserve">998333083556 SMS ORTOGI, 998903209449 SMS OZI2, 998903704979 SMS ONASI, 998933966464 SMS OZI,</t>
        </is>
      </c>
      <c r="G521" s="104" t="inlineStr">
        <is>
          <t xml:space="preserve">Рамадан мфй Самарканд кучаси 331-уй 9-хонадон</t>
        </is>
      </c>
      <c r="H521" s="105">
        <v>10.0</v>
      </c>
      <c r="I521" s="105">
        <v>10916975.3</v>
      </c>
    </row>
    <row r="522">
      <c r="A522" s="104" t="inlineStr">
        <is>
          <t xml:space="preserve">ТОШКЕНТ ВИЛОЯТИ</t>
        </is>
      </c>
      <c r="C522" s="104" t="inlineStr">
        <is>
          <t xml:space="preserve">Недозвон</t>
        </is>
      </c>
      <c r="D522" s="104" t="inlineStr">
        <is>
          <t xml:space="preserve">Кр-99060562-1</t>
        </is>
      </c>
      <c r="E522" s="104" t="inlineStr">
        <is>
          <t xml:space="preserve">MAMUROVA ODINA LUTFILLA QIZI</t>
        </is>
      </c>
      <c r="F522" s="104" t="inlineStr">
        <is>
          <t xml:space="preserve">998770036500 SMS OZI, 998881896500 SMS ONASI, 998951203727 SMS ZALOGATEL,</t>
        </is>
      </c>
      <c r="G522" s="104" t="inlineStr">
        <is>
          <t xml:space="preserve">TOSHKENT VILOYATI YANGIYO'L TUMANI YOSHLIK MFY,SAMARQAND KO'CHASI,54-UY</t>
        </is>
      </c>
      <c r="H522" s="105">
        <v>13.0</v>
      </c>
      <c r="I522" s="105">
        <v>10214539.04</v>
      </c>
    </row>
    <row r="523">
      <c r="A523" s="104" t="inlineStr">
        <is>
          <t xml:space="preserve">ТОШКЕНТ ВИЛОЯТИ</t>
        </is>
      </c>
      <c r="C523" s="104" t="inlineStr">
        <is>
          <t xml:space="preserve">Недозвон</t>
        </is>
      </c>
      <c r="D523" s="104" t="inlineStr">
        <is>
          <t xml:space="preserve">Кр-99048720-1</t>
        </is>
      </c>
      <c r="E523" s="104" t="inlineStr">
        <is>
          <t xml:space="preserve">AXMEDOVA TURSUNOY OBIDOVNA</t>
        </is>
      </c>
      <c r="F523" s="104" t="inlineStr">
        <is>
          <t xml:space="preserve">+998998933535 SMS ERI, 998983036768 SMS ERI 2, 998997289676 SMS O’G’LI,</t>
        </is>
      </c>
      <c r="G523" s="104" t="inlineStr">
        <is>
          <t xml:space="preserve">TOSHKENT VILOYATI ZANGIOTA TUMANI GULBOG’ MFY CHORBOG’ 5-UY</t>
        </is>
      </c>
      <c r="H523" s="105">
        <v>10.0</v>
      </c>
      <c r="I523" s="105">
        <v>9908775.02</v>
      </c>
    </row>
    <row r="524">
      <c r="A524" s="104" t="inlineStr">
        <is>
          <t xml:space="preserve">ТОШКЕНТ ВИЛОЯТИ</t>
        </is>
      </c>
      <c r="C524" s="104" t="inlineStr">
        <is>
          <t xml:space="preserve">Недозвон</t>
        </is>
      </c>
      <c r="D524" s="104" t="inlineStr">
        <is>
          <t xml:space="preserve">Кр-99059324-1</t>
        </is>
      </c>
      <c r="E524" s="104" t="inlineStr">
        <is>
          <t xml:space="preserve">ABDURAXMONOVA MUKADDAS NIKMANOVNA</t>
        </is>
      </c>
      <c r="F524" s="104" t="inlineStr">
        <is>
          <t xml:space="preserve">998977706346 SMS OZI, 998978736565 SMS OGLI, 998330306630 SMS QIZI, 998998443220 SMS SINGLISI,</t>
        </is>
      </c>
      <c r="G524" s="104" t="inlineStr">
        <is>
          <t xml:space="preserve">TOSHKENT VILOYATI OXANGARON SHAXAR ADOLAT MFY, 4 KICHIK NOXIYA KO'CHASI, 21-XONADON</t>
        </is>
      </c>
      <c r="H524" s="105">
        <v>13.0</v>
      </c>
      <c r="I524" s="105">
        <v>9819814.06</v>
      </c>
    </row>
    <row r="525">
      <c r="A525" s="104" t="inlineStr">
        <is>
          <t xml:space="preserve">ТОШКЕНТ ВИЛОЯТИ</t>
        </is>
      </c>
      <c r="C525" s="104" t="inlineStr">
        <is>
          <t xml:space="preserve">Недозвон</t>
        </is>
      </c>
      <c r="D525" s="104" t="inlineStr">
        <is>
          <t xml:space="preserve">Кр-99033115-4</t>
        </is>
      </c>
      <c r="E525" s="104" t="inlineStr">
        <is>
          <t xml:space="preserve">MAMANKULOVA DILNOZA XAKIMJONOVNA</t>
        </is>
      </c>
      <c r="F525" s="104" t="inlineStr">
        <is>
          <t xml:space="preserve">998971164858 SMS O’ZI, 998930004858 SMS O’G’LI, 998976099595 SMS JIYANI, 998974028919 SMS KELINI,</t>
        </is>
      </c>
      <c r="G525" s="104" t="inlineStr">
        <is>
          <t xml:space="preserve">TOSHKENT VILOYATI YANGI YO’L TUMANI ESKI QOVUNCHI GULISTON MFY  MATONAT KO’CHASI 4-UY</t>
        </is>
      </c>
      <c r="H525" s="105">
        <v>13.0</v>
      </c>
      <c r="I525" s="105">
        <v>9621585.17</v>
      </c>
    </row>
    <row r="526">
      <c r="A526" s="104" t="inlineStr">
        <is>
          <t xml:space="preserve">ТОШКЕНТ ВИЛОЯТИ</t>
        </is>
      </c>
      <c r="C526" s="104" t="inlineStr">
        <is>
          <t xml:space="preserve">Недозвон</t>
        </is>
      </c>
      <c r="D526" s="104" t="inlineStr">
        <is>
          <t xml:space="preserve">Кр-99039634-1</t>
        </is>
      </c>
      <c r="E526" s="104" t="inlineStr">
        <is>
          <t xml:space="preserve">KASIMOV AKMAL ROZIYEVICH</t>
        </is>
      </c>
      <c r="F526" s="104" t="inlineStr">
        <is>
          <t xml:space="preserve">998978831991 SMS OZI, 998976042491 SMS OZI 2, 998958585857 SMS OSHNASI, 998954717303 SMS UKASI,</t>
        </is>
      </c>
      <c r="G526" s="104" t="inlineStr">
        <is>
          <t xml:space="preserve">TOSHKENT VILOYATI CHINOZ TUMANI OLMAZOR QORG’ONI PORLOQ KO’CHASI 111-UY</t>
        </is>
      </c>
      <c r="H526" s="105">
        <v>64.0</v>
      </c>
      <c r="I526" s="105">
        <v>8828919.58</v>
      </c>
    </row>
    <row r="527">
      <c r="A527" s="104" t="inlineStr">
        <is>
          <t xml:space="preserve">ТОШКЕНТ ВИЛОЯТИ</t>
        </is>
      </c>
      <c r="C527" s="104" t="inlineStr">
        <is>
          <t xml:space="preserve">Недозвон</t>
        </is>
      </c>
      <c r="D527" s="104" t="inlineStr">
        <is>
          <t xml:space="preserve">Кр-99036426-3</t>
        </is>
      </c>
      <c r="E527" s="104" t="inlineStr">
        <is>
          <t xml:space="preserve">BURXANOV OTABEK SHERJANOVICH </t>
        </is>
      </c>
      <c r="F527" s="104" t="inlineStr">
        <is>
          <t xml:space="preserve">998974787619 SMS OZI, 998983867165 SMS OZI, 998958366719 SMS UYI, 998942006122 SMS OGLI,</t>
        </is>
      </c>
      <c r="G527" s="104" t="inlineStr">
        <is>
          <t xml:space="preserve">TOSHKENT VILOYATI YANGIYO’L TUMANI SHO’RALISOY MFY XURRIYAT KO’CHASI 16-UY</t>
        </is>
      </c>
      <c r="H527" s="105">
        <v>13.0</v>
      </c>
      <c r="I527" s="105">
        <v>8566696.23</v>
      </c>
    </row>
    <row r="528">
      <c r="A528" s="104" t="inlineStr">
        <is>
          <t xml:space="preserve">ТОШКЕНТ ВИЛОЯТИ</t>
        </is>
      </c>
      <c r="C528" s="104" t="inlineStr">
        <is>
          <t xml:space="preserve">Недозвон</t>
        </is>
      </c>
      <c r="D528" s="104" t="inlineStr">
        <is>
          <t xml:space="preserve">Кр-99060927-1</t>
        </is>
      </c>
      <c r="E528" s="104" t="inlineStr">
        <is>
          <t xml:space="preserve">RAHIMOV XIKMAT PO’LATOVICH</t>
        </is>
      </c>
      <c r="F528" s="104" t="inlineStr">
        <is>
          <t xml:space="preserve">998970233088 OZI, 998983043088 ONASI, 998909873088 OTASI, 998909957640 AKASI,</t>
        </is>
      </c>
      <c r="G528" s="104" t="inlineStr">
        <is>
          <t xml:space="preserve">TOSHKENT VILOYATI ZANGIOTA TUMANI TIIB</t>
        </is>
      </c>
      <c r="H528" s="105">
        <v>13.0</v>
      </c>
      <c r="I528" s="105">
        <v>8517057.51</v>
      </c>
    </row>
    <row r="529">
      <c r="A529" s="104" t="inlineStr">
        <is>
          <t xml:space="preserve">ТОШКЕНТ ВИЛОЯТИ</t>
        </is>
      </c>
      <c r="C529" s="104" t="inlineStr">
        <is>
          <t xml:space="preserve">Недозвон</t>
        </is>
      </c>
      <c r="D529" s="104" t="inlineStr">
        <is>
          <t xml:space="preserve">Кр-99058309-1</t>
        </is>
      </c>
      <c r="E529" s="104" t="inlineStr">
        <is>
          <t xml:space="preserve">JO’RAYEVA NOZIMA ABDURAXMANOVNA</t>
        </is>
      </c>
      <c r="F529" s="104" t="inlineStr">
        <is>
          <t xml:space="preserve">998998803439 SMS OZI, 998951060552 SMS ERI, 998958893439 SMS ONASI, 998950170713 SMS QIZI,</t>
        </is>
      </c>
      <c r="G529" s="104" t="inlineStr">
        <is>
          <t xml:space="preserve">TOSHKENT VILOYATI BO’KA TUMANI BESHKAPA MFY O’RTA KO'CHASI 20-UY</t>
        </is>
      </c>
      <c r="H529" s="105">
        <v>13.0</v>
      </c>
      <c r="I529" s="105">
        <v>8333508.15</v>
      </c>
    </row>
    <row r="530">
      <c r="A530" s="104" t="inlineStr">
        <is>
          <t xml:space="preserve">ТОШКЕНТ ВИЛОЯТИ</t>
        </is>
      </c>
      <c r="C530" s="104" t="inlineStr">
        <is>
          <t xml:space="preserve">Недозвон</t>
        </is>
      </c>
      <c r="D530" s="104" t="inlineStr">
        <is>
          <t xml:space="preserve">Кр-99063678-2</t>
        </is>
      </c>
      <c r="E530" s="104" t="inlineStr">
        <is>
          <t xml:space="preserve">QOSIMOVA GULNOZA TO’LQIN QIZI</t>
        </is>
      </c>
      <c r="F530" s="104" t="inlineStr">
        <is>
          <t xml:space="preserve">998971222244 SMS O’ZI, 998974552222 SMS ONASI, 998999039099 SMS ERI, 998999922099 SMS UYI,</t>
        </is>
      </c>
      <c r="G530" s="104" t="inlineStr">
        <is>
          <t xml:space="preserve">TOSHKENT SHAHAR OLMAZOR TUMANI  BAYTQO’RG’ON MFY  QORAQAMISH 2/1 YOSHLAR KO’CHASI 42-UY 42 XONADON</t>
        </is>
      </c>
      <c r="H530" s="105">
        <v>10.0</v>
      </c>
      <c r="I530" s="105">
        <v>8246722.88</v>
      </c>
    </row>
    <row r="531">
      <c r="A531" s="104" t="inlineStr">
        <is>
          <t xml:space="preserve">ТОШКЕНТ ВИЛОЯТИ</t>
        </is>
      </c>
      <c r="C531" s="104" t="inlineStr">
        <is>
          <t xml:space="preserve">Недозвон</t>
        </is>
      </c>
      <c r="D531" s="104" t="inlineStr">
        <is>
          <t xml:space="preserve">Кр-99058902-1</t>
        </is>
      </c>
      <c r="E531" s="104" t="inlineStr">
        <is>
          <t xml:space="preserve">XAMIDXODJAYEV NURITDIN XUSANXODJAYEVICH</t>
        </is>
      </c>
      <c r="F531" s="104" t="inlineStr">
        <is>
          <t xml:space="preserve">998700363784 AYOLI, 998770330747 OZI, 998956163633 OGLI,</t>
        </is>
      </c>
      <c r="G531" s="104" t="inlineStr">
        <is>
          <t xml:space="preserve">TOSHKENT VILOYATI ZANGIOTA TUMANI QAXRAMON MFY FAYZ-UY 7-KO’CHASI 26-UY</t>
        </is>
      </c>
      <c r="H531" s="105">
        <v>10.0</v>
      </c>
      <c r="I531" s="105">
        <v>8194660.3</v>
      </c>
    </row>
    <row r="532">
      <c r="A532" s="104" t="inlineStr">
        <is>
          <t xml:space="preserve">ТОШКЕНТ ВИЛОЯТИ</t>
        </is>
      </c>
      <c r="C532" s="104" t="inlineStr">
        <is>
          <t xml:space="preserve">Недозвон</t>
        </is>
      </c>
      <c r="D532" s="104" t="inlineStr">
        <is>
          <t xml:space="preserve">Кр-99040812-2</t>
        </is>
      </c>
      <c r="E532" s="104" t="inlineStr">
        <is>
          <t xml:space="preserve">MAMANAZAROVA MANZURAXON ABDUALIYEVNA</t>
        </is>
      </c>
      <c r="F532" s="104" t="inlineStr">
        <is>
          <t xml:space="preserve">998907882425 SMS OZI, 998933744232 SMS QIZI, 998944540494 SMS OGLI,</t>
        </is>
      </c>
      <c r="G532" s="104" t="inlineStr">
        <is>
          <t xml:space="preserve">TOSHKENT VILOYATI ANGREN SHAHAR KIMYOGAR MFY 5/3 DAXA KO’CHASI 26-UY, 14-XONADON</t>
        </is>
      </c>
      <c r="H532" s="105">
        <v>10.0</v>
      </c>
      <c r="I532" s="105">
        <v>8126890.24</v>
      </c>
    </row>
    <row r="533">
      <c r="A533" s="104" t="inlineStr">
        <is>
          <t xml:space="preserve">ТОШКЕНТ ВИЛОЯТИ</t>
        </is>
      </c>
      <c r="C533" s="104" t="inlineStr">
        <is>
          <t xml:space="preserve">Недозвон</t>
        </is>
      </c>
      <c r="D533" s="104" t="inlineStr">
        <is>
          <t xml:space="preserve">Кр-99057370-3</t>
        </is>
      </c>
      <c r="E533" s="104" t="inlineStr">
        <is>
          <t xml:space="preserve">ALIMOV XAYOTJON SOBIRJONOVICH</t>
        </is>
      </c>
      <c r="F533" s="104" t="inlineStr">
        <is>
          <t xml:space="preserve">998508997371 SMS OZI, 998502207444 SMS OZI AYOLI, 998943074277 SMS OZI 3,</t>
        </is>
      </c>
      <c r="G533" s="104" t="inlineStr">
        <is>
          <t xml:space="preserve">TOSHKENT VILOYATI PARKENT TUMANI MOZORXOJI MSG,SOHIL KO’CHASI,22-UY</t>
        </is>
      </c>
      <c r="H533" s="105">
        <v>13.0</v>
      </c>
      <c r="I533" s="105">
        <v>7948219.69</v>
      </c>
    </row>
    <row r="534">
      <c r="A534" s="104" t="inlineStr">
        <is>
          <t xml:space="preserve">ТОШКЕНТ ВИЛОЯТИ</t>
        </is>
      </c>
      <c r="C534" s="104" t="inlineStr">
        <is>
          <t xml:space="preserve">Недозвон</t>
        </is>
      </c>
      <c r="D534" s="104" t="inlineStr">
        <is>
          <t xml:space="preserve">Кр-99048924-1</t>
        </is>
      </c>
      <c r="E534" s="104" t="inlineStr">
        <is>
          <t xml:space="preserve">BAYMENOVA FATIMA RAXMATOVNA</t>
        </is>
      </c>
      <c r="F534" s="104" t="inlineStr">
        <is>
          <t xml:space="preserve">998771668390 ERI, 998771669390 OZI, 998990543737 QAYNUKASI, 998991379292 AKASI,</t>
        </is>
      </c>
      <c r="G534" s="104" t="inlineStr">
        <is>
          <t xml:space="preserve">ТОШКЕНТ ВИЛОЯТИ БЕКОБОД ШАХАР ШИРИН МСГ, 13-ДАХА, 28-УЙ, 30-ХОНАДОН</t>
        </is>
      </c>
      <c r="H534" s="105">
        <v>10.0</v>
      </c>
      <c r="I534" s="105">
        <v>7946821.65</v>
      </c>
    </row>
    <row r="535">
      <c r="A535" s="104" t="inlineStr">
        <is>
          <t xml:space="preserve">ТОШКЕНТ ВИЛОЯТИ</t>
        </is>
      </c>
      <c r="C535" s="104" t="inlineStr">
        <is>
          <t xml:space="preserve">Недозвон</t>
        </is>
      </c>
      <c r="D535" s="104" t="inlineStr">
        <is>
          <t xml:space="preserve">Кр-99052907-3</t>
        </is>
      </c>
      <c r="E535" s="104" t="inlineStr">
        <is>
          <t xml:space="preserve">RAXIMOVA GULNOZA DEHQONBOYEVNA</t>
        </is>
      </c>
      <c r="F535" s="104" t="inlineStr">
        <is>
          <t xml:space="preserve">998770975676 SMS AKASI, 998771336667 SMS OZI, 998779786313 SMS DOSTI, 998990490296 SMS ERI,</t>
        </is>
      </c>
      <c r="G535" s="104" t="inlineStr">
        <is>
          <t xml:space="preserve">TABARRUK KO’CHASI 51-UY.120-XONADON</t>
        </is>
      </c>
      <c r="H535" s="105">
        <v>13.0</v>
      </c>
      <c r="I535" s="105">
        <v>7829770.26</v>
      </c>
    </row>
    <row r="536">
      <c r="A536" s="104" t="inlineStr">
        <is>
          <t xml:space="preserve">ТОШКЕНТ ВИЛОЯТИ</t>
        </is>
      </c>
      <c r="C536" s="104" t="inlineStr">
        <is>
          <t xml:space="preserve">Недозвон</t>
        </is>
      </c>
      <c r="D536" s="104" t="inlineStr">
        <is>
          <t xml:space="preserve">Кр-99057365-1</t>
        </is>
      </c>
      <c r="E536" s="104" t="inlineStr">
        <is>
          <t xml:space="preserve">AXMEDJANOV ANVAR SOBIRJONOVICH</t>
        </is>
      </c>
      <c r="F536" s="104" t="inlineStr">
        <is>
          <t xml:space="preserve">998975488281 SMS UZI, 998973457200 SMS AYOLI, 998947317200 SMS OGLI, 998794881822 SMS AYOLINING 2 NOMERI,</t>
        </is>
      </c>
      <c r="G536" s="104" t="inlineStr">
        <is>
          <t xml:space="preserve">TOSHKENT VILOYATI YUQORICHIRCHIQ TUMANI KORASUV MFY, OLMOS KO’CHASI 36-UY</t>
        </is>
      </c>
      <c r="H536" s="105">
        <v>13.0</v>
      </c>
      <c r="I536" s="105">
        <v>7697147.62</v>
      </c>
    </row>
    <row r="537">
      <c r="A537" s="104" t="inlineStr">
        <is>
          <t xml:space="preserve">ТОШКЕНТ ВИЛОЯТИ</t>
        </is>
      </c>
      <c r="C537" s="104" t="inlineStr">
        <is>
          <t xml:space="preserve">Недозвон</t>
        </is>
      </c>
      <c r="D537" s="104" t="inlineStr">
        <is>
          <t xml:space="preserve">Кр-99052911-1</t>
        </is>
      </c>
      <c r="E537" s="104" t="inlineStr">
        <is>
          <t xml:space="preserve">TOJIBOEV DIYORBEK ALIBOY O’G’LI</t>
        </is>
      </c>
      <c r="F537" s="104" t="inlineStr">
        <is>
          <t xml:space="preserve">998937775445 SMS OZI, 998931606070 SMS AKASI , 998939994643 SMS AKASI 2, 998995673574 SMS ONASI,</t>
        </is>
      </c>
      <c r="G537" s="104" t="inlineStr">
        <is>
          <t xml:space="preserve">TOSHKENT VILOYATI OLMALIQ SHAHAR BIRDAMLIK MSG, MIRA KO'CHASI  9-UY 12-XONADON</t>
        </is>
      </c>
      <c r="H537" s="105">
        <v>13.0</v>
      </c>
      <c r="I537" s="105">
        <v>7645238.93</v>
      </c>
    </row>
    <row r="538">
      <c r="A538" s="104" t="inlineStr">
        <is>
          <t xml:space="preserve">ТОШКЕНТ ВИЛОЯТИ</t>
        </is>
      </c>
      <c r="C538" s="104" t="inlineStr">
        <is>
          <t xml:space="preserve">Недозвон</t>
        </is>
      </c>
      <c r="D538" s="104" t="inlineStr">
        <is>
          <t xml:space="preserve">Кр-99027754-2</t>
        </is>
      </c>
      <c r="E538" s="104" t="inlineStr">
        <is>
          <t xml:space="preserve">AKMALOV AXRORBEK AKMALOVICH</t>
        </is>
      </c>
      <c r="F538" s="104" t="inlineStr">
        <is>
          <t xml:space="preserve">998944144222 SMS O’ZI, 998931822660 SMS UKASI, 999849229620 SMS AYOLI, 998321310222 SMS UKASI 2,</t>
        </is>
      </c>
      <c r="G538" s="104" t="inlineStr">
        <is>
          <t xml:space="preserve">TOSHKENT VILOYATI OLMALIQ SHAHRI FAYZULLO XO'JAYEVA KO'CHASI 1-UY </t>
        </is>
      </c>
      <c r="H538" s="105">
        <v>10.0</v>
      </c>
      <c r="I538" s="105">
        <v>7524170.85</v>
      </c>
    </row>
    <row r="539">
      <c r="A539" s="104" t="inlineStr">
        <is>
          <t xml:space="preserve">ТОШКЕНТ ВИЛОЯТИ</t>
        </is>
      </c>
      <c r="C539" s="104" t="inlineStr">
        <is>
          <t xml:space="preserve">Недозвон</t>
        </is>
      </c>
      <c r="D539" s="104" t="inlineStr">
        <is>
          <t xml:space="preserve">Кр-99062883-1</t>
        </is>
      </c>
      <c r="E539" s="104" t="inlineStr">
        <is>
          <t xml:space="preserve">SHARIPOVA NAZIRA ROZMUXAMEDOVA</t>
        </is>
      </c>
      <c r="F539" s="104" t="inlineStr">
        <is>
          <t xml:space="preserve">998886394433 OZI, 998881112202 UKASI, 998977268619 ERI,</t>
        </is>
      </c>
      <c r="G539" s="104" t="inlineStr">
        <is>
          <t xml:space="preserve">TOSHKENT VILOYATI YANGIYO'L SHAHAR BOGBON MFY, NIHOL KOCHASI 71A-UY</t>
        </is>
      </c>
      <c r="H539" s="105">
        <v>10.0</v>
      </c>
      <c r="I539" s="105">
        <v>7072247.93</v>
      </c>
    </row>
    <row r="540">
      <c r="A540" s="104" t="inlineStr">
        <is>
          <t xml:space="preserve">ТОШКЕНТ ВИЛОЯТИ</t>
        </is>
      </c>
      <c r="C540" s="104" t="inlineStr">
        <is>
          <t xml:space="preserve">Недозвон</t>
        </is>
      </c>
      <c r="D540" s="104" t="inlineStr">
        <is>
          <t xml:space="preserve">Кр-99062005-1</t>
        </is>
      </c>
      <c r="E540" s="104" t="inlineStr">
        <is>
          <t xml:space="preserve">SAGDIYEV MIRAZIM MIRAZIZOVICH</t>
        </is>
      </c>
      <c r="F540" s="104" t="inlineStr">
        <is>
          <t xml:space="preserve">+998991125555 SMS OZI, 998909285758 SSM UKASI, 998997426102 SMS OGLI,</t>
        </is>
      </c>
      <c r="G540" s="104" t="inlineStr">
        <is>
          <t xml:space="preserve">TOSHKENT VILOYATI TOSHKENT TUMANI QIZG’ALDOQ MFY MUSTAQILLIK KO’CHASI 81V-UY</t>
        </is>
      </c>
      <c r="H540" s="105">
        <v>10.0</v>
      </c>
      <c r="I540" s="105">
        <v>7071325.01</v>
      </c>
    </row>
    <row r="541">
      <c r="A541" s="104" t="inlineStr">
        <is>
          <t xml:space="preserve">ТОШКЕНТ ВИЛОЯТИ</t>
        </is>
      </c>
      <c r="C541" s="104" t="inlineStr">
        <is>
          <t xml:space="preserve">Недозвон</t>
        </is>
      </c>
      <c r="D541" s="104" t="inlineStr">
        <is>
          <t xml:space="preserve">Кр-99041438-1</t>
        </is>
      </c>
      <c r="E541" s="104" t="inlineStr">
        <is>
          <t xml:space="preserve">GANIYEVA GULNORA RAXMATOVNA</t>
        </is>
      </c>
      <c r="F541" s="104" t="inlineStr">
        <is>
          <t xml:space="preserve">998770850402 SMS OZI, 998992880788 SMS ERI, 998942885288 SMS QIZI, 998771668212 SMS OGLI,</t>
        </is>
      </c>
      <c r="G541" s="104" t="inlineStr">
        <is>
          <t xml:space="preserve">TOSHKENT VILOYATI BEKOBOD SHAHAR SAMARQAND MFY, 12-DAHA, 64A-UY, 5-XONADON</t>
        </is>
      </c>
      <c r="H541" s="105">
        <v>13.0</v>
      </c>
      <c r="I541" s="105">
        <v>7070739.82</v>
      </c>
    </row>
    <row r="542">
      <c r="A542" s="104" t="inlineStr">
        <is>
          <t xml:space="preserve">ТОШКЕНТ ВИЛОЯТИ</t>
        </is>
      </c>
      <c r="C542" s="104" t="inlineStr">
        <is>
          <t xml:space="preserve">Недозвон</t>
        </is>
      </c>
      <c r="D542" s="104" t="inlineStr">
        <is>
          <t xml:space="preserve">Кр-99033872-4</t>
        </is>
      </c>
      <c r="E542" s="104" t="inlineStr">
        <is>
          <t xml:space="preserve">SIDDIKOVA MUKADDAS ABDUXALIKOVNA</t>
        </is>
      </c>
      <c r="F542" s="104" t="inlineStr">
        <is>
          <t xml:space="preserve">998998002634 SMS OZI, 998996510102 SMS OGLI TOLOVCHI, 998998974849 SMS QIZI, 998511166332 SMS OGLI TOLOVCHI,</t>
        </is>
      </c>
      <c r="G542" s="104" t="inlineStr">
        <is>
          <t xml:space="preserve">TOSHKENT VILOYATI ZANGIOTA TUMANI BOG’ZOR MFY, QALQON KO’CHASI 8-UY</t>
        </is>
      </c>
      <c r="H542" s="105">
        <v>10.0</v>
      </c>
      <c r="I542" s="105">
        <v>7008398.42</v>
      </c>
    </row>
    <row r="543">
      <c r="A543" s="104" t="inlineStr">
        <is>
          <t xml:space="preserve">ТОШКЕНТ ВИЛОЯТИ</t>
        </is>
      </c>
      <c r="C543" s="104" t="inlineStr">
        <is>
          <t xml:space="preserve">Недозвон</t>
        </is>
      </c>
      <c r="D543" s="104" t="inlineStr">
        <is>
          <t xml:space="preserve">Кр-99063342-1</t>
        </is>
      </c>
      <c r="E543" s="104" t="inlineStr">
        <is>
          <t xml:space="preserve">QURBONOV ABDULLA XUDOYNAZAROVICH</t>
        </is>
      </c>
      <c r="F543" s="104" t="inlineStr">
        <is>
          <t xml:space="preserve">998200040424 OZI, 998333100017 AKASI, 998332474787 OPASI,</t>
        </is>
      </c>
      <c r="G543" s="104" t="inlineStr">
        <is>
          <t xml:space="preserve">TOSHKENT VILOYATI CHINOZ TUMANI MADANIYAT MFY G'AYRAT KOCHASI 43-UY</t>
        </is>
      </c>
      <c r="H543" s="105">
        <v>10.0</v>
      </c>
      <c r="I543" s="105">
        <v>6773277.28</v>
      </c>
    </row>
    <row r="544">
      <c r="A544" s="104" t="inlineStr">
        <is>
          <t xml:space="preserve">ТОШКЕНТ ВИЛОЯТИ</t>
        </is>
      </c>
      <c r="C544" s="104" t="inlineStr">
        <is>
          <t xml:space="preserve">Недозвон</t>
        </is>
      </c>
      <c r="D544" s="104" t="inlineStr">
        <is>
          <t xml:space="preserve">Кр-99058878-1</t>
        </is>
      </c>
      <c r="E544" s="104" t="inlineStr">
        <is>
          <t xml:space="preserve">MIRAMAXMUDOV OZODBEK RASHID O’G’LI</t>
        </is>
      </c>
      <c r="F544" s="104" t="inlineStr">
        <is>
          <t xml:space="preserve">998994058304 ONASI,</t>
        </is>
      </c>
      <c r="G544" s="104" t="inlineStr">
        <is>
          <t xml:space="preserve">TOSHKENT VILOYATI YANGIYO’L SHAHAR  RAMADON MSG SAMARQAND KO’CHASI,525-UY,17-XONADON</t>
        </is>
      </c>
      <c r="H544" s="105">
        <v>15.0</v>
      </c>
      <c r="I544" s="105">
        <v>6732050.43</v>
      </c>
    </row>
    <row r="545">
      <c r="A545" s="104" t="inlineStr">
        <is>
          <t xml:space="preserve">ТОШКЕНТ ВИЛОЯТИ</t>
        </is>
      </c>
      <c r="C545" s="104" t="inlineStr">
        <is>
          <t xml:space="preserve">Недозвон</t>
        </is>
      </c>
      <c r="D545" s="104" t="inlineStr">
        <is>
          <t xml:space="preserve">Кр-99036322-1</t>
        </is>
      </c>
      <c r="E545" s="104" t="inlineStr">
        <is>
          <t xml:space="preserve">ABDULXAKOVA NAFISA ABDUSAMATOVNA</t>
        </is>
      </c>
      <c r="F545" s="104" t="inlineStr">
        <is>
          <t xml:space="preserve">998931880660 sms uzi, 998943618156 sms opasi, 998944133576 sms onasi,</t>
        </is>
      </c>
      <c r="G545" s="104" t="inlineStr">
        <is>
          <t xml:space="preserve">Shodlik MFY, 1 kichik noxiya koʼchasi, 45-uy, 43-xonadon</t>
        </is>
      </c>
      <c r="H545" s="105">
        <v>10.0</v>
      </c>
      <c r="I545" s="105">
        <v>6488975.52</v>
      </c>
    </row>
    <row r="546">
      <c r="A546" s="104" t="inlineStr">
        <is>
          <t xml:space="preserve">ТОШКЕНТ ВИЛОЯТИ</t>
        </is>
      </c>
      <c r="C546" s="104" t="inlineStr">
        <is>
          <t xml:space="preserve">Недозвон</t>
        </is>
      </c>
      <c r="D546" s="104" t="inlineStr">
        <is>
          <t xml:space="preserve">Кр-99033841-2</t>
        </is>
      </c>
      <c r="E546" s="104" t="inlineStr">
        <is>
          <t xml:space="preserve">EGAMBERDIYEV OYBEK YULDOSHBOYEVICH</t>
        </is>
      </c>
      <c r="F546" s="104" t="inlineStr">
        <is>
          <t xml:space="preserve">998974770084 SMS OZI, 998311133372 SMSOZI, 998943641584 SMS OGL,</t>
        </is>
      </c>
      <c r="G546" s="104" t="inlineStr">
        <is>
          <t xml:space="preserve">TOSHKENT SHAHAR SIRG'ALI TUMANI QUT BARAKA MFY NAVNIHOL  5 TOR KOCHASI 13-UY </t>
        </is>
      </c>
      <c r="H546" s="105">
        <v>10.0</v>
      </c>
      <c r="I546" s="105">
        <v>6471059.97</v>
      </c>
    </row>
    <row r="547">
      <c r="A547" s="104" t="inlineStr">
        <is>
          <t xml:space="preserve">ТОШКЕНТ ВИЛОЯТИ</t>
        </is>
      </c>
      <c r="C547" s="104" t="inlineStr">
        <is>
          <t xml:space="preserve">Недозвон</t>
        </is>
      </c>
      <c r="D547" s="104" t="inlineStr">
        <is>
          <t xml:space="preserve">Кр-99033841-1</t>
        </is>
      </c>
      <c r="E547" s="104" t="inlineStr">
        <is>
          <t xml:space="preserve">EGAMBERDIYEV OYBEK YULDOSHBOYEVICH</t>
        </is>
      </c>
      <c r="F547" s="104" t="inlineStr">
        <is>
          <t xml:space="preserve">998974770084 SMS OZI, 998311133372 SMSOZI, 998943641584 SMS OGL,</t>
        </is>
      </c>
      <c r="G547" s="104" t="inlineStr">
        <is>
          <t xml:space="preserve">TOSHKENT SHAHAR SIRG'ALI TUMANI QUT BARAKA MFY NAVNIHOL  5 TOR KOCHASI 13-UY </t>
        </is>
      </c>
      <c r="H547" s="105">
        <v>10.0</v>
      </c>
      <c r="I547" s="105">
        <v>6470789.64</v>
      </c>
    </row>
    <row r="548">
      <c r="A548" s="104" t="inlineStr">
        <is>
          <t xml:space="preserve">ТОШКЕНТ ВИЛОЯТИ</t>
        </is>
      </c>
      <c r="C548" s="104" t="inlineStr">
        <is>
          <t xml:space="preserve">Недозвон</t>
        </is>
      </c>
      <c r="D548" s="104" t="inlineStr">
        <is>
          <t xml:space="preserve">Кр-99040925-1</t>
        </is>
      </c>
      <c r="E548" s="104" t="inlineStr">
        <is>
          <t xml:space="preserve">INAMOVA ARZIXAN MIRZALIYEVNA</t>
        </is>
      </c>
      <c r="F548" s="104" t="inlineStr">
        <is>
          <t xml:space="preserve">+998948910519 SMS O’ZI, 998935611710 SMS JIYANI, 998971128201 SMS KELINI, 998978819001 SMS ERI,</t>
        </is>
      </c>
      <c r="G548" s="104" t="inlineStr">
        <is>
          <t xml:space="preserve">Ташкентская область, Чиназский район, Ўзбекистон, Сутбулоқ, дом Р/С</t>
        </is>
      </c>
      <c r="H548" s="105">
        <v>15.0</v>
      </c>
      <c r="I548" s="105">
        <v>6387200.64</v>
      </c>
    </row>
    <row r="549">
      <c r="A549" s="104" t="inlineStr">
        <is>
          <t xml:space="preserve">ТОШКЕНТ ВИЛОЯТИ</t>
        </is>
      </c>
      <c r="C549" s="104" t="inlineStr">
        <is>
          <t xml:space="preserve">Недозвон</t>
        </is>
      </c>
      <c r="D549" s="104" t="inlineStr">
        <is>
          <t xml:space="preserve">Кр-99062632-1</t>
        </is>
      </c>
      <c r="E549" s="104" t="inlineStr">
        <is>
          <t xml:space="preserve">MAVLONOV ABDURASHIT ABDUSAMATOVICH</t>
        </is>
      </c>
      <c r="F549" s="104" t="inlineStr">
        <is>
          <t xml:space="preserve">998990334767 SMS OZI, 998998383136 SMS AYOLI, 998947405222 SMS OGLI, 998935610207 SMS QAYNISI,</t>
        </is>
      </c>
      <c r="G549" s="104" t="inlineStr">
        <is>
          <t xml:space="preserve">TOSHKENT VILOYATI OLMALIK SHAHAR OYDIN MFY TOYUVLIK KO'CHASI 4 A-UY 9-XONODON</t>
        </is>
      </c>
      <c r="H549" s="105">
        <v>10.0</v>
      </c>
      <c r="I549" s="105">
        <v>6358691.25</v>
      </c>
    </row>
    <row r="550">
      <c r="A550" s="104" t="inlineStr">
        <is>
          <t xml:space="preserve">ТОШКЕНТ ВИЛОЯТИ</t>
        </is>
      </c>
      <c r="C550" s="104" t="inlineStr">
        <is>
          <t xml:space="preserve">Недозвон</t>
        </is>
      </c>
      <c r="D550" s="104" t="inlineStr">
        <is>
          <t xml:space="preserve">Кр-99041459-1</t>
        </is>
      </c>
      <c r="E550" s="104" t="inlineStr">
        <is>
          <t xml:space="preserve">HAYITOV EGAMBERGAN SULTANOVICH</t>
        </is>
      </c>
      <c r="F550" s="104" t="inlineStr">
        <is>
          <t xml:space="preserve">998940665015 SMS OZI, 998886035013 AYOLI, 998912799494 O’G’LI,</t>
        </is>
      </c>
      <c r="G550" s="104" t="inlineStr">
        <is>
          <t xml:space="preserve">TOSHKENT VILOYATI OLMALIQ SHAHAR BOG’ARO MFY, X.ALIMJON KO'CHASI 4-UY, 29-XONADON</t>
        </is>
      </c>
      <c r="H550" s="105">
        <v>13.0</v>
      </c>
      <c r="I550" s="105">
        <v>6331900.95</v>
      </c>
    </row>
    <row r="551">
      <c r="A551" s="104" t="inlineStr">
        <is>
          <t xml:space="preserve">ТОШКЕНТ ВИЛОЯТИ</t>
        </is>
      </c>
      <c r="C551" s="104" t="inlineStr">
        <is>
          <t xml:space="preserve">Недозвон</t>
        </is>
      </c>
      <c r="D551" s="104" t="inlineStr">
        <is>
          <t xml:space="preserve">Кр-99036837-2</t>
        </is>
      </c>
      <c r="E551" s="104" t="inlineStr">
        <is>
          <t xml:space="preserve">XIDIROVA DILRABO SAITALIYEVNA</t>
        </is>
      </c>
      <c r="F551" s="104" t="inlineStr">
        <is>
          <t xml:space="preserve">998901213646 SMS OZI, 998900104503 SMS AKASI, 998339521801 SMS QIZI,</t>
        </is>
      </c>
      <c r="G551" s="104" t="inlineStr">
        <is>
          <t xml:space="preserve">TOSHKENT VILOYATI YUQORICHIRCHIQ TUMANI MIROBOD MFY,MIROBOD KO’CHASI,2-UY,39-XONADON</t>
        </is>
      </c>
      <c r="H551" s="105">
        <v>10.0</v>
      </c>
      <c r="I551" s="105">
        <v>6329935.34</v>
      </c>
    </row>
    <row r="552">
      <c r="A552" s="104" t="inlineStr">
        <is>
          <t xml:space="preserve">ТОШКЕНТ ВИЛОЯТИ</t>
        </is>
      </c>
      <c r="C552" s="104" t="inlineStr">
        <is>
          <t xml:space="preserve">Недозвон</t>
        </is>
      </c>
      <c r="D552" s="104" t="inlineStr">
        <is>
          <t xml:space="preserve">Кр-99063673-1</t>
        </is>
      </c>
      <c r="E552" s="104" t="inlineStr">
        <is>
          <t xml:space="preserve">XALILOV AVDUXAMID MIRZAJONOVICH</t>
        </is>
      </c>
      <c r="F552" s="104" t="inlineStr">
        <is>
          <t xml:space="preserve">+998903348275 SMS OZI, 998909082505 SMS OGLI, 998909350855 SMS AYOLI,</t>
        </is>
      </c>
      <c r="G552" s="104" t="inlineStr">
        <is>
          <t xml:space="preserve">TOSHKENT VILOYATI OQQO’RG’ON TUMANI XALQOBOD MFY XALKABOD KOCHASI 171-UY</t>
        </is>
      </c>
      <c r="H552" s="105">
        <v>10.0</v>
      </c>
      <c r="I552" s="105">
        <v>6318680.83</v>
      </c>
    </row>
    <row r="553">
      <c r="A553" s="104" t="inlineStr">
        <is>
          <t xml:space="preserve">ТОШКЕНТ ВИЛОЯТИ</t>
        </is>
      </c>
      <c r="C553" s="104" t="inlineStr">
        <is>
          <t xml:space="preserve">Недозвон</t>
        </is>
      </c>
      <c r="D553" s="104" t="inlineStr">
        <is>
          <t xml:space="preserve">Кр-99037379-1</t>
        </is>
      </c>
      <c r="E553" s="104" t="inlineStr">
        <is>
          <t xml:space="preserve">AXBAYEVA ELMIRA BALTABAYEVNA</t>
        </is>
      </c>
      <c r="F553" s="104" t="inlineStr">
        <is>
          <t xml:space="preserve">998937117769 SMS OZI, 998930095010 SMS QIZLARI, 998992990104 SMS QIZLARI 2, 998949944211 SMS QIZLARI 3,</t>
        </is>
      </c>
      <c r="G553" s="104" t="inlineStr">
        <is>
          <t xml:space="preserve">TOSHKENT VILOYATI CHIRCHIQ SHAXAR NAVBAXOR MFY SADRIDDIN AYNIY 38-UY</t>
        </is>
      </c>
      <c r="H553" s="105">
        <v>2.0</v>
      </c>
      <c r="I553" s="105">
        <v>6291706.2</v>
      </c>
    </row>
    <row r="554">
      <c r="A554" s="104" t="inlineStr">
        <is>
          <t xml:space="preserve">ТОШКЕНТ ВИЛОЯТИ</t>
        </is>
      </c>
      <c r="C554" s="104" t="inlineStr">
        <is>
          <t xml:space="preserve">Недозвон</t>
        </is>
      </c>
      <c r="D554" s="104" t="inlineStr">
        <is>
          <t xml:space="preserve">Кр-99042794-2</t>
        </is>
      </c>
      <c r="E554" s="104" t="inlineStr">
        <is>
          <t xml:space="preserve">RAJABALIYEVA MUSHTARIY MASHRABOVNA</t>
        </is>
      </c>
      <c r="F554" s="104" t="inlineStr">
        <is>
          <t xml:space="preserve">998880379199 sms eri, 998932783889 sms ozi,</t>
        </is>
      </c>
      <c r="G554" s="104" t="inlineStr">
        <is>
          <t xml:space="preserve">Гулзоробод МФЙ, Гулзоробод кучаси, 1-уй, 37-хонадон</t>
        </is>
      </c>
      <c r="H554" s="105">
        <v>10.0</v>
      </c>
      <c r="I554" s="105">
        <v>6269125.71</v>
      </c>
    </row>
    <row r="555">
      <c r="A555" s="104" t="inlineStr">
        <is>
          <t xml:space="preserve">ТОШКЕНТ ВИЛОЯТИ</t>
        </is>
      </c>
      <c r="C555" s="104" t="inlineStr">
        <is>
          <t xml:space="preserve">Недозвон</t>
        </is>
      </c>
      <c r="D555" s="104" t="inlineStr">
        <is>
          <t xml:space="preserve">Кр-99057438-1</t>
        </is>
      </c>
      <c r="E555" s="104" t="inlineStr">
        <is>
          <t xml:space="preserve">SAFOROV JASUR DJURABAYEVICH</t>
        </is>
      </c>
      <c r="F555" s="104" t="inlineStr">
        <is>
          <t xml:space="preserve">998990503425 SMS UZI, 998935809620 SMS OTASI, 998943608413 SMS AYOLI, 998932741360 SMS AKASI,</t>
        </is>
      </c>
      <c r="G555" s="104" t="inlineStr">
        <is>
          <t xml:space="preserve">PISKENT TUMANI</t>
        </is>
      </c>
      <c r="H555" s="105">
        <v>1.0</v>
      </c>
      <c r="I555" s="105">
        <v>6206550.33</v>
      </c>
    </row>
    <row r="556">
      <c r="A556" s="104" t="inlineStr">
        <is>
          <t xml:space="preserve">ТОШКЕНТ ВИЛОЯТИ</t>
        </is>
      </c>
      <c r="C556" s="104" t="inlineStr">
        <is>
          <t xml:space="preserve">Недозвон</t>
        </is>
      </c>
      <c r="D556" s="104" t="inlineStr">
        <is>
          <t xml:space="preserve">Кр-99063754-1</t>
        </is>
      </c>
      <c r="E556" s="104" t="inlineStr">
        <is>
          <t xml:space="preserve">ISROILOVA SHAXLO XOLMIRZAYEVNA</t>
        </is>
      </c>
      <c r="F556" s="104" t="inlineStr">
        <is>
          <t xml:space="preserve">998999094578 SMS OZI,</t>
        </is>
      </c>
      <c r="G556" s="104" t="inlineStr">
        <is>
          <t xml:space="preserve">CHINOZ TUMANI</t>
        </is>
      </c>
      <c r="H556" s="105">
        <v>13.0</v>
      </c>
      <c r="I556" s="105">
        <v>5641915.05</v>
      </c>
    </row>
    <row r="557">
      <c r="A557" s="104" t="inlineStr">
        <is>
          <t xml:space="preserve">ТОШКЕНТ ВИЛОЯТИ</t>
        </is>
      </c>
      <c r="C557" s="104" t="inlineStr">
        <is>
          <t xml:space="preserve">Недозвон</t>
        </is>
      </c>
      <c r="D557" s="104" t="inlineStr">
        <is>
          <t xml:space="preserve">Кр-99062866-1</t>
        </is>
      </c>
      <c r="E557" s="104" t="inlineStr">
        <is>
          <t xml:space="preserve">BOLTABAYEVA AZIZA KOMILJONOVNA</t>
        </is>
      </c>
      <c r="F557" s="104" t="inlineStr">
        <is>
          <t xml:space="preserve">998951197830 SMS OZI, 998996909930 SMS ONASI, 998881149930 SMS OGLI,</t>
        </is>
      </c>
      <c r="G557" s="104" t="inlineStr">
        <is>
          <t xml:space="preserve">TOSHKENT VILOYATI YANGIYUL TUMANI KUKALAMZOR MFY A.TEMUR KOCHASI 17/1-UY</t>
        </is>
      </c>
      <c r="H557" s="105">
        <v>10.0</v>
      </c>
      <c r="I557" s="105">
        <v>5640119.11</v>
      </c>
    </row>
    <row r="558">
      <c r="A558" s="104" t="inlineStr">
        <is>
          <t xml:space="preserve">ТОШКЕНТ ВИЛОЯТИ</t>
        </is>
      </c>
      <c r="C558" s="104" t="inlineStr">
        <is>
          <t xml:space="preserve">Недозвон</t>
        </is>
      </c>
      <c r="D558" s="104" t="inlineStr">
        <is>
          <t xml:space="preserve">Кр-99063568-2</t>
        </is>
      </c>
      <c r="E558" s="104" t="inlineStr">
        <is>
          <t xml:space="preserve">XASANOVA OYDIN XUDAYBERGANOVNA</t>
        </is>
      </c>
      <c r="F558" s="104" t="inlineStr">
        <is>
          <t xml:space="preserve">998900273520 SMS O’ZI, 998930493166 KATTA O’G’LI, 998933712293 KICHIK O’G’LI,</t>
        </is>
      </c>
      <c r="G558" s="104" t="inlineStr">
        <is>
          <t xml:space="preserve">TOSHKENT VILOYATI BEKOBOD, FARG’ONA MFY 13-DAXA KO’CHASI 84-UY 19-XONADON</t>
        </is>
      </c>
      <c r="H558" s="105">
        <v>10.0</v>
      </c>
      <c r="I558" s="105">
        <v>5611871.98</v>
      </c>
    </row>
    <row r="559">
      <c r="A559" s="104" t="inlineStr">
        <is>
          <t xml:space="preserve">ТОШКЕНТ ВИЛОЯТИ</t>
        </is>
      </c>
      <c r="C559" s="104" t="inlineStr">
        <is>
          <t xml:space="preserve">Недозвон</t>
        </is>
      </c>
      <c r="D559" s="104" t="inlineStr">
        <is>
          <t xml:space="preserve">Кр-99063763-1</t>
        </is>
      </c>
      <c r="E559" s="104" t="inlineStr">
        <is>
          <t xml:space="preserve">EGAMBERDIYEV XUDAYNAZAR ZUXRIDDIN O’G’LI</t>
        </is>
      </c>
      <c r="F559" s="104" t="inlineStr">
        <is>
          <t xml:space="preserve">998772832581 SMS TOLOVCHI, 998882515015 SMS UZI2, 998940604710 SMS UZI,</t>
        </is>
      </c>
      <c r="G559" s="104" t="inlineStr">
        <is>
          <t xml:space="preserve">Бунёдкор МФЙ, Саховот кучаси, 47-уй</t>
        </is>
      </c>
      <c r="H559" s="105">
        <v>10.0</v>
      </c>
      <c r="I559" s="105">
        <v>5483258.61</v>
      </c>
    </row>
    <row r="560">
      <c r="A560" s="104" t="inlineStr">
        <is>
          <t xml:space="preserve">ТОШКЕНТ ВИЛОЯТИ</t>
        </is>
      </c>
      <c r="C560" s="104" t="inlineStr">
        <is>
          <t xml:space="preserve">Недозвон</t>
        </is>
      </c>
      <c r="D560" s="104" t="inlineStr">
        <is>
          <t xml:space="preserve">Кр-99034875-2</t>
        </is>
      </c>
      <c r="E560" s="104" t="inlineStr">
        <is>
          <t xml:space="preserve">DUSHATOVA GULASAL SABIROVNA</t>
        </is>
      </c>
      <c r="F560" s="104" t="inlineStr">
        <is>
          <t xml:space="preserve">998886210515 SMS O’ZI, 998909630565 SMS ERI DARVOZA ESHIK USTANOFKA QILADI , 998887122515 SMS QIZI, 998880130565 SMS ZALOGADETOL,</t>
        </is>
      </c>
      <c r="G560" s="104" t="inlineStr">
        <is>
          <t xml:space="preserve">TOSHKENT VILOYATI O’RTACHIRCHIQ TUMANI ISTIQLOL QFY  NOMDANAK MFY  NOMDANAK 112-UY</t>
        </is>
      </c>
      <c r="H560" s="105">
        <v>10.0</v>
      </c>
      <c r="I560" s="105">
        <v>5447026.24</v>
      </c>
    </row>
    <row r="561">
      <c r="A561" s="104" t="inlineStr">
        <is>
          <t xml:space="preserve">ТОШКЕНТ ВИЛОЯТИ</t>
        </is>
      </c>
      <c r="C561" s="104" t="inlineStr">
        <is>
          <t xml:space="preserve">Недозвон</t>
        </is>
      </c>
      <c r="D561" s="104" t="inlineStr">
        <is>
          <t xml:space="preserve">Кр-99039330-1</t>
        </is>
      </c>
      <c r="E561" s="104" t="inlineStr">
        <is>
          <t xml:space="preserve">RAHIMJONOV ISMOIL ILXOMJON O’G’LI</t>
        </is>
      </c>
      <c r="F561" s="104" t="inlineStr">
        <is>
          <t xml:space="preserve">998946736737 SMS OZI, 998331212122 SMS AKASI, 998887116737 SMS KENAYSIYI,</t>
        </is>
      </c>
      <c r="G561" s="104" t="inlineStr">
        <is>
          <t xml:space="preserve">TOSHKENT SHAHAR YUNUSOBOD TUMANI ASTROBOD MFY,7-MAVZE,48-UY,18-XONADON</t>
        </is>
      </c>
      <c r="H561" s="105">
        <v>14.0</v>
      </c>
      <c r="I561" s="105">
        <v>5424305.21</v>
      </c>
    </row>
    <row r="562">
      <c r="A562" s="104" t="inlineStr">
        <is>
          <t xml:space="preserve">ТОШКЕНТ ВИЛОЯТИ</t>
        </is>
      </c>
      <c r="C562" s="104" t="inlineStr">
        <is>
          <t xml:space="preserve">Недозвон</t>
        </is>
      </c>
      <c r="D562" s="104" t="inlineStr">
        <is>
          <t xml:space="preserve">Кр-99033551-1</t>
        </is>
      </c>
      <c r="E562" s="104" t="inlineStr">
        <is>
          <t xml:space="preserve">ABSALAMOVA IZZATOY XONPO’LATOVNA</t>
        </is>
      </c>
      <c r="F562" s="104" t="inlineStr">
        <is>
          <t xml:space="preserve">998944240245 SMS ERI, 998946522242 SMS QUDA BUVA, 998931107336 SMS KELINI, 998946089472 SMS O’G’LI,</t>
        </is>
      </c>
      <c r="G562" s="104" t="inlineStr">
        <is>
          <t xml:space="preserve">TOSHKENT VILOYATI PISKENT TUMANI AXIL MFY, ISTIQLOL KO’CHASI 2-UY</t>
        </is>
      </c>
      <c r="H562" s="105">
        <v>3.0</v>
      </c>
      <c r="I562" s="105">
        <v>5358473.72</v>
      </c>
    </row>
    <row r="563">
      <c r="A563" s="104" t="inlineStr">
        <is>
          <t xml:space="preserve">ТОШКЕНТ ВИЛОЯТИ</t>
        </is>
      </c>
      <c r="C563" s="104" t="inlineStr">
        <is>
          <t xml:space="preserve">Недозвон</t>
        </is>
      </c>
      <c r="D563" s="104" t="inlineStr">
        <is>
          <t xml:space="preserve">Кр-99032798-1</t>
        </is>
      </c>
      <c r="E563" s="104" t="inlineStr">
        <is>
          <t xml:space="preserve">ZIYAXODJAYEVA MAVLYUDA MIRBOBAYEVNA</t>
        </is>
      </c>
      <c r="F563" s="104" t="inlineStr">
        <is>
          <t xml:space="preserve">998983111339 SMS O’G’LI, 998981417005 SMS O’G’LI 2, 998981001339 SMS O’ZI, 998902013393 SMS O’G’LI 3, 998935985884 SMS FARRUX TOLOVCHI ,</t>
        </is>
      </c>
      <c r="G563" s="104" t="inlineStr">
        <is>
          <t xml:space="preserve">TOSHKENT VILOYATI ANGREN SHAHRI NAMATAK, 3, 8</t>
        </is>
      </c>
      <c r="H563" s="105">
        <v>62.0</v>
      </c>
      <c r="I563" s="105">
        <v>5130614.89</v>
      </c>
    </row>
    <row r="564">
      <c r="A564" s="104" t="inlineStr">
        <is>
          <t xml:space="preserve">ТОШКЕНТ ВИЛОЯТИ</t>
        </is>
      </c>
      <c r="C564" s="104" t="inlineStr">
        <is>
          <t xml:space="preserve">Недозвон</t>
        </is>
      </c>
      <c r="D564" s="104" t="inlineStr">
        <is>
          <t xml:space="preserve">Кр-99053609-1</t>
        </is>
      </c>
      <c r="E564" s="104" t="inlineStr">
        <is>
          <t xml:space="preserve">YUNUSOV GYRAT TANGIRBERDIYEVICH</t>
        </is>
      </c>
      <c r="F564" s="104" t="inlineStr">
        <is>
          <t xml:space="preserve">998944186989 SMS O'ZI, 998946747260 SMS O'G'LI, 998944007176 SMS AYOLI, 998947177880 SMS QIZI,</t>
        </is>
      </c>
      <c r="G564" s="104" t="inlineStr">
        <is>
          <t xml:space="preserve">TOSHKENT VILOYATI O’RTACHIRCHIQ TUMANI O’RTAOVUL MFY XAMDO’STLIK KO’CASHI 38-UY</t>
        </is>
      </c>
      <c r="H564" s="105">
        <v>10.0</v>
      </c>
      <c r="I564" s="105">
        <v>5073485.1</v>
      </c>
    </row>
    <row r="565">
      <c r="A565" s="104" t="inlineStr">
        <is>
          <t xml:space="preserve">ТОШКЕНТ ВИЛОЯТИ</t>
        </is>
      </c>
      <c r="C565" s="104" t="inlineStr">
        <is>
          <t xml:space="preserve">Недозвон</t>
        </is>
      </c>
      <c r="D565" s="104" t="inlineStr">
        <is>
          <t xml:space="preserve">Кр-99042312-2</t>
        </is>
      </c>
      <c r="E565" s="104" t="inlineStr">
        <is>
          <t xml:space="preserve">NISHANBAYEVA MOXIGUL ARTIKOVNA</t>
        </is>
      </c>
      <c r="F565" s="104" t="inlineStr">
        <is>
          <t xml:space="preserve">998930941669 SMS ZALOGODATELNI AKASI, 998934031882 SMS ZALOGODATELNI AYOLI, 998947037403 SMS OZI, 998949387781 SMS ZALOGODATEL,</t>
        </is>
      </c>
      <c r="G565" s="104" t="inlineStr">
        <is>
          <t xml:space="preserve">Ташкентская область, г.Ахангаран, Охангарон г., Янгилик МСГ, ул. 2 кичик нохия, дом 25, кв. 27</t>
        </is>
      </c>
      <c r="H565" s="105">
        <v>10.0</v>
      </c>
      <c r="I565" s="105">
        <v>5058703.41</v>
      </c>
    </row>
    <row r="566">
      <c r="A566" s="104" t="inlineStr">
        <is>
          <t xml:space="preserve">ТОШКЕНТ ВИЛОЯТИ</t>
        </is>
      </c>
      <c r="C566" s="104" t="inlineStr">
        <is>
          <t xml:space="preserve">Недозвон</t>
        </is>
      </c>
      <c r="D566" s="104" t="inlineStr">
        <is>
          <t xml:space="preserve">Кр-99063606-2</t>
        </is>
      </c>
      <c r="E566" s="104" t="inlineStr">
        <is>
          <t xml:space="preserve">OMANOV ZIYOVUDDIN YOQUBJONOVICH</t>
        </is>
      </c>
      <c r="F566" s="104" t="inlineStr">
        <is>
          <t xml:space="preserve">998909222120 HAMKASBI, 998993279484 UKASI, 998998285974 OZI, 998998850472 UKASI,</t>
        </is>
      </c>
      <c r="G566" s="104" t="inlineStr">
        <is>
          <t xml:space="preserve">TOSHKENT VILOYATI O’RTACHIRCHIQ TUMANI UYG’UR MSG, OBODLIK KO’CHASI 2-UY</t>
        </is>
      </c>
      <c r="H566" s="105">
        <v>10.0</v>
      </c>
      <c r="I566" s="105">
        <v>5046744.16</v>
      </c>
    </row>
    <row r="567">
      <c r="A567" s="104" t="inlineStr">
        <is>
          <t xml:space="preserve">ТОШКЕНТ ВИЛОЯТИ</t>
        </is>
      </c>
      <c r="C567" s="104" t="inlineStr">
        <is>
          <t xml:space="preserve">Недозвон</t>
        </is>
      </c>
      <c r="D567" s="104" t="inlineStr">
        <is>
          <t xml:space="preserve">Кр-99062949-1</t>
        </is>
      </c>
      <c r="E567" s="104" t="inlineStr">
        <is>
          <t xml:space="preserve">LISENKO DILMURAT ELSHATOVICH</t>
        </is>
      </c>
      <c r="F567" s="104" t="inlineStr">
        <is>
          <t xml:space="preserve">998901161166 SMS DOSTI, 998996382633 SMS TOGASI, 998998062869 SMS  OZI,</t>
        </is>
      </c>
      <c r="G567" s="104" t="inlineStr">
        <is>
          <t xml:space="preserve">KUTB YULDUZI KO’CHASI 32-UY</t>
        </is>
      </c>
      <c r="H567" s="105">
        <v>10.0</v>
      </c>
      <c r="I567" s="105">
        <v>4953069.77</v>
      </c>
    </row>
    <row r="568">
      <c r="A568" s="104" t="inlineStr">
        <is>
          <t xml:space="preserve">ТОШКЕНТ ВИЛОЯТИ</t>
        </is>
      </c>
      <c r="C568" s="104" t="inlineStr">
        <is>
          <t xml:space="preserve">Недозвон</t>
        </is>
      </c>
      <c r="D568" s="104" t="inlineStr">
        <is>
          <t xml:space="preserve">Кр-99041442-1</t>
        </is>
      </c>
      <c r="E568" s="104" t="inlineStr">
        <is>
          <t xml:space="preserve">XALILOV ROVSHANJON TOXIR O’G’LI</t>
        </is>
      </c>
      <c r="F568" s="104" t="inlineStr">
        <is>
          <t xml:space="preserve">+998935586663 SMS O’ZI, 998944006633 SMS UKASI (QARINDOSH), 998946239263 SMS UKASI 2, 998974552222 SMS DO’STI,</t>
        </is>
      </c>
      <c r="G568" s="104" t="inlineStr">
        <is>
          <t xml:space="preserve">ТОШКЕНТ ШАХРИ УЧТЕПА ТУМАНИ ФОЗИЛТЕПА МФЙ, ИЗЗА КЎЧАСИ,  uy:97</t>
        </is>
      </c>
      <c r="H568" s="105">
        <v>10.0</v>
      </c>
      <c r="I568" s="105">
        <v>4914008.35</v>
      </c>
    </row>
    <row r="569">
      <c r="A569" s="104" t="inlineStr">
        <is>
          <t xml:space="preserve">ТОШКЕНТ ВИЛОЯТИ</t>
        </is>
      </c>
      <c r="C569" s="104" t="inlineStr">
        <is>
          <t xml:space="preserve">Недозвон</t>
        </is>
      </c>
      <c r="D569" s="104" t="inlineStr">
        <is>
          <t xml:space="preserve">Кр-99042086-2</t>
        </is>
      </c>
      <c r="E569" s="104" t="inlineStr">
        <is>
          <t xml:space="preserve">SATTOROVA NARGIZA MUHIDDINOVNA</t>
        </is>
      </c>
      <c r="F569" s="104" t="inlineStr">
        <is>
          <t xml:space="preserve">+998944028930 SMS OZI, 998771665521 SMS QIZI, 998931608821 SMS ERI, 998951008930 SMS OGLI,</t>
        </is>
      </c>
      <c r="G569" s="104" t="inlineStr">
        <is>
          <t xml:space="preserve">Ташкентская область, г.Ангрен, Ангрен г., Тараккиёт МСГ, ул. 2/2 даха, 21 Дом, 16 Квартира</t>
        </is>
      </c>
      <c r="H569" s="105">
        <v>10.0</v>
      </c>
      <c r="I569" s="105">
        <v>4885346.06</v>
      </c>
    </row>
    <row r="570">
      <c r="A570" s="104" t="inlineStr">
        <is>
          <t xml:space="preserve">ТОШКЕНТ ВИЛОЯТИ</t>
        </is>
      </c>
      <c r="C570" s="104" t="inlineStr">
        <is>
          <t xml:space="preserve">Недозвон</t>
        </is>
      </c>
      <c r="D570" s="104" t="inlineStr">
        <is>
          <t xml:space="preserve">Кр-99061097-2</t>
        </is>
      </c>
      <c r="E570" s="104" t="inlineStr">
        <is>
          <t xml:space="preserve">ALIYEVA MINOVAR ALIMDJANOVNA</t>
        </is>
      </c>
      <c r="F570" s="104" t="inlineStr">
        <is>
          <t xml:space="preserve">+998977580127 SMS OZI, 998880381274 SMS QIZI, 998888771715 SMS OGLI,</t>
        </is>
      </c>
      <c r="G570" s="104" t="inlineStr">
        <is>
          <t xml:space="preserve">TOSHKENT VILOYATI CHIRCHIQ SHAHAR SEMRUG MFY 8-KICHIK NOXIYA 13-UY 80-XONODON</t>
        </is>
      </c>
      <c r="H570" s="105">
        <v>10.0</v>
      </c>
      <c r="I570" s="105">
        <v>4857476.95</v>
      </c>
    </row>
    <row r="571">
      <c r="A571" s="104" t="inlineStr">
        <is>
          <t xml:space="preserve">ТОШКЕНТ ВИЛОЯТИ</t>
        </is>
      </c>
      <c r="C571" s="104" t="inlineStr">
        <is>
          <t xml:space="preserve">Недозвон</t>
        </is>
      </c>
      <c r="D571" s="104" t="inlineStr">
        <is>
          <t xml:space="preserve">Кр-99063178-1</t>
        </is>
      </c>
      <c r="E571" s="104" t="inlineStr">
        <is>
          <t xml:space="preserve">ALIMOV DILMURAT XAMIDULLAYEVICH</t>
        </is>
      </c>
      <c r="F571" s="104" t="inlineStr">
        <is>
          <t xml:space="preserve">998944113339 OZI, 998977330525 AYOLI, 998995113339 O’G’LI,</t>
        </is>
      </c>
      <c r="G571" s="104" t="inlineStr">
        <is>
          <t xml:space="preserve">TOSHKENT VILOYATI QIBRAY TUMANI G’OFUR G’ULOM MFY ALISHER NAVOIY KO’CHASI 460B-UY</t>
        </is>
      </c>
      <c r="H571" s="105">
        <v>10.0</v>
      </c>
      <c r="I571" s="105">
        <v>4767836.12</v>
      </c>
    </row>
    <row r="572">
      <c r="A572" s="104" t="inlineStr">
        <is>
          <t xml:space="preserve">ТОШКЕНТ ВИЛОЯТИ</t>
        </is>
      </c>
      <c r="C572" s="104" t="inlineStr">
        <is>
          <t xml:space="preserve">Недозвон</t>
        </is>
      </c>
      <c r="D572" s="104" t="inlineStr">
        <is>
          <t xml:space="preserve">Кр-99029376-3</t>
        </is>
      </c>
      <c r="E572" s="104" t="inlineStr">
        <is>
          <t xml:space="preserve">TOSHQO’ZIYEV MUHAMMADJON XAMIDULLA O’G’LI</t>
        </is>
      </c>
      <c r="F572" s="104" t="inlineStr">
        <is>
          <t xml:space="preserve">90-914-14-35  SMS O'ZI, 90-929-16-85 SMS ZALOGADATEL, 93-257-29-87  SMS ZALOGADATEL SINGLISI, 99-860-31-83  SMS ZALOGADATEL OPASI  tolovchi ,</t>
        </is>
      </c>
      <c r="G572" s="104" t="inlineStr">
        <is>
          <t xml:space="preserve">TOSHKENT VILOYATI ZANGIOTA TUMANI NAVQIRON MFY MARKAZ SHOX KO’CHASI 110/1-UY 132-XONADON</t>
        </is>
      </c>
      <c r="H572" s="105">
        <v>1.0</v>
      </c>
      <c r="I572" s="105">
        <v>4660902.14</v>
      </c>
    </row>
    <row r="573">
      <c r="A573" s="104" t="inlineStr">
        <is>
          <t xml:space="preserve">ТОШКЕНТ ВИЛОЯТИ</t>
        </is>
      </c>
      <c r="C573" s="104" t="inlineStr">
        <is>
          <t xml:space="preserve">Недозвон</t>
        </is>
      </c>
      <c r="D573" s="104" t="inlineStr">
        <is>
          <t xml:space="preserve">Кр-99030645-1</t>
        </is>
      </c>
      <c r="E573" s="104" t="inlineStr">
        <is>
          <t xml:space="preserve">DIYAROV OLIMDJON XAYDARALIYEVICH</t>
        </is>
      </c>
      <c r="F573" s="104" t="inlineStr">
        <is>
          <t xml:space="preserve">90-906-09-90 SMS O’ZI, 94-565-94-10 SMS DO’STI, 90-799-07-67 SMS AYOLI, 90-820-01-09 SMS O’G’LI,</t>
        </is>
      </c>
      <c r="G573" s="104" t="inlineStr">
        <is>
          <t xml:space="preserve">TOSHKENT VILOYATI TOOSHKENT TUMANI QUSH QONDI MFY BIRLASHUV KOCHASI 3-UY</t>
        </is>
      </c>
      <c r="H573" s="105">
        <v>157.0</v>
      </c>
      <c r="I573" s="105">
        <v>4630129.88</v>
      </c>
    </row>
    <row r="574">
      <c r="A574" s="104" t="inlineStr">
        <is>
          <t xml:space="preserve">ТОШКЕНТ ВИЛОЯТИ</t>
        </is>
      </c>
      <c r="C574" s="104" t="inlineStr">
        <is>
          <t xml:space="preserve">Недозвон</t>
        </is>
      </c>
      <c r="D574" s="104" t="inlineStr">
        <is>
          <t xml:space="preserve">Кр-99047407-1</t>
        </is>
      </c>
      <c r="E574" s="104" t="inlineStr">
        <is>
          <t xml:space="preserve">DAVLATOV ANVAR YULDASHEVICH</t>
        </is>
      </c>
      <c r="F574" s="104" t="inlineStr">
        <is>
          <t xml:space="preserve">998500780927 QIZI, 998951117920 AYOLI, 998993529646 OGLI, 998998324696 OZI,</t>
        </is>
      </c>
      <c r="G574" s="104" t="inlineStr">
        <is>
          <t xml:space="preserve">Дустлик кучаси 18-уй</t>
        </is>
      </c>
      <c r="H574" s="105">
        <v>10.0</v>
      </c>
      <c r="I574" s="105">
        <v>4573843.45</v>
      </c>
    </row>
    <row r="575">
      <c r="A575" s="104" t="inlineStr">
        <is>
          <t xml:space="preserve">ТОШКЕНТ ВИЛОЯТИ</t>
        </is>
      </c>
      <c r="C575" s="104" t="inlineStr">
        <is>
          <t xml:space="preserve">Недозвон</t>
        </is>
      </c>
      <c r="D575" s="104" t="inlineStr">
        <is>
          <t xml:space="preserve">Кр-99032315-1</t>
        </is>
      </c>
      <c r="E575" s="104" t="inlineStr">
        <is>
          <t xml:space="preserve">MIRAZIZOV MIRKAMOL MIRXASILOVICH</t>
        </is>
      </c>
      <c r="F575" s="104" t="inlineStr">
        <is>
          <t xml:space="preserve">998997446472 SMS O’ZI, 998997174212 SMS O’G’LI, 998950042442 SMS KELINI tanimidi, 998990201652 SMS ozi yengi nomeri,</t>
        </is>
      </c>
      <c r="G575" s="104" t="inlineStr">
        <is>
          <t xml:space="preserve">TOSHKENT VILOYATI CHIRCHIQ SHAHAR SOG’LOM AVLOD KO’CHASI 18-UY 20-XONADON</t>
        </is>
      </c>
      <c r="H575" s="105">
        <v>10.0</v>
      </c>
      <c r="I575" s="105">
        <v>4540005.26</v>
      </c>
    </row>
    <row r="576">
      <c r="A576" s="104" t="inlineStr">
        <is>
          <t xml:space="preserve">ТОШКЕНТ ВИЛОЯТИ</t>
        </is>
      </c>
      <c r="C576" s="104" t="inlineStr">
        <is>
          <t xml:space="preserve">Недозвон</t>
        </is>
      </c>
      <c r="D576" s="104" t="inlineStr">
        <is>
          <t xml:space="preserve">Кр-99036362-4</t>
        </is>
      </c>
      <c r="E576" s="104" t="inlineStr">
        <is>
          <t xml:space="preserve">ELBAYEVA MAXLIYO BEKTURSUNOVNA</t>
        </is>
      </c>
      <c r="F576" s="104" t="inlineStr">
        <is>
          <t xml:space="preserve">998946160995 SMS OZI, 998998041716 SMS ERI, 998353316172 SMS OZI, 998330601716 SMS QIZI,</t>
        </is>
      </c>
      <c r="G576" s="104" t="inlineStr">
        <is>
          <t xml:space="preserve">TOSHKENT VILOYATI, BO’KA TUMANI, DO’STLIK MFY, TINCHLIK-1, 2-UY</t>
        </is>
      </c>
      <c r="H576" s="105">
        <v>10.0</v>
      </c>
      <c r="I576" s="105">
        <v>4519522.66</v>
      </c>
    </row>
    <row r="577">
      <c r="A577" s="104" t="inlineStr">
        <is>
          <t xml:space="preserve">ТОШКЕНТ ВИЛОЯТИ</t>
        </is>
      </c>
      <c r="C577" s="104" t="inlineStr">
        <is>
          <t xml:space="preserve">Недозвон</t>
        </is>
      </c>
      <c r="D577" s="104" t="inlineStr">
        <is>
          <t xml:space="preserve">Кр-99049707-1</t>
        </is>
      </c>
      <c r="E577" s="104" t="inlineStr">
        <is>
          <t xml:space="preserve">QO’LDOSHEVA XURSHIDA SOBIR QIZI</t>
        </is>
      </c>
      <c r="F577" s="104" t="inlineStr">
        <is>
          <t xml:space="preserve">998947692767 ERI MOSHINA EGASI, 998948642420 OZI, 998949237706 ONASI, 998994683232 TOGASI,</t>
        </is>
      </c>
      <c r="G577" s="104" t="inlineStr">
        <is>
          <t xml:space="preserve">Ezgulik MFY, Shodlik ko’chasi, 108-uy</t>
        </is>
      </c>
      <c r="H577" s="105">
        <v>10.0</v>
      </c>
      <c r="I577" s="105">
        <v>4470866.69</v>
      </c>
    </row>
    <row r="578">
      <c r="A578" s="104" t="inlineStr">
        <is>
          <t xml:space="preserve">ТОШКЕНТ ВИЛОЯТИ</t>
        </is>
      </c>
      <c r="C578" s="104" t="inlineStr">
        <is>
          <t xml:space="preserve">Недозвон</t>
        </is>
      </c>
      <c r="D578" s="104" t="inlineStr">
        <is>
          <t xml:space="preserve">Кр-99058520-1</t>
        </is>
      </c>
      <c r="E578" s="104" t="inlineStr">
        <is>
          <t xml:space="preserve">NUSRATOVA MINAVARXON ZARIFVONA</t>
        </is>
      </c>
      <c r="F578" s="104" t="inlineStr">
        <is>
          <t xml:space="preserve">998941563393 SMS, 998700740899 SMS, 998942319698 SMS,</t>
        </is>
      </c>
      <c r="G578" s="104" t="inlineStr">
        <is>
          <t xml:space="preserve">IIV27220</t>
        </is>
      </c>
      <c r="H578" s="105">
        <v>10.0</v>
      </c>
      <c r="I578" s="105">
        <v>4459682.99</v>
      </c>
    </row>
    <row r="579">
      <c r="A579" s="104" t="inlineStr">
        <is>
          <t xml:space="preserve">ТОШКЕНТ ВИЛОЯТИ</t>
        </is>
      </c>
      <c r="C579" s="104" t="inlineStr">
        <is>
          <t xml:space="preserve">Недозвон</t>
        </is>
      </c>
      <c r="D579" s="104" t="inlineStr">
        <is>
          <t xml:space="preserve">Кр-99061505-1</t>
        </is>
      </c>
      <c r="E579" s="104" t="inlineStr">
        <is>
          <t xml:space="preserve">MAMADJANOV XURSHED XAMIDOVICH</t>
        </is>
      </c>
      <c r="F579" s="104" t="inlineStr">
        <is>
          <t xml:space="preserve">998996075874 узи, 998940004784 кизи, 998998225874 онаси, 998993584784 аели,</t>
        </is>
      </c>
      <c r="G579" s="104" t="inlineStr">
        <is>
          <t xml:space="preserve">TOSHKENT VILOYATI OLMALIQ SHAHAR ALDULLA QODIRIY MFY ALBDULLA QODIRIY KO'CHASI 64-UY</t>
        </is>
      </c>
      <c r="H579" s="105">
        <v>10.0</v>
      </c>
      <c r="I579" s="105">
        <v>4454526.04</v>
      </c>
    </row>
    <row r="580">
      <c r="A580" s="104" t="inlineStr">
        <is>
          <t xml:space="preserve">ТОШКЕНТ ВИЛОЯТИ</t>
        </is>
      </c>
      <c r="C580" s="104" t="inlineStr">
        <is>
          <t xml:space="preserve">Недозвон</t>
        </is>
      </c>
      <c r="D580" s="104" t="inlineStr">
        <is>
          <t xml:space="preserve">Кр-99063141-1</t>
        </is>
      </c>
      <c r="E580" s="104" t="inlineStr">
        <is>
          <t xml:space="preserve">ALIMOVA GULZIYNAT TOSHPO’LATOVNA</t>
        </is>
      </c>
      <c r="F580" s="104" t="inlineStr">
        <is>
          <t xml:space="preserve">998946686268 SMS OZI, 998975396590 SMS OGLI, 998395809022 SMS OGLI2, 998931143394 SMS QIZI,</t>
        </is>
      </c>
      <c r="G580" s="104" t="inlineStr">
        <is>
          <t xml:space="preserve">TOSHKENT VILOYATI CHINOZ TUMANI YANGIHAYOT MFY SAMARQAND KOCHASI 27-UY</t>
        </is>
      </c>
      <c r="H580" s="105">
        <v>10.0</v>
      </c>
      <c r="I580" s="105">
        <v>4419837.37</v>
      </c>
    </row>
    <row r="581">
      <c r="A581" s="104" t="inlineStr">
        <is>
          <t xml:space="preserve">ТОШКЕНТ ВИЛОЯТИ</t>
        </is>
      </c>
      <c r="C581" s="104" t="inlineStr">
        <is>
          <t xml:space="preserve">Недозвон</t>
        </is>
      </c>
      <c r="D581" s="104" t="inlineStr">
        <is>
          <t xml:space="preserve">Кр-99063610-1</t>
        </is>
      </c>
      <c r="E581" s="104" t="inlineStr">
        <is>
          <t xml:space="preserve">BATIRBEKOVA AYSARA XXX</t>
        </is>
      </c>
      <c r="F581" s="104" t="inlineStr">
        <is>
          <t xml:space="preserve">+998941221884 SMS OZI, 998933059625 SMS QIZI, 998940560982 SMS KUYOVI,</t>
        </is>
      </c>
      <c r="G581" s="104" t="inlineStr">
        <is>
          <t xml:space="preserve">TOSHKENT VILOYATI QUYICHIRCHIQ TUMANI DO’STLIK-1 MFY, S.RAXIMOV KOCHASI 26-UY</t>
        </is>
      </c>
      <c r="H581" s="105">
        <v>10.0</v>
      </c>
      <c r="I581" s="105">
        <v>4366156.43</v>
      </c>
    </row>
    <row r="582">
      <c r="A582" s="104" t="inlineStr">
        <is>
          <t xml:space="preserve">ТОШКЕНТ ВИЛОЯТИ</t>
        </is>
      </c>
      <c r="C582" s="104" t="inlineStr">
        <is>
          <t xml:space="preserve">Недозвон</t>
        </is>
      </c>
      <c r="D582" s="104" t="inlineStr">
        <is>
          <t xml:space="preserve">Кр-99034361-2</t>
        </is>
      </c>
      <c r="E582" s="104" t="inlineStr">
        <is>
          <t xml:space="preserve">ALIMOVA ZULFIYA OKTEMOVNA</t>
        </is>
      </c>
      <c r="F582" s="104" t="inlineStr">
        <is>
          <t xml:space="preserve">998940391277 SMS OZI, 998940274024 SMS ERI, 998943675445 SMS OGLI, 998507733153 SMS QIZI,</t>
        </is>
      </c>
      <c r="G582" s="104" t="inlineStr">
        <is>
          <t xml:space="preserve">TOSHKENT VILOYATI CHINOZ TUMANI NAVRO’Z MAHALLASI HURRIYAT KO’CHASI 6-XONADON</t>
        </is>
      </c>
      <c r="H582" s="105">
        <v>10.0</v>
      </c>
      <c r="I582" s="105">
        <v>4364378.87</v>
      </c>
    </row>
    <row r="583">
      <c r="A583" s="104" t="inlineStr">
        <is>
          <t xml:space="preserve">ТОШКЕНТ ВИЛОЯТИ</t>
        </is>
      </c>
      <c r="C583" s="104" t="inlineStr">
        <is>
          <t xml:space="preserve">Недозвон</t>
        </is>
      </c>
      <c r="D583" s="104" t="inlineStr">
        <is>
          <t xml:space="preserve">Кр-99029318-1</t>
        </is>
      </c>
      <c r="E583" s="104" t="inlineStr">
        <is>
          <t xml:space="preserve">AXMEDOV TAXIR ABDIKUCHKAROVICH</t>
        </is>
      </c>
      <c r="F583" s="104" t="inlineStr">
        <is>
          <t xml:space="preserve">88-788-06-00 SMS, 97-740-79-69 SMS Ayoli, 88-766-16-13 SMS Ogli Rixsitilla,</t>
        </is>
      </c>
      <c r="G583" s="104" t="inlineStr">
        <is>
          <t xml:space="preserve">TOSHKENT VILOYATI TOSHKENT TUMANI GULISTON QFY JAYXUN KOCHASI 1-UY</t>
        </is>
      </c>
      <c r="H583" s="105">
        <v>8.0</v>
      </c>
      <c r="I583" s="105">
        <v>4342639.27</v>
      </c>
    </row>
    <row r="584">
      <c r="A584" s="104" t="inlineStr">
        <is>
          <t xml:space="preserve">ТОШКЕНТ ВИЛОЯТИ</t>
        </is>
      </c>
      <c r="C584" s="104" t="inlineStr">
        <is>
          <t xml:space="preserve">Недозвон</t>
        </is>
      </c>
      <c r="D584" s="104" t="inlineStr">
        <is>
          <t xml:space="preserve">Кр-99046154-1</t>
        </is>
      </c>
      <c r="E584" s="104" t="inlineStr">
        <is>
          <t xml:space="preserve">JANBULATOV XABIBULLA XXX</t>
        </is>
      </c>
      <c r="F584" s="104" t="inlineStr">
        <is>
          <t xml:space="preserve">998889081987 sms onasi, 998931267855 sms ukasi, 998931997855 sms ozi, 998935200260 sms akasi,</t>
        </is>
      </c>
      <c r="G584" s="104" t="inlineStr">
        <is>
          <t xml:space="preserve">Аччисай МФЙ, Соғлом авлод кучаси, 1-уй</t>
        </is>
      </c>
      <c r="H584" s="105">
        <v>10.0</v>
      </c>
      <c r="I584" s="105">
        <v>4339065.63</v>
      </c>
    </row>
    <row r="585">
      <c r="A585" s="104" t="inlineStr">
        <is>
          <t xml:space="preserve">ТОШКЕНТ ВИЛОЯТИ</t>
        </is>
      </c>
      <c r="C585" s="104" t="inlineStr">
        <is>
          <t xml:space="preserve">Недозвон</t>
        </is>
      </c>
      <c r="D585" s="104" t="inlineStr">
        <is>
          <t xml:space="preserve">Кр-99028087-3</t>
        </is>
      </c>
      <c r="E585" s="104" t="inlineStr">
        <is>
          <t xml:space="preserve">QUDRATOV XUMOYUN ERKIN O’G’LI</t>
        </is>
      </c>
      <c r="F585" s="104" t="inlineStr">
        <is>
          <t xml:space="preserve">97-421-19-91 SMS OZI , 99-129-19-91 SMS OZI , 98-126-15-35 SMS OZI 3,</t>
        </is>
      </c>
      <c r="G585" s="104" t="inlineStr">
        <is>
          <t xml:space="preserve">TOSHKENT VILOYATI ZANGIOTA TUMANI ESHONGUZAR QFY ERKIN KOCHASI 169-UY</t>
        </is>
      </c>
      <c r="H585" s="105">
        <v>10.0</v>
      </c>
      <c r="I585" s="105">
        <v>4333500.28</v>
      </c>
    </row>
    <row r="586">
      <c r="A586" s="104" t="inlineStr">
        <is>
          <t xml:space="preserve">ТОШКЕНТ ВИЛОЯТИ</t>
        </is>
      </c>
      <c r="C586" s="104" t="inlineStr">
        <is>
          <t xml:space="preserve">Недозвон</t>
        </is>
      </c>
      <c r="D586" s="104" t="inlineStr">
        <is>
          <t xml:space="preserve">Кр-99040864-1</t>
        </is>
      </c>
      <c r="E586" s="104" t="inlineStr">
        <is>
          <t xml:space="preserve">AVAZOV XUSAN MURODJON O’G’LI</t>
        </is>
      </c>
      <c r="F586" s="104" t="inlineStr">
        <is>
          <t xml:space="preserve">+998994444737 SMS O’ZI, 998883479300 SMS AYOLI, 998950048520 SMS UKASI,</t>
        </is>
      </c>
      <c r="G586" s="104" t="inlineStr">
        <is>
          <t xml:space="preserve">ОҚҚЎРҒОН ҚФЙ, СУЛТОНОБОД МФЙ, КЕРАИТ КЎЧАСИ,  uy:Р/С</t>
        </is>
      </c>
      <c r="H586" s="105">
        <v>10.0</v>
      </c>
      <c r="I586" s="105">
        <v>4321799.23</v>
      </c>
    </row>
    <row r="587">
      <c r="A587" s="104" t="inlineStr">
        <is>
          <t xml:space="preserve">ТОШКЕНТ ВИЛОЯТИ</t>
        </is>
      </c>
      <c r="C587" s="104" t="inlineStr">
        <is>
          <t xml:space="preserve">Недозвон</t>
        </is>
      </c>
      <c r="D587" s="104" t="inlineStr">
        <is>
          <t xml:space="preserve">Кр-99037897-1</t>
        </is>
      </c>
      <c r="E587" s="104" t="inlineStr">
        <is>
          <t xml:space="preserve">NASRULLAYEV DOSTON MINAVARBEKOVICH</t>
        </is>
      </c>
      <c r="F587" s="104" t="inlineStr">
        <is>
          <t xml:space="preserve">998994889096 SMS OZI, 998334770909 SMS OZI 2, 998996559096 SMS AYOLI,</t>
        </is>
      </c>
      <c r="G587" s="104" t="inlineStr">
        <is>
          <t xml:space="preserve">TOSHKENT VILOYATI YANGIYO’L TUMANI  SHURA KO’CHASI 48-XONADON</t>
        </is>
      </c>
      <c r="H587" s="105">
        <v>13.0</v>
      </c>
      <c r="I587" s="105">
        <v>4270492.78</v>
      </c>
    </row>
    <row r="588">
      <c r="A588" s="104" t="inlineStr">
        <is>
          <t xml:space="preserve">ТОШКЕНТ ВИЛОЯТИ</t>
        </is>
      </c>
      <c r="C588" s="104" t="inlineStr">
        <is>
          <t xml:space="preserve">Недозвон</t>
        </is>
      </c>
      <c r="D588" s="104" t="inlineStr">
        <is>
          <t xml:space="preserve">Кр-99062925-1</t>
        </is>
      </c>
      <c r="E588" s="104" t="inlineStr">
        <is>
          <t xml:space="preserve">UMAROVA NASIBAXON YULDASHBAYEVNA</t>
        </is>
      </c>
      <c r="F588" s="104" t="inlineStr">
        <is>
          <t xml:space="preserve">998777855665 SMS KELINI, 998949221718 SMS OZI 2, 998949232726 SMS OGLI, 998990772726 SMS OZI,</t>
        </is>
      </c>
      <c r="G588" s="104" t="inlineStr">
        <is>
          <t xml:space="preserve">Ангрен шахар 5/4 дахаси 7-уй,21-хонадон</t>
        </is>
      </c>
      <c r="H588" s="105">
        <v>3.0</v>
      </c>
      <c r="I588" s="105">
        <v>4118392.21</v>
      </c>
    </row>
    <row r="589">
      <c r="A589" s="104" t="inlineStr">
        <is>
          <t xml:space="preserve">ТОШКЕНТ ВИЛОЯТИ</t>
        </is>
      </c>
      <c r="C589" s="104" t="inlineStr">
        <is>
          <t xml:space="preserve">Недозвон</t>
        </is>
      </c>
      <c r="D589" s="104" t="inlineStr">
        <is>
          <t xml:space="preserve">Кр-99063640-1</t>
        </is>
      </c>
      <c r="E589" s="104" t="inlineStr">
        <is>
          <t xml:space="preserve">ATAXODJAYEVA MANZURA GAFURJANOVNA</t>
        </is>
      </c>
      <c r="F589" s="104" t="inlineStr">
        <is>
          <t xml:space="preserve">998501761767 OGLI, 998933940515 OZI, 998956261926 QIZI,</t>
        </is>
      </c>
      <c r="G589" s="104" t="inlineStr">
        <is>
          <t xml:space="preserve">TOSHKENT VILOYATI NURAFSHON TARAQQIYOT MSG, TARAQQIYOT KO’CHASI 23-UY, 42-XONADON</t>
        </is>
      </c>
      <c r="H589" s="105">
        <v>10.0</v>
      </c>
      <c r="I589" s="105">
        <v>4073775.42</v>
      </c>
    </row>
    <row r="590">
      <c r="A590" s="104" t="inlineStr">
        <is>
          <t xml:space="preserve">ТОШКЕНТ ВИЛОЯТИ</t>
        </is>
      </c>
      <c r="C590" s="104" t="inlineStr">
        <is>
          <t xml:space="preserve">Недозвон</t>
        </is>
      </c>
      <c r="D590" s="104" t="inlineStr">
        <is>
          <t xml:space="preserve">Кр-99035819-1</t>
        </is>
      </c>
      <c r="E590" s="104" t="inlineStr">
        <is>
          <t xml:space="preserve">SABITOV BAXTIYAR MAXAMATOVICH</t>
        </is>
      </c>
      <c r="F590" s="104" t="inlineStr">
        <is>
          <t xml:space="preserve">998998980492 SMS OZI, 998978722411 SMS AYOLI, 998970464540 SMS OGLI, 998770654052 SMS AYOLI,</t>
        </is>
      </c>
      <c r="G590" s="104" t="inlineStr">
        <is>
          <t xml:space="preserve">TOSHKENT VILOYATI CHIRCHIQ SHAHRI GULISTON  MFY YUSUPOVICH KO’CHASI 57-XONADON</t>
        </is>
      </c>
      <c r="H590" s="105">
        <v>10.0</v>
      </c>
      <c r="I590" s="105">
        <v>4065888.58</v>
      </c>
    </row>
    <row r="591">
      <c r="A591" s="104" t="inlineStr">
        <is>
          <t xml:space="preserve">ТОШКЕНТ ВИЛОЯТИ</t>
        </is>
      </c>
      <c r="C591" s="104" t="inlineStr">
        <is>
          <t xml:space="preserve">Недозвон</t>
        </is>
      </c>
      <c r="D591" s="104" t="inlineStr">
        <is>
          <t xml:space="preserve">Кр-99035223-2</t>
        </is>
      </c>
      <c r="E591" s="104" t="inlineStr">
        <is>
          <t xml:space="preserve">SHAROPOV OMONGELDI KALBAYEVICH</t>
        </is>
      </c>
      <c r="F591" s="104" t="inlineStr">
        <is>
          <t xml:space="preserve">998338387919 SMS O’ZI, 998976690097 SMS UKASI, 998937535580 SMS AYOLI,</t>
        </is>
      </c>
      <c r="G591" s="104" t="inlineStr">
        <is>
          <t xml:space="preserve">TOSHKENT VILOYATI CHINOZ TUMANI KO'TARMA MFY, GULZOR KO'CHASI 28-UY</t>
        </is>
      </c>
      <c r="H591" s="105">
        <v>1.0</v>
      </c>
      <c r="I591" s="105">
        <v>4053610.53</v>
      </c>
    </row>
    <row r="592">
      <c r="A592" s="104" t="inlineStr">
        <is>
          <t xml:space="preserve">ТОШКЕНТ ВИЛОЯТИ</t>
        </is>
      </c>
      <c r="C592" s="104" t="inlineStr">
        <is>
          <t xml:space="preserve">Недозвон</t>
        </is>
      </c>
      <c r="D592" s="104" t="inlineStr">
        <is>
          <t xml:space="preserve">Кр-99057309-1</t>
        </is>
      </c>
      <c r="E592" s="104" t="inlineStr">
        <is>
          <t xml:space="preserve">KABIROV G’IYOSJON ANVARJONOVICH</t>
        </is>
      </c>
      <c r="F592" s="104" t="inlineStr">
        <is>
          <t xml:space="preserve">+998971566799 SMS OZI, 998881566799 SMS OGLI, 998951108230 DOSTI,</t>
        </is>
      </c>
      <c r="G592" s="104" t="inlineStr">
        <is>
          <t xml:space="preserve">TOSHEKENT VILOYATI ZANGIOTA TUMANI GISHT KO’PIRIK MSG UL ZUMRAD 3 42 UY</t>
        </is>
      </c>
      <c r="H592" s="105">
        <v>10.0</v>
      </c>
      <c r="I592" s="105">
        <v>4009241.21</v>
      </c>
    </row>
    <row r="593">
      <c r="A593" s="104" t="inlineStr">
        <is>
          <t xml:space="preserve">ТОШКЕНТ ВИЛОЯТИ</t>
        </is>
      </c>
      <c r="C593" s="104" t="inlineStr">
        <is>
          <t xml:space="preserve">Недозвон</t>
        </is>
      </c>
      <c r="D593" s="104" t="inlineStr">
        <is>
          <t xml:space="preserve">Кр-99033158-3</t>
        </is>
      </c>
      <c r="E593" s="104" t="inlineStr">
        <is>
          <t xml:space="preserve">SHAROFOV DILMUROD FAZLIDDIN O’G’LI</t>
        </is>
      </c>
      <c r="F593" s="104" t="inlineStr">
        <is>
          <t xml:space="preserve">998977431115 SMS O’ZI, 998977497047 SMS QARINDOSHI, 998935049049 SMS UKASI, 998490596162 SMS O’ZI 2,</t>
        </is>
      </c>
      <c r="G593" s="104" t="inlineStr">
        <is>
          <t xml:space="preserve">Заргар МФЙ, 1-Хиёбон кучаси, 113а-уй</t>
        </is>
      </c>
      <c r="H593" s="105">
        <v>10.0</v>
      </c>
      <c r="I593" s="105">
        <v>3893691.07</v>
      </c>
    </row>
    <row r="594">
      <c r="A594" s="104" t="inlineStr">
        <is>
          <t xml:space="preserve">ТОШКЕНТ ВИЛОЯТИ</t>
        </is>
      </c>
      <c r="C594" s="104" t="inlineStr">
        <is>
          <t xml:space="preserve">Недозвон</t>
        </is>
      </c>
      <c r="D594" s="104" t="inlineStr">
        <is>
          <t xml:space="preserve">Кр-99062648-1</t>
        </is>
      </c>
      <c r="E594" s="104" t="inlineStr">
        <is>
          <t xml:space="preserve">SAIDOVA BARNOGUL MIRZAYEVNA</t>
        </is>
      </c>
      <c r="F594" s="104" t="inlineStr">
        <is>
          <t xml:space="preserve">998889772667 Узи, 998882224015 угли,</t>
        </is>
      </c>
      <c r="G594" s="104" t="inlineStr">
        <is>
          <t xml:space="preserve">IIV 27256, Манзил: TOSHKENT VILOYATI, CHINOZ TUMANI, TURKISTON, TONG YULDUZI MFY, BEDAXSHON KO'CHASI 23-UY</t>
        </is>
      </c>
      <c r="H594" s="105">
        <v>10.0</v>
      </c>
      <c r="I594" s="105">
        <v>3805885.25</v>
      </c>
    </row>
    <row r="595">
      <c r="A595" s="104" t="inlineStr">
        <is>
          <t xml:space="preserve">ТОШКЕНТ ВИЛОЯТИ</t>
        </is>
      </c>
      <c r="C595" s="104" t="inlineStr">
        <is>
          <t xml:space="preserve">Недозвон</t>
        </is>
      </c>
      <c r="D595" s="104" t="inlineStr">
        <is>
          <t xml:space="preserve">Кр-99038146-1</t>
        </is>
      </c>
      <c r="E595" s="104" t="inlineStr">
        <is>
          <t xml:space="preserve">HUSNIDDINOV ABDULHAY ZAYNDIDDIN O’G’LI</t>
        </is>
      </c>
      <c r="F595" s="104" t="inlineStr">
        <is>
          <t xml:space="preserve">998931580401 SMS OZI, 998336113131 SMS OZI, 998336503131 SMS AYOLI,</t>
        </is>
      </c>
      <c r="G595" s="104" t="inlineStr">
        <is>
          <t xml:space="preserve">TOSHKENT SHAHAR OLMAZOR TUMANI  SAG’BON TOR 10/1</t>
        </is>
      </c>
      <c r="H595" s="105">
        <v>3.0</v>
      </c>
      <c r="I595" s="105">
        <v>3742044.95</v>
      </c>
    </row>
    <row r="596">
      <c r="A596" s="104" t="inlineStr">
        <is>
          <t xml:space="preserve">ТОШКЕНТ ВИЛОЯТИ</t>
        </is>
      </c>
      <c r="C596" s="104" t="inlineStr">
        <is>
          <t xml:space="preserve">Недозвон</t>
        </is>
      </c>
      <c r="D596" s="104" t="inlineStr">
        <is>
          <t xml:space="preserve">Кр-99063616-1</t>
        </is>
      </c>
      <c r="E596" s="104" t="inlineStr">
        <is>
          <t xml:space="preserve">TURG’UNOV ABDULAZIZ ABDUQAHHOR O’G’LI</t>
        </is>
      </c>
      <c r="F596" s="104" t="inlineStr">
        <is>
          <t xml:space="preserve">+998950115771 SMS OZI, 998934147696 SMS OGLI, 998950056711 SMS ERI,</t>
        </is>
      </c>
      <c r="G596" s="104" t="inlineStr">
        <is>
          <t xml:space="preserve">TOSHKENT VILOYATI CHINOZ TUMANI KO’TARMA MFY ULUG’VOR KOCHASI 49-UY</t>
        </is>
      </c>
      <c r="H596" s="105">
        <v>10.0</v>
      </c>
      <c r="I596" s="105">
        <v>3733876.41</v>
      </c>
    </row>
    <row r="597">
      <c r="A597" s="104" t="inlineStr">
        <is>
          <t xml:space="preserve">ТОШКЕНТ ВИЛОЯТИ</t>
        </is>
      </c>
      <c r="C597" s="104" t="inlineStr">
        <is>
          <t xml:space="preserve">Недозвон</t>
        </is>
      </c>
      <c r="D597" s="104" t="inlineStr">
        <is>
          <t xml:space="preserve">Кр-99059502-1</t>
        </is>
      </c>
      <c r="E597" s="104" t="inlineStr">
        <is>
          <t xml:space="preserve">XOLMIRZAYEV ELMUROD XAYDAR O’G’LI</t>
        </is>
      </c>
      <c r="F597" s="104" t="inlineStr">
        <is>
          <t xml:space="preserve">998770927272 SMS  OZI, 998876722522 SMS OZI 2, 998776722523 SMS OZI 3,</t>
        </is>
      </c>
      <c r="G597" s="104" t="inlineStr">
        <is>
          <t xml:space="preserve">TOSHKENT VILOYATI ZANGI-OTA TUMANI NAZARBEK QFY NAZARBEK KO’CHASI ,7-UY</t>
        </is>
      </c>
      <c r="H597" s="105">
        <v>10.0</v>
      </c>
      <c r="I597" s="105">
        <v>3675166.05</v>
      </c>
    </row>
    <row r="598">
      <c r="A598" s="104" t="inlineStr">
        <is>
          <t xml:space="preserve">ТОШКЕНТ ВИЛОЯТИ</t>
        </is>
      </c>
      <c r="C598" s="104" t="inlineStr">
        <is>
          <t xml:space="preserve">Недозвон</t>
        </is>
      </c>
      <c r="D598" s="104" t="inlineStr">
        <is>
          <t xml:space="preserve">Кр-99038643-1</t>
        </is>
      </c>
      <c r="E598" s="104" t="inlineStr">
        <is>
          <t xml:space="preserve">KARSHIBOYEV JONIBEK KAMBARALI UG’LI</t>
        </is>
      </c>
      <c r="F598" s="104" t="inlineStr">
        <is>
          <t xml:space="preserve">998931131995 SMS OZI, 998951229501 SMS OZI, 998951271995 SMS OZI 3, 998950750623 SMS ONASI,</t>
        </is>
      </c>
      <c r="G598" s="104" t="inlineStr">
        <is>
          <t xml:space="preserve">TOSHKENT VILOYATI PISKENT TUMANIKULTEPA MFY, RAVSHAN KO’CHASI 38-UY</t>
        </is>
      </c>
      <c r="H598" s="105">
        <v>14.0</v>
      </c>
      <c r="I598" s="105">
        <v>3625247.8</v>
      </c>
    </row>
    <row r="599">
      <c r="A599" s="104" t="inlineStr">
        <is>
          <t xml:space="preserve">ТОШКЕНТ ВИЛОЯТИ</t>
        </is>
      </c>
      <c r="C599" s="104" t="inlineStr">
        <is>
          <t xml:space="preserve">Недозвон</t>
        </is>
      </c>
      <c r="D599" s="104" t="inlineStr">
        <is>
          <t xml:space="preserve">Кр-99042712-1</t>
        </is>
      </c>
      <c r="E599" s="104" t="inlineStr">
        <is>
          <t xml:space="preserve">MIRPAYZIYEV DILSHOD NORMATOVICH</t>
        </is>
      </c>
      <c r="F599" s="104" t="inlineStr">
        <is>
          <t xml:space="preserve">+998994383809 SMS O’ZI, 998931655510 SMS GAROVCHI, 998949269595 SMS UKASI, 998994191559 SMS O’G’LI,</t>
        </is>
      </c>
      <c r="G599" s="104" t="inlineStr">
        <is>
          <t xml:space="preserve">ПАРКЕНТ Ш., САМАРОБОД МФЙ, Х.МИРЗАКАРИМОВ,  uy:14</t>
        </is>
      </c>
      <c r="H599" s="105">
        <v>10.0</v>
      </c>
      <c r="I599" s="105">
        <v>3619226.33</v>
      </c>
    </row>
    <row r="600">
      <c r="A600" s="104" t="inlineStr">
        <is>
          <t xml:space="preserve">ТОШКЕНТ ВИЛОЯТИ</t>
        </is>
      </c>
      <c r="C600" s="104" t="inlineStr">
        <is>
          <t xml:space="preserve">Недозвон</t>
        </is>
      </c>
      <c r="D600" s="104" t="inlineStr">
        <is>
          <t xml:space="preserve">Кр-99036880-1</t>
        </is>
      </c>
      <c r="E600" s="104" t="inlineStr">
        <is>
          <t xml:space="preserve">ESHANXANOVA MARDONA ABDULXAKOVNA</t>
        </is>
      </c>
      <c r="F600" s="104" t="inlineStr">
        <is>
          <t xml:space="preserve">998997610017 SMS OZI, 998996170066 SMS OGLI, 998903307070 SMS OGLI 2, 998990978733 SMS OGLI 2,</t>
        </is>
      </c>
      <c r="G600" s="104" t="inlineStr">
        <is>
          <t xml:space="preserve">TOSHKENT VILOYATI OLMALIQ XAMZA MFY,ULUGBEK KO’CHASI,80-UY,127-XONADON</t>
        </is>
      </c>
      <c r="H600" s="105">
        <v>13.0</v>
      </c>
      <c r="I600" s="105">
        <v>3613139.24</v>
      </c>
    </row>
    <row r="601">
      <c r="A601" s="104" t="inlineStr">
        <is>
          <t xml:space="preserve">ТОШКЕНТ ВИЛОЯТИ</t>
        </is>
      </c>
      <c r="C601" s="104" t="inlineStr">
        <is>
          <t xml:space="preserve">Недозвон</t>
        </is>
      </c>
      <c r="D601" s="104" t="inlineStr">
        <is>
          <t xml:space="preserve">Кр-99033620-4</t>
        </is>
      </c>
      <c r="E601" s="104" t="inlineStr">
        <is>
          <t xml:space="preserve">OCHILOVA MASHKURA MAXAMATJANOVNA</t>
        </is>
      </c>
      <c r="F601" s="104" t="inlineStr">
        <is>
          <t xml:space="preserve">998978777316 SMS O’ZI, 998711913102 SMS O’ZI 2, 998943983443 SMS UKASI,</t>
        </is>
      </c>
      <c r="G601" s="104" t="inlineStr">
        <is>
          <t xml:space="preserve">TOSHKENT VILOYATI CHINOZ TUMANI OLMAZOR QO’RG’ONI NAFIS MFY TEMIR YO’L KO’CHASI 12- XONADON</t>
        </is>
      </c>
      <c r="H601" s="105">
        <v>10.0</v>
      </c>
      <c r="I601" s="105">
        <v>3583286.84</v>
      </c>
    </row>
    <row r="602">
      <c r="A602" s="104" t="inlineStr">
        <is>
          <t xml:space="preserve">ТОШКЕНТ ВИЛОЯТИ</t>
        </is>
      </c>
      <c r="C602" s="104" t="inlineStr">
        <is>
          <t xml:space="preserve">Недозвон</t>
        </is>
      </c>
      <c r="D602" s="104" t="inlineStr">
        <is>
          <t xml:space="preserve">Кр-99005293-2</t>
        </is>
      </c>
      <c r="E602" s="104" t="inlineStr">
        <is>
          <t xml:space="preserve">XALMATOVA RANO XAMZAYEVNA</t>
        </is>
      </c>
      <c r="F602" s="104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602" s="104" t="inlineStr">
        <is>
          <t xml:space="preserve">TOSHKENT VILOYATI QIBRAY TUMANI A NAVOIY KUCHASI 23 A UY</t>
        </is>
      </c>
      <c r="I602" s="105">
        <v>3568801.4</v>
      </c>
    </row>
    <row r="603">
      <c r="A603" s="104" t="inlineStr">
        <is>
          <t xml:space="preserve">ТОШКЕНТ ВИЛОЯТИ</t>
        </is>
      </c>
      <c r="C603" s="104" t="inlineStr">
        <is>
          <t xml:space="preserve">Недозвон</t>
        </is>
      </c>
      <c r="D603" s="104" t="inlineStr">
        <is>
          <t xml:space="preserve">Кр-99043026-1</t>
        </is>
      </c>
      <c r="E603" s="104" t="inlineStr">
        <is>
          <t xml:space="preserve">SHOKIRJONOV JAVOHIR G’AYRATJON O’G’LI</t>
        </is>
      </c>
      <c r="F603" s="104" t="inlineStr">
        <is>
          <t xml:space="preserve">+998940444464 SMS O’ZI, 998772572772 SMS UKASI, 998947071236 SMS ADASI,</t>
        </is>
      </c>
      <c r="G603" s="104" t="inlineStr">
        <is>
          <t xml:space="preserve">TOSHKENT VILOYAT ZANGIOTA TUMANI</t>
        </is>
      </c>
      <c r="H603" s="105">
        <v>10.0</v>
      </c>
      <c r="I603" s="105">
        <v>3551473.29</v>
      </c>
    </row>
    <row r="604">
      <c r="A604" s="104" t="inlineStr">
        <is>
          <t xml:space="preserve">ТОШКЕНТ ВИЛОЯТИ</t>
        </is>
      </c>
      <c r="C604" s="104" t="inlineStr">
        <is>
          <t xml:space="preserve">Недозвон</t>
        </is>
      </c>
      <c r="D604" s="104" t="inlineStr">
        <is>
          <t xml:space="preserve">Кр-99039326-1</t>
        </is>
      </c>
      <c r="E604" s="104" t="inlineStr">
        <is>
          <t xml:space="preserve">RAHIMJONOV IBROHIM ILXOMJON O’G’LI</t>
        </is>
      </c>
      <c r="F604" s="104" t="inlineStr">
        <is>
          <t xml:space="preserve">998331212122 SMS OZI, 998946736737 SMS UKASI, 998887116737 SMS AYOLI,</t>
        </is>
      </c>
      <c r="G604" s="104" t="inlineStr">
        <is>
          <t xml:space="preserve">TOSHKENT SHAHAR YUNUSOBOD TUMANI ASTROBOD MFY,7-MAVZE,48-UY,18-XONADON</t>
        </is>
      </c>
      <c r="H604" s="105">
        <v>14.0</v>
      </c>
      <c r="I604" s="105">
        <v>3499644.92</v>
      </c>
    </row>
    <row r="605">
      <c r="A605" s="104" t="inlineStr">
        <is>
          <t xml:space="preserve">ТОШКЕНТ ВИЛОЯТИ</t>
        </is>
      </c>
      <c r="C605" s="104" t="inlineStr">
        <is>
          <t xml:space="preserve">Недозвон</t>
        </is>
      </c>
      <c r="D605" s="104" t="inlineStr">
        <is>
          <t xml:space="preserve">Кр-99037468-3</t>
        </is>
      </c>
      <c r="E605" s="104" t="inlineStr">
        <is>
          <t xml:space="preserve">SAMADOVA RA’NO ZOIDJONOVNA</t>
        </is>
      </c>
      <c r="F605" s="104" t="inlineStr">
        <is>
          <t xml:space="preserve">998943995506 SMS O’ZI, 998949294439 SMS QIZI, 998994094439 SMS KUYOVI, 998996534439 SMS QUDASI,</t>
        </is>
      </c>
      <c r="G605" s="104" t="inlineStr">
        <is>
          <t xml:space="preserve">TOSHKENT VILOYATI PSKENT TUMANI BIRLIK MFY GULSHAN 9/1 UY 1 XONADON</t>
        </is>
      </c>
      <c r="H605" s="105">
        <v>10.0</v>
      </c>
      <c r="I605" s="105">
        <v>3479520.36</v>
      </c>
    </row>
    <row r="606">
      <c r="A606" s="104" t="inlineStr">
        <is>
          <t xml:space="preserve">ТОШКЕНТ ВИЛОЯТИ</t>
        </is>
      </c>
      <c r="C606" s="104" t="inlineStr">
        <is>
          <t xml:space="preserve">Недозвон</t>
        </is>
      </c>
      <c r="D606" s="104" t="inlineStr">
        <is>
          <t xml:space="preserve">Кр-99041570-1</t>
        </is>
      </c>
      <c r="E606" s="104" t="inlineStr">
        <is>
          <t xml:space="preserve">HABIBULLAYEV G’AYRATULLA RAHMATULLO O’G’LI</t>
        </is>
      </c>
      <c r="F606" s="104" t="inlineStr">
        <is>
          <t xml:space="preserve">998333079797 SMS OZI, 998900154502 SMS UKASI, 998998472131 SMS AMAKISI,</t>
        </is>
      </c>
      <c r="G606" s="104" t="inlineStr">
        <is>
          <t xml:space="preserve">QIZG’ALDOQ QFY QARDQIMMAT KO’CHASI 15-XONADON</t>
        </is>
      </c>
      <c r="H606" s="105">
        <v>10.0</v>
      </c>
      <c r="I606" s="105">
        <v>3438883.16</v>
      </c>
    </row>
    <row r="607">
      <c r="A607" s="104" t="inlineStr">
        <is>
          <t xml:space="preserve">ТОШКЕНТ ВИЛОЯТИ</t>
        </is>
      </c>
      <c r="C607" s="104" t="inlineStr">
        <is>
          <t xml:space="preserve">Недозвон</t>
        </is>
      </c>
      <c r="D607" s="104" t="inlineStr">
        <is>
          <t xml:space="preserve">Кр-99036089-1</t>
        </is>
      </c>
      <c r="E607" s="104" t="inlineStr">
        <is>
          <t xml:space="preserve">XAZRATULLAYEV G’AYRATJON G’ANISHER O’G’LI</t>
        </is>
      </c>
      <c r="F607" s="104" t="inlineStr">
        <is>
          <t xml:space="preserve">998946640807 SMS O’ZI, 998971142496 SMS OPASI, 998362524352 SMS OPASI 2, 998977653982 SMS DADASI,</t>
        </is>
      </c>
      <c r="G607" s="104" t="inlineStr">
        <is>
          <t xml:space="preserve">TOSHKENT VILOYATI CHINOZ TUMANI SAMARQAND MFY YANGIHAYOT 2-KO’CHA 3-UY</t>
        </is>
      </c>
      <c r="H607" s="105">
        <v>2.0</v>
      </c>
      <c r="I607" s="105">
        <v>3414473.91</v>
      </c>
    </row>
    <row r="608">
      <c r="A608" s="104" t="inlineStr">
        <is>
          <t xml:space="preserve">ТОШКЕНТ ВИЛОЯТИ</t>
        </is>
      </c>
      <c r="C608" s="104" t="inlineStr">
        <is>
          <t xml:space="preserve">Недозвон</t>
        </is>
      </c>
      <c r="D608" s="104" t="inlineStr">
        <is>
          <t xml:space="preserve">Кр-99040046-1</t>
        </is>
      </c>
      <c r="E608" s="104" t="inlineStr">
        <is>
          <t xml:space="preserve">G’AFUROV RAVSHAN RAHIMJON O’G’LI</t>
        </is>
      </c>
      <c r="F608" s="104" t="inlineStr">
        <is>
          <t xml:space="preserve">+998998262252 SMS OZI, 998331902222 SMS DOSTI, 998950211026 SMS OZI2,</t>
        </is>
      </c>
      <c r="G608" s="104" t="inlineStr">
        <is>
          <t xml:space="preserve">Файзобод МФЙ, Дадил кучаси, 36а-уй</t>
        </is>
      </c>
      <c r="H608" s="105">
        <v>10.0</v>
      </c>
      <c r="I608" s="105">
        <v>3409704.88</v>
      </c>
    </row>
    <row r="609">
      <c r="A609" s="104" t="inlineStr">
        <is>
          <t xml:space="preserve">ТОШКЕНТ ВИЛОЯТИ</t>
        </is>
      </c>
      <c r="C609" s="104" t="inlineStr">
        <is>
          <t xml:space="preserve">Недозвон</t>
        </is>
      </c>
      <c r="D609" s="104" t="inlineStr">
        <is>
          <t xml:space="preserve">Кр-99062978-4</t>
        </is>
      </c>
      <c r="E609" s="104" t="inlineStr">
        <is>
          <t xml:space="preserve">SUVANOV UMAR OTAMURATOVICH</t>
        </is>
      </c>
      <c r="F609" s="104" t="inlineStr">
        <is>
          <t xml:space="preserve">+998949244428 SMS OZI, 998936150923 SMS QZLARI, 998939514428 SMS QZLARI, 998944464428 SMS AYYOLARI,</t>
        </is>
      </c>
      <c r="G609" s="104" t="inlineStr">
        <is>
          <t xml:space="preserve">TOSHKENT VILOYATI CHIRCHIQ SHAHAR SEMRUG MFY 8-KICHIK NOHIYA KO’CHASI 12-UY 77-XONADON</t>
        </is>
      </c>
      <c r="I609" s="105">
        <v>3337706.1</v>
      </c>
    </row>
    <row r="610">
      <c r="A610" s="104" t="inlineStr">
        <is>
          <t xml:space="preserve">ТОШКЕНТ ВИЛОЯТИ</t>
        </is>
      </c>
      <c r="C610" s="104" t="inlineStr">
        <is>
          <t xml:space="preserve">Недозвон</t>
        </is>
      </c>
      <c r="D610" s="104" t="inlineStr">
        <is>
          <t xml:space="preserve">Кр-99034640-2</t>
        </is>
      </c>
      <c r="E610" s="104" t="inlineStr">
        <is>
          <t xml:space="preserve">ALIMBOYEV SIROJIDDIN JAXONGIR O’G’LI</t>
        </is>
      </c>
      <c r="F610" s="104" t="inlineStr">
        <is>
          <t xml:space="preserve">998900433931 SMS O’ZI, 998996908017 SMS ONASI, 998901364921 SMS BUVISI, 998997923781 SMS XOLASI,</t>
        </is>
      </c>
      <c r="G610" s="104" t="inlineStr">
        <is>
          <t xml:space="preserve">TOSHKENT VILOYATI O’RTACHIRCHIQ TUMANI BUNYODKOR MFY XOSIYATLI KO’CHASI 10-UY</t>
        </is>
      </c>
      <c r="H610" s="105">
        <v>7.0</v>
      </c>
      <c r="I610" s="105">
        <v>3233692.84</v>
      </c>
    </row>
    <row r="611">
      <c r="A611" s="104" t="inlineStr">
        <is>
          <t xml:space="preserve">ТОШКЕНТ ВИЛОЯТИ</t>
        </is>
      </c>
      <c r="C611" s="104" t="inlineStr">
        <is>
          <t xml:space="preserve">Недозвон</t>
        </is>
      </c>
      <c r="D611" s="104" t="inlineStr">
        <is>
          <t xml:space="preserve">Кр-99053869-1</t>
        </is>
      </c>
      <c r="E611" s="104" t="inlineStr">
        <is>
          <t xml:space="preserve">NAZAROVA MASUDA TURGUNOVNA</t>
        </is>
      </c>
      <c r="F611" s="104" t="inlineStr">
        <is>
          <t xml:space="preserve">+998909151331 Primary phone from road24, 998909151331 Primary phone from road24,</t>
        </is>
      </c>
      <c r="G611" s="104" t="inlineStr">
        <is>
          <t xml:space="preserve">Zarbdor MFY, Keles ko‘chasi, 23-uy</t>
        </is>
      </c>
      <c r="H611" s="105">
        <v>146.0</v>
      </c>
      <c r="I611" s="105">
        <v>3225919.89</v>
      </c>
    </row>
    <row r="612">
      <c r="A612" s="104" t="inlineStr">
        <is>
          <t xml:space="preserve">ТОШКЕНТ ВИЛОЯТИ</t>
        </is>
      </c>
      <c r="C612" s="104" t="inlineStr">
        <is>
          <t xml:space="preserve">Недозвон</t>
        </is>
      </c>
      <c r="D612" s="104" t="inlineStr">
        <is>
          <t xml:space="preserve">Кр-99039391-1</t>
        </is>
      </c>
      <c r="E612" s="104" t="inlineStr">
        <is>
          <t xml:space="preserve">SINDAROV ABDUVAIT TOSHTEMIROVICH</t>
        </is>
      </c>
      <c r="F612" s="104" t="inlineStr">
        <is>
          <t xml:space="preserve">998994343967 SMS OZI, 998946891183 SMS UKASI, 998950306769 SMS AYOLI, 998994819756 SMS OGLI,</t>
        </is>
      </c>
      <c r="G612" s="104" t="inlineStr">
        <is>
          <t xml:space="preserve">TOSHKENT VILOYATI OQQO’RG’ON TUMANI ACHCHI CCG, GULISTON MCG, SULOLA KO'CHASI 19-UY</t>
        </is>
      </c>
      <c r="H612" s="105">
        <v>9.0</v>
      </c>
      <c r="I612" s="105">
        <v>3211436.5</v>
      </c>
    </row>
    <row r="613">
      <c r="A613" s="104" t="inlineStr">
        <is>
          <t xml:space="preserve">ТОШКЕНТ ВИЛОЯТИ</t>
        </is>
      </c>
      <c r="C613" s="104" t="inlineStr">
        <is>
          <t xml:space="preserve">Недозвон</t>
        </is>
      </c>
      <c r="D613" s="104" t="inlineStr">
        <is>
          <t xml:space="preserve">Кр-99041355-2</t>
        </is>
      </c>
      <c r="E613" s="104" t="inlineStr">
        <is>
          <t xml:space="preserve">AMINOVA DIYORA GAYRAT QIZI</t>
        </is>
      </c>
      <c r="F613" s="104" t="inlineStr">
        <is>
          <t xml:space="preserve">+998903720084 SMS O’ZI, 998938118755 SMS UKASI, 998943514441 SMS OPASI, 998971037771 SMS O’ZI 2,</t>
        </is>
      </c>
      <c r="G613" s="104" t="inlineStr">
        <is>
          <t xml:space="preserve">АРМУҒОН МФЙ, БОШЛИК ДАХАСИ,  uy:8 xonadon:67</t>
        </is>
      </c>
      <c r="H613" s="105">
        <v>10.0</v>
      </c>
      <c r="I613" s="105">
        <v>3186367.81</v>
      </c>
    </row>
    <row r="614">
      <c r="A614" s="104" t="inlineStr">
        <is>
          <t xml:space="preserve">ТОШКЕНТ ВИЛОЯТИ</t>
        </is>
      </c>
      <c r="C614" s="104" t="inlineStr">
        <is>
          <t xml:space="preserve">Недозвон</t>
        </is>
      </c>
      <c r="D614" s="104" t="inlineStr">
        <is>
          <t xml:space="preserve">Кр-99038743-1</t>
        </is>
      </c>
      <c r="E614" s="104" t="inlineStr">
        <is>
          <t xml:space="preserve">AXROROV RIXSIBOY ALIJON O’G’LI</t>
        </is>
      </c>
      <c r="F614" s="104" t="inlineStr">
        <is>
          <t xml:space="preserve">998983010220 SMS OSHNASI, 998354110102 SMS OSHNASI 2, 999891717550 SMS ADMINI ISHXONASI,</t>
        </is>
      </c>
      <c r="G614" s="104" t="inlineStr">
        <is>
          <t xml:space="preserve">TOSHKENT VILOYATI OLMALIQ SHAHRI NAMUNA MFY,DEPO PER 7-UY</t>
        </is>
      </c>
      <c r="H614" s="105">
        <v>9.0</v>
      </c>
      <c r="I614" s="105">
        <v>3184826.31</v>
      </c>
    </row>
    <row r="615">
      <c r="A615" s="104" t="inlineStr">
        <is>
          <t xml:space="preserve">ТОШКЕНТ ВИЛОЯТИ</t>
        </is>
      </c>
      <c r="C615" s="104" t="inlineStr">
        <is>
          <t xml:space="preserve">Недозвон</t>
        </is>
      </c>
      <c r="D615" s="104" t="inlineStr">
        <is>
          <t xml:space="preserve">Кр-99038122-2</t>
        </is>
      </c>
      <c r="E615" s="104" t="inlineStr">
        <is>
          <t xml:space="preserve">UROLOV DILSHODBEK ABDUQAYUM O'G'LI</t>
        </is>
      </c>
      <c r="F615" s="104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615" s="104" t="inlineStr">
        <is>
          <t xml:space="preserve">zangiota</t>
        </is>
      </c>
      <c r="H615" s="105">
        <v>10.0</v>
      </c>
      <c r="I615" s="105">
        <v>3179568.32</v>
      </c>
    </row>
    <row r="616">
      <c r="A616" s="104" t="inlineStr">
        <is>
          <t xml:space="preserve">ТОШКЕНТ ВИЛОЯТИ</t>
        </is>
      </c>
      <c r="C616" s="104" t="inlineStr">
        <is>
          <t xml:space="preserve">Недозвон</t>
        </is>
      </c>
      <c r="D616" s="104" t="inlineStr">
        <is>
          <t xml:space="preserve">Кр-99006716-3</t>
        </is>
      </c>
      <c r="E616" s="104" t="inlineStr">
        <is>
          <t xml:space="preserve">ZAXIDOV MARDON BOTIR O‘G‘LI</t>
        </is>
      </c>
      <c r="F616" s="104" t="inlineStr">
        <is>
          <t xml:space="preserve">99-763-77-71 SMS, 98-369-71-72 SMS, 99-052-14-13 SMS AYOLI, 97-739-71-72 SMS AKASI ILXOM, +998997637771 Primary phone from road24, 998997637771 Primary phone from road24,</t>
        </is>
      </c>
      <c r="G616" s="104" t="inlineStr">
        <is>
          <t xml:space="preserve">Нурафшон МФЙ, Ёшлик кучаси, 80-уй</t>
        </is>
      </c>
      <c r="H616" s="105">
        <v>10.0</v>
      </c>
      <c r="I616" s="105">
        <v>3167181.17</v>
      </c>
    </row>
    <row r="617">
      <c r="A617" s="104" t="inlineStr">
        <is>
          <t xml:space="preserve">ТОШКЕНТ ВИЛОЯТИ</t>
        </is>
      </c>
      <c r="C617" s="104" t="inlineStr">
        <is>
          <t xml:space="preserve">Недозвон</t>
        </is>
      </c>
      <c r="D617" s="104" t="inlineStr">
        <is>
          <t xml:space="preserve">Кр-99058508-1</t>
        </is>
      </c>
      <c r="E617" s="104" t="inlineStr">
        <is>
          <t xml:space="preserve">ERKINOV ERGASHBEK ERKIN O’G’LI</t>
        </is>
      </c>
      <c r="F617" s="104" t="inlineStr">
        <is>
          <t xml:space="preserve">998774528899 SMS OZI, 998935380388 SMS OTASI, 998955364088 SSM OGLI,</t>
        </is>
      </c>
      <c r="G617" s="104" t="inlineStr">
        <is>
          <t xml:space="preserve">TOSHKENT VILOYATI BEKOBOD TUMANI K.FARMONOV MSG, BOGZOR KO'CHASI 4A-UY</t>
        </is>
      </c>
      <c r="H617" s="105">
        <v>10.0</v>
      </c>
      <c r="I617" s="105">
        <v>3158408.12</v>
      </c>
    </row>
    <row r="618">
      <c r="A618" s="104" t="inlineStr">
        <is>
          <t xml:space="preserve">ТОШКЕНТ ВИЛОЯТИ</t>
        </is>
      </c>
      <c r="C618" s="104" t="inlineStr">
        <is>
          <t xml:space="preserve">Недозвон</t>
        </is>
      </c>
      <c r="D618" s="104" t="inlineStr">
        <is>
          <t xml:space="preserve">Кр-99062965-1</t>
        </is>
      </c>
      <c r="E618" s="104" t="inlineStr">
        <is>
          <t xml:space="preserve">MIRKARIMOV DILMUROD DILSHOD O’G’LI</t>
        </is>
      </c>
      <c r="F618" s="104" t="inlineStr">
        <is>
          <t xml:space="preserve">998872208820 SMS OZI, 998887053438 SMS AYOLI, 998977053438 SMS OZI2,</t>
        </is>
      </c>
      <c r="G618" s="104" t="inlineStr">
        <is>
          <t xml:space="preserve">A.ORTIQOV QFY NOV 80-UY</t>
        </is>
      </c>
      <c r="H618" s="105">
        <v>10.0</v>
      </c>
      <c r="I618" s="105">
        <v>3140311.49</v>
      </c>
    </row>
    <row r="619">
      <c r="A619" s="104" t="inlineStr">
        <is>
          <t xml:space="preserve">ТОШКЕНТ ВИЛОЯТИ</t>
        </is>
      </c>
      <c r="C619" s="104" t="inlineStr">
        <is>
          <t xml:space="preserve">Недозвон</t>
        </is>
      </c>
      <c r="D619" s="104" t="inlineStr">
        <is>
          <t xml:space="preserve">Кр-99062833-1</t>
        </is>
      </c>
      <c r="E619" s="104" t="inlineStr">
        <is>
          <t xml:space="preserve">MASHARIPOVA GULNOZA MUXAMMEDOVNA</t>
        </is>
      </c>
      <c r="F619" s="104" t="inlineStr">
        <is>
          <t xml:space="preserve">998976858480 OZI, 998946255599 UKASI, 998774142135 QIZI,</t>
        </is>
      </c>
      <c r="G619" s="104" t="inlineStr">
        <is>
          <t xml:space="preserve">TOSHKENT VILOYATI YANGIYO'L TUMANI UMID MFY, S.RAXIMOV KO'CHASI 4-UY</t>
        </is>
      </c>
      <c r="H619" s="105">
        <v>10.0</v>
      </c>
      <c r="I619" s="105">
        <v>3135305.53</v>
      </c>
    </row>
    <row r="620">
      <c r="A620" s="104" t="inlineStr">
        <is>
          <t xml:space="preserve">ТОШКЕНТ ВИЛОЯТИ</t>
        </is>
      </c>
      <c r="C620" s="104" t="inlineStr">
        <is>
          <t xml:space="preserve">Недозвон</t>
        </is>
      </c>
      <c r="D620" s="104" t="inlineStr">
        <is>
          <t xml:space="preserve">Кр-99034878-3</t>
        </is>
      </c>
      <c r="E620" s="104" t="inlineStr">
        <is>
          <t xml:space="preserve">TOIRJONOV BAHROMJON BAXTIYOR O’G’LI</t>
        </is>
      </c>
      <c r="F620" s="104" t="inlineStr">
        <is>
          <t xml:space="preserve">998946854848 SMS O’ZI, 998998251114 SMS ZALOGADETOL, 998933965776 SMS AYOLI, 998998750303 SMS UKASI,</t>
        </is>
      </c>
      <c r="G620" s="104" t="inlineStr">
        <is>
          <t xml:space="preserve">Сохибкор МФЙ, Файзли бог кучаси, 169-уй</t>
        </is>
      </c>
      <c r="H620" s="105">
        <v>10.0</v>
      </c>
      <c r="I620" s="105">
        <v>3123167.74</v>
      </c>
    </row>
    <row r="621">
      <c r="A621" s="104" t="inlineStr">
        <is>
          <t xml:space="preserve">ТОШКЕНТ ВИЛОЯТИ</t>
        </is>
      </c>
      <c r="C621" s="104" t="inlineStr">
        <is>
          <t xml:space="preserve">Недозвон</t>
        </is>
      </c>
      <c r="D621" s="104" t="inlineStr">
        <is>
          <t xml:space="preserve">Кр-99035321-1</t>
        </is>
      </c>
      <c r="E621" s="104" t="inlineStr">
        <is>
          <t xml:space="preserve">NIYOZOV SARDOR HUSAN O’G’LI</t>
        </is>
      </c>
      <c r="F621" s="104" t="inlineStr">
        <is>
          <t xml:space="preserve">998971226688 SMS O’ZI, 998974148623 SMS ADASI, 998977147112 SMS AKASI, 998974008623 SMS ONASI,</t>
        </is>
      </c>
      <c r="G621" s="104" t="inlineStr">
        <is>
          <t xml:space="preserve">TOSHKENT VILOYATI ZANGIOTA TUMANI CHORBOG’  MFY NAZVRO’Z KO’CHASI 292A-XONADON</t>
        </is>
      </c>
      <c r="H621" s="105">
        <v>1.0</v>
      </c>
      <c r="I621" s="105">
        <v>3120375.3</v>
      </c>
    </row>
    <row r="622">
      <c r="A622" s="104" t="inlineStr">
        <is>
          <t xml:space="preserve">ТОШКЕНТ ВИЛОЯТИ</t>
        </is>
      </c>
      <c r="C622" s="104" t="inlineStr">
        <is>
          <t xml:space="preserve">Недозвон</t>
        </is>
      </c>
      <c r="D622" s="104" t="inlineStr">
        <is>
          <t xml:space="preserve">Кр-99038141-2</t>
        </is>
      </c>
      <c r="E622" s="104" t="inlineStr">
        <is>
          <t xml:space="preserve">YAXSHILIKOV ARABBAY ISKANDAROVICH</t>
        </is>
      </c>
      <c r="F622" s="104" t="inlineStr">
        <is>
          <t xml:space="preserve">998977767874 SMS OZI, 998991476192 SMS  AYOLI, 998887941954 SMS ONASI, 998908084218 SMS AKASI,</t>
        </is>
      </c>
      <c r="G622" s="104" t="inlineStr">
        <is>
          <t xml:space="preserve">Кўкмуйин МФЙ, Чегара кучаси, 2-уй</t>
        </is>
      </c>
      <c r="H622" s="105">
        <v>10.0</v>
      </c>
      <c r="I622" s="105">
        <v>3073899.43</v>
      </c>
    </row>
    <row r="623">
      <c r="A623" s="104" t="inlineStr">
        <is>
          <t xml:space="preserve">ТОШКЕНТ ВИЛОЯТИ</t>
        </is>
      </c>
      <c r="C623" s="104" t="inlineStr">
        <is>
          <t xml:space="preserve">Недозвон</t>
        </is>
      </c>
      <c r="D623" s="104" t="inlineStr">
        <is>
          <t xml:space="preserve">Кр-99034752-2</t>
        </is>
      </c>
      <c r="E623" s="104" t="inlineStr">
        <is>
          <t xml:space="preserve">YUNUSOVA GULSORA SAMATOVNA</t>
        </is>
      </c>
      <c r="F623" s="104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623" s="104" t="inlineStr">
        <is>
          <t xml:space="preserve">TOSHKENT VILOYATI YANGIYO’L SHAHAR NOV MFY OYBEK KO’CHASI 36-UY</t>
        </is>
      </c>
      <c r="H623" s="105">
        <v>10.0</v>
      </c>
      <c r="I623" s="105">
        <v>3056415.86</v>
      </c>
    </row>
    <row r="624">
      <c r="A624" s="104" t="inlineStr">
        <is>
          <t xml:space="preserve">ТОШКЕНТ ВИЛОЯТИ</t>
        </is>
      </c>
      <c r="C624" s="104" t="inlineStr">
        <is>
          <t xml:space="preserve">Недозвон</t>
        </is>
      </c>
      <c r="D624" s="104" t="inlineStr">
        <is>
          <t xml:space="preserve">Кр-99034332-1</t>
        </is>
      </c>
      <c r="E624" s="104" t="inlineStr">
        <is>
          <t xml:space="preserve">NE’MATILLAYEV O’RINBOY UMARALI O’G’LI</t>
        </is>
      </c>
      <c r="F624" s="104" t="inlineStr">
        <is>
          <t xml:space="preserve">998998832599 SMS OZI, 998993278299 SMS AYOLI, 998994385910 SMS OTASI, 998777949212 SMS O'ZI NEW,</t>
        </is>
      </c>
      <c r="G624" s="104" t="inlineStr">
        <is>
          <t xml:space="preserve">TOSHKENT VILOYATI O’RTACHIRCHIQ TUMANI BOYOVUL MFY UYSHUN 2-KO’CHASI 57-UY</t>
        </is>
      </c>
      <c r="H624" s="105">
        <v>6.0</v>
      </c>
      <c r="I624" s="105">
        <v>3033370.39</v>
      </c>
    </row>
    <row r="625">
      <c r="A625" s="104" t="inlineStr">
        <is>
          <t xml:space="preserve">ТОШКЕНТ ВИЛОЯТИ</t>
        </is>
      </c>
      <c r="C625" s="104" t="inlineStr">
        <is>
          <t xml:space="preserve">Недозвон</t>
        </is>
      </c>
      <c r="D625" s="104" t="inlineStr">
        <is>
          <t xml:space="preserve">Кр-99063382-1</t>
        </is>
      </c>
      <c r="E625" s="104" t="inlineStr">
        <is>
          <t xml:space="preserve">AYTBAYEVA JADIRA ELDOR QIZI</t>
        </is>
      </c>
      <c r="F625" s="104" t="inlineStr">
        <is>
          <t xml:space="preserve">998704941316 SMS QIZI, 998950069538 SMS ONASI, 998950953705 SMS OZI,</t>
        </is>
      </c>
      <c r="G625" s="104" t="inlineStr">
        <is>
          <t xml:space="preserve">EYVALEK QO’RG’ONI 36-2-UY</t>
        </is>
      </c>
      <c r="H625" s="105">
        <v>10.0</v>
      </c>
      <c r="I625" s="105">
        <v>3006857.7</v>
      </c>
    </row>
    <row r="626">
      <c r="A626" s="104" t="inlineStr">
        <is>
          <t xml:space="preserve">ТОШКЕНТ ВИЛОЯТИ</t>
        </is>
      </c>
      <c r="C626" s="104" t="inlineStr">
        <is>
          <t xml:space="preserve">Недозвон</t>
        </is>
      </c>
      <c r="D626" s="104" t="inlineStr">
        <is>
          <t xml:space="preserve">Кр-99063092-1</t>
        </is>
      </c>
      <c r="E626" s="104" t="inlineStr">
        <is>
          <t xml:space="preserve">ORTIQOV SHERMUXAMMAD ANORMAT O’G’LI</t>
        </is>
      </c>
      <c r="F626" s="104" t="inlineStr">
        <is>
          <t xml:space="preserve">998993070698 OZI, 998930941669 POCHASI TO’LOVCHI, 998947037403 AMMASI, 998934055573 APACHASI,</t>
        </is>
      </c>
      <c r="G626" s="104" t="inlineStr">
        <is>
          <t xml:space="preserve">TOSHKENT VILOYATI OXANGARON TUMANI QORAXITOY QFY TUT MFY OQ TEPA 8-UY</t>
        </is>
      </c>
      <c r="H626" s="105">
        <v>10.0</v>
      </c>
      <c r="I626" s="105">
        <v>2997725.88</v>
      </c>
    </row>
    <row r="627">
      <c r="A627" s="104" t="inlineStr">
        <is>
          <t xml:space="preserve">ТОШКЕНТ ВИЛОЯТИ</t>
        </is>
      </c>
      <c r="C627" s="104" t="inlineStr">
        <is>
          <t xml:space="preserve">Недозвон</t>
        </is>
      </c>
      <c r="D627" s="104" t="inlineStr">
        <is>
          <t xml:space="preserve">Кр-99033180-3</t>
        </is>
      </c>
      <c r="E627" s="104" t="inlineStr">
        <is>
          <t xml:space="preserve">ABDIKAXAROV AVZAL MANNAPOVICH</t>
        </is>
      </c>
      <c r="F627" s="104" t="inlineStr">
        <is>
          <t xml:space="preserve">998971003311 SMS O’ZI, 998998090388 SMS AYOLI, 998946583238 SMS ONASI, 998500938322 SMS ONASI 2,</t>
        </is>
      </c>
      <c r="G627" s="104" t="inlineStr">
        <is>
          <t xml:space="preserve">TOSHKENT VILOYATI TOSHKENT TUMANI UCH-CHINOR MFY, TESARIQ 32</t>
        </is>
      </c>
      <c r="H627" s="105">
        <v>10.0</v>
      </c>
      <c r="I627" s="105">
        <v>2989493.71</v>
      </c>
    </row>
    <row r="628">
      <c r="A628" s="104" t="inlineStr">
        <is>
          <t xml:space="preserve">ТОШКЕНТ ВИЛОЯТИ</t>
        </is>
      </c>
      <c r="C628" s="104" t="inlineStr">
        <is>
          <t xml:space="preserve">Недозвон</t>
        </is>
      </c>
      <c r="D628" s="104" t="inlineStr">
        <is>
          <t xml:space="preserve">Кр-99033830-1</t>
        </is>
      </c>
      <c r="E628" s="104" t="inlineStr">
        <is>
          <t xml:space="preserve">ABDIKADIROV SAIB ABDIMAJITOVICH</t>
        </is>
      </c>
      <c r="F628" s="104" t="inlineStr">
        <is>
          <t xml:space="preserve">998883458687 SMS OZI, 998991186872 SMS OZI, 998889624455 SMS  AYOLI, 998889624455 SMS,</t>
        </is>
      </c>
      <c r="G628" s="104" t="inlineStr">
        <is>
          <t xml:space="preserve">TOSHKENT VILOYATI OQQO’RG’ON TUMANI XAMID OLIMJON MFY FIDOYILAR 38-XONADON</t>
        </is>
      </c>
      <c r="H628" s="105">
        <v>55.0</v>
      </c>
      <c r="I628" s="105">
        <v>2942264.79</v>
      </c>
    </row>
    <row r="629">
      <c r="A629" s="104" t="inlineStr">
        <is>
          <t xml:space="preserve">ТОШКЕНТ ВИЛОЯТИ</t>
        </is>
      </c>
      <c r="C629" s="104" t="inlineStr">
        <is>
          <t xml:space="preserve">Недозвон</t>
        </is>
      </c>
      <c r="D629" s="104" t="inlineStr">
        <is>
          <t xml:space="preserve">Кр-99035963-1</t>
        </is>
      </c>
      <c r="E629" s="104" t="inlineStr">
        <is>
          <t xml:space="preserve">ARTIKOV AKBARJON AKMALJONOVICH</t>
        </is>
      </c>
      <c r="F629" s="104" t="inlineStr">
        <is>
          <t xml:space="preserve">998935992555 SMS O’ZI , 998935118787 SMS UKASI, 998998270960 SMS AYOLI, 998993763131 SMS KELINI,</t>
        </is>
      </c>
      <c r="G629" s="104" t="inlineStr">
        <is>
          <t xml:space="preserve">TOSHKENT VILOYATI YANGIYO’L TUMANI U.MUSAYEV KFY  TUYA BOGIZ YOSHLIK MAHALLASI 68-UY  </t>
        </is>
      </c>
      <c r="H629" s="105">
        <v>3.0</v>
      </c>
      <c r="I629" s="105">
        <v>2932139.24</v>
      </c>
    </row>
    <row r="630">
      <c r="A630" s="104" t="inlineStr">
        <is>
          <t xml:space="preserve">ТОШКЕНТ ВИЛОЯТИ</t>
        </is>
      </c>
      <c r="C630" s="104" t="inlineStr">
        <is>
          <t xml:space="preserve">Недозвон</t>
        </is>
      </c>
      <c r="D630" s="104" t="inlineStr">
        <is>
          <t xml:space="preserve">Кр-99057468-2</t>
        </is>
      </c>
      <c r="E630" s="104" t="inlineStr">
        <is>
          <t xml:space="preserve">MELIBAYEVA GULSHANOY KUDBIDINOVNA</t>
        </is>
      </c>
      <c r="F630" s="104" t="inlineStr">
        <is>
          <t xml:space="preserve">998944506727 OZI, 998979181727 ERI, 998888261727 ONASI,</t>
        </is>
      </c>
      <c r="G630" s="104" t="inlineStr">
        <is>
          <t xml:space="preserve">TOSHKENT VILOYATI YANGIYO’L TUMANI OLMAZOR MFY  SHODLIK KO’CHASI 1/2-UY</t>
        </is>
      </c>
      <c r="H630" s="105">
        <v>15.0</v>
      </c>
      <c r="I630" s="105">
        <v>2897591.92</v>
      </c>
    </row>
    <row r="631">
      <c r="A631" s="104" t="inlineStr">
        <is>
          <t xml:space="preserve">ТОШКЕНТ ВИЛОЯТИ</t>
        </is>
      </c>
      <c r="C631" s="104" t="inlineStr">
        <is>
          <t xml:space="preserve">Недозвон</t>
        </is>
      </c>
      <c r="D631" s="104" t="inlineStr">
        <is>
          <t xml:space="preserve">Кр-99052990-1</t>
        </is>
      </c>
      <c r="E631" s="104" t="inlineStr">
        <is>
          <t xml:space="preserve">IBRAGIMOV AKROMJON KENJA O’G’LI</t>
        </is>
      </c>
      <c r="F631" s="104" t="inlineStr">
        <is>
          <t xml:space="preserve">998998032251 SMS OZI, 998885161966 SMS AYOLI, 998955360601 SMS UKASI, 998977615888 SMS AKASI,</t>
        </is>
      </c>
      <c r="G631" s="104" t="inlineStr">
        <is>
          <t xml:space="preserve">TOSHKENT SHAHAR CHILONZOR TUMANI DOMBROBOD MFY NOVZA-KOZIROBOD KO'CHASI 9-UY 44-XONADON</t>
        </is>
      </c>
      <c r="H631" s="105">
        <v>10.0</v>
      </c>
      <c r="I631" s="105">
        <v>2847930.87</v>
      </c>
    </row>
    <row r="632">
      <c r="A632" s="104" t="inlineStr">
        <is>
          <t xml:space="preserve">ТОШКЕНТ ВИЛОЯТИ</t>
        </is>
      </c>
      <c r="C632" s="104" t="inlineStr">
        <is>
          <t xml:space="preserve">Недозвон</t>
        </is>
      </c>
      <c r="D632" s="104" t="inlineStr">
        <is>
          <t xml:space="preserve">Кр-99063111-2</t>
        </is>
      </c>
      <c r="E632" s="104" t="inlineStr">
        <is>
          <t xml:space="preserve">ZULPIYEVA NODIRA ALIMJON QIZI</t>
        </is>
      </c>
      <c r="F632" s="104" t="inlineStr">
        <is>
          <t xml:space="preserve">998994415245 SMS ERI, 998997845820 SMS O’G’LI,</t>
        </is>
      </c>
      <c r="G632" s="104" t="inlineStr">
        <is>
          <t xml:space="preserve">GULBAXOR KO’CHASI 1-UY.7-XONADON</t>
        </is>
      </c>
      <c r="H632" s="105">
        <v>10.0</v>
      </c>
      <c r="I632" s="105">
        <v>2835667.64</v>
      </c>
    </row>
    <row r="633">
      <c r="A633" s="104" t="inlineStr">
        <is>
          <t xml:space="preserve">ТОШКЕНТ ВИЛОЯТИ</t>
        </is>
      </c>
      <c r="C633" s="104" t="inlineStr">
        <is>
          <t xml:space="preserve">Недозвон</t>
        </is>
      </c>
      <c r="D633" s="104" t="inlineStr">
        <is>
          <t xml:space="preserve">Кр-99036705-1</t>
        </is>
      </c>
      <c r="E633" s="104" t="inlineStr">
        <is>
          <t xml:space="preserve">ISMAILOVA XOLISXON DJURAYEVNA</t>
        </is>
      </c>
      <c r="F633" s="104" t="inlineStr">
        <is>
          <t xml:space="preserve">998976040473 SMS OZI, 998773110990 SMS OGLI, 998950570703 SMS KUYOVLARI, 998974410308 SMS QIZI,</t>
        </is>
      </c>
      <c r="G633" s="104" t="inlineStr">
        <is>
          <t xml:space="preserve">TOSHKENT VILOYATI YANGIYUL TUMANI NAVBAXOR MFY GULBAXOR KUCHASI 17-UY 53-XONADON</t>
        </is>
      </c>
      <c r="H633" s="105">
        <v>1.0</v>
      </c>
      <c r="I633" s="105">
        <v>2831628.23</v>
      </c>
    </row>
    <row r="634">
      <c r="A634" s="104" t="inlineStr">
        <is>
          <t xml:space="preserve">ТОШКЕНТ ВИЛОЯТИ</t>
        </is>
      </c>
      <c r="C634" s="104" t="inlineStr">
        <is>
          <t xml:space="preserve">Недозвон</t>
        </is>
      </c>
      <c r="D634" s="104" t="inlineStr">
        <is>
          <t xml:space="preserve">Кр-99063387-1</t>
        </is>
      </c>
      <c r="E634" s="104" t="inlineStr">
        <is>
          <t xml:space="preserve">NURUNBETOV RAVSHAN MURADOVICH</t>
        </is>
      </c>
      <c r="F634" s="104" t="inlineStr">
        <is>
          <t xml:space="preserve">998772354844 SMS UZI, 998940238994 SMS XOTINI, 998940268994 SMS QIZI,</t>
        </is>
      </c>
      <c r="G634" s="104" t="inlineStr">
        <is>
          <t xml:space="preserve">XURRIYAT MFY PAXTAKOR KO’CHASI 38B-UY</t>
        </is>
      </c>
      <c r="H634" s="105">
        <v>10.0</v>
      </c>
      <c r="I634" s="105">
        <v>2808333.27</v>
      </c>
    </row>
    <row r="635">
      <c r="A635" s="104" t="inlineStr">
        <is>
          <t xml:space="preserve">ТОШКЕНТ ВИЛОЯТИ</t>
        </is>
      </c>
      <c r="C635" s="104" t="inlineStr">
        <is>
          <t xml:space="preserve">Недозвон</t>
        </is>
      </c>
      <c r="D635" s="104" t="inlineStr">
        <is>
          <t xml:space="preserve">Кр-99063577-1</t>
        </is>
      </c>
      <c r="E635" s="104" t="inlineStr">
        <is>
          <t xml:space="preserve">ISOXO’JAYEV RASHIDXO’JA NABIXO’JA O’G’LI</t>
        </is>
      </c>
      <c r="F635" s="104" t="inlineStr">
        <is>
          <t xml:space="preserve">998945355800 Tolovchi 2-raqami, 998970741118 Dosti, 998997679708 Akasi,</t>
        </is>
      </c>
      <c r="G635" s="104" t="inlineStr">
        <is>
          <t xml:space="preserve">JAMBUL KOCHASI  200-UY</t>
        </is>
      </c>
      <c r="H635" s="105">
        <v>10.0</v>
      </c>
      <c r="I635" s="105">
        <v>2802378.27</v>
      </c>
    </row>
    <row r="636">
      <c r="A636" s="104" t="inlineStr">
        <is>
          <t xml:space="preserve">ТОШКЕНТ ВИЛОЯТИ</t>
        </is>
      </c>
      <c r="C636" s="104" t="inlineStr">
        <is>
          <t xml:space="preserve">Недозвон</t>
        </is>
      </c>
      <c r="D636" s="104" t="inlineStr">
        <is>
          <t xml:space="preserve">Кр-99063482-1</t>
        </is>
      </c>
      <c r="E636" s="104" t="inlineStr">
        <is>
          <t xml:space="preserve">YO’LDOSHMURODOV ISMOIL NIG’MONMUROD O’G’LI</t>
        </is>
      </c>
      <c r="F636" s="104" t="inlineStr">
        <is>
          <t xml:space="preserve">998770117776 SMS UKASI, 998935640001 SMS OZI, 998950565550 SMS DOSTI, 998999838880 SMS AYOLI,</t>
        </is>
      </c>
      <c r="G636" s="104" t="inlineStr">
        <is>
          <t xml:space="preserve">NAZARBEK KO’CHASI 5-UY</t>
        </is>
      </c>
      <c r="H636" s="105">
        <v>10.0</v>
      </c>
      <c r="I636" s="105">
        <v>2796957.21</v>
      </c>
    </row>
    <row r="637">
      <c r="A637" s="104" t="inlineStr">
        <is>
          <t xml:space="preserve">ТОШКЕНТ ВИЛОЯТИ</t>
        </is>
      </c>
      <c r="C637" s="104" t="inlineStr">
        <is>
          <t xml:space="preserve">Недозвон</t>
        </is>
      </c>
      <c r="D637" s="104" t="inlineStr">
        <is>
          <t xml:space="preserve">Кр-99061718-1</t>
        </is>
      </c>
      <c r="E637" s="104" t="inlineStr">
        <is>
          <t xml:space="preserve">YO’LDOSHBOYEV XAVASBEK TALABBOY O’G’LI</t>
        </is>
      </c>
      <c r="F637" s="104" t="inlineStr">
        <is>
          <t xml:space="preserve">998950685051 SMS OZI, 998992071727 SMS ONASI, 998931680475 SMS DADASI,</t>
        </is>
      </c>
      <c r="G637" s="104" t="inlineStr">
        <is>
          <t xml:space="preserve">TOSHKENT VILOYATI, PARKENT TUMANI, BOSHQIZILSOY QFY, NOVDAK MFY, NOVDANAK KUCHASI,57 UY</t>
        </is>
      </c>
      <c r="H637" s="105">
        <v>10.0</v>
      </c>
      <c r="I637" s="105">
        <v>2777948.98</v>
      </c>
    </row>
    <row r="638">
      <c r="A638" s="104" t="inlineStr">
        <is>
          <t xml:space="preserve">ТОШКЕНТ ВИЛОЯТИ</t>
        </is>
      </c>
      <c r="C638" s="104" t="inlineStr">
        <is>
          <t xml:space="preserve">Недозвон</t>
        </is>
      </c>
      <c r="D638" s="104" t="inlineStr">
        <is>
          <t xml:space="preserve">Кр-99038440-3</t>
        </is>
      </c>
      <c r="E638" s="104" t="inlineStr">
        <is>
          <t xml:space="preserve">AZLAROV AZIZXODJA ASRAROVICH</t>
        </is>
      </c>
      <c r="F638" s="104" t="inlineStr">
        <is>
          <t xml:space="preserve">998770755725 SMS AYOLLI, 998777273525 SMS QIZI, 998999055556 SMS O’ZI, 998999703525 SMS O’G’LI,</t>
        </is>
      </c>
      <c r="G638" s="104" t="inlineStr">
        <is>
          <t xml:space="preserve">ЗАФАРАБОД ҚФЙ, ХЎЖАҚЎРҒОН МФЙ, ЗАФАРАБОД, АДОЛАТ,  uy:34</t>
        </is>
      </c>
      <c r="H638" s="105">
        <v>10.0</v>
      </c>
      <c r="I638" s="105">
        <v>2609587.31</v>
      </c>
    </row>
    <row r="639">
      <c r="A639" s="104" t="inlineStr">
        <is>
          <t xml:space="preserve">ТОШКЕНТ ВИЛОЯТИ</t>
        </is>
      </c>
      <c r="C639" s="104" t="inlineStr">
        <is>
          <t xml:space="preserve">Недозвон</t>
        </is>
      </c>
      <c r="D639" s="104" t="inlineStr">
        <is>
          <t xml:space="preserve">Кр-99037191-1</t>
        </is>
      </c>
      <c r="E639" s="104" t="inlineStr">
        <is>
          <t xml:space="preserve">ERGASHEVA MINAVAR MIRZATILLAYEVNA</t>
        </is>
      </c>
      <c r="F639" s="104" t="inlineStr">
        <is>
          <t xml:space="preserve">998500222628 Ugli, 998995989800 SMS OGLI, 998773003206 SMS OGLI 2, 998998746767 SMS ERI, 998995989800 2 угли, 998998746767 эри,</t>
        </is>
      </c>
      <c r="G639" s="104" t="inlineStr">
        <is>
          <t xml:space="preserve">TOSHKENT VILOYATI OQQO’RG’ON TUMANI QAXRAMON MFY BAXTIYOR KO’CHASI 78-UY</t>
        </is>
      </c>
      <c r="H639" s="105">
        <v>10.0</v>
      </c>
      <c r="I639" s="105">
        <v>2597910.72</v>
      </c>
    </row>
    <row r="640">
      <c r="A640" s="104" t="inlineStr">
        <is>
          <t xml:space="preserve">ТОШКЕНТ ВИЛОЯТИ</t>
        </is>
      </c>
      <c r="C640" s="104" t="inlineStr">
        <is>
          <t xml:space="preserve">Недозвон</t>
        </is>
      </c>
      <c r="D640" s="104" t="inlineStr">
        <is>
          <t xml:space="preserve">Кр-99063429-1</t>
        </is>
      </c>
      <c r="E640" s="104" t="inlineStr">
        <is>
          <t xml:space="preserve">XAKIMOV IBROXIM ELMURAD O’G’LI</t>
        </is>
      </c>
      <c r="F640" s="104" t="inlineStr">
        <is>
          <t xml:space="preserve">998974817400 Ozi, 998970104700 Akasi, 998970584700 Onasi,</t>
        </is>
      </c>
      <c r="G640" s="104" t="inlineStr">
        <is>
          <t xml:space="preserve">TOSHKENT VILOYATI YANGIYUL TUMANI GULISTON MFY GULBOG` KOCHASI 100-uy</t>
        </is>
      </c>
      <c r="H640" s="105">
        <v>10.0</v>
      </c>
      <c r="I640" s="105">
        <v>2583384.92</v>
      </c>
    </row>
    <row r="641">
      <c r="A641" s="104" t="inlineStr">
        <is>
          <t xml:space="preserve">ТОШКЕНТ ВИЛОЯТИ</t>
        </is>
      </c>
      <c r="C641" s="104" t="inlineStr">
        <is>
          <t xml:space="preserve">Недозвон</t>
        </is>
      </c>
      <c r="D641" s="104" t="inlineStr">
        <is>
          <t xml:space="preserve">Кр-99032245-1</t>
        </is>
      </c>
      <c r="E641" s="104" t="inlineStr">
        <is>
          <t xml:space="preserve">DJUNUSBEKOV RUSTAMBEK RAVSHAN O’G’LI</t>
        </is>
      </c>
      <c r="F641" s="104" t="inlineStr">
        <is>
          <t xml:space="preserve">998997112654 SMS O’ZI, 998096305696 SMS O’ZI 2, 998886210523 SMS AYOLI, 998880130565 ozi,</t>
        </is>
      </c>
      <c r="G641" s="104" t="inlineStr">
        <is>
          <t xml:space="preserve">TOSHKENT VILOYATI O’RTACHIRCHIQ TUMANI NOMDANAK ISTIQLOL KOCHASI 112-UY</t>
        </is>
      </c>
      <c r="H641" s="105">
        <v>13.0</v>
      </c>
      <c r="I641" s="105">
        <v>2580521.15</v>
      </c>
    </row>
    <row r="642">
      <c r="A642" s="104" t="inlineStr">
        <is>
          <t xml:space="preserve">ТОШКЕНТ ВИЛОЯТИ</t>
        </is>
      </c>
      <c r="C642" s="104" t="inlineStr">
        <is>
          <t xml:space="preserve">Недозвон</t>
        </is>
      </c>
      <c r="D642" s="104" t="inlineStr">
        <is>
          <t xml:space="preserve">Кр-99038043-2</t>
        </is>
      </c>
      <c r="E642" s="104" t="inlineStr">
        <is>
          <t xml:space="preserve">RAXMONQULOV RADIFJON RAHIMJON O’G’LI</t>
        </is>
      </c>
      <c r="F642" s="104" t="inlineStr">
        <is>
          <t xml:space="preserve">998937010400 SMS OZI, 998997653158 SMS DO’STI, 998992720136 SMS DO’STI, 998936865888 SMS adasi,</t>
        </is>
      </c>
      <c r="G642" s="104" t="inlineStr">
        <is>
          <t xml:space="preserve">ПИСКЕНТ Ш., ЯНГИОБОД МФЙ, ПИСКЕНТ ШАХАР, ЯНГИОБОД МФЙ, ЯНГИОБОД,  uy:2</t>
        </is>
      </c>
      <c r="H642" s="105">
        <v>10.0</v>
      </c>
      <c r="I642" s="105">
        <v>2539412.01</v>
      </c>
    </row>
    <row r="643">
      <c r="A643" s="104" t="inlineStr">
        <is>
          <t xml:space="preserve">ТОШКЕНТ ВИЛОЯТИ</t>
        </is>
      </c>
      <c r="C643" s="104" t="inlineStr">
        <is>
          <t xml:space="preserve">Недозвон</t>
        </is>
      </c>
      <c r="D643" s="104" t="inlineStr">
        <is>
          <t xml:space="preserve">Кр-99038033-1</t>
        </is>
      </c>
      <c r="E643" s="104" t="inlineStr">
        <is>
          <t xml:space="preserve">NORMATOV BOBURJON SOXIB O'G'LI</t>
        </is>
      </c>
      <c r="F643" s="104" t="inlineStr">
        <is>
          <t xml:space="preserve">998940641242 SMS OZI, 998975402502 SMS OZI 2, 998941404979 SMS TOLOVCHI, 998883542512 SMS TOLOVCHI,</t>
        </is>
      </c>
      <c r="G643" s="104" t="inlineStr">
        <is>
          <t xml:space="preserve">TOSHKENT VILOYATI QUYICHIRCHIQ TUMANI O'JAKENT MFY ROXAT KO'CHASI 43-UY</t>
        </is>
      </c>
      <c r="H643" s="105">
        <v>9.0</v>
      </c>
      <c r="I643" s="105">
        <v>2530687.45</v>
      </c>
    </row>
    <row r="644">
      <c r="A644" s="104" t="inlineStr">
        <is>
          <t xml:space="preserve">ТОШКЕНТ ВИЛОЯТИ</t>
        </is>
      </c>
      <c r="C644" s="104" t="inlineStr">
        <is>
          <t xml:space="preserve">Недозвон</t>
        </is>
      </c>
      <c r="D644" s="104" t="inlineStr">
        <is>
          <t xml:space="preserve">Кр-99063471-1</t>
        </is>
      </c>
      <c r="E644" s="104" t="inlineStr">
        <is>
          <t xml:space="preserve">ASHUROV DJURABEK MUXAMADIYEVICH</t>
        </is>
      </c>
      <c r="F644" s="104" t="inlineStr">
        <is>
          <t xml:space="preserve">998938309000 OZi, 998958047757 Ukasi, 998970104700 Akasi,</t>
        </is>
      </c>
      <c r="G644" s="104" t="inlineStr">
        <is>
          <t xml:space="preserve">YANGIYOL TUMANI QO`SH YOG`OCH MFY AMIR TEMUR KOCHASI 106-UY</t>
        </is>
      </c>
      <c r="H644" s="105">
        <v>10.0</v>
      </c>
      <c r="I644" s="105">
        <v>2507024.56</v>
      </c>
    </row>
    <row r="645">
      <c r="A645" s="104" t="inlineStr">
        <is>
          <t xml:space="preserve">ТОШКЕНТ ВИЛОЯТИ</t>
        </is>
      </c>
      <c r="C645" s="104" t="inlineStr">
        <is>
          <t xml:space="preserve">Недозвон</t>
        </is>
      </c>
      <c r="D645" s="104" t="inlineStr">
        <is>
          <t xml:space="preserve">Кр-99063521-2</t>
        </is>
      </c>
      <c r="E645" s="104" t="inlineStr">
        <is>
          <t xml:space="preserve">AXMEDOV UMIDJON MIRZAKARIM O’G’LI</t>
        </is>
      </c>
      <c r="F645" s="104" t="inlineStr">
        <is>
          <t xml:space="preserve">998885996769 SMS UKASI, 998990717272 AKASI,</t>
        </is>
      </c>
      <c r="G645" s="104" t="inlineStr">
        <is>
          <t xml:space="preserve">TOSHKENT VILOYATI YANGIYO’L SHAHAR SABO MFY TONG DAHASI KOCHASI 11-UY 17-XONADON</t>
        </is>
      </c>
      <c r="H645" s="105">
        <v>10.0</v>
      </c>
      <c r="I645" s="105">
        <v>2497184.97</v>
      </c>
    </row>
    <row r="646">
      <c r="A646" s="104" t="inlineStr">
        <is>
          <t xml:space="preserve">ТОШКЕНТ ВИЛОЯТИ</t>
        </is>
      </c>
      <c r="C646" s="104" t="inlineStr">
        <is>
          <t xml:space="preserve">Недозвон</t>
        </is>
      </c>
      <c r="D646" s="104" t="inlineStr">
        <is>
          <t xml:space="preserve">Кр-99062839-2</t>
        </is>
      </c>
      <c r="E646" s="104" t="inlineStr">
        <is>
          <t xml:space="preserve">XODJABAYEVA QIZILGUL BAYIROVNA</t>
        </is>
      </c>
      <c r="F646" s="104" t="inlineStr">
        <is>
          <t xml:space="preserve">998931889930 SMS OZI, 998944081215 SMS TOLOVCHI, 998949223394 SMS SHERIGI BAXTIYOR,</t>
        </is>
      </c>
      <c r="G646" s="104" t="inlineStr">
        <is>
          <t xml:space="preserve">5/1 DAXA KO’CHASI 4-UY 49-XONADON</t>
        </is>
      </c>
      <c r="H646" s="105">
        <v>10.0</v>
      </c>
      <c r="I646" s="105">
        <v>2425754.37</v>
      </c>
    </row>
    <row r="647">
      <c r="A647" s="104" t="inlineStr">
        <is>
          <t xml:space="preserve">ТОШКЕНТ ВИЛОЯТИ</t>
        </is>
      </c>
      <c r="C647" s="104" t="inlineStr">
        <is>
          <t xml:space="preserve">Недозвон</t>
        </is>
      </c>
      <c r="D647" s="104" t="inlineStr">
        <is>
          <t xml:space="preserve">Кр-99063466-1</t>
        </is>
      </c>
      <c r="E647" s="104" t="inlineStr">
        <is>
          <t xml:space="preserve">ABDULLAYEV ZARIFJON NAZIMJONOVICH</t>
        </is>
      </c>
      <c r="F647" s="104" t="inlineStr">
        <is>
          <t xml:space="preserve">998909160996 AYOLI, 998954712205 AKASI,</t>
        </is>
      </c>
      <c r="G647" s="104" t="inlineStr">
        <is>
          <t xml:space="preserve">МЕХНАТОБОД ҚФЙ, ХОС МФЙ, ХОС МФЙ, ХОС,  uy:Р/С</t>
        </is>
      </c>
      <c r="H647" s="105">
        <v>10.0</v>
      </c>
      <c r="I647" s="105">
        <v>2409078.66</v>
      </c>
    </row>
    <row r="648">
      <c r="A648" s="104" t="inlineStr">
        <is>
          <t xml:space="preserve">ТОШКЕНТ ВИЛОЯТИ</t>
        </is>
      </c>
      <c r="C648" s="104" t="inlineStr">
        <is>
          <t xml:space="preserve">Недозвон</t>
        </is>
      </c>
      <c r="D648" s="104" t="inlineStr">
        <is>
          <t xml:space="preserve">Кр-99038753-1</t>
        </is>
      </c>
      <c r="E648" s="104" t="inlineStr">
        <is>
          <t xml:space="preserve">TUYCHIBOYEV RAVSHAN TALABBOYEVICH</t>
        </is>
      </c>
      <c r="F648" s="104" t="inlineStr">
        <is>
          <t xml:space="preserve">998970431162 SMS OZI, 998949343874 SMSV OGLI shu nomerga tolidi, 998948022897 SMS KELINI, 998944450890 SMS QIZI,</t>
        </is>
      </c>
      <c r="G648" s="104" t="inlineStr">
        <is>
          <t xml:space="preserve">TOSHKENT VILOYATI YANGIYO’L TUMANI SHO’RALISOY QFY FAYZOBOD 2-UY</t>
        </is>
      </c>
      <c r="H648" s="105">
        <v>8.0</v>
      </c>
      <c r="I648" s="105">
        <v>2370132.57</v>
      </c>
    </row>
    <row r="649">
      <c r="A649" s="104" t="inlineStr">
        <is>
          <t xml:space="preserve">ТОШКЕНТ ВИЛОЯТИ</t>
        </is>
      </c>
      <c r="C649" s="104" t="inlineStr">
        <is>
          <t xml:space="preserve">Недозвон</t>
        </is>
      </c>
      <c r="D649" s="104" t="inlineStr">
        <is>
          <t xml:space="preserve">Кр-99063909-1</t>
        </is>
      </c>
      <c r="E649" s="104" t="inlineStr">
        <is>
          <t xml:space="preserve">YO’LCHIBEKOV ASADBEK ROVSHAN O’G’LI</t>
        </is>
      </c>
      <c r="F649" s="104" t="inlineStr">
        <is>
          <t xml:space="preserve">+998995719101 SMS OZI, 998971888515 UKASI, 998977977313 SMS AKASI,</t>
        </is>
      </c>
      <c r="G649" s="104" t="inlineStr">
        <is>
          <t xml:space="preserve">TOSHKENT VILOYATI YANGIYO’L SHAHRI RAMADON MAHALLASI SAMARQAND KOCHASI 240-UY</t>
        </is>
      </c>
      <c r="H649" s="105">
        <v>10.0</v>
      </c>
      <c r="I649" s="105">
        <v>2348231.77</v>
      </c>
    </row>
    <row r="650">
      <c r="A650" s="104" t="inlineStr">
        <is>
          <t xml:space="preserve">ТОШКЕНТ ВИЛОЯТИ</t>
        </is>
      </c>
      <c r="C650" s="104" t="inlineStr">
        <is>
          <t xml:space="preserve">Недозвон</t>
        </is>
      </c>
      <c r="D650" s="104" t="inlineStr">
        <is>
          <t xml:space="preserve">Кр-99063366-2</t>
        </is>
      </c>
      <c r="E650" s="104" t="inlineStr">
        <is>
          <t xml:space="preserve">ISMATULLAYEV XUSAN IMAMALIYEVICH</t>
        </is>
      </c>
      <c r="F650" s="104" t="inlineStr">
        <is>
          <t xml:space="preserve">998939788708 SMS QIZI, 998950097201 SMS OZI, 998996003852 SMS ONASI, 998998706887 SMS AYYOLI,</t>
        </is>
      </c>
      <c r="G650" s="104" t="inlineStr">
        <is>
          <t xml:space="preserve">TOSHKENT VILOYATI YUQORICHIRCHIQ TUMANI SURANKENT SSG NURLI YO’L MSG QORA-TEPA KO’CHASI RAQAMSIZ UY</t>
        </is>
      </c>
      <c r="H650" s="105">
        <v>10.0</v>
      </c>
      <c r="I650" s="105">
        <v>2329324.42</v>
      </c>
    </row>
    <row r="651">
      <c r="A651" s="104" t="inlineStr">
        <is>
          <t xml:space="preserve">ТОШКЕНТ ВИЛОЯТИ</t>
        </is>
      </c>
      <c r="C651" s="104" t="inlineStr">
        <is>
          <t xml:space="preserve">Недозвон</t>
        </is>
      </c>
      <c r="D651" s="104" t="inlineStr">
        <is>
          <t xml:space="preserve">Кр-99037101-2</t>
        </is>
      </c>
      <c r="E651" s="104" t="inlineStr">
        <is>
          <t xml:space="preserve">USMONOV ILHOM MAXAMADALI O’G’LI</t>
        </is>
      </c>
      <c r="F651" s="104" t="inlineStr">
        <is>
          <t xml:space="preserve">998990556462 SMS OZI, 998941479704 SMS UKASI, 998501111183 SMS AKASI, 998940245354 SMS SINGLI,</t>
        </is>
      </c>
      <c r="G651" s="104" t="inlineStr">
        <is>
          <t xml:space="preserve">TOSHKENT VILOYATI PARKENT TUMANI MFY SAMSARAK MFY SAMSARAK KO’CHASI 18-UY</t>
        </is>
      </c>
      <c r="H651" s="105">
        <v>13.0</v>
      </c>
      <c r="I651" s="105">
        <v>2242188.52</v>
      </c>
    </row>
    <row r="652">
      <c r="A652" s="104" t="inlineStr">
        <is>
          <t xml:space="preserve">ТОШКЕНТ ВИЛОЯТИ</t>
        </is>
      </c>
      <c r="C652" s="104" t="inlineStr">
        <is>
          <t xml:space="preserve">Недозвон</t>
        </is>
      </c>
      <c r="D652" s="104" t="inlineStr">
        <is>
          <t xml:space="preserve">Кр-99037521-2</t>
        </is>
      </c>
      <c r="E652" s="104" t="inlineStr">
        <is>
          <t xml:space="preserve">ABDULLAYEV KAMOLIDDIN ERKINOVICH</t>
        </is>
      </c>
      <c r="F652" s="104" t="inlineStr">
        <is>
          <t xml:space="preserve">998998038040 SMS OZI, 998983140090 SMS O’G’LI, 998997700090 SMS AYOLI,</t>
        </is>
      </c>
      <c r="G652" s="104" t="inlineStr">
        <is>
          <t xml:space="preserve">TOSHKENT VILOYATI ZANGIOTA TUMANI YUQORI XASANBOY 5-UY</t>
        </is>
      </c>
      <c r="H652" s="105">
        <v>10.0</v>
      </c>
      <c r="I652" s="105">
        <v>2213218.01</v>
      </c>
    </row>
    <row r="653">
      <c r="A653" s="104" t="inlineStr">
        <is>
          <t xml:space="preserve">ТОШКЕНТ ВИЛОЯТИ</t>
        </is>
      </c>
      <c r="C653" s="104" t="inlineStr">
        <is>
          <t xml:space="preserve">Недозвон</t>
        </is>
      </c>
      <c r="D653" s="104" t="inlineStr">
        <is>
          <t xml:space="preserve">Кр-99056248-1</t>
        </is>
      </c>
      <c r="E653" s="104" t="inlineStr">
        <is>
          <t xml:space="preserve">USMONOV JABBOR SATTOROVICH</t>
        </is>
      </c>
      <c r="F653" s="104" t="inlineStr">
        <is>
          <t xml:space="preserve">998957854875 sms ozi, 998998992821 uzi new,</t>
        </is>
      </c>
      <c r="G653" s="104" t="inlineStr">
        <is>
          <t xml:space="preserve">IIV 26283</t>
        </is>
      </c>
      <c r="H653" s="105">
        <v>14.0</v>
      </c>
      <c r="I653" s="105">
        <v>2206236.0</v>
      </c>
    </row>
    <row r="654">
      <c r="A654" s="104" t="inlineStr">
        <is>
          <t xml:space="preserve">ТОШКЕНТ ВИЛОЯТИ</t>
        </is>
      </c>
      <c r="C654" s="104" t="inlineStr">
        <is>
          <t xml:space="preserve">Недозвон</t>
        </is>
      </c>
      <c r="D654" s="104" t="inlineStr">
        <is>
          <t xml:space="preserve">Кр-99050427-2</t>
        </is>
      </c>
      <c r="E654" s="104" t="inlineStr">
        <is>
          <t xml:space="preserve">ABDULAZIZOV XUSAN GULYAM O’G’LI</t>
        </is>
      </c>
      <c r="F654" s="104" t="inlineStr">
        <is>
          <t xml:space="preserve">+998998550638 SMS O’ZI, 998770990797 SMS OZI 3, 998900990797 SMS OZI 2, 998946223203 SMS AKASI,</t>
        </is>
      </c>
      <c r="G654" s="104" t="inlineStr">
        <is>
          <t xml:space="preserve">DO’STLIK MFY. BALAND KO’PRIK KO’CHASI 14-UY</t>
        </is>
      </c>
      <c r="H654" s="105">
        <v>10.0</v>
      </c>
      <c r="I654" s="105">
        <v>2198979.37</v>
      </c>
    </row>
    <row r="655">
      <c r="A655" s="104" t="inlineStr">
        <is>
          <t xml:space="preserve">ТОШКЕНТ ВИЛОЯТИ</t>
        </is>
      </c>
      <c r="C655" s="104" t="inlineStr">
        <is>
          <t xml:space="preserve">Недозвон</t>
        </is>
      </c>
      <c r="D655" s="104" t="inlineStr">
        <is>
          <t xml:space="preserve">Кр-99063729-1</t>
        </is>
      </c>
      <c r="E655" s="104" t="inlineStr">
        <is>
          <t xml:space="preserve">XASANOV AZIZBEK RAVSHAN O’G’LI</t>
        </is>
      </c>
      <c r="F655" s="104" t="inlineStr">
        <is>
          <t xml:space="preserve">998887293525 sms uzi 2, 998888261666 sms uzi, 998971808011 sms ayoli,</t>
        </is>
      </c>
      <c r="G655" s="104" t="inlineStr">
        <is>
          <t xml:space="preserve">Тиллаобод МФЙ, Мустақиллик кучаси, 50-уй</t>
        </is>
      </c>
      <c r="H655" s="105">
        <v>14.0</v>
      </c>
      <c r="I655" s="105">
        <v>2196562.29</v>
      </c>
    </row>
    <row r="656">
      <c r="A656" s="104" t="inlineStr">
        <is>
          <t xml:space="preserve">ТОШКЕНТ ВИЛОЯТИ</t>
        </is>
      </c>
      <c r="C656" s="104" t="inlineStr">
        <is>
          <t xml:space="preserve">Недозвон</t>
        </is>
      </c>
      <c r="D656" s="104" t="inlineStr">
        <is>
          <t xml:space="preserve">Кр-99035782-4</t>
        </is>
      </c>
      <c r="E656" s="104" t="inlineStr">
        <is>
          <t xml:space="preserve">ZIYOMOV DILSHOD RAXIMJONOVICH</t>
        </is>
      </c>
      <c r="F656" s="104" t="inlineStr">
        <is>
          <t xml:space="preserve">998974535000 SMS OZI, 998998077617 SMS DOSTI, 998997120330 SMS UKASI, 998999081131 SMS OSHNASI,</t>
        </is>
      </c>
      <c r="G656" s="104" t="inlineStr">
        <is>
          <t xml:space="preserve">Халимкўп МФЙ, Халимкоп кучаси, 119-уй</t>
        </is>
      </c>
      <c r="H656" s="105">
        <v>10.0</v>
      </c>
      <c r="I656" s="105">
        <v>2172318.11</v>
      </c>
    </row>
    <row r="657">
      <c r="A657" s="104" t="inlineStr">
        <is>
          <t xml:space="preserve">ТОШКЕНТ ВИЛОЯТИ</t>
        </is>
      </c>
      <c r="C657" s="104" t="inlineStr">
        <is>
          <t xml:space="preserve">Недозвон</t>
        </is>
      </c>
      <c r="D657" s="104" t="inlineStr">
        <is>
          <t xml:space="preserve">Кр-99063000-1</t>
        </is>
      </c>
      <c r="E657" s="104" t="inlineStr">
        <is>
          <t xml:space="preserve">SOTIBOLDIYEVA XURSANOY MUSTAFA QIZI</t>
        </is>
      </c>
      <c r="F657" s="104" t="inlineStr">
        <is>
          <t xml:space="preserve">998880179706 SMS ERI, 998933202223 SMS OZI, 998940292972 SMS OANSI, 998949821501 SMS TOLOVCHI,</t>
        </is>
      </c>
      <c r="G657" s="104" t="inlineStr">
        <is>
          <t xml:space="preserve">TOSHKENT VILOYTAI BO’KA TUMANI ACHAMAYLI MFY PAHLAVON KOCAHSI 29-UY</t>
        </is>
      </c>
      <c r="H657" s="105">
        <v>10.0</v>
      </c>
      <c r="I657" s="105">
        <v>2161057.71</v>
      </c>
    </row>
    <row r="658">
      <c r="A658" s="104" t="inlineStr">
        <is>
          <t xml:space="preserve">ТОШКЕНТ ВИЛОЯТИ</t>
        </is>
      </c>
      <c r="C658" s="104" t="inlineStr">
        <is>
          <t xml:space="preserve">Недозвон</t>
        </is>
      </c>
      <c r="D658" s="104" t="inlineStr">
        <is>
          <t xml:space="preserve">Кр-99035219-1</t>
        </is>
      </c>
      <c r="E658" s="104" t="inlineStr">
        <is>
          <t xml:space="preserve">BERDIYOROVA  SEVINCH ZUXRIDDIN QIZI </t>
        </is>
      </c>
      <c r="F658" s="104" t="inlineStr">
        <is>
          <t xml:space="preserve">998994784416 SMS O’ZI, 998994784411 SMS ERI, 998940042931 SMS O’RTOG’I, 998935772071 SMS ADASI,</t>
        </is>
      </c>
      <c r="G658" s="104" t="inlineStr">
        <is>
          <t xml:space="preserve">TOSHKENT VILOYATI ZANGIOTA TUMANI  QIZG‘ALDOQ QFY A.NAVOIY KO‘CHASI 56 "A" UY</t>
        </is>
      </c>
      <c r="H658" s="105">
        <v>6.0</v>
      </c>
      <c r="I658" s="105">
        <v>2153004.96</v>
      </c>
    </row>
    <row r="659">
      <c r="A659" s="104" t="inlineStr">
        <is>
          <t xml:space="preserve">ТОШКЕНТ ВИЛОЯТИ</t>
        </is>
      </c>
      <c r="C659" s="104" t="inlineStr">
        <is>
          <t xml:space="preserve">Недозвон</t>
        </is>
      </c>
      <c r="D659" s="104" t="inlineStr">
        <is>
          <t xml:space="preserve">Кр-99035782-8</t>
        </is>
      </c>
      <c r="E659" s="104" t="inlineStr">
        <is>
          <t xml:space="preserve">ZIYOMOV DILSHOD RAXIMJONOVICH</t>
        </is>
      </c>
      <c r="F659" s="104" t="inlineStr">
        <is>
          <t xml:space="preserve">998974535000 SMS OZI, 998998077617 SMS DOSTI, 998997120330 SMS UKASI, 998999081131 SMS OSHNASI,</t>
        </is>
      </c>
      <c r="G659" s="104" t="inlineStr">
        <is>
          <t xml:space="preserve">Халимкўп МФЙ, Халимкоп кучаси, 119-уй</t>
        </is>
      </c>
      <c r="H659" s="105">
        <v>10.0</v>
      </c>
      <c r="I659" s="105">
        <v>2123325.33</v>
      </c>
    </row>
    <row r="660">
      <c r="A660" s="104" t="inlineStr">
        <is>
          <t xml:space="preserve">ТОШКЕНТ ВИЛОЯТИ</t>
        </is>
      </c>
      <c r="C660" s="104" t="inlineStr">
        <is>
          <t xml:space="preserve">Недозвон</t>
        </is>
      </c>
      <c r="D660" s="104" t="inlineStr">
        <is>
          <t xml:space="preserve">Кр-99056297-1</t>
        </is>
      </c>
      <c r="E660" s="104" t="inlineStr">
        <is>
          <t xml:space="preserve">KOSBAYEV BEKZAT MAXULBEKOVICH</t>
        </is>
      </c>
      <c r="F660" s="104" t="inlineStr">
        <is>
          <t xml:space="preserve">998900232353 SMS OZI, 998900986108 SMS AYOLI, 998998650368 SMS ONASI,</t>
        </is>
      </c>
      <c r="G660" s="104" t="inlineStr">
        <is>
          <t xml:space="preserve">TOSHKENT VILOYATI BO’STONLIQ TUMANI QORAMANAS KO’CHASI 3-UY</t>
        </is>
      </c>
      <c r="H660" s="105">
        <v>10.0</v>
      </c>
      <c r="I660" s="105">
        <v>2119800.77</v>
      </c>
    </row>
    <row r="661">
      <c r="A661" s="104" t="inlineStr">
        <is>
          <t xml:space="preserve">ТОШКЕНТ ВИЛОЯТИ</t>
        </is>
      </c>
      <c r="C661" s="104" t="inlineStr">
        <is>
          <t xml:space="preserve">Недозвон</t>
        </is>
      </c>
      <c r="D661" s="104" t="inlineStr">
        <is>
          <t xml:space="preserve">Кр-99063338-1</t>
        </is>
      </c>
      <c r="E661" s="104" t="inlineStr">
        <is>
          <t xml:space="preserve">XODJAYEVA XANAY MAVLYANKULOVNA</t>
        </is>
      </c>
      <c r="F661" s="104" t="inlineStr">
        <is>
          <t xml:space="preserve">998881335308 SMS OZI, 998881372201 SMS O’G’LI, 998885070729 SMS O’G’LI, 998885350880 SMS KELINI,</t>
        </is>
      </c>
      <c r="G661" s="104" t="inlineStr">
        <is>
          <t xml:space="preserve">TOSHKENT VILOYATI CHIRCHIQ TASHKENTSKAYA OBLAST G CHIRCHIK TURON MSG UL 4 KICHIK NOHIYA 44 DOM 51 KVARTIRA</t>
        </is>
      </c>
      <c r="H661" s="105">
        <v>10.0</v>
      </c>
      <c r="I661" s="105">
        <v>2115261.11</v>
      </c>
    </row>
    <row r="662">
      <c r="A662" s="104" t="inlineStr">
        <is>
          <t xml:space="preserve">ТОШКЕНТ ВИЛОЯТИ</t>
        </is>
      </c>
      <c r="C662" s="104" t="inlineStr">
        <is>
          <t xml:space="preserve">Недозвон</t>
        </is>
      </c>
      <c r="D662" s="104" t="inlineStr">
        <is>
          <t xml:space="preserve">Кр-99051158-1</t>
        </is>
      </c>
      <c r="E662" s="104" t="inlineStr">
        <is>
          <t xml:space="preserve">XODJAYEV ILGAR AZIZOVICH</t>
        </is>
      </c>
      <c r="F662" s="104" t="inlineStr">
        <is>
          <t xml:space="preserve">998883360204 sms ozi, 998951167505 sms ayoli2, 998973473429 sms ayoli,</t>
        </is>
      </c>
      <c r="G662" s="104" t="inlineStr">
        <is>
          <t xml:space="preserve">O’RTACHIRCHIQ TUMANI</t>
        </is>
      </c>
      <c r="H662" s="105">
        <v>14.0</v>
      </c>
      <c r="I662" s="105">
        <v>2062001.2</v>
      </c>
    </row>
    <row r="663">
      <c r="A663" s="104" t="inlineStr">
        <is>
          <t xml:space="preserve">ТОШКЕНТ ВИЛОЯТИ</t>
        </is>
      </c>
      <c r="C663" s="104" t="inlineStr">
        <is>
          <t xml:space="preserve">Недозвон</t>
        </is>
      </c>
      <c r="D663" s="104" t="inlineStr">
        <is>
          <t xml:space="preserve">Кр-99038087-1</t>
        </is>
      </c>
      <c r="E663" s="104" t="inlineStr">
        <is>
          <t xml:space="preserve">DAULBAYEV NURJAN MUSIRMANOVICH</t>
        </is>
      </c>
      <c r="F663" s="104" t="inlineStr">
        <is>
          <t xml:space="preserve">998975455939 SMS OZI, 998997968701 SMS AYOLI, 998933983301 SMS O’G’LI,</t>
        </is>
      </c>
      <c r="G663" s="104" t="inlineStr">
        <is>
          <t xml:space="preserve">TOSHKENT VILOYATI BO’STONLIQ TUMANI TUMANI, QARAMANAS MFY 45-UY</t>
        </is>
      </c>
      <c r="H663" s="105">
        <v>3.0</v>
      </c>
      <c r="I663" s="105">
        <v>2038326.74</v>
      </c>
    </row>
    <row r="664">
      <c r="A664" s="104" t="inlineStr">
        <is>
          <t xml:space="preserve">ТОШКЕНТ ВИЛОЯТИ</t>
        </is>
      </c>
      <c r="C664" s="104" t="inlineStr">
        <is>
          <t xml:space="preserve">Недозвон</t>
        </is>
      </c>
      <c r="D664" s="104" t="inlineStr">
        <is>
          <t xml:space="preserve">Кр-99034963-2</t>
        </is>
      </c>
      <c r="E664" s="104" t="inlineStr">
        <is>
          <t xml:space="preserve">KAMILOVA GULBAHOR MAQSUD QIZI</t>
        </is>
      </c>
      <c r="F664" s="104" t="inlineStr">
        <is>
          <t xml:space="preserve">998974214242 SMS O’ZI, 998900126414 SMS O’ZI, 998946726665 SMS ONASI, 998505004013 SMS UY,</t>
        </is>
      </c>
      <c r="G664" s="104" t="inlineStr">
        <is>
          <t xml:space="preserve">TOSHKENT VILOYATI TOSHKENT TUMANI  SHAMSIOBOD MFY MOXIDIL KO’CHASI 6-UY</t>
        </is>
      </c>
      <c r="H664" s="105">
        <v>7.0</v>
      </c>
      <c r="I664" s="105">
        <v>1980060.0</v>
      </c>
    </row>
    <row r="665">
      <c r="A665" s="104" t="inlineStr">
        <is>
          <t xml:space="preserve">ТОШКЕНТ ВИЛОЯТИ</t>
        </is>
      </c>
      <c r="C665" s="104" t="inlineStr">
        <is>
          <t xml:space="preserve">Недозвон</t>
        </is>
      </c>
      <c r="D665" s="104" t="inlineStr">
        <is>
          <t xml:space="preserve">Кр-99029260-1</t>
        </is>
      </c>
      <c r="E665" s="104" t="inlineStr">
        <is>
          <t xml:space="preserve">KALIMBETOVA GULNOZA MAMATALI QIZI</t>
        </is>
      </c>
      <c r="F665" s="104" t="inlineStr">
        <is>
          <t xml:space="preserve">97-751-45-76  SMS O'ZI, 88-890-04-94  SMS ERI, 93-534-54-34  SMS ERI 2, 99-838-97-15  SMS SINGLISI,</t>
        </is>
      </c>
      <c r="G665" s="104" t="inlineStr">
        <is>
          <t xml:space="preserve">TOSHKENT VILOYATI QIBRAY TUMANI QIPCHOQ QFY JALAYER KO’CHASI 35-UY</t>
        </is>
      </c>
      <c r="H665" s="105">
        <v>9.0</v>
      </c>
      <c r="I665" s="105">
        <v>1941362.58</v>
      </c>
    </row>
    <row r="666">
      <c r="A666" s="104" t="inlineStr">
        <is>
          <t xml:space="preserve">ТОШКЕНТ ВИЛОЯТИ</t>
        </is>
      </c>
      <c r="C666" s="104" t="inlineStr">
        <is>
          <t xml:space="preserve">Недозвон</t>
        </is>
      </c>
      <c r="D666" s="104" t="inlineStr">
        <is>
          <t xml:space="preserve">Кр-99051903-3</t>
        </is>
      </c>
      <c r="E666" s="104" t="inlineStr">
        <is>
          <t xml:space="preserve">SHANAZAROV ILXAM SHAMAXMUDOVICH</t>
        </is>
      </c>
      <c r="F666" s="104" t="inlineStr">
        <is>
          <t xml:space="preserve">998970166656 SMS UZI, 998974766676 SMS AYOLI, 998978779722 SMS DOSTI,</t>
        </is>
      </c>
      <c r="G666" s="104" t="inlineStr">
        <is>
          <t xml:space="preserve">TINCHLIK MFY 3-KICHIK NOXIYA 36.10-UY</t>
        </is>
      </c>
      <c r="H666" s="105">
        <v>15.0</v>
      </c>
      <c r="I666" s="105">
        <v>1923495.27</v>
      </c>
    </row>
    <row r="667">
      <c r="A667" s="104" t="inlineStr">
        <is>
          <t xml:space="preserve">ТОШКЕНТ ВИЛОЯТИ</t>
        </is>
      </c>
      <c r="C667" s="104" t="inlineStr">
        <is>
          <t xml:space="preserve">Недозвон</t>
        </is>
      </c>
      <c r="D667" s="104" t="inlineStr">
        <is>
          <t xml:space="preserve">Кр-99039603-3</t>
        </is>
      </c>
      <c r="E667" s="104" t="inlineStr">
        <is>
          <t xml:space="preserve">SHARIPXODJAYEVA FAROGAT SHUKURILLAYEVNA</t>
        </is>
      </c>
      <c r="F667" s="104" t="inlineStr">
        <is>
          <t xml:space="preserve">998977189559 SMS OGLI, 998973169559 SMS OZI, 998977699559 SMS KELINI,</t>
        </is>
      </c>
      <c r="G667" s="104" t="inlineStr">
        <is>
          <t xml:space="preserve">TOSHKENT VILOYATI TOSHKENT TUMANI NAVOIY MFY GULTEPA KO’CHASI 7-UY</t>
        </is>
      </c>
      <c r="H667" s="105">
        <v>10.0</v>
      </c>
      <c r="I667" s="105">
        <v>1817920.29</v>
      </c>
    </row>
    <row r="668">
      <c r="A668" s="104" t="inlineStr">
        <is>
          <t xml:space="preserve">ТОШКЕНТ ВИЛОЯТИ</t>
        </is>
      </c>
      <c r="C668" s="104" t="inlineStr">
        <is>
          <t xml:space="preserve">Недозвон</t>
        </is>
      </c>
      <c r="D668" s="104" t="inlineStr">
        <is>
          <t xml:space="preserve">Кр-99047607-2</t>
        </is>
      </c>
      <c r="E668" s="104" t="inlineStr">
        <is>
          <t xml:space="preserve">SANGINOV BURXAN AZIMOVICH</t>
        </is>
      </c>
      <c r="F668" s="104" t="inlineStr">
        <is>
          <t xml:space="preserve">+998994008530 SMS O’ZI, 998948320492 SMS QAYNISINGLISI, 998959058530 SMS AYOLI,</t>
        </is>
      </c>
      <c r="G668" s="104" t="inlineStr">
        <is>
          <t xml:space="preserve">TOSHKENT VILOYATI BOKA TUMANI YANGIOBOD MFY MARKAZIY 45-UY</t>
        </is>
      </c>
      <c r="H668" s="105">
        <v>10.0</v>
      </c>
      <c r="I668" s="105">
        <v>1810008.29</v>
      </c>
    </row>
    <row r="669">
      <c r="A669" s="104" t="inlineStr">
        <is>
          <t xml:space="preserve">ТОШКЕНТ ВИЛОЯТИ</t>
        </is>
      </c>
      <c r="C669" s="104" t="inlineStr">
        <is>
          <t xml:space="preserve">Недозвон</t>
        </is>
      </c>
      <c r="D669" s="104" t="inlineStr">
        <is>
          <t xml:space="preserve">Кр-99040533-1</t>
        </is>
      </c>
      <c r="E669" s="104" t="inlineStr">
        <is>
          <t xml:space="preserve">ABDALIYEV SAYDULA SARDARBEKOVICH</t>
        </is>
      </c>
      <c r="F669" s="104" t="inlineStr">
        <is>
          <t xml:space="preserve">998992367885 SMS OZI, 998999147885 SMS AYOLI, 998995222805 SMS OGLI, 998945417191 SMS QIZI,</t>
        </is>
      </c>
      <c r="G669" s="104" t="inlineStr">
        <is>
          <t xml:space="preserve">TOSHKENT VILOYATI OXANGARON TUMANI OZODLIK QFY OBAYT-30 UY</t>
        </is>
      </c>
      <c r="H669" s="105">
        <v>10.0</v>
      </c>
      <c r="I669" s="105">
        <v>1809510.32</v>
      </c>
    </row>
    <row r="670">
      <c r="A670" s="104" t="inlineStr">
        <is>
          <t xml:space="preserve">ТОШКЕНТ ВИЛОЯТИ</t>
        </is>
      </c>
      <c r="C670" s="104" t="inlineStr">
        <is>
          <t xml:space="preserve">Недозвон</t>
        </is>
      </c>
      <c r="D670" s="104" t="inlineStr">
        <is>
          <t xml:space="preserve">Кр-99063056-1</t>
        </is>
      </c>
      <c r="E670" s="104" t="inlineStr">
        <is>
          <t xml:space="preserve">ARSTANXULOV MARAT SATIBALDIYEVICH</t>
        </is>
      </c>
      <c r="F670" s="104" t="inlineStr">
        <is>
          <t xml:space="preserve">998887926480 OZI, 998887942680 AYOLI, 998880451408 OGLI, 998999140106 OGLI,</t>
        </is>
      </c>
      <c r="G670" s="104" t="inlineStr">
        <is>
          <t xml:space="preserve">TOSHKENT VILOYATI YUQORICHIRCHIQ TUMANI TOSHTUGIZOK MFY QORATUXUM MAHALLASI ELDOSH KO'CHASI 41-UY</t>
        </is>
      </c>
      <c r="H670" s="105">
        <v>10.0</v>
      </c>
      <c r="I670" s="105">
        <v>1790019.42</v>
      </c>
    </row>
    <row r="671">
      <c r="A671" s="104" t="inlineStr">
        <is>
          <t xml:space="preserve">ТОШКЕНТ ВИЛОЯТИ</t>
        </is>
      </c>
      <c r="C671" s="104" t="inlineStr">
        <is>
          <t xml:space="preserve">Недозвон</t>
        </is>
      </c>
      <c r="D671" s="104" t="inlineStr">
        <is>
          <t xml:space="preserve">Кр-99039011-1</t>
        </is>
      </c>
      <c r="E671" s="104" t="inlineStr">
        <is>
          <t xml:space="preserve">HABIBULLAYEV IZZATULLA QUDRATULLA O’G’LI</t>
        </is>
      </c>
      <c r="F671" s="104" t="inlineStr">
        <is>
          <t xml:space="preserve">998998472131 SMS OZI, 998903333132 SMS AKASI, 998998472131 SMS AKASI 3,</t>
        </is>
      </c>
      <c r="G671" s="104" t="inlineStr">
        <is>
          <t xml:space="preserve">TOSHKENT VILOYATI TOSHKENT TUMANI KELES MFY,KELES 103 -UY</t>
        </is>
      </c>
      <c r="H671" s="105">
        <v>7.0</v>
      </c>
      <c r="I671" s="105">
        <v>1787838.67</v>
      </c>
    </row>
    <row r="672">
      <c r="A672" s="104" t="inlineStr">
        <is>
          <t xml:space="preserve">ТОШКЕНТ ВИЛОЯТИ</t>
        </is>
      </c>
      <c r="C672" s="104" t="inlineStr">
        <is>
          <t xml:space="preserve">Недозвон</t>
        </is>
      </c>
      <c r="D672" s="104" t="inlineStr">
        <is>
          <t xml:space="preserve">Кр-99064096-2</t>
        </is>
      </c>
      <c r="E672" s="104" t="inlineStr">
        <is>
          <t xml:space="preserve">NAZIRDJONOV NODIRJON NABI O’G’LI</t>
        </is>
      </c>
      <c r="F672" s="104" t="inlineStr">
        <is>
          <t xml:space="preserve">+998870669977 SMS OZI, 998885056660 SMS AKASI, 998888785676 SMS,</t>
        </is>
      </c>
      <c r="G672" s="104" t="inlineStr">
        <is>
          <t xml:space="preserve">TOSHKENT VILOYATI YANGIYO’L TUMANI PISTALIK MFY TINCHLIK KOCHASI 51-UY</t>
        </is>
      </c>
      <c r="H672" s="105">
        <v>10.0</v>
      </c>
      <c r="I672" s="105">
        <v>1764455.19</v>
      </c>
    </row>
    <row r="673">
      <c r="A673" s="104" t="inlineStr">
        <is>
          <t xml:space="preserve">ТОШКЕНТ ВИЛОЯТИ</t>
        </is>
      </c>
      <c r="C673" s="104" t="inlineStr">
        <is>
          <t xml:space="preserve">Недозвон</t>
        </is>
      </c>
      <c r="D673" s="104" t="inlineStr">
        <is>
          <t xml:space="preserve">Кр-99034329-1</t>
        </is>
      </c>
      <c r="E673" s="104" t="inlineStr">
        <is>
          <t xml:space="preserve">MAXMUDOV FURQAT AHAD O’G’LI</t>
        </is>
      </c>
      <c r="F673" s="104" t="inlineStr">
        <is>
          <t xml:space="preserve">998958787000 SMS OZI, 998334857777 SMS AYOLI, 998339039090 SMS UKASI, 998977066063 SMS AKASI,</t>
        </is>
      </c>
      <c r="G673" s="104" t="inlineStr">
        <is>
          <t xml:space="preserve">TOSHKENT VILOYATI ZANGIOTA TUMANI TUMANI QIZG’ALDOQ MFY KVARTAL KO’CHASI 16-XONADON</t>
        </is>
      </c>
      <c r="H673" s="105">
        <v>6.0</v>
      </c>
      <c r="I673" s="105">
        <v>1762479.33</v>
      </c>
    </row>
    <row r="674">
      <c r="A674" s="104" t="inlineStr">
        <is>
          <t xml:space="preserve">ТОШКЕНТ ВИЛОЯТИ</t>
        </is>
      </c>
      <c r="C674" s="104" t="inlineStr">
        <is>
          <t xml:space="preserve">Недозвон</t>
        </is>
      </c>
      <c r="D674" s="104" t="inlineStr">
        <is>
          <t xml:space="preserve">Кр-99063533-1</t>
        </is>
      </c>
      <c r="E674" s="104" t="inlineStr">
        <is>
          <t xml:space="preserve">QO’CHQOROV MURODJON ISMOG’IL O’G’LI</t>
        </is>
      </c>
      <c r="F674" s="104" t="inlineStr">
        <is>
          <t xml:space="preserve">998977725457 SMS UKASI, 998977765457 SMS OZI, 998993756030 SMS QOSHNISI,</t>
        </is>
      </c>
      <c r="G674" s="104" t="inlineStr">
        <is>
          <t xml:space="preserve">TOSHKENT VILOYATI TOSHKENT TUMANI CHUVACHILI MFY MEVAZOR KOCHASI 18-UY</t>
        </is>
      </c>
      <c r="H674" s="105">
        <v>10.0</v>
      </c>
      <c r="I674" s="105">
        <v>1718022.52</v>
      </c>
    </row>
    <row r="675">
      <c r="A675" s="104" t="inlineStr">
        <is>
          <t xml:space="preserve">ТОШКЕНТ ВИЛОЯТИ</t>
        </is>
      </c>
      <c r="C675" s="104" t="inlineStr">
        <is>
          <t xml:space="preserve">Недозвон</t>
        </is>
      </c>
      <c r="D675" s="104" t="inlineStr">
        <is>
          <t xml:space="preserve">Кр-99037392-1</t>
        </is>
      </c>
      <c r="E675" s="104" t="inlineStr">
        <is>
          <t xml:space="preserve">RAXMONOV SHAVKAT MURODILLAYEVICH</t>
        </is>
      </c>
      <c r="F675" s="104" t="inlineStr">
        <is>
          <t xml:space="preserve">998945229770 SMS OZI, 998977269092 SMS ONASI, 998932271953 SMS DADASI, 998983120103 SMS AKASI,</t>
        </is>
      </c>
      <c r="G675" s="104" t="inlineStr">
        <is>
          <t xml:space="preserve">TOSHKENT VILOYATI QIBRAY TUMANI QIPCHOQ QFY OLMAZOR MFY SAXOVAT KO’CHASI 24-UY </t>
        </is>
      </c>
      <c r="H675" s="105">
        <v>2.0</v>
      </c>
      <c r="I675" s="105">
        <v>1694367.5</v>
      </c>
    </row>
    <row r="676">
      <c r="A676" s="104" t="inlineStr">
        <is>
          <t xml:space="preserve">ТОШКЕНТ ВИЛОЯТИ</t>
        </is>
      </c>
      <c r="C676" s="104" t="inlineStr">
        <is>
          <t xml:space="preserve">Недозвон</t>
        </is>
      </c>
      <c r="D676" s="104" t="inlineStr">
        <is>
          <t xml:space="preserve">Кр-99041657-1</t>
        </is>
      </c>
      <c r="E676" s="104" t="inlineStr">
        <is>
          <t xml:space="preserve">G‘ULOMOV NODIR ABDUXAMITOVICH</t>
        </is>
      </c>
      <c r="F676" s="104" t="inlineStr">
        <is>
          <t xml:space="preserve">998331401516 SSMS AYOLI, 998900946465 SMS OZI, 998908160654 SMS UYI, 998998562969 SMS ONASI, +998900946465 Primary phone from road24,</t>
        </is>
      </c>
      <c r="G676" s="104" t="inlineStr">
        <is>
          <t xml:space="preserve">Угам МФЙ, Консой кучаси, 38-уй</t>
        </is>
      </c>
      <c r="H676" s="105">
        <v>10.0</v>
      </c>
      <c r="I676" s="105">
        <v>1676193.69</v>
      </c>
    </row>
    <row r="677">
      <c r="A677" s="104" t="inlineStr">
        <is>
          <t xml:space="preserve">ТОШКЕНТ ВИЛОЯТИ</t>
        </is>
      </c>
      <c r="C677" s="104" t="inlineStr">
        <is>
          <t xml:space="preserve">Недозвон</t>
        </is>
      </c>
      <c r="D677" s="104" t="inlineStr">
        <is>
          <t xml:space="preserve">Кр-99041859-1</t>
        </is>
      </c>
      <c r="E677" s="104" t="inlineStr">
        <is>
          <t xml:space="preserve">TOSHMIRZAYEV NODIR SHUXRAT O’G’LI</t>
        </is>
      </c>
      <c r="F677" s="104" t="inlineStr">
        <is>
          <t xml:space="preserve">+998974776949 SMS OZI, 998940746949 SMS AKASI, 998991302323 SMS DOSTI,</t>
        </is>
      </c>
      <c r="G677" s="104" t="inlineStr">
        <is>
          <t xml:space="preserve">ДУРМОН ҚФЙ, ЮҚОРИ ЮЗ МФЙ, ЮКОРИ-ЮЗ Д/О-2 КЎЧАСИ,  uy:6 xonadon:28</t>
        </is>
      </c>
      <c r="H677" s="105">
        <v>10.0</v>
      </c>
      <c r="I677" s="105">
        <v>1634538.13</v>
      </c>
    </row>
    <row r="678">
      <c r="A678" s="104" t="inlineStr">
        <is>
          <t xml:space="preserve">ТОШКЕНТ ВИЛОЯТИ</t>
        </is>
      </c>
      <c r="C678" s="104" t="inlineStr">
        <is>
          <t xml:space="preserve">Недозвон</t>
        </is>
      </c>
      <c r="D678" s="104" t="inlineStr">
        <is>
          <t xml:space="preserve">Кр-99063274-1</t>
        </is>
      </c>
      <c r="E678" s="104" t="inlineStr">
        <is>
          <t xml:space="preserve">UTKIROV ZIYODJON ABDUSADIR O’G’LI</t>
        </is>
      </c>
      <c r="F678" s="104" t="inlineStr">
        <is>
          <t xml:space="preserve">998900653565 SMS-AYOLI, 998909299750 SMS-ONALARI, 998917798636 SMS-O’ZI, 998949389778 SMS-OPASI,</t>
        </is>
      </c>
      <c r="G678" s="104" t="inlineStr">
        <is>
          <t xml:space="preserve">TOSHKENT VILOYATI CHIRCHIQ SHAHAR XUMO MFY 8-KICHIK NOXIYA 32-UY  47-XONADON</t>
        </is>
      </c>
      <c r="H678" s="105">
        <v>10.0</v>
      </c>
      <c r="I678" s="105">
        <v>1604416.5</v>
      </c>
    </row>
    <row r="679">
      <c r="A679" s="104" t="inlineStr">
        <is>
          <t xml:space="preserve">ТОШКЕНТ ВИЛОЯТИ</t>
        </is>
      </c>
      <c r="C679" s="104" t="inlineStr">
        <is>
          <t xml:space="preserve">Недозвон</t>
        </is>
      </c>
      <c r="D679" s="104" t="inlineStr">
        <is>
          <t xml:space="preserve">Кр-99036542-2</t>
        </is>
      </c>
      <c r="E679" s="104" t="inlineStr">
        <is>
          <t xml:space="preserve">ERMONOV DILSHOD YORMON O’G’LI</t>
        </is>
      </c>
      <c r="F679" s="104" t="inlineStr">
        <is>
          <t xml:space="preserve">998940005584 SMS OZI, 998936041111 SMS OZI2 TOLOVCHI BEKZOD , 998949793333 SMS ONASI, 998949793333 tolovchi,</t>
        </is>
      </c>
      <c r="G679" s="104" t="inlineStr">
        <is>
          <t xml:space="preserve">TOSHKENT VILOYATI PARKENT TUMANI ,GULBOG MFY,ALISHER NAVOIY KO’CHASI,3-UY</t>
        </is>
      </c>
      <c r="H679" s="105">
        <v>13.0</v>
      </c>
      <c r="I679" s="105">
        <v>1536831.66</v>
      </c>
    </row>
    <row r="680">
      <c r="A680" s="104" t="inlineStr">
        <is>
          <t xml:space="preserve">ТОШКЕНТ ВИЛОЯТИ</t>
        </is>
      </c>
      <c r="C680" s="104" t="inlineStr">
        <is>
          <t xml:space="preserve">Недозвон</t>
        </is>
      </c>
      <c r="D680" s="104" t="inlineStr">
        <is>
          <t xml:space="preserve">Кр-99035734-1</t>
        </is>
      </c>
      <c r="E680" s="104" t="inlineStr">
        <is>
          <t xml:space="preserve">TASHPULATOVA BARNO NURMATOVNA</t>
        </is>
      </c>
      <c r="F680" s="104" t="inlineStr">
        <is>
          <t xml:space="preserve">998909971574 OGLI1 MOSHINA USTA , 998909751574 IOGLI2, 998773143344 OGLI 3, 998934540333 QIZI,</t>
        </is>
      </c>
      <c r="G680" s="104" t="inlineStr">
        <is>
          <t xml:space="preserve">TOSHKENT VILOYATI ZANGIOTA TUMANI NAMUNA MSG UCHQO’RG’ON 5-UY,2-XONADON</t>
        </is>
      </c>
      <c r="H680" s="105">
        <v>15.0</v>
      </c>
      <c r="I680" s="105">
        <v>1514835.71</v>
      </c>
    </row>
    <row r="681">
      <c r="A681" s="104" t="inlineStr">
        <is>
          <t xml:space="preserve">ТОШКЕНТ ВИЛОЯТИ</t>
        </is>
      </c>
      <c r="C681" s="104" t="inlineStr">
        <is>
          <t xml:space="preserve">Недозвон</t>
        </is>
      </c>
      <c r="D681" s="104" t="inlineStr">
        <is>
          <t xml:space="preserve">Кр-99042662-1</t>
        </is>
      </c>
      <c r="E681" s="104" t="inlineStr">
        <is>
          <t xml:space="preserve">ABDUMALIYEV SAIDQOSIMXO’JA ABDRASIL O’G’LI</t>
        </is>
      </c>
      <c r="F681" s="104" t="inlineStr">
        <is>
          <t xml:space="preserve">+998887044774 SMS O’ZI, 998900764774 SMS ADASI, 998903154774 SMS ONASI, 998935816365 SMS DO’STI,</t>
        </is>
      </c>
      <c r="G681" s="104" t="inlineStr">
        <is>
          <t xml:space="preserve">ТОШКЕНТ ВИЛОЯТИ КИБРАЙ ТУМАНИ ЁНАРИК ҚФЙ, МАДАНИЯТ МФЙ, ЁНАРИК, МАРДОНА 1А-ТОР,  uy:13</t>
        </is>
      </c>
      <c r="H681" s="105">
        <v>10.0</v>
      </c>
      <c r="I681" s="105">
        <v>1483527.36</v>
      </c>
    </row>
    <row r="682">
      <c r="A682" s="104" t="inlineStr">
        <is>
          <t xml:space="preserve">ТОШКЕНТ ВИЛОЯТИ</t>
        </is>
      </c>
      <c r="C682" s="104" t="inlineStr">
        <is>
          <t xml:space="preserve">Недозвон</t>
        </is>
      </c>
      <c r="D682" s="104" t="inlineStr">
        <is>
          <t xml:space="preserve">Кр-99034287-1</t>
        </is>
      </c>
      <c r="E682" s="104" t="inlineStr">
        <is>
          <t xml:space="preserve">MATKARIMOV GAYRAT KARSHIBAYEVCIH</t>
        </is>
      </c>
      <c r="F682" s="104" t="inlineStr">
        <is>
          <t xml:space="preserve">998944206351 SMS OZI, 998999926616 SMS UKASI TOLOVCHI, 998775000086 SMS SINGLISI ZALOGODATEL (begona tel qilimasin),</t>
        </is>
      </c>
      <c r="G682" s="104" t="inlineStr">
        <is>
          <t xml:space="preserve">TOSHKENT VILOYATI OLMOLIQ SHAHAR FARVOZ 9-UY</t>
        </is>
      </c>
      <c r="H682" s="105">
        <v>10.0</v>
      </c>
      <c r="I682" s="105">
        <v>1459106.2</v>
      </c>
    </row>
    <row r="683">
      <c r="A683" s="104" t="inlineStr">
        <is>
          <t xml:space="preserve">ТОШКЕНТ ВИЛОЯТИ</t>
        </is>
      </c>
      <c r="C683" s="104" t="inlineStr">
        <is>
          <t xml:space="preserve">Недозвон</t>
        </is>
      </c>
      <c r="D683" s="104" t="inlineStr">
        <is>
          <t xml:space="preserve">Кр-99041374-1</t>
        </is>
      </c>
      <c r="E683" s="104" t="inlineStr">
        <is>
          <t xml:space="preserve">ISRAILOV JASURBEK MIXLIBOYEVICH</t>
        </is>
      </c>
      <c r="F683" s="104" t="inlineStr">
        <is>
          <t xml:space="preserve">998770150790 SMS OZI, 998994819797 SMS SHERIGI, 998958429797 SMS UY, 998992100034 SMS UKASI,</t>
        </is>
      </c>
      <c r="G683" s="104" t="inlineStr">
        <is>
          <t xml:space="preserve">TOSHKENT VILOYATI</t>
        </is>
      </c>
      <c r="H683" s="105">
        <v>10.0</v>
      </c>
      <c r="I683" s="105">
        <v>1458339.7</v>
      </c>
    </row>
    <row r="684">
      <c r="A684" s="104" t="inlineStr">
        <is>
          <t xml:space="preserve">ТОШКЕНТ ВИЛОЯТИ</t>
        </is>
      </c>
      <c r="C684" s="104" t="inlineStr">
        <is>
          <t xml:space="preserve">Недозвон</t>
        </is>
      </c>
      <c r="D684" s="104" t="inlineStr">
        <is>
          <t xml:space="preserve">Кр-99039301-1</t>
        </is>
      </c>
      <c r="E684" s="104" t="inlineStr">
        <is>
          <t xml:space="preserve">NURALIYEV MUXAMMADALI UMARALI O’G’LI</t>
        </is>
      </c>
      <c r="F684" s="104" t="inlineStr">
        <is>
          <t xml:space="preserve">998901311113 SMS OZI, 998783037470 SMS AKASI, 998318700132 SMS AKASI 2, 998001370302 SMS OZI 2,</t>
        </is>
      </c>
      <c r="G684" s="104" t="inlineStr">
        <is>
          <t xml:space="preserve">TOSHKENT SHAHRI YNUSOBOD TUMANI 10 KVARTIL 14-DOM 44-XONODON</t>
        </is>
      </c>
      <c r="H684" s="105">
        <v>15.0</v>
      </c>
      <c r="I684" s="105">
        <v>1438350.49</v>
      </c>
    </row>
    <row r="685">
      <c r="A685" s="104" t="inlineStr">
        <is>
          <t xml:space="preserve">ТОШКЕНТ ВИЛОЯТИ</t>
        </is>
      </c>
      <c r="C685" s="104" t="inlineStr">
        <is>
          <t xml:space="preserve">Недозвон</t>
        </is>
      </c>
      <c r="D685" s="104" t="inlineStr">
        <is>
          <t xml:space="preserve">Кр-99035373-2</t>
        </is>
      </c>
      <c r="E685" s="104" t="inlineStr">
        <is>
          <t xml:space="preserve">NIYOZOVA GULMIRA AZIMOVNA</t>
        </is>
      </c>
      <c r="F685" s="104" t="inlineStr">
        <is>
          <t xml:space="preserve">998974405444 SMS ERI, 998978515424 SMS O’ZI, 998900439020 SMS QIZI, 998900449020 SMS QIZI 2,</t>
        </is>
      </c>
      <c r="G685" s="104" t="inlineStr">
        <is>
          <t xml:space="preserve">TOSHKENT VILOYATI ZANGIOTA TUMANI TURKISTON MFY TASANNO 6-KO’CHASI 13-UY 14-XONADON</t>
        </is>
      </c>
      <c r="I685" s="105">
        <v>1424685.16</v>
      </c>
    </row>
    <row r="686">
      <c r="A686" s="104" t="inlineStr">
        <is>
          <t xml:space="preserve">ТОШКЕНТ ВИЛОЯТИ</t>
        </is>
      </c>
      <c r="C686" s="104" t="inlineStr">
        <is>
          <t xml:space="preserve">Недозвон</t>
        </is>
      </c>
      <c r="D686" s="104" t="inlineStr">
        <is>
          <t xml:space="preserve">Кр-99028546-1</t>
        </is>
      </c>
      <c r="E686" s="104" t="inlineStr">
        <is>
          <t xml:space="preserve">NIG’MONOVA IRODAXON BAXTIYOR QIZI</t>
        </is>
      </c>
      <c r="F686" s="104" t="inlineStr">
        <is>
          <t xml:space="preserve">99-206-96-06 SMS CRM, 94-628-42-32  SMS EGASI, 94-627-22-62  SMS ERI, 99-692-90-99  AKASI,</t>
        </is>
      </c>
      <c r="G686" s="104" t="inlineStr">
        <is>
          <t xml:space="preserve">TOSHKENT VILOYATI QIBRAY TUMANI O’NGQO’RG’ON QFY GULISTON MFY IQBOL 4-TOR KO’CHASI 19-UY </t>
        </is>
      </c>
      <c r="H686" s="105">
        <v>3.0</v>
      </c>
      <c r="I686" s="105">
        <v>1384821.45</v>
      </c>
    </row>
    <row r="687">
      <c r="A687" s="104" t="inlineStr">
        <is>
          <t xml:space="preserve">ТОШКЕНТ ВИЛОЯТИ</t>
        </is>
      </c>
      <c r="C687" s="104" t="inlineStr">
        <is>
          <t xml:space="preserve">Недозвон</t>
        </is>
      </c>
      <c r="D687" s="104" t="inlineStr">
        <is>
          <t xml:space="preserve">Кр-99029167-2</t>
        </is>
      </c>
      <c r="E687" s="104" t="inlineStr">
        <is>
          <t xml:space="preserve">XALIMBOYEV ELYOR ISMATILLA-O’G’LI</t>
        </is>
      </c>
      <c r="F687" s="104" t="inlineStr">
        <is>
          <t xml:space="preserve">99-209-97-02 SMS OZI, 99-428-96-96  SMS DOSTI, 99-982-13-13 SMS DOSTI, 95-097-25-00 SMS UKASI, 998774520014 SMS ozin yengi nomerr,</t>
        </is>
      </c>
      <c r="G687" s="104" t="inlineStr">
        <is>
          <t xml:space="preserve">TOSHKENT VILOYATI BEKOBOD TUMANI YANGIQO'RG'ON QFY O'RIKZOR MFY O'RIKZOR KO'CHASI 137-UY</t>
        </is>
      </c>
      <c r="H687" s="105">
        <v>2.0</v>
      </c>
      <c r="I687" s="105">
        <v>1371650.2</v>
      </c>
    </row>
    <row r="688">
      <c r="A688" s="104" t="inlineStr">
        <is>
          <t xml:space="preserve">ТОШКЕНТ ВИЛОЯТИ</t>
        </is>
      </c>
      <c r="C688" s="104" t="inlineStr">
        <is>
          <t xml:space="preserve">Недозвон</t>
        </is>
      </c>
      <c r="D688" s="104" t="inlineStr">
        <is>
          <t xml:space="preserve">Кр-99042683-1</t>
        </is>
      </c>
      <c r="E688" s="104" t="inlineStr">
        <is>
          <t xml:space="preserve">TOJIBOYEVA SURAYYA KUCHKAROVNA</t>
        </is>
      </c>
      <c r="F688" s="104" t="inlineStr">
        <is>
          <t xml:space="preserve">998774431905 sms qizi, 998885489988 sms ogli, 998978738822 sms ozi,</t>
        </is>
      </c>
      <c r="G688" s="104" t="inlineStr">
        <is>
          <t xml:space="preserve">ОЛМАЛИК Ш., ЧЎЛПОН МФЙ, МЕТАЛЛУРГОВ КЎЧАСИ,  uy:30 xonadon:16</t>
        </is>
      </c>
      <c r="H688" s="105">
        <v>10.0</v>
      </c>
      <c r="I688" s="105">
        <v>1366210.49</v>
      </c>
    </row>
    <row r="689">
      <c r="A689" s="104" t="inlineStr">
        <is>
          <t xml:space="preserve">ТОШКЕНТ ВИЛОЯТИ</t>
        </is>
      </c>
      <c r="C689" s="104" t="inlineStr">
        <is>
          <t xml:space="preserve">Недозвон</t>
        </is>
      </c>
      <c r="D689" s="104" t="inlineStr">
        <is>
          <t xml:space="preserve">Кр-99053009-1</t>
        </is>
      </c>
      <c r="E689" s="104" t="inlineStr">
        <is>
          <t xml:space="preserve">NAMAZOVA DILSHODA ABDIXAKIM QIZI</t>
        </is>
      </c>
      <c r="F689" s="104" t="inlineStr">
        <is>
          <t xml:space="preserve">998945302680 SMS OZI, 998949202032 SMS ERI, 998948971199 SMS ERINI DUSTI,</t>
        </is>
      </c>
      <c r="G689" s="104" t="inlineStr">
        <is>
          <t xml:space="preserve">TOSHKENT VILOYATI ANGREN SHAHRI GAFUR GULOM 89 UY</t>
        </is>
      </c>
      <c r="H689" s="105">
        <v>10.0</v>
      </c>
      <c r="I689" s="105">
        <v>1327504.0</v>
      </c>
    </row>
    <row r="690">
      <c r="A690" s="104" t="inlineStr">
        <is>
          <t xml:space="preserve">ТОШКЕНТ ВИЛОЯТИ</t>
        </is>
      </c>
      <c r="C690" s="104" t="inlineStr">
        <is>
          <t xml:space="preserve">Недозвон</t>
        </is>
      </c>
      <c r="D690" s="104" t="inlineStr">
        <is>
          <t xml:space="preserve">Кр-99030482-2</t>
        </is>
      </c>
      <c r="E690" s="104" t="inlineStr">
        <is>
          <t xml:space="preserve">ODILJONOV DAVRON JAMSHID O‘G‘LI</t>
        </is>
      </c>
      <c r="F690" s="104" t="inlineStr">
        <is>
          <t xml:space="preserve">+998948023636 Primary phone from road24, 998948023636 Primary phone from road24,</t>
        </is>
      </c>
      <c r="G690" s="104" t="inlineStr">
        <is>
          <t xml:space="preserve">Гулбог МФЙ,  Гулзор кучаси, р/сиз-уй</t>
        </is>
      </c>
      <c r="H690" s="105">
        <v>10.0</v>
      </c>
      <c r="I690" s="105">
        <v>1315983.04</v>
      </c>
    </row>
    <row r="691">
      <c r="A691" s="104" t="inlineStr">
        <is>
          <t xml:space="preserve">ТОШКЕНТ ВИЛОЯТИ</t>
        </is>
      </c>
      <c r="C691" s="104" t="inlineStr">
        <is>
          <t xml:space="preserve">Недозвон</t>
        </is>
      </c>
      <c r="D691" s="104" t="inlineStr">
        <is>
          <t xml:space="preserve">Кр-99062706-1</t>
        </is>
      </c>
      <c r="E691" s="104" t="inlineStr">
        <is>
          <t xml:space="preserve">ABDUXO’JAYEV BEKZOD MUROD O’G’LI</t>
        </is>
      </c>
      <c r="F691" s="104" t="inlineStr">
        <is>
          <t xml:space="preserve">998970130223 SMS OZI, 998973129896 SMS AKASI,</t>
        </is>
      </c>
      <c r="G691" s="104" t="inlineStr">
        <is>
          <t xml:space="preserve">TOSHKENT VILOYATI YANGIYO'L TUMANI ESKI QOVUNCHI QFY YOSHLIK MFY GULISTON KOCHASI 56-UY</t>
        </is>
      </c>
      <c r="H691" s="105">
        <v>15.0</v>
      </c>
      <c r="I691" s="105">
        <v>1298511.95</v>
      </c>
    </row>
    <row r="692">
      <c r="A692" s="104" t="inlineStr">
        <is>
          <t xml:space="preserve">ТОШКЕНТ ВИЛОЯТИ</t>
        </is>
      </c>
      <c r="C692" s="104" t="inlineStr">
        <is>
          <t xml:space="preserve">Недозвон</t>
        </is>
      </c>
      <c r="D692" s="104" t="inlineStr">
        <is>
          <t xml:space="preserve">Кр-99050882-2</t>
        </is>
      </c>
      <c r="E692" s="104" t="inlineStr">
        <is>
          <t xml:space="preserve">OSPANOV KAMOLIDDIN RASULMAT UGLI</t>
        </is>
      </c>
      <c r="F692" s="104" t="inlineStr">
        <is>
          <t xml:space="preserve">+998975982565 Primary phone from road24, 998975982565 Primary phone from road24, 998935929793 SMS UKASI, 998991420292 SMS AYOLI,</t>
        </is>
      </c>
      <c r="G692" s="104" t="inlineStr">
        <is>
          <t xml:space="preserve">TOSHKENT VILOYATI YANGIYO’L SHAHAR SABO MFY YOSHLIK KOCHASI 1-KORPUS 12-UY</t>
        </is>
      </c>
      <c r="H692" s="105">
        <v>10.0</v>
      </c>
      <c r="I692" s="105">
        <v>1292513.36</v>
      </c>
    </row>
    <row r="693">
      <c r="A693" s="104" t="inlineStr">
        <is>
          <t xml:space="preserve">ТОШКЕНТ ВИЛОЯТИ</t>
        </is>
      </c>
      <c r="C693" s="104" t="inlineStr">
        <is>
          <t xml:space="preserve">Недозвон</t>
        </is>
      </c>
      <c r="D693" s="104" t="inlineStr">
        <is>
          <t xml:space="preserve">Кр-99030208-1</t>
        </is>
      </c>
      <c r="E693" s="104" t="inlineStr">
        <is>
          <t xml:space="preserve">ABDUMANNABOV ULUG’BEK ABDUVAXOBOVICH</t>
        </is>
      </c>
      <c r="F693" s="104" t="inlineStr">
        <is>
          <t xml:space="preserve">998884880838 uzi, 998978447482 ayoli, 998880003645 ugli,</t>
        </is>
      </c>
      <c r="G693" s="104" t="inlineStr">
        <is>
          <t xml:space="preserve">TOSHKENT VILOYATI OXANGARON TUMANI</t>
        </is>
      </c>
      <c r="H693" s="105">
        <v>10.0</v>
      </c>
      <c r="I693" s="105">
        <v>1255277.79</v>
      </c>
    </row>
    <row r="694">
      <c r="A694" s="104" t="inlineStr">
        <is>
          <t xml:space="preserve">ТОШКЕНТ ВИЛОЯТИ</t>
        </is>
      </c>
      <c r="C694" s="104" t="inlineStr">
        <is>
          <t xml:space="preserve">Недозвон</t>
        </is>
      </c>
      <c r="D694" s="104" t="inlineStr">
        <is>
          <t xml:space="preserve">Кр-99044914-1</t>
        </is>
      </c>
      <c r="E694" s="104" t="inlineStr">
        <is>
          <t xml:space="preserve">SHUKUROV DIYORBEK SHUKURBOY O’G’LI</t>
        </is>
      </c>
      <c r="F694" s="104" t="inlineStr">
        <is>
          <t xml:space="preserve">+998500754117 SMS O’ZI, 998876360220 SMS AKASI, 998930061709 SMS ONASI 2, 998997718559 SMS ONASI,</t>
        </is>
      </c>
      <c r="G694" s="104" t="inlineStr">
        <is>
          <t xml:space="preserve">Ташкентская область, Ташкентский район, Кизгалдок КФЙ, Захарик МФЙ, ул. Бобур, дом 195</t>
        </is>
      </c>
      <c r="H694" s="105">
        <v>10.0</v>
      </c>
      <c r="I694" s="105">
        <v>1236659.47</v>
      </c>
    </row>
    <row r="695">
      <c r="A695" s="104" t="inlineStr">
        <is>
          <t xml:space="preserve">ТОШКЕНТ ВИЛОЯТИ</t>
        </is>
      </c>
      <c r="C695" s="104" t="inlineStr">
        <is>
          <t xml:space="preserve">Недозвон</t>
        </is>
      </c>
      <c r="D695" s="104" t="inlineStr">
        <is>
          <t xml:space="preserve">Кр-99043464-1</t>
        </is>
      </c>
      <c r="E695" s="104" t="inlineStr">
        <is>
          <t xml:space="preserve">KUCHKAROVA ZULXUMOR GULYAMOVNA</t>
        </is>
      </c>
      <c r="F695" s="104" t="inlineStr">
        <is>
          <t xml:space="preserve">998990077757 SMS  Ozi, 998990054213 SMS ozi 2, 998998435883 Kelini, 998990225030 SMS ogli,</t>
        </is>
      </c>
      <c r="G695" s="104" t="inlineStr">
        <is>
          <t xml:space="preserve"> Toshkent viloyati  Toshkent Tumani  navoiy jamoa xojaligi Anxor kochasi 54uy </t>
        </is>
      </c>
      <c r="H695" s="105">
        <v>10.0</v>
      </c>
      <c r="I695" s="105">
        <v>1200708.37</v>
      </c>
    </row>
    <row r="696">
      <c r="A696" s="104" t="inlineStr">
        <is>
          <t xml:space="preserve">ТОШКЕНТ ВИЛОЯТИ</t>
        </is>
      </c>
      <c r="C696" s="104" t="inlineStr">
        <is>
          <t xml:space="preserve">Недозвон</t>
        </is>
      </c>
      <c r="D696" s="104" t="inlineStr">
        <is>
          <t xml:space="preserve">Кр-99063960-1</t>
        </is>
      </c>
      <c r="E696" s="104" t="inlineStr">
        <is>
          <t xml:space="preserve">TASHPULATOV ABDUMUTAL ABSALOMOVICH</t>
        </is>
      </c>
      <c r="F696" s="104" t="inlineStr">
        <is>
          <t xml:space="preserve">998935108958 SMS AKASI, 998955258008 SMS UZI, 998971817454 SMS SHERIGI 2, 998995307454 SMS SHERIGI,</t>
        </is>
      </c>
      <c r="G696" s="104" t="inlineStr">
        <is>
          <t xml:space="preserve">ТОШКЕНТ ВИЛОЯТИ КИБРАЙ ТУМАНИ ЁНАРИК ҚФЙ, ЁНАРИК МФЙ, АХИЛ 3-БЕРК КЎЧАСИ,  uy:2</t>
        </is>
      </c>
      <c r="H696" s="105">
        <v>10.0</v>
      </c>
      <c r="I696" s="105">
        <v>1099279.4</v>
      </c>
    </row>
    <row r="697">
      <c r="A697" s="104" t="inlineStr">
        <is>
          <t xml:space="preserve">ТОШКЕНТ ВИЛОЯТИ</t>
        </is>
      </c>
      <c r="C697" s="104" t="inlineStr">
        <is>
          <t xml:space="preserve">Недозвон</t>
        </is>
      </c>
      <c r="D697" s="104" t="inlineStr">
        <is>
          <t xml:space="preserve">Кр-99036653-1</t>
        </is>
      </c>
      <c r="E697" s="104" t="inlineStr">
        <is>
          <t xml:space="preserve">BOLTANIYOZOV VALIJON NURALI O’G’LI</t>
        </is>
      </c>
      <c r="F697" s="104" t="inlineStr">
        <is>
          <t xml:space="preserve">998998336861 SMS OZI, 998466839792 SMS OZI 2, 998886043979 SMS ONASI,</t>
        </is>
      </c>
      <c r="G697" s="104" t="inlineStr">
        <is>
          <t xml:space="preserve">TOSHKENT VILOYATI YANGIYO’L SHAHAR NAVRO’Z DAHASI RAMADON MFY 10-UY</t>
        </is>
      </c>
      <c r="H697" s="105">
        <v>6.0</v>
      </c>
      <c r="I697" s="105">
        <v>1079728.08</v>
      </c>
    </row>
    <row r="698">
      <c r="A698" s="104" t="inlineStr">
        <is>
          <t xml:space="preserve">ТОШКЕНТ ВИЛОЯТИ</t>
        </is>
      </c>
      <c r="C698" s="104" t="inlineStr">
        <is>
          <t xml:space="preserve">Недозвон</t>
        </is>
      </c>
      <c r="D698" s="104" t="inlineStr">
        <is>
          <t xml:space="preserve">Кр-99031362-1</t>
        </is>
      </c>
      <c r="E698" s="104" t="inlineStr">
        <is>
          <t xml:space="preserve">TO’LQINOV ELDOR ZOKIR O’G’LI</t>
        </is>
      </c>
      <c r="F698" s="104" t="inlineStr">
        <is>
          <t xml:space="preserve">90-938-30-38  SMS O'ZI, 93-529-09-49  SMS DO’STI ZALOGADATEL, 94-692-27-23  SMS DO’STI, 90-931-30-38  SMS AYOLI,</t>
        </is>
      </c>
      <c r="G698" s="104" t="inlineStr">
        <is>
          <t xml:space="preserve">TOSHKENT VILOYATI ZANGI-OTA TUMANI O’RIKZOR MFY A.NISHONOV KO’CHASI 54-UY</t>
        </is>
      </c>
      <c r="H698" s="105">
        <v>10.0</v>
      </c>
      <c r="I698" s="105">
        <v>1040318.71</v>
      </c>
    </row>
    <row r="699">
      <c r="A699" s="104" t="inlineStr">
        <is>
          <t xml:space="preserve">ТОШКЕНТ ВИЛОЯТИ</t>
        </is>
      </c>
      <c r="C699" s="104" t="inlineStr">
        <is>
          <t xml:space="preserve">Недозвон</t>
        </is>
      </c>
      <c r="D699" s="104" t="inlineStr">
        <is>
          <t xml:space="preserve">Кр-99016633-1</t>
        </is>
      </c>
      <c r="E699" s="104" t="inlineStr">
        <is>
          <t xml:space="preserve">DAMINOV BEKZOD QAXROMON O’G’LI</t>
        </is>
      </c>
      <c r="F699" s="104" t="inlineStr">
        <is>
          <t xml:space="preserve">998998353509 SMS OZI TEMIR YOLDA ISHLIRKAN , 998991903509 SMS AYOLI, 998977210904 SMS ISHXONASI, 998977490924 SMS ISHXONASI,</t>
        </is>
      </c>
      <c r="G699" s="104" t="inlineStr">
        <is>
          <t xml:space="preserve">TOSHKENT SHAHAR UCHTEPA TUMANI QUYI BUZSUV KO'CHASI 7-UY</t>
        </is>
      </c>
      <c r="I699" s="105">
        <v>1033495.96</v>
      </c>
    </row>
    <row r="700">
      <c r="A700" s="104" t="inlineStr">
        <is>
          <t xml:space="preserve">ТОШКЕНТ ВИЛОЯТИ</t>
        </is>
      </c>
      <c r="C700" s="104" t="inlineStr">
        <is>
          <t xml:space="preserve">Недозвон</t>
        </is>
      </c>
      <c r="D700" s="104" t="inlineStr">
        <is>
          <t xml:space="preserve">Кр-99034758-2</t>
        </is>
      </c>
      <c r="E700" s="104" t="inlineStr">
        <is>
          <t xml:space="preserve">NIG’MATILLAYEV MASHRAB DILSHOD O’G’LI</t>
        </is>
      </c>
      <c r="F700" s="104" t="inlineStr">
        <is>
          <t xml:space="preserve">998974497370 SMS OZI, 998334497370 SMS OTASI, 998883307737 SMS ONASI, 998998553444 SMS DOSTI,</t>
        </is>
      </c>
      <c r="G700" s="104" t="inlineStr">
        <is>
          <t xml:space="preserve">Кўксарой МФЙ, Куксарой, ул. 1 кучаси, 37-ер участкаси-уй</t>
        </is>
      </c>
      <c r="H700" s="105">
        <v>10.0</v>
      </c>
      <c r="I700" s="105">
        <v>1002340.78</v>
      </c>
    </row>
    <row r="701">
      <c r="A701" s="104" t="inlineStr">
        <is>
          <t xml:space="preserve">ТОШКЕНТ ВИЛОЯТИ</t>
        </is>
      </c>
      <c r="C701" s="104" t="inlineStr">
        <is>
          <t xml:space="preserve">Недозвон</t>
        </is>
      </c>
      <c r="D701" s="104" t="inlineStr">
        <is>
          <t xml:space="preserve">Кр-99036023-1</t>
        </is>
      </c>
      <c r="E701" s="104" t="inlineStr">
        <is>
          <t xml:space="preserve">ABDUNAZAROV NARZULLA ABDUVALIYEVICH</t>
        </is>
      </c>
      <c r="F701" s="104" t="inlineStr">
        <is>
          <t xml:space="preserve">998944243084 SMS OZI, 998909323090 SMS AYOLI, 998955315112 SMS TOGASI, 998909113190 SMS OGLI, 998951235112 sms ozi yengi nomeri,</t>
        </is>
      </c>
      <c r="G701" s="104" t="inlineStr">
        <is>
          <t xml:space="preserve">TOSHKENT VILOYATI BEKABOD TUMANI XAMZA MFY YANGIOVUL KO’CHASI 150-UY</t>
        </is>
      </c>
      <c r="H701" s="105">
        <v>3.0</v>
      </c>
      <c r="I701" s="105">
        <v>950856.89</v>
      </c>
    </row>
    <row r="702">
      <c r="A702" s="104" t="inlineStr">
        <is>
          <t xml:space="preserve">ТОШКЕНТ ВИЛОЯТИ</t>
        </is>
      </c>
      <c r="C702" s="104" t="inlineStr">
        <is>
          <t xml:space="preserve">Недозвон</t>
        </is>
      </c>
      <c r="D702" s="104" t="inlineStr">
        <is>
          <t xml:space="preserve">Кр-99062747-1</t>
        </is>
      </c>
      <c r="E702" s="104" t="inlineStr">
        <is>
          <t xml:space="preserve">XOLDORBOYEVA FOTIMA ABDURASHID QIZI</t>
        </is>
      </c>
      <c r="F702" s="104" t="inlineStr">
        <is>
          <t xml:space="preserve">998338088891 OZI, 998888788891 ERI, 998883052771 ONASI,</t>
        </is>
      </c>
      <c r="G702" s="104" t="inlineStr">
        <is>
          <t xml:space="preserve">TOSHKENT VILOYATI YANGIYUL TUMANI ESKI QOVUNCHI QFY, YOSHLIK MFY SHUKRONA KOCHASI 26</t>
        </is>
      </c>
      <c r="H702" s="105">
        <v>14.0</v>
      </c>
      <c r="I702" s="105">
        <v>948265.89</v>
      </c>
    </row>
    <row r="703">
      <c r="A703" s="104" t="inlineStr">
        <is>
          <t xml:space="preserve">ТОШКЕНТ ВИЛОЯТИ</t>
        </is>
      </c>
      <c r="C703" s="104" t="inlineStr">
        <is>
          <t xml:space="preserve">Недозвон</t>
        </is>
      </c>
      <c r="D703" s="104" t="inlineStr">
        <is>
          <t xml:space="preserve">Кр-99063493-1</t>
        </is>
      </c>
      <c r="E703" s="104" t="inlineStr">
        <is>
          <t xml:space="preserve">BAKIYEV DONIYOR SHARIPXONOVICH</t>
        </is>
      </c>
      <c r="F703" s="104" t="inlineStr">
        <is>
          <t xml:space="preserve">998770118514 SMS O’G’LI, 998773148590 SMS AYOLU, 998935713855 SMS O’ZI,</t>
        </is>
      </c>
      <c r="G703" s="104" t="inlineStr">
        <is>
          <t xml:space="preserve">QO’RG’ONTEPA KO’CHASI 8-UY</t>
        </is>
      </c>
      <c r="H703" s="105">
        <v>10.0</v>
      </c>
      <c r="I703" s="105">
        <v>908584.24</v>
      </c>
    </row>
    <row r="704">
      <c r="A704" s="104" t="inlineStr">
        <is>
          <t xml:space="preserve">ТОШКЕНТ ВИЛОЯТИ</t>
        </is>
      </c>
      <c r="C704" s="104" t="inlineStr">
        <is>
          <t xml:space="preserve">Недозвон</t>
        </is>
      </c>
      <c r="D704" s="104" t="inlineStr">
        <is>
          <t xml:space="preserve">Кр-99062816-1</t>
        </is>
      </c>
      <c r="E704" s="104" t="inlineStr">
        <is>
          <t xml:space="preserve">BAXTIYOROV DIYOR DONIYOR O’G’LI</t>
        </is>
      </c>
      <c r="F704" s="104" t="inlineStr">
        <is>
          <t xml:space="preserve">998993080430 OZI, 998970147300 UKASI, 998970380301 AKASI,</t>
        </is>
      </c>
      <c r="G704" s="104" t="inlineStr">
        <is>
          <t xml:space="preserve">TOSHKENT VILOYATI YANGIYO'L TUMANI NIYOZBOSH QFY   XAMZA KOCHASI R/X</t>
        </is>
      </c>
      <c r="H704" s="105">
        <v>10.0</v>
      </c>
      <c r="I704" s="105">
        <v>841987.27</v>
      </c>
    </row>
    <row r="705">
      <c r="A705" s="104" t="inlineStr">
        <is>
          <t xml:space="preserve">ТОШКЕНТ ВИЛОЯТИ</t>
        </is>
      </c>
      <c r="C705" s="104" t="inlineStr">
        <is>
          <t xml:space="preserve">Недозвон</t>
        </is>
      </c>
      <c r="D705" s="104" t="inlineStr">
        <is>
          <t xml:space="preserve">Кр-99029603-1</t>
        </is>
      </c>
      <c r="E705" s="104" t="inlineStr">
        <is>
          <t xml:space="preserve">NAZARXODJAYEV MA’DIXON SAYDIRASILOVICH</t>
        </is>
      </c>
      <c r="F705" s="104" t="inlineStr">
        <is>
          <t xml:space="preserve">33-115-33-77 SMS OZI, 33-580-33-77 SMS ISHXONASI, 99-849-29-81  SMS AYOLI, 95-047-64-48 SMS OGLI,</t>
        </is>
      </c>
      <c r="G705" s="104" t="inlineStr">
        <is>
          <t xml:space="preserve">TOSHKENT VILOYATI QIBRAY TUMANI ZAFAROBOD QFY ADOLAT 33-UY</t>
        </is>
      </c>
      <c r="H705" s="105">
        <v>1.0</v>
      </c>
      <c r="I705" s="105">
        <v>796667.96</v>
      </c>
    </row>
    <row r="706">
      <c r="A706" s="104" t="inlineStr">
        <is>
          <t xml:space="preserve">ТОШКЕНТ ВИЛОЯТИ</t>
        </is>
      </c>
      <c r="C706" s="104" t="inlineStr">
        <is>
          <t xml:space="preserve">Недозвон</t>
        </is>
      </c>
      <c r="D706" s="104" t="inlineStr">
        <is>
          <t xml:space="preserve">Кр-99035551-2</t>
        </is>
      </c>
      <c r="E706" s="104" t="inlineStr">
        <is>
          <t xml:space="preserve">ALMATOV USMONALI XAMRALIYEVICH</t>
        </is>
      </c>
      <c r="F706" s="104" t="inlineStr">
        <is>
          <t xml:space="preserve">998942165756 SMS O’ZI, 998999924052 SMS O’G’LI, 998992306945 SMS O’G’LI 2, 998999049786 SMS NEVARASI,</t>
        </is>
      </c>
      <c r="G706" s="104" t="inlineStr">
        <is>
          <t xml:space="preserve">TOSHKENT VILOYATI OXANGARON TUMANI ILG'OR MFY OLMAZOR KO'CHASI 6-UY</t>
        </is>
      </c>
      <c r="H706" s="105">
        <v>10.0</v>
      </c>
      <c r="I706" s="105">
        <v>764972.19</v>
      </c>
    </row>
    <row r="707">
      <c r="A707" s="104" t="inlineStr">
        <is>
          <t xml:space="preserve">ТОШКЕНТ ВИЛОЯТИ</t>
        </is>
      </c>
      <c r="C707" s="104" t="inlineStr">
        <is>
          <t xml:space="preserve">Недозвон</t>
        </is>
      </c>
      <c r="D707" s="104" t="inlineStr">
        <is>
          <t xml:space="preserve">Кр-99031867-1</t>
        </is>
      </c>
      <c r="E707" s="104" t="inlineStr">
        <is>
          <t xml:space="preserve">NODIROV JAXONGIR KOSIMOVICH</t>
        </is>
      </c>
      <c r="F707" s="104" t="inlineStr">
        <is>
          <t xml:space="preserve">998939710298 SMS O’ZI, 998931255151 SMS AKASI, 998931554043 SMS AKASI 2, 998931255151 SMS AKASI 3, 998941287117 tolovchisi, 998944006500 SMS TOLOVCHI ABROR OSHNASI DILSHOD , 998943620312 SMS onasi,</t>
        </is>
      </c>
      <c r="G707" s="104" t="inlineStr">
        <is>
          <t xml:space="preserve">TOSHKENT VILOYATI OLMOLIQ SHAHAR 5\3 KICHIK NOHIYA ABDULLA QAXXOR 44-UY  42- XONADON </t>
        </is>
      </c>
      <c r="H707" s="105">
        <v>1.0</v>
      </c>
      <c r="I707" s="105">
        <v>756000.0</v>
      </c>
    </row>
    <row r="708">
      <c r="A708" s="104" t="inlineStr">
        <is>
          <t xml:space="preserve">ТОШКЕНТ ВИЛОЯТИ</t>
        </is>
      </c>
      <c r="C708" s="104" t="inlineStr">
        <is>
          <t xml:space="preserve">Недозвон</t>
        </is>
      </c>
      <c r="D708" s="104" t="inlineStr">
        <is>
          <t xml:space="preserve">Кр-99054581-1</t>
        </is>
      </c>
      <c r="E708" s="104" t="inlineStr">
        <is>
          <t xml:space="preserve">BAXRAMOV ODIL SADIKJANOVICH</t>
        </is>
      </c>
      <c r="F708" s="104" t="inlineStr">
        <is>
          <t xml:space="preserve">998909514595 SMS OZI, 998909900231 SMS AYOLI, 998951608800 SMS DOSTI,</t>
        </is>
      </c>
      <c r="G708" s="104" t="inlineStr">
        <is>
          <t xml:space="preserve">TOSHKENT VILOYATI NURAFSHON SHAHRI OBOD MFY MAYRAMKO’L 21</t>
        </is>
      </c>
      <c r="H708" s="105">
        <v>10.0</v>
      </c>
      <c r="I708" s="105">
        <v>706490.95</v>
      </c>
    </row>
    <row r="709">
      <c r="A709" s="104" t="inlineStr">
        <is>
          <t xml:space="preserve">ТОШКЕНТ ВИЛОЯТИ</t>
        </is>
      </c>
      <c r="C709" s="104" t="inlineStr">
        <is>
          <t xml:space="preserve">Недозвон</t>
        </is>
      </c>
      <c r="D709" s="104" t="inlineStr">
        <is>
          <t xml:space="preserve">Кр-99020125-3</t>
        </is>
      </c>
      <c r="E709" s="104" t="inlineStr">
        <is>
          <t xml:space="preserve">UMAROV DOSTON AKMALOVICH</t>
        </is>
      </c>
      <c r="F709" s="104" t="inlineStr">
        <is>
          <t xml:space="preserve">998976099595 SMS OZI, 998974028919 SMS AYOLI, 998978070454 SMS ONASI , 998971160021 SMS JIYANI,</t>
        </is>
      </c>
      <c r="G709" s="104" t="inlineStr">
        <is>
          <t xml:space="preserve">TOSHKENT VILOYATI YANGIYUL TUMANI KOVUNCHI MFY SOKIN 21-UY</t>
        </is>
      </c>
      <c r="H709" s="105">
        <v>10.0</v>
      </c>
      <c r="I709" s="105">
        <v>704545.45</v>
      </c>
    </row>
    <row r="710">
      <c r="A710" s="104" t="inlineStr">
        <is>
          <t xml:space="preserve">ТОШКЕНТ ВИЛОЯТИ</t>
        </is>
      </c>
      <c r="C710" s="104" t="inlineStr">
        <is>
          <t xml:space="preserve">Недозвон</t>
        </is>
      </c>
      <c r="D710" s="104" t="inlineStr">
        <is>
          <t xml:space="preserve">Кр-99063933-1</t>
        </is>
      </c>
      <c r="E710" s="104" t="inlineStr">
        <is>
          <t xml:space="preserve">YUSUPOV TURSUNMUROD ULUG’BEK O’G’LI</t>
        </is>
      </c>
      <c r="F710" s="104" t="inlineStr">
        <is>
          <t xml:space="preserve">998906113838 SMS-AYOLI, 998939663666 SMS-O’ZI, 998959023938 SMS-UKASI,</t>
        </is>
      </c>
      <c r="G710" s="104" t="inlineStr">
        <is>
          <t xml:space="preserve">TOSHKENT VILOYATI CHIRCHIQ SHAHAR QUYOSH MFY, 1-KICHIK NOXIYA 5-UY 68-XONADON</t>
        </is>
      </c>
      <c r="H710" s="105">
        <v>10.0</v>
      </c>
      <c r="I710" s="105">
        <v>669980.87</v>
      </c>
    </row>
    <row r="711">
      <c r="A711" s="104" t="inlineStr">
        <is>
          <t xml:space="preserve">ТОШКЕНТ ВИЛОЯТИ</t>
        </is>
      </c>
      <c r="C711" s="104" t="inlineStr">
        <is>
          <t xml:space="preserve">Недозвон</t>
        </is>
      </c>
      <c r="D711" s="104" t="inlineStr">
        <is>
          <t xml:space="preserve">Кр-99040201-2</t>
        </is>
      </c>
      <c r="E711" s="104" t="inlineStr">
        <is>
          <t xml:space="preserve">IBATOVA VISOLA RAYIMBEK</t>
        </is>
      </c>
      <c r="F711" s="104" t="inlineStr">
        <is>
          <t xml:space="preserve">+998934800059 SMS ERI, 998950701024 SMS AKASI, 998994892410 SMS ZALOGATEL,</t>
        </is>
      </c>
      <c r="G711" s="104" t="inlineStr">
        <is>
          <t xml:space="preserve">TOSHKENT VILOYATI PSKENT TUMANI FAYZABOD MFY,NAVBAHOR KO’CHASI 37-UY</t>
        </is>
      </c>
      <c r="H711" s="105">
        <v>10.0</v>
      </c>
      <c r="I711" s="105">
        <v>664941.25</v>
      </c>
    </row>
    <row r="712">
      <c r="A712" s="104" t="inlineStr">
        <is>
          <t xml:space="preserve">ТОШКЕНТ ВИЛОЯТИ</t>
        </is>
      </c>
      <c r="C712" s="104" t="inlineStr">
        <is>
          <t xml:space="preserve">Недозвон</t>
        </is>
      </c>
      <c r="D712" s="104" t="inlineStr">
        <is>
          <t xml:space="preserve">Кр-99030923-3</t>
        </is>
      </c>
      <c r="E712" s="104" t="inlineStr">
        <is>
          <t xml:space="preserve">BUKANOV SODIK MAMATOVICH</t>
        </is>
      </c>
      <c r="F712" s="104" t="inlineStr">
        <is>
          <t xml:space="preserve">94-144-04-65  SMS O'ZI, 33-115-48-48 SMS  O’G’LI ZALOGADATEL, 90-047-61-01  SMS AYOLI, 90-334-26-16  SMS QIZI,</t>
        </is>
      </c>
      <c r="G712" s="104" t="inlineStr">
        <is>
          <t xml:space="preserve">TOSHKENT VILOYATI OQQO’RG’ON TUMANI ZAFAR MFY MURABBIYLAR KO’CHASI 67-UY </t>
        </is>
      </c>
      <c r="H712" s="105">
        <v>10.0</v>
      </c>
      <c r="I712" s="105">
        <v>567985.44</v>
      </c>
    </row>
    <row r="713">
      <c r="A713" s="104" t="inlineStr">
        <is>
          <t xml:space="preserve">ТОШКЕНТ ВИЛОЯТИ</t>
        </is>
      </c>
      <c r="C713" s="104" t="inlineStr">
        <is>
          <t xml:space="preserve">Недозвон</t>
        </is>
      </c>
      <c r="D713" s="104" t="inlineStr">
        <is>
          <t xml:space="preserve">Кр-99063598-1</t>
        </is>
      </c>
      <c r="E713" s="104" t="inlineStr">
        <is>
          <t xml:space="preserve">DUSHANOVA SHAHROZA XOLMAT-QIZI</t>
        </is>
      </c>
      <c r="F713" s="104" t="inlineStr">
        <is>
          <t xml:space="preserve">998771669398 SMS Ozi, 998999950736  SMS Dugonasi, 998994930498 SMS OZi 2,</t>
        </is>
      </c>
      <c r="G713" s="104" t="inlineStr">
        <is>
          <t xml:space="preserve">TOSHKENT VILOYATI BEKOBOD TUMANI</t>
        </is>
      </c>
      <c r="H713" s="105">
        <v>10.0</v>
      </c>
      <c r="I713" s="105">
        <v>526044.55</v>
      </c>
    </row>
    <row r="714">
      <c r="A714" s="104" t="inlineStr">
        <is>
          <t xml:space="preserve">ТОШКЕНТ ВИЛОЯТИ</t>
        </is>
      </c>
      <c r="C714" s="104" t="inlineStr">
        <is>
          <t xml:space="preserve">Недозвон</t>
        </is>
      </c>
      <c r="D714" s="104" t="inlineStr">
        <is>
          <t xml:space="preserve">Кр-99035017-1</t>
        </is>
      </c>
      <c r="E714" s="104" t="inlineStr">
        <is>
          <t xml:space="preserve">ALIMBAYEV MEYIRBEK JOLDAS O’G’LI</t>
        </is>
      </c>
      <c r="F714" s="104" t="inlineStr">
        <is>
          <t xml:space="preserve">998990973338 OZI, 998950170497 AYOLI, 998997920397 OZI, 998935971604 OGYANISI,</t>
        </is>
      </c>
      <c r="G714" s="104" t="inlineStr">
        <is>
          <t xml:space="preserve">TOSHKENT VILOYATI YUQORICHIRCHIQ TUMANI OBODON MFY VOFODOR KO’CHASI 77-UY</t>
        </is>
      </c>
      <c r="I714" s="105">
        <v>524700.42</v>
      </c>
    </row>
    <row r="715">
      <c r="A715" s="104" t="inlineStr">
        <is>
          <t xml:space="preserve">ТОШКЕНТ ВИЛОЯТИ</t>
        </is>
      </c>
      <c r="C715" s="104" t="inlineStr">
        <is>
          <t xml:space="preserve">Недозвон</t>
        </is>
      </c>
      <c r="D715" s="104" t="inlineStr">
        <is>
          <t xml:space="preserve">Кр-99040529-2</t>
        </is>
      </c>
      <c r="E715" s="104" t="inlineStr">
        <is>
          <t xml:space="preserve">IBRAGIMOVA AYSULU TULEGENOVNA</t>
        </is>
      </c>
      <c r="F715" s="104" t="inlineStr">
        <is>
          <t xml:space="preserve">998946701969 SMS OZI, 998940600811 SMS HAMKASBI, 998995632878 SMS KELINI,</t>
        </is>
      </c>
      <c r="G715" s="104" t="inlineStr">
        <is>
          <t xml:space="preserve">Навруз МФЙ, Алишер Навоий кучаси, 12-уй</t>
        </is>
      </c>
      <c r="H715" s="105">
        <v>10.0</v>
      </c>
      <c r="I715" s="105">
        <v>444733.09</v>
      </c>
    </row>
    <row r="716">
      <c r="A716" s="104" t="inlineStr">
        <is>
          <t xml:space="preserve">ТОШКЕНТ ВИЛОЯТИ</t>
        </is>
      </c>
      <c r="C716" s="104" t="inlineStr">
        <is>
          <t xml:space="preserve">Недозвон</t>
        </is>
      </c>
      <c r="D716" s="104" t="inlineStr">
        <is>
          <t xml:space="preserve">Кр-99012142-5</t>
        </is>
      </c>
      <c r="E716" s="104" t="inlineStr">
        <is>
          <t xml:space="preserve">AXMADJONOV JAMSHID NE’MATJAN O’G’LI</t>
        </is>
      </c>
      <c r="F716" s="104" t="inlineStr">
        <is>
          <t xml:space="preserve">998958777785 SMS UZI, 90-322-23-20 SMS OZI, 99-887-45-53 SMS UKASI SHAXZOD, 99-883-45-53 SMS ONASI, 998903740041 SMS OTASI TOLOVCHI,</t>
        </is>
      </c>
      <c r="G716" s="104" t="inlineStr">
        <is>
          <t xml:space="preserve">TOSHKENT VILOYATI ZANGIOTA TUMANI ESHONGUZAR QFY NURAFSHON MFY MOXIDIL KOCHASI 6-UY</t>
        </is>
      </c>
      <c r="H716" s="105">
        <v>10.0</v>
      </c>
      <c r="I716" s="105">
        <v>378615.72</v>
      </c>
    </row>
    <row r="717">
      <c r="A717" s="104" t="inlineStr">
        <is>
          <t xml:space="preserve">ТОШКЕНТ ВИЛОЯТИ</t>
        </is>
      </c>
      <c r="C717" s="104" t="inlineStr">
        <is>
          <t xml:space="preserve">Недозвон</t>
        </is>
      </c>
      <c r="D717" s="104" t="inlineStr">
        <is>
          <t xml:space="preserve">Кр-99035297-1</t>
        </is>
      </c>
      <c r="E717" s="104" t="inlineStr">
        <is>
          <t xml:space="preserve">SANSIZBAYEV BEKMUROD SULTONOVICH</t>
        </is>
      </c>
      <c r="F717" s="104" t="inlineStr">
        <is>
          <t xml:space="preserve">998944196616 SMS O‘ZI, 998998673084 SMS O‘ZI 2, 998975320712 SMS UY, 998880035329 SMS QIZI,</t>
        </is>
      </c>
      <c r="G717" s="104" t="inlineStr">
        <is>
          <t xml:space="preserve">TOSHKENT VILOYATI YANGIYO‘L TUMANI ESKI QOVUNCHILIK QFY I.URAZOV MFY J.SAFAROV KO‘CHASI 5-UY</t>
        </is>
      </c>
      <c r="H717" s="105">
        <v>2.0</v>
      </c>
      <c r="I717" s="105">
        <v>109564.77</v>
      </c>
    </row>
    <row r="718">
      <c r="A718" s="104" t="inlineStr">
        <is>
          <t xml:space="preserve">ТОШКЕНТ ВИЛОЯТИ</t>
        </is>
      </c>
      <c r="C718" s="104" t="inlineStr">
        <is>
          <t xml:space="preserve">Недозвон</t>
        </is>
      </c>
      <c r="D718" s="104" t="inlineStr">
        <is>
          <t xml:space="preserve">Кр-99063435-1</t>
        </is>
      </c>
      <c r="E718" s="104" t="inlineStr">
        <is>
          <t xml:space="preserve">MILIYEV BAXTIYAR XIKMATILLAYEVICH</t>
        </is>
      </c>
      <c r="F718" s="104" t="inlineStr">
        <is>
          <t xml:space="preserve">998884455504 SMS-OYISI, 998973455504 SMS-O’ZI, 998978845504 SMS-AYOLI,</t>
        </is>
      </c>
      <c r="G718" s="104" t="inlineStr">
        <is>
          <t xml:space="preserve">TOSHKENT VILOYATI CHIRCHIQ SHAHAR KIMYOGAR MFY O’ZBEKISTON 30-YILLIGI KO’CHASI 8-UY</t>
        </is>
      </c>
      <c r="H718" s="105">
        <v>10.0</v>
      </c>
      <c r="I718" s="105">
        <v>62116.55</v>
      </c>
    </row>
    <row r="719">
      <c r="A719" s="104" t="inlineStr">
        <is>
          <t xml:space="preserve">ТОШКЕНТ ВИЛОЯТИ</t>
        </is>
      </c>
      <c r="C719" s="104" t="inlineStr">
        <is>
          <t xml:space="preserve">Недозвон</t>
        </is>
      </c>
      <c r="D719" s="104" t="inlineStr">
        <is>
          <t xml:space="preserve">Кр-99038696-1</t>
        </is>
      </c>
      <c r="E719" s="104" t="inlineStr">
        <is>
          <t xml:space="preserve">ABASHAMAYEV SANJAR MANSUR O’G’LI</t>
        </is>
      </c>
      <c r="F719" s="104" t="inlineStr">
        <is>
          <t xml:space="preserve">998998374187 SMS ZOI, 998990515629 SMS ONASI, 998931022526 SMS KASI,</t>
        </is>
      </c>
      <c r="G719" s="104" t="inlineStr">
        <is>
          <t xml:space="preserve">Toshkent viloyati, O’RTACHIRCHIQ TUMANI, YUNGICHKOLI KFY, YANGI TURMUSH, 88-UY</t>
        </is>
      </c>
      <c r="H719" s="105">
        <v>10.0</v>
      </c>
      <c r="I719" s="105">
        <v>55267.38</v>
      </c>
    </row>
    <row r="720">
      <c r="A720" s="104" t="inlineStr">
        <is>
          <t xml:space="preserve">ТОШКЕНТ ВИЛОЯТИ</t>
        </is>
      </c>
      <c r="C720" s="104" t="inlineStr">
        <is>
          <t xml:space="preserve">Недозвон</t>
        </is>
      </c>
      <c r="D720" s="104" t="inlineStr">
        <is>
          <t xml:space="preserve">Кр-99035263-1</t>
        </is>
      </c>
      <c r="E720" s="104" t="inlineStr">
        <is>
          <t xml:space="preserve">TURABAYEVA SHAXLO SHAVKATOVNA</t>
        </is>
      </c>
      <c r="F720" s="104" t="inlineStr">
        <is>
          <t xml:space="preserve">998941739494 SMS O’ZI, 998943041862 SMS ZALOGADETOL, 998940296698 SMS UKASI, 998950841325 SMS UY,</t>
        </is>
      </c>
      <c r="G720" s="104" t="inlineStr">
        <is>
          <t xml:space="preserve">TOSHKENT VILOYATI TOSHKENT TUMANI MUSTAQILLIK MFY CHIMKENT YO’LI KO’CHA 339 UY</t>
        </is>
      </c>
      <c r="H720" s="105">
        <v>3.0</v>
      </c>
      <c r="I720" s="105">
        <v>51681.39</v>
      </c>
    </row>
    <row r="721">
      <c r="A721" s="106" t="inlineStr">
        <is>
          <t xml:space="preserve">ТОШКЕНТ ШАХРИ</t>
        </is>
      </c>
      <c r="C721" s="106" t="inlineStr">
        <is>
          <t xml:space="preserve">Недозвон</t>
        </is>
      </c>
      <c r="D721" s="106" t="inlineStr">
        <is>
          <t xml:space="preserve">Кр-99038883-2</t>
        </is>
      </c>
      <c r="E721" s="106" t="inlineStr">
        <is>
          <t xml:space="preserve">MIRZAMAXMUDOV DILMUROD BAXODIROVICH</t>
        </is>
      </c>
      <c r="F721" s="106" t="inlineStr">
        <is>
          <t xml:space="preserve">998901740500 SMS OZI, 998830770072 SMS OZI2, 998504404670 SMS AYOLI, 998080646702 SMS AYOLI 2,</t>
        </is>
      </c>
      <c r="G721" s="106" t="inlineStr">
        <is>
          <t xml:space="preserve">TOSHKENT SHAHAR</t>
        </is>
      </c>
      <c r="H721" s="107">
        <v>255.0</v>
      </c>
      <c r="I721" s="107">
        <v>111266470.84</v>
      </c>
    </row>
    <row r="722">
      <c r="A722" s="106" t="inlineStr">
        <is>
          <t xml:space="preserve">ТОШКЕНТ ШАХРИ</t>
        </is>
      </c>
      <c r="C722" s="106" t="inlineStr">
        <is>
          <t xml:space="preserve">Недозвон</t>
        </is>
      </c>
      <c r="D722" s="106" t="inlineStr">
        <is>
          <t xml:space="preserve">Кр-99039650-1</t>
        </is>
      </c>
      <c r="E722" s="106" t="inlineStr">
        <is>
          <t xml:space="preserve">ABDULLAYEVA RISOLATXON XXX</t>
        </is>
      </c>
      <c r="F722" s="106" t="inlineStr">
        <is>
          <t xml:space="preserve">998909796050 SMS QIZI, 998712082126 SMS UY, 998770267872 SMS QZI 2, 998977677178 SMS QIZAINING HAMORINI NOMERI,</t>
        </is>
      </c>
      <c r="G722" s="106" t="inlineStr">
        <is>
          <t xml:space="preserve">TOSHKENT SHAHAR MIRZO ULUG’BEK TUMANI XABIB-ABDULLAYEV MFY, MIRZO ULUG’BEK KO’CHASI 97-UY,29-XONADON</t>
        </is>
      </c>
      <c r="H722" s="107">
        <v>213.0</v>
      </c>
      <c r="I722" s="107">
        <v>83249746.62</v>
      </c>
    </row>
    <row r="723">
      <c r="A723" s="106" t="inlineStr">
        <is>
          <t xml:space="preserve">ТОШКЕНТ ШАХРИ</t>
        </is>
      </c>
      <c r="C723" s="106" t="inlineStr">
        <is>
          <t xml:space="preserve">Недозвон</t>
        </is>
      </c>
      <c r="D723" s="106" t="inlineStr">
        <is>
          <t xml:space="preserve">Кр-99034073-2</t>
        </is>
      </c>
      <c r="E723" s="106" t="inlineStr">
        <is>
          <t xml:space="preserve">BOLTABOYEV XASANBOY JAMOLIDDINOVICH</t>
        </is>
      </c>
      <c r="F723" s="106" t="inlineStr">
        <is>
          <t xml:space="preserve">998949072022 SMS O’ZI, 998903168272 SMS O’ZI, 998337939597 SMS O’G’LI, 998970525070 SMS OGLI,</t>
        </is>
      </c>
      <c r="G723" s="106" t="inlineStr">
        <is>
          <t xml:space="preserve">TOSHKENT SHAHAR MIRZO ULUG’BEK TUMANI BUYUK IPAK YO’LI MFY SAYRAM KO’CHASI 26/9-UY 3-XONADON</t>
        </is>
      </c>
      <c r="H723" s="107">
        <v>135.0</v>
      </c>
      <c r="I723" s="107">
        <v>67086407.77</v>
      </c>
    </row>
    <row r="724">
      <c r="A724" s="106" t="inlineStr">
        <is>
          <t xml:space="preserve">ТОШКЕНТ ШАХРИ</t>
        </is>
      </c>
      <c r="C724" s="106" t="inlineStr">
        <is>
          <t xml:space="preserve">Недозвон</t>
        </is>
      </c>
      <c r="D724" s="106" t="inlineStr">
        <is>
          <t xml:space="preserve">Кр-99062594-1</t>
        </is>
      </c>
      <c r="E724" s="106" t="inlineStr">
        <is>
          <t xml:space="preserve">TILLAYEV ABBOSXON KAMALITDINOVICH</t>
        </is>
      </c>
      <c r="F724" s="106" t="inlineStr">
        <is>
          <t xml:space="preserve">998977143393 OZI, 998977493808 ONASI, 998998844343 ONASI,</t>
        </is>
      </c>
      <c r="G724" s="106" t="inlineStr">
        <is>
          <t xml:space="preserve">TOSHKENT SHAHAR OLMAZOR TUMANI KICHIK HALQA YO’LI KO’CHASI 5-UY 37-XONADON</t>
        </is>
      </c>
      <c r="H724" s="107">
        <v>73.0</v>
      </c>
      <c r="I724" s="107">
        <v>49567731.55</v>
      </c>
    </row>
    <row r="725">
      <c r="A725" s="106" t="inlineStr">
        <is>
          <t xml:space="preserve">ТОШКЕНТ ШАХРИ</t>
        </is>
      </c>
      <c r="C725" s="106" t="inlineStr">
        <is>
          <t xml:space="preserve">Недозвон</t>
        </is>
      </c>
      <c r="D725" s="106" t="inlineStr">
        <is>
          <t xml:space="preserve">Кр-99040844-1</t>
        </is>
      </c>
      <c r="E725" s="106" t="inlineStr">
        <is>
          <t xml:space="preserve">ABDIMALIKOV MUHAMMAD ALI SOXIBJON O’G’LI</t>
        </is>
      </c>
      <c r="F725" s="106" t="inlineStr">
        <is>
          <t xml:space="preserve">998948147464 SMS OZI, 998943636872 SMS ONASI, 998946374742 SMS zalok egasi , 998946810230 SMS DADSI NEW,</t>
        </is>
      </c>
      <c r="G725" s="106" t="inlineStr">
        <is>
          <t xml:space="preserve">TOSHKENT SHAHAR MIRZO-ULUGBEK TUMANI AXMAD YUGNAKIY G-40 UY 70-XONADON</t>
        </is>
      </c>
      <c r="H725" s="107">
        <v>135.0</v>
      </c>
      <c r="I725" s="107">
        <v>44592027.33</v>
      </c>
    </row>
    <row r="726">
      <c r="A726" s="106" t="inlineStr">
        <is>
          <t xml:space="preserve">ТОШКЕНТ ШАХРИ</t>
        </is>
      </c>
      <c r="C726" s="106" t="inlineStr">
        <is>
          <t xml:space="preserve">Недозвон</t>
        </is>
      </c>
      <c r="D726" s="106" t="inlineStr">
        <is>
          <t xml:space="preserve">Кр-99039089-1</t>
        </is>
      </c>
      <c r="E726" s="106" t="inlineStr">
        <is>
          <t xml:space="preserve">SHARIPOVA NARGIZA XUSNITDINOVNA</t>
        </is>
      </c>
      <c r="F726" s="106" t="inlineStr">
        <is>
          <t xml:space="preserve">998909167565 SMS OZI, 998900136157 SMS SINGLISI, 998951320107 SMS JIYANI,</t>
        </is>
      </c>
      <c r="G726" s="106" t="inlineStr">
        <is>
          <t xml:space="preserve">TOSHKENT SHAHAR SIRG’ALI TUMANI SERGILI 5-MAVZESI, 67-UY, 11-XONADON</t>
        </is>
      </c>
      <c r="H726" s="107">
        <v>177.0</v>
      </c>
      <c r="I726" s="107">
        <v>42668101.77</v>
      </c>
    </row>
    <row r="727">
      <c r="A727" s="106" t="inlineStr">
        <is>
          <t xml:space="preserve">ТОШКЕНТ ШАХРИ</t>
        </is>
      </c>
      <c r="C727" s="106" t="inlineStr">
        <is>
          <t xml:space="preserve">Недозвон</t>
        </is>
      </c>
      <c r="D727" s="106" t="inlineStr">
        <is>
          <t xml:space="preserve">Кр-05555027-1</t>
        </is>
      </c>
      <c r="E727" s="106" t="inlineStr">
        <is>
          <t xml:space="preserve">SOF AVTO RETAIL Ma’suliyati Cheklangan Jamiyati</t>
        </is>
      </c>
      <c r="F727" s="106" t="inlineStr">
        <is>
          <t xml:space="preserve">90-261-88-46 SMS O'ZI, 97-261-88-46 SMS O'ZI 2, 90-488-88-00 SMS MARUF DO'STI, 33-111-30-09 SMS DO'STI,</t>
        </is>
      </c>
      <c r="G727" s="106" t="inlineStr">
        <is>
          <t xml:space="preserve">UCHTEPA TUMANI TINCHLIKOBOD MFY 23-MAVZESI 28A-UY 32-XONADON</t>
        </is>
      </c>
      <c r="H727" s="107">
        <v>128.0</v>
      </c>
      <c r="I727" s="107">
        <v>40820376.61</v>
      </c>
    </row>
    <row r="728">
      <c r="A728" s="106" t="inlineStr">
        <is>
          <t xml:space="preserve">ТОШКЕНТ ШАХРИ</t>
        </is>
      </c>
      <c r="C728" s="106" t="inlineStr">
        <is>
          <t xml:space="preserve">Недозвон</t>
        </is>
      </c>
      <c r="D728" s="106" t="inlineStr">
        <is>
          <t xml:space="preserve">Кр-99062807-2</t>
        </is>
      </c>
      <c r="E728" s="106" t="inlineStr">
        <is>
          <t xml:space="preserve">USMANOVA BARNO ANVAROVNA</t>
        </is>
      </c>
      <c r="F728" s="106" t="inlineStr">
        <is>
          <t xml:space="preserve">998935633171 SMS OZI, 998935752119 SMS KELINI, 998998872334 SMS OGLI,</t>
        </is>
      </c>
      <c r="G728" s="106" t="inlineStr">
        <is>
          <t xml:space="preserve">TOSHKENT SHAHAR MIRZO ULUG’BEK TUMANI ULUG GULOM KOCHASI 30-UY 30-KVARTIRA</t>
        </is>
      </c>
      <c r="H728" s="107">
        <v>73.0</v>
      </c>
      <c r="I728" s="107">
        <v>40426764.31</v>
      </c>
    </row>
    <row r="729">
      <c r="A729" s="106" t="inlineStr">
        <is>
          <t xml:space="preserve">ТОШКЕНТ ШАХРИ</t>
        </is>
      </c>
      <c r="C729" s="106" t="inlineStr">
        <is>
          <t xml:space="preserve">Недозвон</t>
        </is>
      </c>
      <c r="D729" s="106" t="inlineStr">
        <is>
          <t xml:space="preserve">Кр-99027698-3</t>
        </is>
      </c>
      <c r="E729" s="106" t="inlineStr">
        <is>
          <t xml:space="preserve">VOHIDOV ABDUAZIZ ALISHER O’G’LI</t>
        </is>
      </c>
      <c r="F729" s="106" t="inlineStr">
        <is>
          <t xml:space="preserve">998993340003 SMS, 90-097-33-22 SMS ORTO SARDOR, 33-004-50-03 SMS UY,</t>
        </is>
      </c>
      <c r="G729" s="106" t="inlineStr">
        <is>
          <t xml:space="preserve">TOSHKENT SHAHAR UCHTEPA TUMANI ISTIROXAT 4-TOR KOCHASI 34-UY</t>
        </is>
      </c>
      <c r="H729" s="107">
        <v>73.0</v>
      </c>
      <c r="I729" s="107">
        <v>39554210.43</v>
      </c>
    </row>
    <row r="730">
      <c r="A730" s="106" t="inlineStr">
        <is>
          <t xml:space="preserve">ТОШКЕНТ ШАХРИ</t>
        </is>
      </c>
      <c r="C730" s="106" t="inlineStr">
        <is>
          <t xml:space="preserve">Недозвон</t>
        </is>
      </c>
      <c r="D730" s="106" t="inlineStr">
        <is>
          <t xml:space="preserve">Кр-99063105-1</t>
        </is>
      </c>
      <c r="E730" s="106" t="inlineStr">
        <is>
          <t xml:space="preserve">RAXIMOVA NILUFAR YULDASHEVNA</t>
        </is>
      </c>
      <c r="F730" s="106" t="inlineStr">
        <is>
          <t xml:space="preserve">998977927577 OZI, 998995077757 OZI 2, 998985777757 OZI 3, 998770977577 OGLI,</t>
        </is>
      </c>
      <c r="G730" s="106" t="inlineStr">
        <is>
          <t xml:space="preserve">TOSHKENT SHAHAR SHAYXANTOXUR TUMANI SEBZOR KO’CHASI 7-UY,35-XONADON</t>
        </is>
      </c>
      <c r="H730" s="107">
        <v>43.0</v>
      </c>
      <c r="I730" s="107">
        <v>37647872.69</v>
      </c>
    </row>
    <row r="731">
      <c r="A731" s="106" t="inlineStr">
        <is>
          <t xml:space="preserve">ТОШКЕНТ ШАХРИ</t>
        </is>
      </c>
      <c r="C731" s="106" t="inlineStr">
        <is>
          <t xml:space="preserve">Недозвон</t>
        </is>
      </c>
      <c r="D731" s="106" t="inlineStr">
        <is>
          <t xml:space="preserve">Кр-99037421-1</t>
        </is>
      </c>
      <c r="E731" s="106" t="inlineStr">
        <is>
          <t xml:space="preserve">SADIKOVA GULNORA GOPIROVNA</t>
        </is>
      </c>
      <c r="F731" s="106" t="inlineStr">
        <is>
          <t xml:space="preserve">998909204652 SMS OZI, 998996096845 SMS OPASI, 998946826845 SMS OGLI, 998909023212 SMS OGLI,</t>
        </is>
      </c>
      <c r="G731" s="106" t="inlineStr">
        <is>
          <t xml:space="preserve">TOSHKENT SHAHAR CHILONZOR TUMANI XAYRABOD MFY XAYRABOD 4-TOR KO'CHASI 4-UY</t>
        </is>
      </c>
      <c r="H731" s="107">
        <v>191.0</v>
      </c>
      <c r="I731" s="107">
        <v>37621386.59</v>
      </c>
    </row>
    <row r="732">
      <c r="A732" s="106" t="inlineStr">
        <is>
          <t xml:space="preserve">ТОШКЕНТ ШАХРИ</t>
        </is>
      </c>
      <c r="C732" s="106" t="inlineStr">
        <is>
          <t xml:space="preserve">Недозвон</t>
        </is>
      </c>
      <c r="D732" s="106" t="inlineStr">
        <is>
          <t xml:space="preserve">Кр-99037829-1</t>
        </is>
      </c>
      <c r="E732" s="106" t="inlineStr">
        <is>
          <t xml:space="preserve">ABDULLAYEV ILXAM XALILLAYEVICH</t>
        </is>
      </c>
      <c r="F732" s="106" t="inlineStr">
        <is>
          <t xml:space="preserve">998974149377 SMS OZI, 998954392171 SMS AYOLI, 998933918808 SMS QIZILARI, 998949896336 SMS OGLI,</t>
        </is>
      </c>
      <c r="G732" s="106" t="inlineStr">
        <is>
          <t xml:space="preserve">TOSHKENT SHAHAR YUNUSOBOD TUMANI UCH-KAXRAMON MFY 10 MAVZE 1-A-UY 66-XONADON</t>
        </is>
      </c>
      <c r="H732" s="107">
        <v>227.0</v>
      </c>
      <c r="I732" s="107">
        <v>35169291.84</v>
      </c>
    </row>
    <row r="733">
      <c r="A733" s="106" t="inlineStr">
        <is>
          <t xml:space="preserve">ТОШКЕНТ ШАХРИ</t>
        </is>
      </c>
      <c r="C733" s="106" t="inlineStr">
        <is>
          <t xml:space="preserve">Недозвон</t>
        </is>
      </c>
      <c r="D733" s="106" t="inlineStr">
        <is>
          <t xml:space="preserve">Кр-99054221-1</t>
        </is>
      </c>
      <c r="E733" s="106" t="inlineStr">
        <is>
          <t xml:space="preserve">UMAROV SHERZOD FAYZULLAYEVICH</t>
        </is>
      </c>
      <c r="F733" s="106" t="inlineStr">
        <is>
          <t xml:space="preserve">+998912121780 Primary phone from road24, 998912121780 Primary phone from road24,</t>
        </is>
      </c>
      <c r="G733" s="106" t="inlineStr">
        <is>
          <t xml:space="preserve">Гулобод МФЙ, Гулобод мавзеси, 5-уй, 37-хонадон</t>
        </is>
      </c>
      <c r="H733" s="107">
        <v>45.0</v>
      </c>
      <c r="I733" s="107">
        <v>33429118.72</v>
      </c>
    </row>
    <row r="734">
      <c r="A734" s="106" t="inlineStr">
        <is>
          <t xml:space="preserve">ТОШКЕНТ ШАХРИ</t>
        </is>
      </c>
      <c r="C734" s="106" t="inlineStr">
        <is>
          <t xml:space="preserve">Недозвон</t>
        </is>
      </c>
      <c r="D734" s="106" t="inlineStr">
        <is>
          <t xml:space="preserve">Кр-99054221-2</t>
        </is>
      </c>
      <c r="E734" s="106" t="inlineStr">
        <is>
          <t xml:space="preserve">UMAROV SHERZOD FAYZULLAYEVICH</t>
        </is>
      </c>
      <c r="F734" s="106" t="inlineStr">
        <is>
          <t xml:space="preserve">+998912121780 Primary phone from road24, 998912121780 Primary phone from road24,</t>
        </is>
      </c>
      <c r="G734" s="106" t="inlineStr">
        <is>
          <t xml:space="preserve">Гулобод МФЙ, Гулобод мавзеси, 5-уй, 37-хонадон</t>
        </is>
      </c>
      <c r="H734" s="107">
        <v>45.0</v>
      </c>
      <c r="I734" s="107">
        <v>32401787.24</v>
      </c>
    </row>
    <row r="735">
      <c r="A735" s="106" t="inlineStr">
        <is>
          <t xml:space="preserve">ТОШКЕНТ ШАХРИ</t>
        </is>
      </c>
      <c r="C735" s="106" t="inlineStr">
        <is>
          <t xml:space="preserve">Недозвон</t>
        </is>
      </c>
      <c r="D735" s="106" t="inlineStr">
        <is>
          <t xml:space="preserve">Кр-99002592-8</t>
        </is>
      </c>
      <c r="E735" s="106" t="inlineStr">
        <is>
          <t xml:space="preserve">AZIZXON SEVDA SHAVKATOVNA</t>
        </is>
      </c>
      <c r="F735" s="106" t="inlineStr">
        <is>
          <t xml:space="preserve">90-331-22-27 SMS, 90-038-22-27 SMS MUROD AKA tolovchi , 71-217-36-07 SMS UY, 99-811-81-12 SMS MUROT AKA,</t>
        </is>
      </c>
      <c r="G735" s="106" t="inlineStr">
        <is>
          <t xml:space="preserve">TOSHKENT SHAHAR UCHTEPA TUMANI KVL G9a 11 UY 35 XONADON</t>
        </is>
      </c>
      <c r="H735" s="107">
        <v>15.0</v>
      </c>
      <c r="I735" s="107">
        <v>32075114.65</v>
      </c>
    </row>
    <row r="736">
      <c r="A736" s="106" t="inlineStr">
        <is>
          <t xml:space="preserve">ТОШКЕНТ ШАХРИ</t>
        </is>
      </c>
      <c r="C736" s="106" t="inlineStr">
        <is>
          <t xml:space="preserve">Недозвон</t>
        </is>
      </c>
      <c r="D736" s="106" t="inlineStr">
        <is>
          <t xml:space="preserve">Кр-99062904-1</t>
        </is>
      </c>
      <c r="E736" s="106" t="inlineStr">
        <is>
          <t xml:space="preserve">YULDASHOV ERGASHBOY ADILOVICH</t>
        </is>
      </c>
      <c r="F736" s="106" t="inlineStr">
        <is>
          <t xml:space="preserve">998773789771 SMS ONASI, 998993229751 SMS TOLOVCHI, 998998909751 SMS OZI,</t>
        </is>
      </c>
      <c r="G736" s="106" t="inlineStr">
        <is>
          <t xml:space="preserve">TOSHKENT SHAHAR QO’YLIQ OTA MFY QO’YLIQOTA KO’CASHI 9-UY 40-XONADON</t>
        </is>
      </c>
      <c r="H736" s="107">
        <v>73.0</v>
      </c>
      <c r="I736" s="107">
        <v>28959553.66</v>
      </c>
    </row>
    <row r="737">
      <c r="A737" s="106" t="inlineStr">
        <is>
          <t xml:space="preserve">ТОШКЕНТ ШАХРИ</t>
        </is>
      </c>
      <c r="C737" s="106" t="inlineStr">
        <is>
          <t xml:space="preserve">Недозвон</t>
        </is>
      </c>
      <c r="D737" s="106" t="inlineStr">
        <is>
          <t xml:space="preserve">Кр-99032289-3</t>
        </is>
      </c>
      <c r="E737" s="106" t="inlineStr">
        <is>
          <t xml:space="preserve">VALIYEV IBROXIMBEK ALIJON O’G’LI</t>
        </is>
      </c>
      <c r="F737" s="106" t="inlineStr">
        <is>
          <t xml:space="preserve">998935513353 SMS O’ZI, 998937111239 SMS AYOLI, 998956960906 SMS TOG’ASI, 998712995407 SMS UY,</t>
        </is>
      </c>
      <c r="G737" s="106" t="inlineStr">
        <is>
          <t xml:space="preserve">TOSHKENT SHAHAR YASHNOBOD TUMANI FARG’ONA YO’LI 3-TOR KO’CHA 109-UY</t>
        </is>
      </c>
      <c r="H737" s="107">
        <v>115.0</v>
      </c>
      <c r="I737" s="107">
        <v>25338907.74</v>
      </c>
    </row>
    <row r="738">
      <c r="A738" s="106" t="inlineStr">
        <is>
          <t xml:space="preserve">ТОШКЕНТ ШАХРИ</t>
        </is>
      </c>
      <c r="C738" s="106" t="inlineStr">
        <is>
          <t xml:space="preserve">Недозвон</t>
        </is>
      </c>
      <c r="D738" s="106" t="inlineStr">
        <is>
          <t xml:space="preserve">Кр-99062582-1</t>
        </is>
      </c>
      <c r="E738" s="106" t="inlineStr">
        <is>
          <t xml:space="preserve">TASHMETOV XONDAMIR MURSALIYEVICH</t>
        </is>
      </c>
      <c r="F738" s="106" t="inlineStr">
        <is>
          <t xml:space="preserve">998957777748 SMS OZI, 998932222234 SMS AYOLI, 998991289300 SMS DADASIO, 998990405493 SMS ONASI,</t>
        </is>
      </c>
      <c r="G738" s="106" t="inlineStr">
        <is>
          <t xml:space="preserve">Манзил: TOSHKENT VILOYATI PARKENT TUMANI GULBOG MFY GULZOR 1-8-UY 22-XONADON  </t>
        </is>
      </c>
      <c r="H738" s="107">
        <v>73.0</v>
      </c>
      <c r="I738" s="107">
        <v>18242973.74</v>
      </c>
    </row>
    <row r="739">
      <c r="A739" s="106" t="inlineStr">
        <is>
          <t xml:space="preserve">ТОШКЕНТ ШАХРИ</t>
        </is>
      </c>
      <c r="C739" s="106" t="inlineStr">
        <is>
          <t xml:space="preserve">Недозвон</t>
        </is>
      </c>
      <c r="D739" s="106" t="inlineStr">
        <is>
          <t xml:space="preserve">Кр-99058604-1</t>
        </is>
      </c>
      <c r="E739" s="106" t="inlineStr">
        <is>
          <t xml:space="preserve">NIGMATOVA MUKARRAM MIRABBASOVNA</t>
        </is>
      </c>
      <c r="F739" s="106" t="inlineStr">
        <is>
          <t xml:space="preserve">998935319027 SMS OZI, 998950134422 SMS ERI, 998931230171 SMS OGLI, 998990331010 SMS AKASI,</t>
        </is>
      </c>
      <c r="G739" s="106" t="inlineStr">
        <is>
          <t xml:space="preserve">TOSHKENT SHAHAR OLMAZOR TUMANI QORASAROY MFY, QORASAROY KO’CHASI 6-BERK KO’CHASI 10-UY</t>
        </is>
      </c>
      <c r="H739" s="107">
        <v>13.0</v>
      </c>
      <c r="I739" s="107">
        <v>17570149.92</v>
      </c>
    </row>
    <row r="740">
      <c r="A740" s="106" t="inlineStr">
        <is>
          <t xml:space="preserve">ТОШКЕНТ ШАХРИ</t>
        </is>
      </c>
      <c r="C740" s="106" t="inlineStr">
        <is>
          <t xml:space="preserve">Недозвон</t>
        </is>
      </c>
      <c r="D740" s="106" t="inlineStr">
        <is>
          <t xml:space="preserve">Кр-99033410-2</t>
        </is>
      </c>
      <c r="E740" s="106" t="inlineStr">
        <is>
          <t xml:space="preserve">ZIYEVIDDINOV ZAFAR ZIAUTDINOVICH</t>
        </is>
      </c>
      <c r="F740" s="106" t="inlineStr">
        <is>
          <t xml:space="preserve">998900330333 SMS O’ZI, 998983020333 SMS UKASI, 998998330333 SMS AYOLI, 998903220333 SMS ONASI,</t>
        </is>
      </c>
      <c r="G740" s="106" t="inlineStr">
        <is>
          <t xml:space="preserve">TOSHKENT SHAHAR YAKKASAROY TUMANI DILBULOQ MFY  SH.RUSTAVELI KO’CHASI 77-UY 36-XONADON</t>
        </is>
      </c>
      <c r="H740" s="107">
        <v>13.0</v>
      </c>
      <c r="I740" s="107">
        <v>16761982.22</v>
      </c>
    </row>
    <row r="741">
      <c r="A741" s="106" t="inlineStr">
        <is>
          <t xml:space="preserve">ТОШКЕНТ ШАХРИ</t>
        </is>
      </c>
      <c r="C741" s="106" t="inlineStr">
        <is>
          <t xml:space="preserve">Недозвон</t>
        </is>
      </c>
      <c r="D741" s="106" t="inlineStr">
        <is>
          <t xml:space="preserve">Кр-99027373-3</t>
        </is>
      </c>
      <c r="E741" s="106" t="inlineStr">
        <is>
          <t xml:space="preserve">SAIDOV FERUZJON UBAYDULLO O’G’LI</t>
        </is>
      </c>
      <c r="F741" s="106" t="inlineStr">
        <is>
          <t xml:space="preserve">90-976-06-01 SMS O'ZI, 90-019-00-70  SMS AYOLI, 90-061-50-53  SMS OTASI,</t>
        </is>
      </c>
      <c r="G741" s="106" t="inlineStr">
        <is>
          <t xml:space="preserve">TOSHKENT SHAHAR CHILONZOR TUMANI 19-MAVZE 17-UY 41-XONADON</t>
        </is>
      </c>
      <c r="H741" s="107">
        <v>10.0</v>
      </c>
      <c r="I741" s="107">
        <v>15065159.32</v>
      </c>
    </row>
    <row r="742">
      <c r="A742" s="106" t="inlineStr">
        <is>
          <t xml:space="preserve">ТОШКЕНТ ШАХРИ</t>
        </is>
      </c>
      <c r="C742" s="106" t="inlineStr">
        <is>
          <t xml:space="preserve">Недозвон</t>
        </is>
      </c>
      <c r="D742" s="106" t="inlineStr">
        <is>
          <t xml:space="preserve">Кр-99026924-1</t>
        </is>
      </c>
      <c r="E742" s="106" t="inlineStr">
        <is>
          <t xml:space="preserve">MINAROV BAXTIYOR TOSHPULATOVICH</t>
        </is>
      </c>
      <c r="F742" s="106" t="inlineStr">
        <is>
          <t xml:space="preserve">97-780-20-00 SMS O'ZI, 33-400-03-09 SMS O'G'LI, 97-402-02-95 SMS AYOLI, 97-400-02-91 SMS KELINI,</t>
        </is>
      </c>
      <c r="G742" s="106" t="inlineStr">
        <is>
          <t xml:space="preserve">TOSHKENT SHAHAR YAKKASAROY TUMANI BOBUR KO’CHASI 24-UY 11-XONADON</t>
        </is>
      </c>
      <c r="I742" s="107">
        <v>14812021.23</v>
      </c>
    </row>
    <row r="743">
      <c r="A743" s="106" t="inlineStr">
        <is>
          <t xml:space="preserve">ТОШКЕНТ ШАХРИ</t>
        </is>
      </c>
      <c r="C743" s="106" t="inlineStr">
        <is>
          <t xml:space="preserve">Недозвон</t>
        </is>
      </c>
      <c r="D743" s="106" t="inlineStr">
        <is>
          <t xml:space="preserve">Кр-99063351-2</t>
        </is>
      </c>
      <c r="E743" s="106" t="inlineStr">
        <is>
          <t xml:space="preserve">ISMAILOVA VAZIRA BAXRAMOVNA</t>
        </is>
      </c>
      <c r="F743" s="106" t="inlineStr">
        <is>
          <t xml:space="preserve">998501044972 SMS NEVARASI, 998909422931 SMS OZI, 998941188288 SMS OZI 2, 998946808607 SMS NEVARASI 2,</t>
        </is>
      </c>
      <c r="G743" s="106" t="inlineStr">
        <is>
          <t xml:space="preserve">TOSHKENT SHAHAR OLMAZOR TUMANI BESHQO’RG’ON 2-DAXASI 6-UY 63-XONADON</t>
        </is>
      </c>
      <c r="H743" s="107">
        <v>43.0</v>
      </c>
      <c r="I743" s="107">
        <v>14406033.33</v>
      </c>
    </row>
    <row r="744">
      <c r="A744" s="106" t="inlineStr">
        <is>
          <t xml:space="preserve">ТОШКЕНТ ШАХРИ</t>
        </is>
      </c>
      <c r="C744" s="106" t="inlineStr">
        <is>
          <t xml:space="preserve">Недозвон</t>
        </is>
      </c>
      <c r="D744" s="106" t="inlineStr">
        <is>
          <t xml:space="preserve">Кр-99057619-1</t>
        </is>
      </c>
      <c r="E744" s="106" t="inlineStr">
        <is>
          <t xml:space="preserve">FAYZIYEVA KAMILA BATIROVNA</t>
        </is>
      </c>
      <c r="F744" s="106" t="inlineStr">
        <is>
          <t xml:space="preserve">998991264514 SMS OZI,</t>
        </is>
      </c>
      <c r="G744" s="106" t="inlineStr">
        <is>
          <t xml:space="preserve">TOSHKENT SHAHAR MIRZO ULUG’BEK TUAMNI NAVINIHOL MFY SHAHRIOBOD KOCHASI 48-UY 30-XONODON</t>
        </is>
      </c>
      <c r="H744" s="107">
        <v>13.0</v>
      </c>
      <c r="I744" s="107">
        <v>14365854.66</v>
      </c>
    </row>
    <row r="745">
      <c r="A745" s="106" t="inlineStr">
        <is>
          <t xml:space="preserve">ТОШКЕНТ ШАХРИ</t>
        </is>
      </c>
      <c r="C745" s="106" t="inlineStr">
        <is>
          <t xml:space="preserve">Недозвон</t>
        </is>
      </c>
      <c r="D745" s="106" t="inlineStr">
        <is>
          <t xml:space="preserve">Кр-99063555-1</t>
        </is>
      </c>
      <c r="E745" s="106" t="inlineStr">
        <is>
          <t xml:space="preserve">SAIDOV SHOHRUH RAVSHAN O’G’LI</t>
        </is>
      </c>
      <c r="F745" s="106" t="inlineStr">
        <is>
          <t xml:space="preserve">998977441470 SMS Ozi, 998946810330 SMS Ozi, 998908709990 SMS Ukasi,</t>
        </is>
      </c>
      <c r="G745" s="106" t="inlineStr">
        <is>
          <t xml:space="preserve">Toshkent Shahar Uchtepa tumani zulfizar mfy taqachi kochasi 65-uy</t>
        </is>
      </c>
      <c r="H745" s="107">
        <v>13.0</v>
      </c>
      <c r="I745" s="107">
        <v>14336215.99</v>
      </c>
    </row>
    <row r="746">
      <c r="A746" s="106" t="inlineStr">
        <is>
          <t xml:space="preserve">ТОШКЕНТ ШАХРИ</t>
        </is>
      </c>
      <c r="C746" s="106" t="inlineStr">
        <is>
          <t xml:space="preserve">Недозвон</t>
        </is>
      </c>
      <c r="D746" s="106" t="inlineStr">
        <is>
          <t xml:space="preserve">Кр-99040408-4</t>
        </is>
      </c>
      <c r="E746" s="106" t="inlineStr">
        <is>
          <t xml:space="preserve">XODIYEV FARRUX FURQAT O’G’LI</t>
        </is>
      </c>
      <c r="F746" s="106" t="inlineStr">
        <is>
          <t xml:space="preserve">998995705902 SMS OZI, 998977357760 SMS SHERIGI, 998817877602 SMS SHERIGI 2,</t>
        </is>
      </c>
      <c r="G746" s="106" t="inlineStr">
        <is>
          <t xml:space="preserve">TOSHKENT SHAHAR YUNUSOBOD TUMANI 11 KVARTAL,57-UY,46-XONADON</t>
        </is>
      </c>
      <c r="H746" s="107">
        <v>13.0</v>
      </c>
      <c r="I746" s="107">
        <v>14020138.18</v>
      </c>
    </row>
    <row r="747">
      <c r="A747" s="106" t="inlineStr">
        <is>
          <t xml:space="preserve">ТОШКЕНТ ШАХРИ</t>
        </is>
      </c>
      <c r="C747" s="106" t="inlineStr">
        <is>
          <t xml:space="preserve">Недозвон</t>
        </is>
      </c>
      <c r="D747" s="106" t="inlineStr">
        <is>
          <t xml:space="preserve">Кр-99036691-1</t>
        </is>
      </c>
      <c r="E747" s="106" t="inlineStr">
        <is>
          <t xml:space="preserve">MAMADALIYEVA FERUZA MAXAMADSIDIKOVNA</t>
        </is>
      </c>
      <c r="F747" s="106" t="inlineStr">
        <is>
          <t xml:space="preserve">998998889846 SMS OZI, 998917739811 SMS OGLI, 998990979765 SMS XOLASI, 998909661555 SMS QOSHNISI,</t>
        </is>
      </c>
      <c r="G747" s="106" t="inlineStr">
        <is>
          <t xml:space="preserve">TOSHKENT SHAHAR ,YANGIHAYOT TUMANI,SHOKIR ARIK,G64 KO’CHASI,295-UY,20-XONADON</t>
        </is>
      </c>
      <c r="H747" s="107">
        <v>3.0</v>
      </c>
      <c r="I747" s="107">
        <v>13746616.2</v>
      </c>
    </row>
    <row r="748">
      <c r="A748" s="106" t="inlineStr">
        <is>
          <t xml:space="preserve">ТОШКЕНТ ШАХРИ</t>
        </is>
      </c>
      <c r="C748" s="106" t="inlineStr">
        <is>
          <t xml:space="preserve">Недозвон</t>
        </is>
      </c>
      <c r="D748" s="106" t="inlineStr">
        <is>
          <t xml:space="preserve">Кр-99031250-4</t>
        </is>
      </c>
      <c r="E748" s="106" t="inlineStr">
        <is>
          <t xml:space="preserve">SADIKOVA ZILOLA ANVAROVNA</t>
        </is>
      </c>
      <c r="F748" s="106" t="inlineStr">
        <is>
          <t xml:space="preserve">998977533163 SMS O’ZI, 998957533150 SMS O’ZI2, 998933730140 SMS SHERIK, 998999161133 SMS UKASI, 998909755703 SMS IJARA TURGAN UYINI EGASI,</t>
        </is>
      </c>
      <c r="G748" s="106" t="inlineStr">
        <is>
          <t xml:space="preserve">TOSHKENT SHAHRI MIROBOD TUMANI CHINOR MFY QOYLIQ 1-MAVZESI 4-UY 11-XONADON</t>
        </is>
      </c>
      <c r="H748" s="107">
        <v>10.0</v>
      </c>
      <c r="I748" s="107">
        <v>13683496.66</v>
      </c>
    </row>
    <row r="749">
      <c r="A749" s="106" t="inlineStr">
        <is>
          <t xml:space="preserve">ТОШКЕНТ ШАХРИ</t>
        </is>
      </c>
      <c r="C749" s="106" t="inlineStr">
        <is>
          <t xml:space="preserve">Недозвон</t>
        </is>
      </c>
      <c r="D749" s="106" t="inlineStr">
        <is>
          <t xml:space="preserve">Кр-99063105-2</t>
        </is>
      </c>
      <c r="E749" s="106" t="inlineStr">
        <is>
          <t xml:space="preserve">RAXIMOVA NILUFAR YULDASHEVNA</t>
        </is>
      </c>
      <c r="F749" s="106" t="inlineStr">
        <is>
          <t xml:space="preserve">998977927577 OZI, 998995077757 OZI 2, 998985777757 OZI 3, 998770977577 OGLI,</t>
        </is>
      </c>
      <c r="G749" s="106" t="inlineStr">
        <is>
          <t xml:space="preserve">TOSHKENT SHAHAR SHAYXANTOXUR TUMANI SEBZOR KO’CHASI 7-UY,35-XONADON</t>
        </is>
      </c>
      <c r="H749" s="107">
        <v>10.0</v>
      </c>
      <c r="I749" s="107">
        <v>12643645.46</v>
      </c>
    </row>
    <row r="750">
      <c r="A750" s="106" t="inlineStr">
        <is>
          <t xml:space="preserve">ТОШКЕНТ ШАХРИ</t>
        </is>
      </c>
      <c r="C750" s="106" t="inlineStr">
        <is>
          <t xml:space="preserve">Недозвон</t>
        </is>
      </c>
      <c r="D750" s="106" t="inlineStr">
        <is>
          <t xml:space="preserve">Кр-99062894-1</t>
        </is>
      </c>
      <c r="E750" s="106" t="inlineStr">
        <is>
          <t xml:space="preserve">RAXIMOV VALIJON RUZALIYEVICH</t>
        </is>
      </c>
      <c r="F750" s="106" t="inlineStr">
        <is>
          <t xml:space="preserve">998501234576 SMS KICHIK QIZI, 998771266504 SMS KATTA QIZI, 998881700227 SMS OZI, 998975170227 SMS OGLI,</t>
        </is>
      </c>
      <c r="G750" s="106" t="inlineStr">
        <is>
          <t xml:space="preserve">TOSHKENT SHAHAR SHAYXONTOXUR TUMANI IBIN SINO MFY IBIN SINO KOCHASI 1-MAVZE 9-UY 3-XONADON</t>
        </is>
      </c>
      <c r="H750" s="107">
        <v>43.0</v>
      </c>
      <c r="I750" s="107">
        <v>12344289.42</v>
      </c>
    </row>
    <row r="751">
      <c r="A751" s="106" t="inlineStr">
        <is>
          <t xml:space="preserve">ТОШКЕНТ ШАХРИ</t>
        </is>
      </c>
      <c r="C751" s="106" t="inlineStr">
        <is>
          <t xml:space="preserve">Недозвон</t>
        </is>
      </c>
      <c r="D751" s="106" t="inlineStr">
        <is>
          <t xml:space="preserve">Кр-99058714-1</t>
        </is>
      </c>
      <c r="E751" s="106" t="inlineStr">
        <is>
          <t xml:space="preserve">MAXMATQULOV AKROM ABDIRAXMONOVICH</t>
        </is>
      </c>
      <c r="F751" s="106" t="inlineStr">
        <is>
          <t xml:space="preserve">998909404168 SMS OZI, 998931464168 SMS AYOLI, 998933034168 SMS OGLI, 998983644168 SMS OZI,</t>
        </is>
      </c>
      <c r="G751" s="106" t="inlineStr">
        <is>
          <t xml:space="preserve">TOSHKENT SHAHAR YANGIHAYOT TUMANI YANGIHAYOT MFY TURSUNZODA KOCHASI 10-UY 164-XONODON</t>
        </is>
      </c>
      <c r="H751" s="107">
        <v>13.0</v>
      </c>
      <c r="I751" s="107">
        <v>12177781.16</v>
      </c>
    </row>
    <row r="752">
      <c r="A752" s="106" t="inlineStr">
        <is>
          <t xml:space="preserve">ТОШКЕНТ ШАХРИ</t>
        </is>
      </c>
      <c r="C752" s="106" t="inlineStr">
        <is>
          <t xml:space="preserve">Недозвон</t>
        </is>
      </c>
      <c r="D752" s="106" t="inlineStr">
        <is>
          <t xml:space="preserve">Кр-99026361-5</t>
        </is>
      </c>
      <c r="E752" s="106" t="inlineStr">
        <is>
          <t xml:space="preserve">SHERIMBETOVA UMIDA TULKUNOVNA</t>
        </is>
      </c>
      <c r="F752" s="106" t="inlineStr">
        <is>
          <t xml:space="preserve">93-000-70-81 SMS OZI, 99-825-70-81 SMS OZI, 94-769-72-42 SMS OGLI, 94-666-74-47 SMS OGLI, 930007081 SMS OZI, 946667447 SMS OGLI, 947697242 SMS OGLI, 998257081 SMS OZI,</t>
        </is>
      </c>
      <c r="G752" s="106" t="inlineStr">
        <is>
          <t xml:space="preserve">Умид МФЙ, Кора-Камиш 2/3 мавзеси, 8-уй, 24-хонадон</t>
        </is>
      </c>
      <c r="H752" s="107">
        <v>43.0</v>
      </c>
      <c r="I752" s="107">
        <v>12072811.1</v>
      </c>
    </row>
    <row r="753">
      <c r="A753" s="106" t="inlineStr">
        <is>
          <t xml:space="preserve">ТОШКЕНТ ШАХРИ</t>
        </is>
      </c>
      <c r="C753" s="106" t="inlineStr">
        <is>
          <t xml:space="preserve">Недозвон</t>
        </is>
      </c>
      <c r="D753" s="106" t="inlineStr">
        <is>
          <t xml:space="preserve">Кр-99039518-3</t>
        </is>
      </c>
      <c r="E753" s="106" t="inlineStr">
        <is>
          <t xml:space="preserve">XAYDAROV NURIDDIN RAVSHAN O’G’LI</t>
        </is>
      </c>
      <c r="F753" s="106" t="inlineStr">
        <is>
          <t xml:space="preserve">+998881255050 o’zi, 998946464477 ukalari, 998958773383 Ukalari, 998958828380 ayoli,</t>
        </is>
      </c>
      <c r="G753" s="106" t="inlineStr">
        <is>
          <t xml:space="preserve">Иброхим ота МФЙ, Чукурсой кучаси, 13-уй, 16-хонадон</t>
        </is>
      </c>
      <c r="H753" s="107">
        <v>43.0</v>
      </c>
      <c r="I753" s="107">
        <v>12038657.34</v>
      </c>
    </row>
    <row r="754">
      <c r="A754" s="106" t="inlineStr">
        <is>
          <t xml:space="preserve">ТОШКЕНТ ШАХРИ</t>
        </is>
      </c>
      <c r="C754" s="106" t="inlineStr">
        <is>
          <t xml:space="preserve">Недозвон</t>
        </is>
      </c>
      <c r="D754" s="106" t="inlineStr">
        <is>
          <t xml:space="preserve">Кр-99063555-2</t>
        </is>
      </c>
      <c r="E754" s="106" t="inlineStr">
        <is>
          <t xml:space="preserve">SAIDOV SHOHRUH RAVSHAN O’G’LI</t>
        </is>
      </c>
      <c r="F754" s="106" t="inlineStr">
        <is>
          <t xml:space="preserve">998977441470 SMS Ozi, 998946810330 SMS Ozi, 998908709990 SMS Ukasi,</t>
        </is>
      </c>
      <c r="G754" s="106" t="inlineStr">
        <is>
          <t xml:space="preserve">Toshkent Shahar Uchtepa tumani zulfizar mfy taqachi kochasi 65-uy</t>
        </is>
      </c>
      <c r="H754" s="107">
        <v>13.0</v>
      </c>
      <c r="I754" s="107">
        <v>11667331.4</v>
      </c>
    </row>
    <row r="755">
      <c r="A755" s="106" t="inlineStr">
        <is>
          <t xml:space="preserve">ТОШКЕНТ ШАХРИ</t>
        </is>
      </c>
      <c r="C755" s="106" t="inlineStr">
        <is>
          <t xml:space="preserve">Недозвон</t>
        </is>
      </c>
      <c r="D755" s="106" t="inlineStr">
        <is>
          <t xml:space="preserve">Кр-99043656-5</t>
        </is>
      </c>
      <c r="E755" s="106" t="inlineStr">
        <is>
          <t xml:space="preserve">SHOMURZOPOV SHOAKBAR SHOMUROD O’G’LI</t>
        </is>
      </c>
      <c r="F755" s="106" t="inlineStr">
        <is>
          <t xml:space="preserve">+998974777376 Primary phone from road24, 998974777376 Primary phone from road24, 998774085360 SMS UY, 998974005868 SMS ONASI, 998974105330 SMS OTASI,</t>
        </is>
      </c>
      <c r="G755" s="106" t="inlineStr">
        <is>
          <t xml:space="preserve">TOSHKENT SHAHAR OLMAZOR TUMANI SEBZOR MFY SEBZOR S17/18 DAXASI 35B-UY 11-XONADON</t>
        </is>
      </c>
      <c r="H755" s="107">
        <v>13.0</v>
      </c>
      <c r="I755" s="107">
        <v>11529480.67</v>
      </c>
    </row>
    <row r="756">
      <c r="A756" s="106" t="inlineStr">
        <is>
          <t xml:space="preserve">ТОШКЕНТ ШАХРИ</t>
        </is>
      </c>
      <c r="C756" s="106" t="inlineStr">
        <is>
          <t xml:space="preserve">Объезд</t>
        </is>
      </c>
      <c r="D756" s="106" t="inlineStr">
        <is>
          <t xml:space="preserve">Кр-99063240-1</t>
        </is>
      </c>
      <c r="E756" s="106" t="inlineStr">
        <is>
          <t xml:space="preserve">BOZOROV FAZLIDDIN JUMAYEVICH</t>
        </is>
      </c>
      <c r="F756" s="106" t="inlineStr">
        <is>
          <t xml:space="preserve">998777923003 SMS DADASI (ISHXONASI), 998908073003 SMS ISHXONMASI, 998936998569 SMS ONASI, 998999162111 SMS OZI,</t>
        </is>
      </c>
      <c r="G756" s="106" t="inlineStr">
        <is>
          <t xml:space="preserve">TOSHKENT SHAHAR YANGIHAYOT TUMANI BINOKOR MFY SANGZOR KOCHASI 24-UY 19-XONADON</t>
        </is>
      </c>
      <c r="H756" s="107">
        <v>15.0</v>
      </c>
      <c r="I756" s="107">
        <v>11101366.27</v>
      </c>
      <c r="K756" s="106" t="inlineStr">
        <is>
          <t xml:space="preserve">Uyiga borildi - va'da berdi | 3-4kunda to'\</t>
        </is>
      </c>
    </row>
    <row r="757">
      <c r="A757" s="106" t="inlineStr">
        <is>
          <t xml:space="preserve">ТОШКЕНТ ШАХРИ</t>
        </is>
      </c>
      <c r="C757" s="106" t="inlineStr">
        <is>
          <t xml:space="preserve">Недозвон</t>
        </is>
      </c>
      <c r="D757" s="106" t="inlineStr">
        <is>
          <t xml:space="preserve">Кр-99033538-1</t>
        </is>
      </c>
      <c r="E757" s="106" t="inlineStr">
        <is>
          <t xml:space="preserve">HAMROQULOV SANJAR QURBONOVICH</t>
        </is>
      </c>
      <c r="F757" s="106" t="inlineStr">
        <is>
          <t xml:space="preserve">998973000017 SMS O’ZI, 998900077707 SMS UKASI, 998960677772 SMS O’ZI 2,</t>
        </is>
      </c>
      <c r="G757" s="106" t="inlineStr">
        <is>
          <t xml:space="preserve">TOSHKENT SHAHAR SHAYXONTOXUR TUMANI TAXTAPUL MFY TURKKURGON KO’CHASI 71-UY 12-XONADON</t>
        </is>
      </c>
      <c r="H757" s="107">
        <v>6.0</v>
      </c>
      <c r="I757" s="107">
        <v>10715973.59</v>
      </c>
    </row>
    <row r="758">
      <c r="A758" s="106" t="inlineStr">
        <is>
          <t xml:space="preserve">ТОШКЕНТ ШАХРИ</t>
        </is>
      </c>
      <c r="C758" s="106" t="inlineStr">
        <is>
          <t xml:space="preserve">Недозвон</t>
        </is>
      </c>
      <c r="D758" s="106" t="inlineStr">
        <is>
          <t xml:space="preserve">Кр-99035609-1</t>
        </is>
      </c>
      <c r="E758" s="106" t="inlineStr">
        <is>
          <t xml:space="preserve">SULTANOV UMID GAYRAT O’G’LI</t>
        </is>
      </c>
      <c r="F758" s="106" t="inlineStr">
        <is>
          <t xml:space="preserve">998331393333 SMS O’ZI, 998951009336 SMS AYOLI yashamidi, 998333771963 SMS O’ZI 2, 998332491740 SMS ozi,</t>
        </is>
      </c>
      <c r="G758" s="106" t="inlineStr">
        <is>
          <t xml:space="preserve">TOSHKENT SHAHAR UCHTEPA TUMANI 30-MAVZE,24-UY,42-XONADON</t>
        </is>
      </c>
      <c r="H758" s="107">
        <v>99.0</v>
      </c>
      <c r="I758" s="107">
        <v>10116996.92</v>
      </c>
    </row>
    <row r="759">
      <c r="A759" s="106" t="inlineStr">
        <is>
          <t xml:space="preserve">ТОШКЕНТ ШАХРИ</t>
        </is>
      </c>
      <c r="C759" s="106" t="inlineStr">
        <is>
          <t xml:space="preserve">Недозвон</t>
        </is>
      </c>
      <c r="D759" s="106" t="inlineStr">
        <is>
          <t xml:space="preserve">Кр-99048651-2</t>
        </is>
      </c>
      <c r="E759" s="106" t="inlineStr">
        <is>
          <t xml:space="preserve">QAMBAROVA NODIRA ABDUMALIK QIZI</t>
        </is>
      </c>
      <c r="F759" s="106" t="inlineStr">
        <is>
          <t xml:space="preserve">998900940110 SMS OZI, 998903212619 SMS ONASI, 998903940110 sms o’zi, 998931800994 SMS AKASI,</t>
        </is>
      </c>
      <c r="G759" s="106" t="inlineStr">
        <is>
          <t xml:space="preserve">Учтепа, улугбек кучаси, 6 проезд, 7 уй,</t>
        </is>
      </c>
      <c r="H759" s="107">
        <v>13.0</v>
      </c>
      <c r="I759" s="107">
        <v>9212297.43</v>
      </c>
    </row>
    <row r="760">
      <c r="A760" s="106" t="inlineStr">
        <is>
          <t xml:space="preserve">ТОШКЕНТ ШАХРИ</t>
        </is>
      </c>
      <c r="C760" s="106" t="inlineStr">
        <is>
          <t xml:space="preserve">Недозвон</t>
        </is>
      </c>
      <c r="D760" s="106" t="inlineStr">
        <is>
          <t xml:space="preserve">Кр-99030050-2</t>
        </is>
      </c>
      <c r="E760" s="106" t="inlineStr">
        <is>
          <t xml:space="preserve">MASUDOV RAXMATJON RAXIMDJANOVICH</t>
        </is>
      </c>
      <c r="F760" s="106" t="inlineStr">
        <is>
          <t xml:space="preserve">90-920-54-44 SMS O'ZI, 90-902-54-44  SMS AYOLI, 94-652-54-44  SMS O'ZI, 71-247-19-44  SMS UYINIKI,</t>
        </is>
      </c>
      <c r="G760" s="106" t="inlineStr">
        <is>
          <t xml:space="preserve">TOSHKENT SHAHAR UCHTEPA TUMANI MEXMONDO’ST KO’CHASI 6A-UY</t>
        </is>
      </c>
      <c r="H760" s="107">
        <v>73.0</v>
      </c>
      <c r="I760" s="107">
        <v>9150947.69</v>
      </c>
    </row>
    <row r="761">
      <c r="A761" s="106" t="inlineStr">
        <is>
          <t xml:space="preserve">ТОШКЕНТ ШАХРИ</t>
        </is>
      </c>
      <c r="C761" s="106" t="inlineStr">
        <is>
          <t xml:space="preserve">Недозвон</t>
        </is>
      </c>
      <c r="D761" s="106" t="inlineStr">
        <is>
          <t xml:space="preserve">Кр-99063090-1</t>
        </is>
      </c>
      <c r="E761" s="106" t="inlineStr">
        <is>
          <t xml:space="preserve">RUSTAMOV JASURBEK QIYOMOVICH</t>
        </is>
      </c>
      <c r="F761" s="106" t="inlineStr">
        <is>
          <t xml:space="preserve">998978682627 SMS OZI, 998939697577 SMS JIYANI, 998730003572 SMS JIYANI 2, 998500036005 SMS AKASI,</t>
        </is>
      </c>
      <c r="G761" s="106" t="inlineStr">
        <is>
          <t xml:space="preserve">TOSHKENT SHAHAR SHAYXONTOXUR TUMANI TAXTAPUL MFY ZULFIYAXONIM KO’CHASI 29-UY,19-XONADON</t>
        </is>
      </c>
      <c r="H761" s="107">
        <v>43.0</v>
      </c>
      <c r="I761" s="107">
        <v>8869005.9</v>
      </c>
    </row>
    <row r="762">
      <c r="A762" s="106" t="inlineStr">
        <is>
          <t xml:space="preserve">ТОШКЕНТ ШАХРИ</t>
        </is>
      </c>
      <c r="C762" s="106" t="inlineStr">
        <is>
          <t xml:space="preserve">Недозвон</t>
        </is>
      </c>
      <c r="D762" s="106" t="inlineStr">
        <is>
          <t xml:space="preserve">Кр-99037575-2</t>
        </is>
      </c>
      <c r="E762" s="106" t="inlineStr">
        <is>
          <t xml:space="preserve">AZIMXODJAYEV BEXZOD DJAMALITDINOVICH</t>
        </is>
      </c>
      <c r="F762" s="106" t="inlineStr">
        <is>
          <t xml:space="preserve">998998400008 SMS OZI, 998977071020 SMS DO’ST, 998977469176 SMS DOSTI 2, 998930906353 SMS OZI 2,</t>
        </is>
      </c>
      <c r="G762" s="106" t="inlineStr">
        <is>
          <t xml:space="preserve">TOSHKENT SHAHAR OLMAZOR TUMANI, YANGI TOSHKENT MFY,KELES O’LI 15-UY</t>
        </is>
      </c>
      <c r="H762" s="107">
        <v>10.0</v>
      </c>
      <c r="I762" s="107">
        <v>8773681.56</v>
      </c>
    </row>
    <row r="763">
      <c r="A763" s="106" t="inlineStr">
        <is>
          <t xml:space="preserve">ТОШКЕНТ ШАХРИ</t>
        </is>
      </c>
      <c r="C763" s="106" t="inlineStr">
        <is>
          <t xml:space="preserve">Недозвон</t>
        </is>
      </c>
      <c r="D763" s="106" t="inlineStr">
        <is>
          <t xml:space="preserve">Кр-99038626-1</t>
        </is>
      </c>
      <c r="E763" s="106" t="inlineStr">
        <is>
          <t xml:space="preserve">ORZIKULOVA GULMIRA NEMATULLOYEVNA</t>
        </is>
      </c>
      <c r="F763" s="106" t="inlineStr">
        <is>
          <t xml:space="preserve">998911626688 SMS OZI, 998930046000 SMS QAYNISI, 998974640109 SMS QAYNISI, 998975488082 SMS AKASI,</t>
        </is>
      </c>
      <c r="G763" s="106" t="inlineStr">
        <is>
          <t xml:space="preserve">TOSHKENT SHAHAR MIRZO ULUG’BEK TUMANI MUNAVVAR QORI MFY, CHULDARAXT KO’CHASI 2-UY, 3-XONADON</t>
        </is>
      </c>
      <c r="H763" s="107">
        <v>76.0</v>
      </c>
      <c r="I763" s="107">
        <v>8641159.27</v>
      </c>
    </row>
    <row r="764">
      <c r="A764" s="106" t="inlineStr">
        <is>
          <t xml:space="preserve">ТОШКЕНТ ШАХРИ</t>
        </is>
      </c>
      <c r="C764" s="106" t="inlineStr">
        <is>
          <t xml:space="preserve">Недозвон</t>
        </is>
      </c>
      <c r="D764" s="106" t="inlineStr">
        <is>
          <t xml:space="preserve">Кр-99002959-7</t>
        </is>
      </c>
      <c r="E764" s="106" t="inlineStr">
        <is>
          <t xml:space="preserve">YULDASHEVA NARGIZA TULKUNOVNA</t>
        </is>
      </c>
      <c r="F764" s="106" t="inlineStr">
        <is>
          <t xml:space="preserve">998993955070 SMS ozi, 91-190-50-70 ozi , 99-395-50-70 ozi , 90-160-57-69 SMS QIZLARI BIBSORA   бегона,</t>
        </is>
      </c>
      <c r="G764" s="106" t="inlineStr">
        <is>
          <t xml:space="preserve">TOSHKENT SHAHAR OLMAZOR TUMANI QORA QAMISH 2/1 38 UY 70 XONADON</t>
        </is>
      </c>
      <c r="H764" s="107">
        <v>10.0</v>
      </c>
      <c r="I764" s="107">
        <v>8581668.31</v>
      </c>
    </row>
    <row r="765">
      <c r="A765" s="106" t="inlineStr">
        <is>
          <t xml:space="preserve">ТОШКЕНТ ШАХРИ</t>
        </is>
      </c>
      <c r="C765" s="106" t="inlineStr">
        <is>
          <t xml:space="preserve">Недозвон</t>
        </is>
      </c>
      <c r="D765" s="106" t="inlineStr">
        <is>
          <t xml:space="preserve">Кр-99025906-4</t>
        </is>
      </c>
      <c r="E765" s="106" t="inlineStr">
        <is>
          <t xml:space="preserve">KARIMOV YUNUS AZIZOVICH</t>
        </is>
      </c>
      <c r="F765" s="106" t="inlineStr">
        <is>
          <t xml:space="preserve">33-860-08-88  SMS OZI, 97-717-87-65 SMS BAXTIYOR AKA, 90-000-80-07 SMS MUZAFFAR AKA, 71-253-99-31 SMS UYI,</t>
        </is>
      </c>
      <c r="G765" s="106" t="inlineStr">
        <is>
          <t xml:space="preserve">TOSHKENT SHAHRI YAKKASAROY TUMANI MUQUMIY MFY XAMSHRA KO'CHASI 38-UY</t>
        </is>
      </c>
      <c r="H765" s="107">
        <v>3.0</v>
      </c>
      <c r="I765" s="107">
        <v>7848840.89</v>
      </c>
    </row>
    <row r="766">
      <c r="A766" s="106" t="inlineStr">
        <is>
          <t xml:space="preserve">ТОШКЕНТ ШАХРИ</t>
        </is>
      </c>
      <c r="C766" s="106" t="inlineStr">
        <is>
          <t xml:space="preserve">Недозвон</t>
        </is>
      </c>
      <c r="D766" s="106" t="inlineStr">
        <is>
          <t xml:space="preserve">Кр-99033708-1</t>
        </is>
      </c>
      <c r="E766" s="106" t="inlineStr">
        <is>
          <t xml:space="preserve">XURRAMOVA DILSHODA NORMUROT QIZI</t>
        </is>
      </c>
      <c r="F766" s="106" t="inlineStr">
        <is>
          <t xml:space="preserve">998901300506 SMS O’ZI YUNUSOBOD BOZORDA ISHLIDI MEVA SOTADI , 998901231919 SMS QO’SHNISI, 998900606161 SMS QO’SHNISI, 998901789643 SMS ONASI,</t>
        </is>
      </c>
      <c r="G766" s="106" t="inlineStr">
        <is>
          <t xml:space="preserve">TOSHKENT SHAHAR MIROBOD RAYONI QO’YLIQ 4 -  MASSIV 8 DOM 4-KVARTIRA</t>
        </is>
      </c>
      <c r="H766" s="107">
        <v>91.0</v>
      </c>
      <c r="I766" s="107">
        <v>7825008.05</v>
      </c>
    </row>
    <row r="767">
      <c r="A767" s="106" t="inlineStr">
        <is>
          <t xml:space="preserve">ТОШКЕНТ ШАХРИ</t>
        </is>
      </c>
      <c r="C767" s="106" t="inlineStr">
        <is>
          <t xml:space="preserve">Недозвон</t>
        </is>
      </c>
      <c r="D767" s="106" t="inlineStr">
        <is>
          <t xml:space="preserve">Кр-99037022-3</t>
        </is>
      </c>
      <c r="E767" s="106" t="inlineStr">
        <is>
          <t xml:space="preserve">SODIQOV ULUG’BEK ZIYODULLA O’GLI</t>
        </is>
      </c>
      <c r="F767" s="106" t="inlineStr">
        <is>
          <t xml:space="preserve">998935740900 SMS OZI, 998971017799 SMS AKASI, 998900037531 SMS AKASI, 998909707175 SMS AKASI, 998909707571 SMS uzi ulug’bek new,</t>
        </is>
      </c>
      <c r="G767" s="106" t="inlineStr">
        <is>
          <t xml:space="preserve">TOSHKENT SHAHAR YASHNOBOD TUMANI 2-AVIASOZLAR MAVZESI 26-UY 66- XONADON</t>
        </is>
      </c>
      <c r="H767" s="107">
        <v>14.0</v>
      </c>
      <c r="I767" s="107">
        <v>7656589.1</v>
      </c>
    </row>
    <row r="768">
      <c r="A768" s="106" t="inlineStr">
        <is>
          <t xml:space="preserve">ТОШКЕНТ ШАХРИ</t>
        </is>
      </c>
      <c r="C768" s="106" t="inlineStr">
        <is>
          <t xml:space="preserve">Недозвон</t>
        </is>
      </c>
      <c r="D768" s="106" t="inlineStr">
        <is>
          <t xml:space="preserve">Кр-99055221-3</t>
        </is>
      </c>
      <c r="E768" s="106" t="inlineStr">
        <is>
          <t xml:space="preserve">ASQAROVA MUNISA ABRORJON QIZI</t>
        </is>
      </c>
      <c r="F768" s="106" t="inlineStr">
        <is>
          <t xml:space="preserve">998998462022 SMS MASHINA EGASI, 998779759505 SMS OZI, 998903462022 SMS AMAKASI, 998996477783 SMS ONASI,</t>
        </is>
      </c>
      <c r="G768" s="106" t="inlineStr">
        <is>
          <t xml:space="preserve">ТОШКЕНТ ШАХРИ ОЛМАЗОР ТУМАНИ ИБРОХИМ ОТА МФЙ, ЧУҚУРСОЙ КЎЧАСИ,  uy:106</t>
        </is>
      </c>
      <c r="H768" s="107">
        <v>10.0</v>
      </c>
      <c r="I768" s="107">
        <v>7622698.41</v>
      </c>
    </row>
    <row r="769">
      <c r="A769" s="106" t="inlineStr">
        <is>
          <t xml:space="preserve">ТОШКЕНТ ШАХРИ</t>
        </is>
      </c>
      <c r="C769" s="106" t="inlineStr">
        <is>
          <t xml:space="preserve">Объезд</t>
        </is>
      </c>
      <c r="D769" s="106" t="inlineStr">
        <is>
          <t xml:space="preserve">Кр-99042127-1</t>
        </is>
      </c>
      <c r="E769" s="106" t="inlineStr">
        <is>
          <t xml:space="preserve">ABDULLAYEVA SHAXLO SHARIFJONOVNA</t>
        </is>
      </c>
      <c r="F769" s="106" t="inlineStr">
        <is>
          <t xml:space="preserve">998953205678 SMS OZI begona , 998909813239 SMS ozi , 998946449886 SMS ogli , 998917829977 SMS eri ,</t>
        </is>
      </c>
      <c r="G769" s="106" t="inlineStr">
        <is>
          <t xml:space="preserve">TOSHKENT SHAHAR YUNUSOBOD TUMANI TIKLANISH MFY TIKLANISH PROEZD 6 KOCHASI 2-UY</t>
        </is>
      </c>
      <c r="H769" s="107">
        <v>10.0</v>
      </c>
      <c r="I769" s="107">
        <v>7578561.14</v>
      </c>
      <c r="K769" s="106" t="inlineStr">
        <is>
          <t xml:space="preserve">Uyiga borildi - va'da berdi | bugun sud</t>
        </is>
      </c>
    </row>
    <row r="770">
      <c r="A770" s="106" t="inlineStr">
        <is>
          <t xml:space="preserve">ТОШКЕНТ ШАХРИ</t>
        </is>
      </c>
      <c r="C770" s="106" t="inlineStr">
        <is>
          <t xml:space="preserve">Недозвон</t>
        </is>
      </c>
      <c r="D770" s="106" t="inlineStr">
        <is>
          <t xml:space="preserve">Кр-99026854-2</t>
        </is>
      </c>
      <c r="E770" s="106" t="inlineStr">
        <is>
          <t xml:space="preserve">XOLMUXAMEDOV DAVRON ZOKIR O’G’LI</t>
        </is>
      </c>
      <c r="F770" s="106" t="inlineStr">
        <is>
          <t xml:space="preserve">94-397-88-88  SMS OZI, 94-697-64-34  SMS JIYANI ( BEGANA), 90-021-64-34  SMS OZI 2, 99-049-79-86  SMS UY, 998940331622 SMS UZI SHUNGA QILINSIN ,</t>
        </is>
      </c>
      <c r="G770" s="106" t="inlineStr">
        <is>
          <t xml:space="preserve">КЎКЧА ОҚТЕПА МФЙ, АЛИ КУШЧИ КЎЧАСИ,  uy:1</t>
        </is>
      </c>
      <c r="H770" s="107">
        <v>10.0</v>
      </c>
      <c r="I770" s="107">
        <v>7403342.33</v>
      </c>
    </row>
    <row r="771">
      <c r="A771" s="106" t="inlineStr">
        <is>
          <t xml:space="preserve">ТОШКЕНТ ШАХРИ</t>
        </is>
      </c>
      <c r="C771" s="106" t="inlineStr">
        <is>
          <t xml:space="preserve">Недозвон</t>
        </is>
      </c>
      <c r="D771" s="106" t="inlineStr">
        <is>
          <t xml:space="preserve">Кр-99062871-2</t>
        </is>
      </c>
      <c r="E771" s="106" t="inlineStr">
        <is>
          <t xml:space="preserve">YUGAY ANDREY VITALEVICH</t>
        </is>
      </c>
      <c r="F771" s="106" t="inlineStr">
        <is>
          <t xml:space="preserve">998771690087 SMS AKASI, 998971327478 SMS SINGLISI, 998991350078 SMS UKASI, 998996382633 SMS AYOLI,</t>
        </is>
      </c>
      <c r="G771" s="106" t="inlineStr">
        <is>
          <t xml:space="preserve">TOSHKENT SHAHAR YASHNOBOD TUMANI 1-TUZEL MAVZESI 33-UY 40-XONADON</t>
        </is>
      </c>
      <c r="H771" s="107">
        <v>10.0</v>
      </c>
      <c r="I771" s="107">
        <v>7397238.59</v>
      </c>
      <c r="K771" s="106" t="inlineStr">
        <is>
          <t xml:space="preserve">Telefon ko'tarmadi</t>
        </is>
      </c>
    </row>
    <row r="772">
      <c r="A772" s="106" t="inlineStr">
        <is>
          <t xml:space="preserve">ТОШКЕНТ ШАХРИ</t>
        </is>
      </c>
      <c r="C772" s="106" t="inlineStr">
        <is>
          <t xml:space="preserve">Недозвон</t>
        </is>
      </c>
      <c r="D772" s="106" t="inlineStr">
        <is>
          <t xml:space="preserve">Кр-99032984-2</t>
        </is>
      </c>
      <c r="E772" s="106" t="inlineStr">
        <is>
          <t xml:space="preserve">SIDIQOVA ROBIYA OLIMJON QIZI</t>
        </is>
      </c>
      <c r="F772" s="106" t="inlineStr">
        <is>
          <t xml:space="preserve">998998259350 SMS O’ZI, 998998828363 SMS DADASI, 998946294001 SMS OYISI,</t>
        </is>
      </c>
      <c r="G772" s="106" t="inlineStr">
        <is>
          <t xml:space="preserve">TOSHKENT SHAHAR SHAYXONTOHUR TUMANI SAMARQAND DARVOZA MAVZESI DARVOZA TOR KO’CHASI 38E-UY</t>
        </is>
      </c>
      <c r="H772" s="107">
        <v>7.0</v>
      </c>
      <c r="I772" s="107">
        <v>7348026.29</v>
      </c>
    </row>
    <row r="773">
      <c r="A773" s="106" t="inlineStr">
        <is>
          <t xml:space="preserve">ТОШКЕНТ ШАХРИ</t>
        </is>
      </c>
      <c r="C773" s="106" t="inlineStr">
        <is>
          <t xml:space="preserve">Объезд</t>
        </is>
      </c>
      <c r="D773" s="106" t="inlineStr">
        <is>
          <t xml:space="preserve">Кр-99036167-2</t>
        </is>
      </c>
      <c r="E773" s="106" t="inlineStr">
        <is>
          <t xml:space="preserve">AXMEDOV BOTIR YULDASHEVICH</t>
        </is>
      </c>
      <c r="F773" s="106" t="inlineStr">
        <is>
          <t xml:space="preserve">998998200012 SMS O’ZI , 998710500122 SMS O’ZI 2, 998903165191 SMS AYOLI , 998990952222 SMS O’G’LI ,</t>
        </is>
      </c>
      <c r="G773" s="106" t="inlineStr">
        <is>
          <t xml:space="preserve">TOSHKENT SHAHAR SIRG’ALI TUMANI YANGI TURMUSH 5-TOR KO’CHASI 25-UY</t>
        </is>
      </c>
      <c r="H773" s="107">
        <v>77.0</v>
      </c>
      <c r="I773" s="107">
        <v>7168753.41</v>
      </c>
      <c r="K773" s="106" t="inlineStr">
        <is>
          <t xml:space="preserve">Uyiga borildi - va'da berdi</t>
        </is>
      </c>
    </row>
    <row r="774">
      <c r="A774" s="106" t="inlineStr">
        <is>
          <t xml:space="preserve">ТОШКЕНТ ШАХРИ</t>
        </is>
      </c>
      <c r="C774" s="106" t="inlineStr">
        <is>
          <t xml:space="preserve">Недозвон</t>
        </is>
      </c>
      <c r="D774" s="106" t="inlineStr">
        <is>
          <t xml:space="preserve">Кр-99063113-1</t>
        </is>
      </c>
      <c r="E774" s="106" t="inlineStr">
        <is>
          <t xml:space="preserve">MAXMUDJONOV ZIYO MA’RUFJON O’G’LI</t>
        </is>
      </c>
      <c r="F774" s="106" t="inlineStr">
        <is>
          <t xml:space="preserve">998971851991 OZI, 998938031991 AYOLI, 998940071900 FARRUX QARINDOSHI,</t>
        </is>
      </c>
      <c r="G774" s="106" t="inlineStr">
        <is>
          <t xml:space="preserve">TOSHKENT SHAHAR YAKKASAROY TUMANI QUSHBEGI MFY SOLAR KO’CHASI 10-UY, 93 XONADON</t>
        </is>
      </c>
      <c r="H774" s="107">
        <v>10.0</v>
      </c>
      <c r="I774" s="107">
        <v>6849573.24</v>
      </c>
    </row>
    <row r="775">
      <c r="A775" s="106" t="inlineStr">
        <is>
          <t xml:space="preserve">ТОШКЕНТ ШАХРИ</t>
        </is>
      </c>
      <c r="C775" s="106" t="inlineStr">
        <is>
          <t xml:space="preserve">Недозвон</t>
        </is>
      </c>
      <c r="D775" s="106" t="inlineStr">
        <is>
          <t xml:space="preserve">Кр-99018233-5</t>
        </is>
      </c>
      <c r="E775" s="106" t="inlineStr">
        <is>
          <t xml:space="preserve">XODJAYEV KAXRAMON ERKINOVICH</t>
        </is>
      </c>
      <c r="F775" s="106" t="inlineStr">
        <is>
          <t xml:space="preserve">93-609-93-00  SMS OZI, 97-707-76-90  SMS OZI 2, 99-326-20-49  SMS O'G'LI, 33-322-11-20  SMS O'G'LI 2 , 97-888-41-01 SMS GAROVCHIS,</t>
        </is>
      </c>
      <c r="G775" s="106" t="inlineStr">
        <is>
          <t xml:space="preserve">TOSHKENT SHAHRI OLMAZOR TUMANI SAG'BON, 30 BERK KO'CHASI 12 - 101- XONADON</t>
        </is>
      </c>
      <c r="H775" s="107">
        <v>10.0</v>
      </c>
      <c r="I775" s="107">
        <v>6721587.92</v>
      </c>
    </row>
    <row r="776">
      <c r="A776" s="106" t="inlineStr">
        <is>
          <t xml:space="preserve">ТОШКЕНТ ШАХРИ</t>
        </is>
      </c>
      <c r="C776" s="106" t="inlineStr">
        <is>
          <t xml:space="preserve">Недозвон</t>
        </is>
      </c>
      <c r="D776" s="106" t="inlineStr">
        <is>
          <t xml:space="preserve">Кр-99057585-1</t>
        </is>
      </c>
      <c r="E776" s="106" t="inlineStr">
        <is>
          <t xml:space="preserve">OLTIYEV XABIBULLO ZIYODULLOYEVICH</t>
        </is>
      </c>
      <c r="F776" s="106" t="inlineStr">
        <is>
          <t xml:space="preserve">998874126686 SMS UZI, 998991216686 SMS UGLI,</t>
        </is>
      </c>
      <c r="G776" s="106" t="inlineStr">
        <is>
          <t xml:space="preserve">TOSHKENT SHAHAR YUNUSOBOD TUMANI XASANBOY MFY KATTA SOY KOCHASI 20-UY</t>
        </is>
      </c>
      <c r="H776" s="107">
        <v>10.0</v>
      </c>
      <c r="I776" s="107">
        <v>6691513.99</v>
      </c>
      <c r="K776" s="106" t="inlineStr">
        <is>
          <t xml:space="preserve">moshinasi bizada</t>
        </is>
      </c>
    </row>
    <row r="777">
      <c r="A777" s="106" t="inlineStr">
        <is>
          <t xml:space="preserve">ТОШКЕНТ ШАХРИ</t>
        </is>
      </c>
      <c r="C777" s="106" t="inlineStr">
        <is>
          <t xml:space="preserve">Недозвон</t>
        </is>
      </c>
      <c r="D777" s="106" t="inlineStr">
        <is>
          <t xml:space="preserve">Кр-99035605-1</t>
        </is>
      </c>
      <c r="E777" s="106" t="inlineStr">
        <is>
          <t xml:space="preserve">MINGISHEV SARDOR OSTONOVICH</t>
        </is>
      </c>
      <c r="F777" s="106" t="inlineStr">
        <is>
          <t xml:space="preserve">998901127364 SMS OZI, 999311273642 SMS OZI, 998999759777 SMS ISHXONA, 998505747364 SMS QIZI, 998903280305 SMS onasi,</t>
        </is>
      </c>
      <c r="G777" s="106" t="inlineStr">
        <is>
          <t xml:space="preserve">TOSHKENT SHAHAR OLMAZOR TUMANI SHIFOKOR KO’CHAI 2G-UY</t>
        </is>
      </c>
      <c r="H777" s="107">
        <v>52.0</v>
      </c>
      <c r="I777" s="107">
        <v>6498937.88</v>
      </c>
    </row>
    <row r="778">
      <c r="A778" s="106" t="inlineStr">
        <is>
          <t xml:space="preserve">ТОШКЕНТ ШАХРИ</t>
        </is>
      </c>
      <c r="C778" s="106" t="inlineStr">
        <is>
          <t xml:space="preserve">Недозвон</t>
        </is>
      </c>
      <c r="D778" s="106" t="inlineStr">
        <is>
          <t xml:space="preserve">Кр-99036508-2</t>
        </is>
      </c>
      <c r="E778" s="106" t="inlineStr">
        <is>
          <t xml:space="preserve">ALAYEVA XILOLA ABDUVALIYEVNA</t>
        </is>
      </c>
      <c r="F778" s="106" t="inlineStr">
        <is>
          <t xml:space="preserve">998770557477 SMS OZI, 998507058393 SMS OPASI, 998504044662 SMS O’G’LI, 998994704544 SMS OTASI, +998770557477 Primary phone from road24,</t>
        </is>
      </c>
      <c r="G778" s="106" t="inlineStr">
        <is>
          <t xml:space="preserve">TOSHKENT VILOYATI TOSHKENT TUMANI KIZGALDOK KFY KELES YULI KO’CHASI 180-UY B-BLOK 3-XONADON</t>
        </is>
      </c>
      <c r="H778" s="107">
        <v>10.0</v>
      </c>
      <c r="I778" s="107">
        <v>6353184.85</v>
      </c>
    </row>
    <row r="779">
      <c r="A779" s="106" t="inlineStr">
        <is>
          <t xml:space="preserve">ТОШКЕНТ ШАХРИ</t>
        </is>
      </c>
      <c r="C779" s="106" t="inlineStr">
        <is>
          <t xml:space="preserve">Объезд</t>
        </is>
      </c>
      <c r="D779" s="106" t="inlineStr">
        <is>
          <t xml:space="preserve">Кр-99039892-1</t>
        </is>
      </c>
      <c r="E779" s="106" t="inlineStr">
        <is>
          <t xml:space="preserve">ATABEKOVA DILNOZA MUROD QIZI</t>
        </is>
      </c>
      <c r="F779" s="106" t="inlineStr">
        <is>
          <t xml:space="preserve">+998770054745 SMS,</t>
        </is>
      </c>
      <c r="G779" s="106" t="inlineStr">
        <is>
          <t xml:space="preserve">г. Ташкент, Янгихаётский район, 8-строительная территория, Орият МСГ, 49- Дом, 35- Квартира</t>
        </is>
      </c>
      <c r="H779" s="107">
        <v>10.0</v>
      </c>
      <c r="I779" s="107">
        <v>6281395.57</v>
      </c>
      <c r="K779" s="106" t="inlineStr">
        <is>
          <t xml:space="preserve">Uyiga borildi - va'da berdi | dushanbi to'lidi</t>
        </is>
      </c>
    </row>
    <row r="780">
      <c r="A780" s="106" t="inlineStr">
        <is>
          <t xml:space="preserve">ТОШКЕНТ ШАХРИ</t>
        </is>
      </c>
      <c r="C780" s="106" t="inlineStr">
        <is>
          <t xml:space="preserve">Недозвон</t>
        </is>
      </c>
      <c r="D780" s="106" t="inlineStr">
        <is>
          <t xml:space="preserve">Кр-99038776-2</t>
        </is>
      </c>
      <c r="E780" s="106" t="inlineStr">
        <is>
          <t xml:space="preserve">AXMEDOVA ZUXRA UROQBAYEVNA</t>
        </is>
      </c>
      <c r="F780" s="106" t="inlineStr">
        <is>
          <t xml:space="preserve">998994836460 SMS OZI, 998933787333 SMS ERI , 998988364602 SMS ERI 2,</t>
        </is>
      </c>
      <c r="G780" s="106" t="inlineStr">
        <is>
          <t xml:space="preserve">TOSHKENT SHAHAR UCHTEPA TUMANI IIB </t>
        </is>
      </c>
      <c r="H780" s="107">
        <v>3.0</v>
      </c>
      <c r="I780" s="107">
        <v>6241102.61</v>
      </c>
    </row>
    <row r="781">
      <c r="A781" s="106" t="inlineStr">
        <is>
          <t xml:space="preserve">ТОШКЕНТ ШАХРИ</t>
        </is>
      </c>
      <c r="C781" s="106" t="inlineStr">
        <is>
          <t xml:space="preserve">Недозвон</t>
        </is>
      </c>
      <c r="D781" s="106" t="inlineStr">
        <is>
          <t xml:space="preserve">Кр-99047190-1</t>
        </is>
      </c>
      <c r="E781" s="106" t="inlineStr">
        <is>
          <t xml:space="preserve">NIG’MATILLAYEV JAMSHIDBEK RUSTAMOVICH</t>
        </is>
      </c>
      <c r="F781" s="106" t="inlineStr">
        <is>
          <t xml:space="preserve">998333330313 SMS O’ZI 2, 998335387777 SMS HAMKASBI, 998998885383 SMS DO’STI,</t>
        </is>
      </c>
      <c r="G781" s="106" t="inlineStr">
        <is>
          <t xml:space="preserve">OLTINTEPA KO’CHASI 181-UY</t>
        </is>
      </c>
      <c r="H781" s="107">
        <v>10.0</v>
      </c>
      <c r="I781" s="107">
        <v>5873420.48</v>
      </c>
    </row>
    <row r="782">
      <c r="A782" s="106" t="inlineStr">
        <is>
          <t xml:space="preserve">ТОШКЕНТ ШАХРИ</t>
        </is>
      </c>
      <c r="C782" s="106" t="inlineStr">
        <is>
          <t xml:space="preserve">Недозвон</t>
        </is>
      </c>
      <c r="D782" s="106" t="inlineStr">
        <is>
          <t xml:space="preserve">Кр-99025717-4</t>
        </is>
      </c>
      <c r="E782" s="106" t="inlineStr">
        <is>
          <t xml:space="preserve">DJURAYEVA MUXABBAT SADIKOVNA</t>
        </is>
      </c>
      <c r="F782" s="106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782" s="106" t="inlineStr">
        <is>
          <t xml:space="preserve">Ислом ота МФЙ, Кора-Камиш 1/2 мавзеси, 10а-уй, 32-хонадон</t>
        </is>
      </c>
      <c r="H782" s="107">
        <v>43.0</v>
      </c>
      <c r="I782" s="107">
        <v>5728093.31</v>
      </c>
    </row>
    <row r="783">
      <c r="A783" s="106" t="inlineStr">
        <is>
          <t xml:space="preserve">ТОШКЕНТ ШАХРИ</t>
        </is>
      </c>
      <c r="C783" s="106" t="inlineStr">
        <is>
          <t xml:space="preserve">Недозвон</t>
        </is>
      </c>
      <c r="D783" s="106" t="inlineStr">
        <is>
          <t xml:space="preserve">Кр-99038147-3</t>
        </is>
      </c>
      <c r="E783" s="106" t="inlineStr">
        <is>
          <t xml:space="preserve">NAJMITDINOVA BUSTON KAMALOVNA</t>
        </is>
      </c>
      <c r="F783" s="106" t="inlineStr">
        <is>
          <t xml:space="preserve">998338958507 SMS OZI, 998900261575 SMS KUYOVI, 998949594075 SMS QIZI,</t>
        </is>
      </c>
      <c r="G783" s="106" t="inlineStr">
        <is>
          <t xml:space="preserve">TOSHKENT SHAHAR MIRZO ULUG’BEK TUMANI, 1-PILLA KO’CHASI,115-UY</t>
        </is>
      </c>
      <c r="H783" s="107">
        <v>10.0</v>
      </c>
      <c r="I783" s="107">
        <v>5721128.66</v>
      </c>
    </row>
    <row r="784">
      <c r="A784" s="106" t="inlineStr">
        <is>
          <t xml:space="preserve">ТОШКЕНТ ШАХРИ</t>
        </is>
      </c>
      <c r="C784" s="106" t="inlineStr">
        <is>
          <t xml:space="preserve">Недозвон</t>
        </is>
      </c>
      <c r="D784" s="106" t="inlineStr">
        <is>
          <t xml:space="preserve">Кр-99062950-2</t>
        </is>
      </c>
      <c r="E784" s="106" t="inlineStr">
        <is>
          <t xml:space="preserve">MAXMUDJONOV SHOXRUZBEK SHAVKATJONOVICH</t>
        </is>
      </c>
      <c r="F784" s="106" t="inlineStr">
        <is>
          <t xml:space="preserve">998500024554 SMS OZI, 998904026966 SMS DOSTI, 998952720459 SMS UKASI,</t>
        </is>
      </c>
      <c r="G784" s="106" t="inlineStr">
        <is>
          <t xml:space="preserve">NAVNIZOL MFY KORAKUL KO6CHASI 32A-UY.63-XONADON</t>
        </is>
      </c>
      <c r="H784" s="107">
        <v>10.0</v>
      </c>
      <c r="I784" s="107">
        <v>5676399.41</v>
      </c>
    </row>
    <row r="785">
      <c r="A785" s="106" t="inlineStr">
        <is>
          <t xml:space="preserve">ТОШКЕНТ ШАХРИ</t>
        </is>
      </c>
      <c r="C785" s="106" t="inlineStr">
        <is>
          <t xml:space="preserve">Недозвон</t>
        </is>
      </c>
      <c r="D785" s="106" t="inlineStr">
        <is>
          <t xml:space="preserve">Кр-99011499-53</t>
        </is>
      </c>
      <c r="E785" s="106" t="inlineStr">
        <is>
          <t xml:space="preserve">SHODIYEVA ZIYODAJON SADULLAYEVNA</t>
        </is>
      </c>
      <c r="F785" s="106" t="inlineStr">
        <is>
          <t xml:space="preserve">90-326-00-94 SMS BEGZOD AKA SHEF TEL QLNMASIN , +998903260094 ,</t>
        </is>
      </c>
      <c r="G785" s="106" t="inlineStr">
        <is>
          <t xml:space="preserve">TOSHKENT SHAHAR MIRZO ULUGBEK TUMANI ALI ISAMUXAMEDOV 31</t>
        </is>
      </c>
      <c r="H785" s="107">
        <v>10.0</v>
      </c>
      <c r="I785" s="107">
        <v>5642260.92</v>
      </c>
    </row>
    <row r="786">
      <c r="A786" s="106" t="inlineStr">
        <is>
          <t xml:space="preserve">ТОШКЕНТ ШАХРИ</t>
        </is>
      </c>
      <c r="C786" s="106" t="inlineStr">
        <is>
          <t xml:space="preserve">Недозвон</t>
        </is>
      </c>
      <c r="D786" s="106" t="inlineStr">
        <is>
          <t xml:space="preserve">Кр-99063104-1</t>
        </is>
      </c>
      <c r="E786" s="106" t="inlineStr">
        <is>
          <t xml:space="preserve">AKTLEUOV KAZBEK AYMUXANOVICH</t>
        </is>
      </c>
      <c r="F786" s="106" t="inlineStr">
        <is>
          <t xml:space="preserve">998907242469 OZI, 998940042402 ZALOGADATEL, 998332112121 OGLI,</t>
        </is>
      </c>
      <c r="G786" s="106" t="inlineStr">
        <is>
          <t xml:space="preserve">TOSHKENT SHAHAR CHILONZOR TUMANI G9-11-KVARTL 3-UY 46-XONADON</t>
        </is>
      </c>
      <c r="H786" s="107">
        <v>43.0</v>
      </c>
      <c r="I786" s="107">
        <v>5504916.23</v>
      </c>
    </row>
    <row r="787">
      <c r="A787" s="106" t="inlineStr">
        <is>
          <t xml:space="preserve">ТОШКЕНТ ШАХРИ</t>
        </is>
      </c>
      <c r="C787" s="106" t="inlineStr">
        <is>
          <t xml:space="preserve">Недозвон</t>
        </is>
      </c>
      <c r="D787" s="106" t="inlineStr">
        <is>
          <t xml:space="preserve">Кр-99033174-4</t>
        </is>
      </c>
      <c r="E787" s="106" t="inlineStr">
        <is>
          <t xml:space="preserve">ASQAROV SARDOR SHARIF O’G’LI</t>
        </is>
      </c>
      <c r="F787" s="106" t="inlineStr">
        <is>
          <t xml:space="preserve">998998158262 SMS O’ZI, 998081365652 SMS O’ZI 2, 998998745024 SMS AYOLI, 998058509072 SMS AYOLI 2 ,</t>
        </is>
      </c>
      <c r="G787" s="106" t="inlineStr">
        <is>
          <t xml:space="preserve">TOSHKENT SHAHARI OLAMZOR TUMANI VALI DJUMAYEV 1-TOR, 40-UY</t>
        </is>
      </c>
      <c r="H787" s="107">
        <v>45.0</v>
      </c>
      <c r="I787" s="107">
        <v>5436337.52</v>
      </c>
    </row>
    <row r="788">
      <c r="A788" s="106" t="inlineStr">
        <is>
          <t xml:space="preserve">ТОШКЕНТ ШАХРИ</t>
        </is>
      </c>
      <c r="C788" s="106" t="inlineStr">
        <is>
          <t xml:space="preserve">Недозвон</t>
        </is>
      </c>
      <c r="D788" s="106" t="inlineStr">
        <is>
          <t xml:space="preserve">Кр-99037576-2</t>
        </is>
      </c>
      <c r="E788" s="106" t="inlineStr">
        <is>
          <t xml:space="preserve">SOBIROV BOXODIRJON BOTIR O’G’LI</t>
        </is>
      </c>
      <c r="F788" s="106" t="inlineStr">
        <is>
          <t xml:space="preserve">998887080100 SMS OZI, 998993525334 SMS AYOLI, 998935103353 SMS AKASI, 998974900506 SMS ONASI,</t>
        </is>
      </c>
      <c r="G788" s="106" t="inlineStr">
        <is>
          <t xml:space="preserve">TOSHKENT SHAHAR SHAYXONTOXUR TUMANI BELTEPA DAXASI 22-UY 99-XONADON</t>
        </is>
      </c>
      <c r="H788" s="107">
        <v>10.0</v>
      </c>
      <c r="I788" s="107">
        <v>5427401.96</v>
      </c>
    </row>
    <row r="789">
      <c r="A789" s="106" t="inlineStr">
        <is>
          <t xml:space="preserve">ТОШКЕНТ ШАХРИ</t>
        </is>
      </c>
      <c r="C789" s="106" t="inlineStr">
        <is>
          <t xml:space="preserve">Недозвон</t>
        </is>
      </c>
      <c r="D789" s="106" t="inlineStr">
        <is>
          <t xml:space="preserve">Кр-99052886-1</t>
        </is>
      </c>
      <c r="E789" s="106" t="inlineStr">
        <is>
          <t xml:space="preserve">MASIMOVA UMIDA MAXAMADOVNA</t>
        </is>
      </c>
      <c r="F789" s="106" t="inlineStr">
        <is>
          <t xml:space="preserve">998903313637 SMS ERI, 998907371414 SMS OGLI, 998909441369 SMS OZI,</t>
        </is>
      </c>
      <c r="G789" s="106" t="inlineStr">
        <is>
          <t xml:space="preserve">KICHIK HALQA YOLI 18-A UY.</t>
        </is>
      </c>
      <c r="H789" s="107">
        <v>10.0</v>
      </c>
      <c r="I789" s="107">
        <v>5122336.68</v>
      </c>
    </row>
    <row r="790">
      <c r="A790" s="106" t="inlineStr">
        <is>
          <t xml:space="preserve">ТОШКЕНТ ШАХРИ</t>
        </is>
      </c>
      <c r="C790" s="106" t="inlineStr">
        <is>
          <t xml:space="preserve">Объезд</t>
        </is>
      </c>
      <c r="D790" s="106" t="inlineStr">
        <is>
          <t xml:space="preserve">Кр-99036291-3</t>
        </is>
      </c>
      <c r="E790" s="106" t="inlineStr">
        <is>
          <t xml:space="preserve">ABDUG‘AFOROV ABRORJON ABDURASUL O‘G‘LI</t>
        </is>
      </c>
      <c r="F790" s="106" t="inlineStr">
        <is>
          <t xml:space="preserve">998998849202 SMS OZI, 998997710748 SMS ISHCHISI , 998932790919 SMS DOSTI, +998998849202 Primary phone from road24,</t>
        </is>
      </c>
      <c r="G790" s="106" t="inlineStr">
        <is>
          <t xml:space="preserve">БОБОДЕҲҚОН МФЙ, БОБОДЕҲҚОН КЎЧАСИ,  uy:45А</t>
        </is>
      </c>
      <c r="H790" s="107">
        <v>15.0</v>
      </c>
      <c r="I790" s="107">
        <v>4891662.93</v>
      </c>
      <c r="K790" s="106" t="inlineStr">
        <is>
          <t xml:space="preserve">Uyiga borildi - va'da berdi</t>
        </is>
      </c>
    </row>
    <row r="791">
      <c r="A791" s="106" t="inlineStr">
        <is>
          <t xml:space="preserve">ТОШКЕНТ ШАХРИ</t>
        </is>
      </c>
      <c r="C791" s="106" t="inlineStr">
        <is>
          <t xml:space="preserve">Недозвон</t>
        </is>
      </c>
      <c r="D791" s="106" t="inlineStr">
        <is>
          <t xml:space="preserve">Кр-99061871-1</t>
        </is>
      </c>
      <c r="E791" s="106" t="inlineStr">
        <is>
          <t xml:space="preserve">SODIQOV BAXTIYOR SHAMSIDDIN O’G’LI</t>
        </is>
      </c>
      <c r="F791" s="106" t="inlineStr">
        <is>
          <t xml:space="preserve">998955228888 ozi, 998971378116 ortogi, 998903289882 urtogi,</t>
        </is>
      </c>
      <c r="G791" s="106" t="inlineStr">
        <is>
          <t xml:space="preserve">Манзил: TOSHKENT SHAHAR MIRZO ULUG'BEK TUMANI XABIB ABDULLAEV MFY,YALANG'OCH DAXASI,14 UY 29 XONADON</t>
        </is>
      </c>
      <c r="H791" s="107">
        <v>10.0</v>
      </c>
      <c r="I791" s="107">
        <v>4751684.85</v>
      </c>
    </row>
    <row r="792">
      <c r="A792" s="106" t="inlineStr">
        <is>
          <t xml:space="preserve">ТОШКЕНТ ШАХРИ</t>
        </is>
      </c>
      <c r="C792" s="106" t="inlineStr">
        <is>
          <t xml:space="preserve">Недозвон</t>
        </is>
      </c>
      <c r="D792" s="106" t="inlineStr">
        <is>
          <t xml:space="preserve">Кр-99037130-1</t>
        </is>
      </c>
      <c r="E792" s="106" t="inlineStr">
        <is>
          <t xml:space="preserve">ABDURAIMOVA DILNAVO ABDUALIMOVNA</t>
        </is>
      </c>
      <c r="F792" s="106" t="inlineStr">
        <is>
          <t xml:space="preserve">998977146828 SMS OZI, 998996899248 SMS QARINDOSHI, 998884452393 SMS OVSINI, 998917821504 SMS O’ZI 2,</t>
        </is>
      </c>
      <c r="G792" s="106" t="inlineStr">
        <is>
          <t xml:space="preserve"> KO’RMANA MFY 10-MAVZE 21-UY,10-XONADON</t>
        </is>
      </c>
      <c r="H792" s="107">
        <v>14.0</v>
      </c>
      <c r="I792" s="107">
        <v>4717828.0</v>
      </c>
    </row>
    <row r="793">
      <c r="A793" s="106" t="inlineStr">
        <is>
          <t xml:space="preserve">ТОШКЕНТ ШАХРИ</t>
        </is>
      </c>
      <c r="C793" s="106" t="inlineStr">
        <is>
          <t xml:space="preserve">Недозвон</t>
        </is>
      </c>
      <c r="D793" s="106" t="inlineStr">
        <is>
          <t xml:space="preserve">Кр-99001416-2</t>
        </is>
      </c>
      <c r="E793" s="106" t="inlineStr">
        <is>
          <t xml:space="preserve">ERGASHEV BOBIR BOTIR O‘G‘LI</t>
        </is>
      </c>
      <c r="F793" s="106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793" s="106" t="inlineStr">
        <is>
          <t xml:space="preserve">Намуна МФЙ, Нурли, пр. 1 кучаси, 19-уй</t>
        </is>
      </c>
      <c r="H793" s="107">
        <v>3.0</v>
      </c>
      <c r="I793" s="107">
        <v>4711417.44</v>
      </c>
    </row>
    <row r="794">
      <c r="A794" s="106" t="inlineStr">
        <is>
          <t xml:space="preserve">ТОШКЕНТ ШАХРИ</t>
        </is>
      </c>
      <c r="C794" s="106" t="inlineStr">
        <is>
          <t xml:space="preserve">Недозвон</t>
        </is>
      </c>
      <c r="D794" s="106" t="inlineStr">
        <is>
          <t xml:space="preserve">Кр-99059608-1</t>
        </is>
      </c>
      <c r="E794" s="106" t="inlineStr">
        <is>
          <t xml:space="preserve">IBROHIMJONOVA MUSLIMA ABDULXAMID QIZI</t>
        </is>
      </c>
      <c r="F794" s="106" t="inlineStr">
        <is>
          <t xml:space="preserve">+998910187727 SMS OZI, 998900973738 SINGLISI, 998909561417 EIR,</t>
        </is>
      </c>
      <c r="G794" s="106" t="inlineStr">
        <is>
          <t xml:space="preserve">TOSHKENT SHAHAR OLMAZOR TUMANI NAMUNA MFY BALIQCHI TOR KO’CHASI 4-UY</t>
        </is>
      </c>
      <c r="H794" s="107">
        <v>10.0</v>
      </c>
      <c r="I794" s="107">
        <v>4669476.16</v>
      </c>
    </row>
    <row r="795">
      <c r="A795" s="106" t="inlineStr">
        <is>
          <t xml:space="preserve">ТОШКЕНТ ШАХРИ</t>
        </is>
      </c>
      <c r="C795" s="106" t="inlineStr">
        <is>
          <t xml:space="preserve">Недозвон</t>
        </is>
      </c>
      <c r="D795" s="106" t="inlineStr">
        <is>
          <t xml:space="preserve">Кр-99044706-1</t>
        </is>
      </c>
      <c r="E795" s="106" t="inlineStr">
        <is>
          <t xml:space="preserve">CHUTBAYEV DOSTON CHARI O’G’LI</t>
        </is>
      </c>
      <c r="F795" s="106" t="inlineStr">
        <is>
          <t xml:space="preserve">998947771061 SMS AKASI, 998949341916 SMS OZI, 998977277200 SMS AKASI2,</t>
        </is>
      </c>
      <c r="G795" s="106" t="inlineStr">
        <is>
          <t xml:space="preserve">Daryobo’yi MFY, Daryo bo’yi 1-tor ko’chasi, 26-б-uy</t>
        </is>
      </c>
      <c r="H795" s="107">
        <v>10.0</v>
      </c>
      <c r="I795" s="107">
        <v>4648419.67</v>
      </c>
    </row>
    <row r="796">
      <c r="A796" s="106" t="inlineStr">
        <is>
          <t xml:space="preserve">ТОШКЕНТ ШАХРИ</t>
        </is>
      </c>
      <c r="C796" s="106" t="inlineStr">
        <is>
          <t xml:space="preserve">Недозвон</t>
        </is>
      </c>
      <c r="D796" s="106" t="inlineStr">
        <is>
          <t xml:space="preserve">Кр-99033677-1</t>
        </is>
      </c>
      <c r="E796" s="106" t="inlineStr">
        <is>
          <t xml:space="preserve">XUDOYBERDIYEVA MOHIRA SUVONOVNA</t>
        </is>
      </c>
      <c r="F796" s="106" t="inlineStr">
        <is>
          <t xml:space="preserve">998977825550 SMS ERI, 998977099004 SMS OZI, 998770033335 SMS OGLI, 998770022223 SMS QIZI,</t>
        </is>
      </c>
      <c r="G796" s="106" t="inlineStr">
        <is>
          <t xml:space="preserve">TOSHKENT SHAHAR CHILONZOR TUMANI 18-MAVZE,11-UY,3-XONADON</t>
        </is>
      </c>
      <c r="H796" s="107">
        <v>7.0</v>
      </c>
      <c r="I796" s="107">
        <v>4438172.22</v>
      </c>
    </row>
    <row r="797">
      <c r="A797" s="106" t="inlineStr">
        <is>
          <t xml:space="preserve">ТОШКЕНТ ШАХРИ</t>
        </is>
      </c>
      <c r="C797" s="106" t="inlineStr">
        <is>
          <t xml:space="preserve">Недозвон</t>
        </is>
      </c>
      <c r="D797" s="106" t="inlineStr">
        <is>
          <t xml:space="preserve">Кр-99037891-2</t>
        </is>
      </c>
      <c r="E797" s="106" t="inlineStr">
        <is>
          <t xml:space="preserve">SHERMATOVA DILBAR ABDIKARIMOVNA</t>
        </is>
      </c>
      <c r="F797" s="106" t="inlineStr">
        <is>
          <t xml:space="preserve">998958450674 SMS OZI , 998903498776 SMS QIZI, 998950152662 SMS ERI,</t>
        </is>
      </c>
      <c r="G797" s="106" t="inlineStr">
        <is>
          <t xml:space="preserve">TOSHKENT SHAHAR BEKTEMIR TUMANI ABAY MFY, ROXAT KO'CHASI 20-UY, 32-XONADON</t>
        </is>
      </c>
      <c r="H797" s="107">
        <v>6.0</v>
      </c>
      <c r="I797" s="107">
        <v>4433244.74</v>
      </c>
    </row>
    <row r="798">
      <c r="A798" s="106" t="inlineStr">
        <is>
          <t xml:space="preserve">ТОШКЕНТ ШАХРИ</t>
        </is>
      </c>
      <c r="C798" s="106" t="inlineStr">
        <is>
          <t xml:space="preserve">Недозвон</t>
        </is>
      </c>
      <c r="D798" s="106" t="inlineStr">
        <is>
          <t xml:space="preserve">Кр-99039913-4</t>
        </is>
      </c>
      <c r="E798" s="106" t="inlineStr">
        <is>
          <t xml:space="preserve">ABDUVALIYEVA ZULXUMOR RAXIMOVNA</t>
        </is>
      </c>
      <c r="F798" s="106" t="inlineStr">
        <is>
          <t xml:space="preserve">998999355867 SMS O’ZI tel qilinmasin, +998999355865 ,</t>
        </is>
      </c>
      <c r="G798" s="106" t="inlineStr">
        <is>
          <t xml:space="preserve">Зиёнур МФЙ, Куйлик-2 мавзеси, 6-уй, 29-хонадон</t>
        </is>
      </c>
      <c r="H798" s="107">
        <v>10.0</v>
      </c>
      <c r="I798" s="107">
        <v>4402960.02</v>
      </c>
    </row>
    <row r="799">
      <c r="A799" s="106" t="inlineStr">
        <is>
          <t xml:space="preserve">ТОШКЕНТ ШАХРИ</t>
        </is>
      </c>
      <c r="C799" s="106" t="inlineStr">
        <is>
          <t xml:space="preserve">Недозвон</t>
        </is>
      </c>
      <c r="D799" s="106" t="inlineStr">
        <is>
          <t xml:space="preserve">Кр-99037620-2</t>
        </is>
      </c>
      <c r="E799" s="106" t="inlineStr">
        <is>
          <t xml:space="preserve">KARIMOV JAXONGIR XIKMATOVICH</t>
        </is>
      </c>
      <c r="F799" s="106" t="inlineStr">
        <is>
          <t xml:space="preserve">998998460808 SMS O’ZI, 998931895955 SMS O’ZI 2, 998975572758 SMS ONASI, 998998398909 SMS ZALOGADATEL,</t>
        </is>
      </c>
      <c r="G799" s="106" t="inlineStr">
        <is>
          <t xml:space="preserve">FARG’ONA VILOYATI O’ZBEKISTON TUMANI QO’SHQO’YNOQ MSG QO’SHQO’YNOQ KO’CHASI 85-UY</t>
        </is>
      </c>
      <c r="H799" s="107">
        <v>10.0</v>
      </c>
      <c r="I799" s="107">
        <v>4344408.68</v>
      </c>
    </row>
    <row r="800">
      <c r="A800" s="106" t="inlineStr">
        <is>
          <t xml:space="preserve">ТОШКЕНТ ШАХРИ</t>
        </is>
      </c>
      <c r="C800" s="106" t="inlineStr">
        <is>
          <t xml:space="preserve">Недозвон</t>
        </is>
      </c>
      <c r="D800" s="106" t="inlineStr">
        <is>
          <t xml:space="preserve">Кр-99044187-1</t>
        </is>
      </c>
      <c r="E800" s="106" t="inlineStr">
        <is>
          <t xml:space="preserve">AKMALDINOV NURIDDIN FAXRIDINOVICH</t>
        </is>
      </c>
      <c r="F800" s="106" t="inlineStr">
        <is>
          <t xml:space="preserve">998770509929 SMS O’ZI, 998950126264 SMS OYISI, 998976333666 SMS SINGLISI, 998992193943 SMS UKASI,</t>
        </is>
      </c>
      <c r="G800" s="106" t="inlineStr">
        <is>
          <t xml:space="preserve">ОХАНГАРОБО КУЧАСИ 1 ТОР 67 УЙ</t>
        </is>
      </c>
      <c r="H800" s="107">
        <v>10.0</v>
      </c>
      <c r="I800" s="107">
        <v>4308403.79</v>
      </c>
      <c r="K800" s="106" t="inlineStr">
        <is>
          <t xml:space="preserve">Telefon ko'tarmadi</t>
        </is>
      </c>
    </row>
    <row r="801">
      <c r="A801" s="106" t="inlineStr">
        <is>
          <t xml:space="preserve">ТОШКЕНТ ШАХРИ</t>
        </is>
      </c>
      <c r="C801" s="106" t="inlineStr">
        <is>
          <t xml:space="preserve">Недозвон</t>
        </is>
      </c>
      <c r="D801" s="106" t="inlineStr">
        <is>
          <t xml:space="preserve">Кр-99003208-24</t>
        </is>
      </c>
      <c r="E801" s="106" t="inlineStr">
        <is>
          <t xml:space="preserve">YO’LDOSHEV SHOXRUX ANVAR O’G’LI</t>
        </is>
      </c>
      <c r="F801" s="106" t="inlineStr">
        <is>
          <t xml:space="preserve">97-701-87-08 SMS AKASI, 97-733-18-18 SMS OZI chiroyliro gaplashish kk, 97-733-18-18 SMS O’ZI,</t>
        </is>
      </c>
      <c r="G801" s="106" t="inlineStr">
        <is>
          <t xml:space="preserve">TOSHKENT SHAHAR OLMAZOR TUMANI SHIFONUR 2-46</t>
        </is>
      </c>
      <c r="H801" s="107">
        <v>10.0</v>
      </c>
      <c r="I801" s="107">
        <v>4286812.17</v>
      </c>
    </row>
    <row r="802">
      <c r="A802" s="106" t="inlineStr">
        <is>
          <t xml:space="preserve">ТОШКЕНТ ШАХРИ</t>
        </is>
      </c>
      <c r="C802" s="106" t="inlineStr">
        <is>
          <t xml:space="preserve">Недозвон</t>
        </is>
      </c>
      <c r="D802" s="106" t="inlineStr">
        <is>
          <t xml:space="preserve">Кр-99035700-1</t>
        </is>
      </c>
      <c r="E802" s="106" t="inlineStr">
        <is>
          <t xml:space="preserve">MEYLIYEV AKRAM NORQO‘CHQOROVICH</t>
        </is>
      </c>
      <c r="F802" s="106" t="inlineStr">
        <is>
          <t xml:space="preserve">998999865767 SMS O‘ZI, 998903327766 SMS O’ZI 2, 998907241161 SMS AYOLI, 998951075112 SMS QIZI,</t>
        </is>
      </c>
      <c r="G802" s="106" t="inlineStr">
        <is>
          <t xml:space="preserve">TOSHKENT SHAHAR SIRG‘ALI TUMANI MADANIYAT MFY QO‘YLIQ-5 MAVZESI 22-UY 28-XONADON</t>
        </is>
      </c>
      <c r="H802" s="107">
        <v>23.0</v>
      </c>
      <c r="I802" s="107">
        <v>4285659.43</v>
      </c>
    </row>
    <row r="803">
      <c r="A803" s="106" t="inlineStr">
        <is>
          <t xml:space="preserve">ТОШКЕНТ ШАХРИ</t>
        </is>
      </c>
      <c r="C803" s="106" t="inlineStr">
        <is>
          <t xml:space="preserve">Недозвон</t>
        </is>
      </c>
      <c r="D803" s="106" t="inlineStr">
        <is>
          <t xml:space="preserve">Кр-99028933-4</t>
        </is>
      </c>
      <c r="E803" s="106" t="inlineStr">
        <is>
          <t xml:space="preserve">ALIXONOV AKMALJON MIRZOXID O’G’LI</t>
        </is>
      </c>
      <c r="F803" s="106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803" s="106" t="inlineStr">
        <is>
          <t xml:space="preserve">TOSHKENT SHAHAR YANGIXAYOT TUMANI 9-QURUVCHILAR MAVZESI MARXAMT MFY 25-UY 40-XONADON</t>
        </is>
      </c>
      <c r="H803" s="107">
        <v>10.0</v>
      </c>
      <c r="I803" s="107">
        <v>4197351.97</v>
      </c>
    </row>
    <row r="804">
      <c r="A804" s="106" t="inlineStr">
        <is>
          <t xml:space="preserve">ТОШКЕНТ ШАХРИ</t>
        </is>
      </c>
      <c r="C804" s="106" t="inlineStr">
        <is>
          <t xml:space="preserve">Недозвон</t>
        </is>
      </c>
      <c r="D804" s="106" t="inlineStr">
        <is>
          <t xml:space="preserve">Кр-99034301-1</t>
        </is>
      </c>
      <c r="E804" s="106" t="inlineStr">
        <is>
          <t xml:space="preserve">OZODOV BOBOMUROD XAMDAMBEKOVICH</t>
        </is>
      </c>
      <c r="F804" s="106" t="inlineStr">
        <is>
          <t xml:space="preserve">998887900007 SMS OZI, 998924210072 SMS OZI , 998993486974 SMS ORTOGI,</t>
        </is>
      </c>
      <c r="G804" s="106" t="inlineStr">
        <is>
          <t xml:space="preserve">TOSHKENT SHAHAR YASHNOBOD TUMANI FIDOIYLAR MFY MAXTUMQULI KO’CHASI 122/1-UY 14-XONADON</t>
        </is>
      </c>
      <c r="H804" s="107">
        <v>41.0</v>
      </c>
      <c r="I804" s="107">
        <v>4154728.12</v>
      </c>
    </row>
    <row r="805">
      <c r="A805" s="106" t="inlineStr">
        <is>
          <t xml:space="preserve">ТОШКЕНТ ШАХРИ</t>
        </is>
      </c>
      <c r="C805" s="106" t="inlineStr">
        <is>
          <t xml:space="preserve">Недозвон</t>
        </is>
      </c>
      <c r="D805" s="106" t="inlineStr">
        <is>
          <t xml:space="preserve">Кр-99039923-1</t>
        </is>
      </c>
      <c r="E805" s="106" t="inlineStr">
        <is>
          <t xml:space="preserve">IKROMOV JALOLIDDIN BAXODIR O’G’LI</t>
        </is>
      </c>
      <c r="F805" s="106" t="inlineStr">
        <is>
          <t xml:space="preserve">+998999383890 SMS O’ZI, 998996999939 SMS O’ZI 3, 998999461540 SMS O’ZI 2,</t>
        </is>
      </c>
      <c r="G805" s="106" t="inlineStr">
        <is>
          <t xml:space="preserve">БОҒКЎЧА МФЙ, БОҒКЎЧА МАВЗЕСИ,  uy:20 БЛОК, 9</t>
        </is>
      </c>
      <c r="H805" s="107">
        <v>10.0</v>
      </c>
      <c r="I805" s="107">
        <v>4012675.5</v>
      </c>
    </row>
    <row r="806">
      <c r="A806" s="106" t="inlineStr">
        <is>
          <t xml:space="preserve">ТОШКЕНТ ШАХРИ</t>
        </is>
      </c>
      <c r="C806" s="106" t="inlineStr">
        <is>
          <t xml:space="preserve">Недозвон</t>
        </is>
      </c>
      <c r="D806" s="106" t="inlineStr">
        <is>
          <t xml:space="preserve">Кр-99063068-2</t>
        </is>
      </c>
      <c r="E806" s="106" t="inlineStr">
        <is>
          <t xml:space="preserve">XOJIMUROT ANVAR ABDUKARIM - O’G’LI</t>
        </is>
      </c>
      <c r="F806" s="106" t="inlineStr">
        <is>
          <t xml:space="preserve">+998997173085 SMS OZI, 998339939933 SMS JIYANI, 998509002245 SMS AYOLI, 998994383034 SMS OZI 2,</t>
        </is>
      </c>
      <c r="G806" s="106" t="inlineStr">
        <is>
          <t xml:space="preserve">DONISHMAND KUCHASI 11-UY</t>
        </is>
      </c>
      <c r="H806" s="107">
        <v>10.0</v>
      </c>
      <c r="I806" s="107">
        <v>3983955.16</v>
      </c>
      <c r="K806" s="106" t="inlineStr">
        <is>
          <t xml:space="preserve">Telefon ko'tarmadi</t>
        </is>
      </c>
    </row>
    <row r="807">
      <c r="A807" s="106" t="inlineStr">
        <is>
          <t xml:space="preserve">ТОШКЕНТ ШАХРИ</t>
        </is>
      </c>
      <c r="C807" s="106" t="inlineStr">
        <is>
          <t xml:space="preserve">Недозвон</t>
        </is>
      </c>
      <c r="D807" s="106" t="inlineStr">
        <is>
          <t xml:space="preserve">Кр-99038161-1</t>
        </is>
      </c>
      <c r="E807" s="106" t="inlineStr">
        <is>
          <t xml:space="preserve">BOZAROVA NAFISA ABDUSALOMOVNA</t>
        </is>
      </c>
      <c r="F807" s="106" t="inlineStr">
        <is>
          <t xml:space="preserve">998774806787 SMS OZI, 998985604122 SMS OZI 2, 998998154476 SMS QIZI 2, 998991234567 SMS QIZI,</t>
        </is>
      </c>
      <c r="G807" s="106" t="inlineStr">
        <is>
          <t xml:space="preserve">TOSHKENT SHAHAR SHAYXONTOXUR TUMANI BOG’ KO’CHASI,5-UY,43-XONADON</t>
        </is>
      </c>
      <c r="H807" s="107">
        <v>3.0</v>
      </c>
      <c r="I807" s="107">
        <v>3970041.77</v>
      </c>
    </row>
    <row r="808">
      <c r="A808" s="106" t="inlineStr">
        <is>
          <t xml:space="preserve">ТОШКЕНТ ШАХРИ</t>
        </is>
      </c>
      <c r="C808" s="106" t="inlineStr">
        <is>
          <t xml:space="preserve">Недозвон</t>
        </is>
      </c>
      <c r="D808" s="106" t="inlineStr">
        <is>
          <t xml:space="preserve">Кр-99045569-2</t>
        </is>
      </c>
      <c r="E808" s="106" t="inlineStr">
        <is>
          <t xml:space="preserve">BOBOMURODZODA MAXMUDA AXMADJON QIZI</t>
        </is>
      </c>
      <c r="F808" s="106" t="inlineStr">
        <is>
          <t xml:space="preserve">998333232020 SMS ERI, 998770404340 SMS OZI, 998957666006 sms uzi new,</t>
        </is>
      </c>
      <c r="G808" s="106" t="inlineStr">
        <is>
          <t xml:space="preserve">Янгизамон МФЙ, Куддус, туп. 1 кучаси, 10-уй</t>
        </is>
      </c>
      <c r="H808" s="107">
        <v>15.0</v>
      </c>
      <c r="I808" s="107">
        <v>3966510.56</v>
      </c>
    </row>
    <row r="809">
      <c r="A809" s="106" t="inlineStr">
        <is>
          <t xml:space="preserve">ТОШКЕНТ ШАХРИ</t>
        </is>
      </c>
      <c r="C809" s="106" t="inlineStr">
        <is>
          <t xml:space="preserve">Недозвон</t>
        </is>
      </c>
      <c r="D809" s="106" t="inlineStr">
        <is>
          <t xml:space="preserve">Кр-99062789-3</t>
        </is>
      </c>
      <c r="E809" s="106" t="inlineStr">
        <is>
          <t xml:space="preserve">NAZAROV ISMOIL USMONOVICH</t>
        </is>
      </c>
      <c r="F809" s="106" t="inlineStr">
        <is>
          <t xml:space="preserve">998904217777 SMS AKASI, 998917752745 SMS OZI, 998997540300 SMS DADASI,</t>
        </is>
      </c>
      <c r="G809" s="106" t="inlineStr">
        <is>
          <t xml:space="preserve">TOSHKENT SHAHAR UCHTEPA TUAMNI 26-MAVZE 25-KVARTIRA</t>
        </is>
      </c>
      <c r="H809" s="107">
        <v>13.0</v>
      </c>
      <c r="I809" s="107">
        <v>3958395.83</v>
      </c>
    </row>
    <row r="810">
      <c r="A810" s="106" t="inlineStr">
        <is>
          <t xml:space="preserve">ТОШКЕНТ ШАХРИ</t>
        </is>
      </c>
      <c r="C810" s="106" t="inlineStr">
        <is>
          <t xml:space="preserve">Недозвон</t>
        </is>
      </c>
      <c r="D810" s="106" t="inlineStr">
        <is>
          <t xml:space="preserve">Кр-99039085-1</t>
        </is>
      </c>
      <c r="E810" s="106" t="inlineStr">
        <is>
          <t xml:space="preserve">ESHMAMATOV FAZLIDDIN BAXRIDDINOVICH</t>
        </is>
      </c>
      <c r="F810" s="106" t="inlineStr">
        <is>
          <t xml:space="preserve">998935543879 SMS O’ZI, 998907086163 SMS AYOLI, 998975001716 SMS O’RTOG’I, 998931936616 SMS AYOLI, 998932389151 dadasi shunga qilish kerak,</t>
        </is>
      </c>
      <c r="G810" s="106" t="inlineStr">
        <is>
          <t xml:space="preserve">TOSHKENT SHAHAR YUNUSOBOD TUMANI TURKISTON MFY 6 MAVZE 20-UY 11-XONADON </t>
        </is>
      </c>
      <c r="H810" s="107">
        <v>28.0</v>
      </c>
      <c r="I810" s="107">
        <v>3903408.74</v>
      </c>
    </row>
    <row r="811">
      <c r="A811" s="106" t="inlineStr">
        <is>
          <t xml:space="preserve">ТОШКЕНТ ШАХРИ</t>
        </is>
      </c>
      <c r="C811" s="106" t="inlineStr">
        <is>
          <t xml:space="preserve">Недозвон</t>
        </is>
      </c>
      <c r="D811" s="106" t="inlineStr">
        <is>
          <t xml:space="preserve">Кр-99023949-4</t>
        </is>
      </c>
      <c r="E811" s="106" t="inlineStr">
        <is>
          <t xml:space="preserve">XAYRULLAYEV ABDULLO SHUKURULLO O’G’LI</t>
        </is>
      </c>
      <c r="F811" s="106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811" s="106" t="inlineStr">
        <is>
          <t xml:space="preserve">MUNAVVARQORI MFY 2-PILLA KO’CHASI 53-UY</t>
        </is>
      </c>
      <c r="H811" s="107">
        <v>10.0</v>
      </c>
      <c r="I811" s="107">
        <v>3833791.76</v>
      </c>
    </row>
    <row r="812">
      <c r="A812" s="106" t="inlineStr">
        <is>
          <t xml:space="preserve">ТОШКЕНТ ШАХРИ</t>
        </is>
      </c>
      <c r="C812" s="106" t="inlineStr">
        <is>
          <t xml:space="preserve">Недозвон</t>
        </is>
      </c>
      <c r="D812" s="106" t="inlineStr">
        <is>
          <t xml:space="preserve">Кр-99043744-1</t>
        </is>
      </c>
      <c r="E812" s="106" t="inlineStr">
        <is>
          <t xml:space="preserve">NUSRATOV ASLIDDIN FAXRIDDIN O‘G‘LI</t>
        </is>
      </c>
      <c r="F812" s="106" t="inlineStr">
        <is>
          <t xml:space="preserve">+998916387115 Primary phone from road24, 998916387115 Primary phone from road24,</t>
        </is>
      </c>
      <c r="G812" s="106" t="inlineStr">
        <is>
          <t xml:space="preserve">Ширин МФЙ, 26 мавзеси, 23-уй, 83-хонадон</t>
        </is>
      </c>
      <c r="H812" s="107">
        <v>10.0</v>
      </c>
      <c r="I812" s="107">
        <v>3822688.03</v>
      </c>
    </row>
    <row r="813">
      <c r="A813" s="106" t="inlineStr">
        <is>
          <t xml:space="preserve">ТОШКЕНТ ШАХРИ</t>
        </is>
      </c>
      <c r="C813" s="106" t="inlineStr">
        <is>
          <t xml:space="preserve">Недозвон</t>
        </is>
      </c>
      <c r="D813" s="106" t="inlineStr">
        <is>
          <t xml:space="preserve">Кр-99052100-1</t>
        </is>
      </c>
      <c r="E813" s="106" t="inlineStr">
        <is>
          <t xml:space="preserve">RUSTAMOV SHOXRUX MUZAFFAR O'G'LI</t>
        </is>
      </c>
      <c r="F813" s="106" t="inlineStr">
        <is>
          <t xml:space="preserve">998935725151 SMS OZI, 998515045502 SMS OZI 2, 998933757980 SMS UKASI,</t>
        </is>
      </c>
      <c r="G813" s="106" t="inlineStr">
        <is>
          <t xml:space="preserve">TOSHKENT SHAHAR SIRG’ALI TUMANI BUYODOBOD MFY SERGELI 6A- MAVZESI ,9-UY,1-XONADON</t>
        </is>
      </c>
      <c r="H813" s="107">
        <v>13.0</v>
      </c>
      <c r="I813" s="107">
        <v>3803105.61</v>
      </c>
    </row>
    <row r="814">
      <c r="A814" s="106" t="inlineStr">
        <is>
          <t xml:space="preserve">ТОШКЕНТ ШАХРИ</t>
        </is>
      </c>
      <c r="C814" s="106" t="inlineStr">
        <is>
          <t xml:space="preserve">Объезд</t>
        </is>
      </c>
      <c r="D814" s="106" t="inlineStr">
        <is>
          <t xml:space="preserve">Кр-99036018-1</t>
        </is>
      </c>
      <c r="E814" s="106" t="inlineStr">
        <is>
          <t xml:space="preserve">ARIPOVA SANOBAR NARIMANOVNA</t>
        </is>
      </c>
      <c r="F814" s="106" t="inlineStr">
        <is>
          <t xml:space="preserve">998910141058 SMS OZI, 998900073026 SMS KELINI, 998935287242 SMS OGLI, 998358306912 SMS KELINI,</t>
        </is>
      </c>
      <c r="G814" s="106" t="inlineStr">
        <is>
          <t xml:space="preserve">TOSHKENT SHAHAR YUNUSOBOD TUMANI 10-MAVZE 7- UY 37- KVARTIRA</t>
        </is>
      </c>
      <c r="H814" s="107">
        <v>3.0</v>
      </c>
      <c r="I814" s="107">
        <v>3763996.33</v>
      </c>
      <c r="K814" s="106" t="inlineStr">
        <is>
          <t xml:space="preserve">Uyiga borildi - va'da berdi</t>
        </is>
      </c>
    </row>
    <row r="815">
      <c r="A815" s="106" t="inlineStr">
        <is>
          <t xml:space="preserve">ТОШКЕНТ ШАХРИ</t>
        </is>
      </c>
      <c r="C815" s="106" t="inlineStr">
        <is>
          <t xml:space="preserve">Недозвон</t>
        </is>
      </c>
      <c r="D815" s="106" t="inlineStr">
        <is>
          <t xml:space="preserve">Кр-99037759-1</t>
        </is>
      </c>
      <c r="E815" s="106" t="inlineStr">
        <is>
          <t xml:space="preserve">XOJIYEV MUZAFFAR SAYFIDDIN O’G’LI</t>
        </is>
      </c>
      <c r="F815" s="106" t="inlineStr">
        <is>
          <t xml:space="preserve">998970714411 SMS OZI ABU SAXIYDA SAVDO QILADI , 998977722257 SMS OZI 2., 998971590501 SMS AYOLI,</t>
        </is>
      </c>
      <c r="G815" s="106" t="inlineStr">
        <is>
          <t xml:space="preserve">TOSHKENT SHAHAR YANGIHAYOT TUMANI SERGELI 5-A MAVZESI 20-UY 57-XONADON</t>
        </is>
      </c>
      <c r="H815" s="107">
        <v>15.0</v>
      </c>
      <c r="I815" s="107">
        <v>3581077.31</v>
      </c>
    </row>
    <row r="816">
      <c r="A816" s="106" t="inlineStr">
        <is>
          <t xml:space="preserve">ТОШКЕНТ ШАХРИ</t>
        </is>
      </c>
      <c r="C816" s="106" t="inlineStr">
        <is>
          <t xml:space="preserve">Объезд</t>
        </is>
      </c>
      <c r="D816" s="106" t="inlineStr">
        <is>
          <t xml:space="preserve">Кр-99035003-2</t>
        </is>
      </c>
      <c r="E816" s="106" t="inlineStr">
        <is>
          <t xml:space="preserve">ABDULAZIZOV AKBARJON ABDUSALOM O‘G‘LI</t>
        </is>
      </c>
      <c r="F816" s="106" t="inlineStr">
        <is>
          <t xml:space="preserve">998998865038 SMS O’ZI, 998811103432 SMS O’ZI 2, 998994092541 SMS DO’STI, 998998865038 SMS O’ZI 3, +998998865038 Primary phone from road24,</t>
        </is>
      </c>
      <c r="G816" s="106" t="inlineStr">
        <is>
          <t xml:space="preserve">УСТА ШИРИН МФЙ, КЎРГАЗМА КЎЧАСИ,  uy:57</t>
        </is>
      </c>
      <c r="H816" s="107">
        <v>10.0</v>
      </c>
      <c r="I816" s="107">
        <v>3520552.5</v>
      </c>
      <c r="K816" s="106" t="inlineStr">
        <is>
          <t xml:space="preserve">Uyiga borildi - va'da berdi</t>
        </is>
      </c>
    </row>
    <row r="817">
      <c r="A817" s="106" t="inlineStr">
        <is>
          <t xml:space="preserve">ТОШКЕНТ ШАХРИ</t>
        </is>
      </c>
      <c r="C817" s="106" t="inlineStr">
        <is>
          <t xml:space="preserve">Недозвон</t>
        </is>
      </c>
      <c r="D817" s="106" t="inlineStr">
        <is>
          <t xml:space="preserve">Кр-99039479-2</t>
        </is>
      </c>
      <c r="E817" s="106" t="inlineStr">
        <is>
          <t xml:space="preserve">BOYMUROTOVA DILNOZA DAVLATILLA QIZI</t>
        </is>
      </c>
      <c r="F817" s="106" t="inlineStr">
        <is>
          <t xml:space="preserve">998974432612 SMS OZI, 998883514444 SMS ERI, 998909397454 SMS ONASI,</t>
        </is>
      </c>
      <c r="G817" s="106" t="inlineStr">
        <is>
          <t xml:space="preserve">TOSHKENT SHAHAR BEKTEMIR TUMANI ROXAT KO’CHASI 11-BERK 35-XONADON</t>
        </is>
      </c>
      <c r="H817" s="107">
        <v>10.0</v>
      </c>
      <c r="I817" s="107">
        <v>3508753.04</v>
      </c>
    </row>
    <row r="818">
      <c r="A818" s="106" t="inlineStr">
        <is>
          <t xml:space="preserve">ТОШКЕНТ ШАХРИ</t>
        </is>
      </c>
      <c r="C818" s="106" t="inlineStr">
        <is>
          <t xml:space="preserve">Недозвон</t>
        </is>
      </c>
      <c r="D818" s="106" t="inlineStr">
        <is>
          <t xml:space="preserve">Кр-99021371-2</t>
        </is>
      </c>
      <c r="E818" s="106" t="inlineStr">
        <is>
          <t xml:space="preserve">XAMIDXODJAYEV ZUXRUTDIN IKRAMOVICH</t>
        </is>
      </c>
      <c r="F818" s="106" t="inlineStr">
        <is>
          <t xml:space="preserve">90-031-15-65 SMS OZI, 97-131-63-60 SMS ONASI, 90-823-66-00 SMS AKASI, 91-774-01-68 SMS O’G’LI,</t>
        </is>
      </c>
      <c r="G818" s="106" t="inlineStr">
        <is>
          <t xml:space="preserve">TOSHKENT SHAHAHR OLMAZOR TUMANI QIZIL QO’SHIN 95-XONADON</t>
        </is>
      </c>
      <c r="H818" s="107">
        <v>10.0</v>
      </c>
      <c r="I818" s="107">
        <v>3490767.64</v>
      </c>
    </row>
    <row r="819">
      <c r="A819" s="106" t="inlineStr">
        <is>
          <t xml:space="preserve">ТОШКЕНТ ШАХРИ</t>
        </is>
      </c>
      <c r="C819" s="106" t="inlineStr">
        <is>
          <t xml:space="preserve">Недозвон</t>
        </is>
      </c>
      <c r="D819" s="106" t="inlineStr">
        <is>
          <t xml:space="preserve">Кр-99062689-1</t>
        </is>
      </c>
      <c r="E819" s="106" t="inlineStr">
        <is>
          <t xml:space="preserve">TOXIROV ABDULLO SHOHIDJON O’G’LI</t>
        </is>
      </c>
      <c r="F819" s="106" t="inlineStr">
        <is>
          <t xml:space="preserve">998338303003 SMS OZI, 998998300706 SMS AKASI, 998887099951 SMS UAKSI,</t>
        </is>
      </c>
      <c r="G819" s="106" t="inlineStr">
        <is>
          <t xml:space="preserve">TOSHKENT SHAHAR UCHTEPA TUMANI SHOFTOLIZOR MFY 4-PR SHOYI 4-UY</t>
        </is>
      </c>
      <c r="H819" s="107">
        <v>10.0</v>
      </c>
      <c r="I819" s="107">
        <v>3477224.33</v>
      </c>
    </row>
    <row r="820">
      <c r="A820" s="106" t="inlineStr">
        <is>
          <t xml:space="preserve">ТОШКЕНТ ШАХРИ</t>
        </is>
      </c>
      <c r="C820" s="106" t="inlineStr">
        <is>
          <t xml:space="preserve">Недозвон</t>
        </is>
      </c>
      <c r="D820" s="106" t="inlineStr">
        <is>
          <t xml:space="preserve">Кр-99052985-1</t>
        </is>
      </c>
      <c r="E820" s="106" t="inlineStr">
        <is>
          <t xml:space="preserve">GANIYEVA BARNO XASANOVNA</t>
        </is>
      </c>
      <c r="F820" s="106" t="inlineStr">
        <is>
          <t xml:space="preserve">998949464248 SMS OZI, 998956470310 SMS ONASI, 998935956513 SMS OTASI ,</t>
        </is>
      </c>
      <c r="G820" s="106" t="inlineStr">
        <is>
          <t xml:space="preserve">TOSHKENT SHAHAR OLMAZOR TUMANI QORA QAMISH 2/4 MAVZESI ,30-UY,35-XONADON</t>
        </is>
      </c>
      <c r="H820" s="107">
        <v>10.0</v>
      </c>
      <c r="I820" s="107">
        <v>3290800.96</v>
      </c>
    </row>
    <row r="821">
      <c r="A821" s="106" t="inlineStr">
        <is>
          <t xml:space="preserve">ТОШКЕНТ ШАХРИ</t>
        </is>
      </c>
      <c r="C821" s="106" t="inlineStr">
        <is>
          <t xml:space="preserve">Недозвон</t>
        </is>
      </c>
      <c r="D821" s="106" t="inlineStr">
        <is>
          <t xml:space="preserve">Кр-99062611-1</t>
        </is>
      </c>
      <c r="E821" s="106" t="inlineStr">
        <is>
          <t xml:space="preserve">MIRSAGATOVA FARANGIZ RASULJON QIZI</t>
        </is>
      </c>
      <c r="F821" s="106" t="inlineStr">
        <is>
          <t xml:space="preserve">998900170003 узи, 998998545678 эри, 998900383801 дусти,</t>
        </is>
      </c>
      <c r="G821" s="106" t="inlineStr">
        <is>
          <t xml:space="preserve">TOSHKENT SHAHAR SHAYXONTOXUR TUMANI KOXOTA MFY 25-XONADON</t>
        </is>
      </c>
      <c r="H821" s="107">
        <v>10.0</v>
      </c>
      <c r="I821" s="107">
        <v>3184394.48</v>
      </c>
    </row>
    <row r="822">
      <c r="A822" s="106" t="inlineStr">
        <is>
          <t xml:space="preserve">ТОШКЕНТ ШАХРИ</t>
        </is>
      </c>
      <c r="C822" s="106" t="inlineStr">
        <is>
          <t xml:space="preserve">Недозвон</t>
        </is>
      </c>
      <c r="D822" s="106" t="inlineStr">
        <is>
          <t xml:space="preserve">Кр-99062687-1</t>
        </is>
      </c>
      <c r="E822" s="106" t="inlineStr">
        <is>
          <t xml:space="preserve">ABDULLAYEV ZIYODJON ERKINOVICH</t>
        </is>
      </c>
      <c r="F822" s="106" t="inlineStr">
        <is>
          <t xml:space="preserve">998995020770 SMS OZI, 999883025158 SMS AYOLI, 998857978888 SMS AKASI,</t>
        </is>
      </c>
      <c r="G822" s="106" t="inlineStr">
        <is>
          <t xml:space="preserve">TOSHKENT SHAHAR YUNUSOBOD TUMANI RAYON 11-UY</t>
        </is>
      </c>
      <c r="H822" s="107">
        <v>10.0</v>
      </c>
      <c r="I822" s="107">
        <v>3175037.82</v>
      </c>
    </row>
    <row r="823">
      <c r="A823" s="106" t="inlineStr">
        <is>
          <t xml:space="preserve">ТОШКЕНТ ШАХРИ</t>
        </is>
      </c>
      <c r="C823" s="106" t="inlineStr">
        <is>
          <t xml:space="preserve">Недозвон</t>
        </is>
      </c>
      <c r="D823" s="106" t="inlineStr">
        <is>
          <t xml:space="preserve">Кр-99062644-1</t>
        </is>
      </c>
      <c r="E823" s="106" t="inlineStr">
        <is>
          <t xml:space="preserve">ALIMXODJAYEV MUXABBAT RADISOVNA</t>
        </is>
      </c>
      <c r="F823" s="106" t="inlineStr">
        <is>
          <t xml:space="preserve">998977474348 узи, 998974323663 эри, 998999888827 онаси,</t>
        </is>
      </c>
      <c r="G823" s="106" t="inlineStr">
        <is>
          <t xml:space="preserve">TOSHKENT SHAHAR OLMAZOR TUMANI QAMARNISO 28A,13UY</t>
        </is>
      </c>
      <c r="H823" s="107">
        <v>10.0</v>
      </c>
      <c r="I823" s="107">
        <v>3144544.35</v>
      </c>
    </row>
    <row r="824">
      <c r="A824" s="106" t="inlineStr">
        <is>
          <t xml:space="preserve">ТОШКЕНТ ШАХРИ</t>
        </is>
      </c>
      <c r="C824" s="106" t="inlineStr">
        <is>
          <t xml:space="preserve">Недозвон</t>
        </is>
      </c>
      <c r="D824" s="106" t="inlineStr">
        <is>
          <t xml:space="preserve">Кр-99052930-1</t>
        </is>
      </c>
      <c r="E824" s="106" t="inlineStr">
        <is>
          <t xml:space="preserve">BOYMIRZAYEV SHAXZOD XOLMIRZA O’G’LI</t>
        </is>
      </c>
      <c r="F824" s="106" t="inlineStr">
        <is>
          <t xml:space="preserve">998998610910 SMS OZI, 998988086680 SMS AKASI, 998770881600 SMS ONASI, 998998839906 SMS OPASI,</t>
        </is>
      </c>
      <c r="G824" s="106" t="inlineStr">
        <is>
          <t xml:space="preserve">TOSHKEN SHAXAR UCHTEPA TUMANI YANGIYO’L MFY QURULISH KO’CHASI 43-UY 171-KVARTIRA</t>
        </is>
      </c>
      <c r="H824" s="107">
        <v>10.0</v>
      </c>
      <c r="I824" s="107">
        <v>3130064.16</v>
      </c>
    </row>
    <row r="825">
      <c r="A825" s="106" t="inlineStr">
        <is>
          <t xml:space="preserve">ТОШКЕНТ ШАХРИ</t>
        </is>
      </c>
      <c r="C825" s="106" t="inlineStr">
        <is>
          <t xml:space="preserve">Недозвон</t>
        </is>
      </c>
      <c r="D825" s="106" t="inlineStr">
        <is>
          <t xml:space="preserve">Кр-99038890-1</t>
        </is>
      </c>
      <c r="E825" s="106" t="inlineStr">
        <is>
          <t xml:space="preserve">SOBIROV OYBEK TOIR O’G’LI</t>
        </is>
      </c>
      <c r="F825" s="106" t="inlineStr">
        <is>
          <t xml:space="preserve">998990002995 SMS O’ZI, 998997442005 SMS AYOLI, 998770540926 SMS AKASI, 998770542903 SMS AKASI 2,</t>
        </is>
      </c>
      <c r="G825" s="106" t="inlineStr">
        <is>
          <t xml:space="preserve">TOSHKENT SHAHAR YUNUSOBOD TUMANI YO'LAYRIQ MFY FAROG'AT 6-TOR KO'CHASI 4-UY</t>
        </is>
      </c>
      <c r="H825" s="107">
        <v>1.0</v>
      </c>
      <c r="I825" s="107">
        <v>3100489.42</v>
      </c>
    </row>
    <row r="826">
      <c r="A826" s="106" t="inlineStr">
        <is>
          <t xml:space="preserve">ТОШКЕНТ ШАХРИ</t>
        </is>
      </c>
      <c r="C826" s="106" t="inlineStr">
        <is>
          <t xml:space="preserve">Недозвон</t>
        </is>
      </c>
      <c r="D826" s="106" t="inlineStr">
        <is>
          <t xml:space="preserve">Кр-99042128-1</t>
        </is>
      </c>
      <c r="E826" s="106" t="inlineStr">
        <is>
          <t xml:space="preserve">ALIMOV SHUXRAT MUBASHIROVICH</t>
        </is>
      </c>
      <c r="F826" s="106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826" s="106" t="inlineStr">
        <is>
          <t xml:space="preserve">ОЛТИН ВОДИЙ МФЙ, САМО, 2 БЕРК КЎЧАСИ,  uy:8</t>
        </is>
      </c>
      <c r="H826" s="107">
        <v>10.0</v>
      </c>
      <c r="I826" s="107">
        <v>3030534.69</v>
      </c>
      <c r="K826" s="106" t="inlineStr">
        <is>
          <t xml:space="preserve">Telefon ko'tarmadi</t>
        </is>
      </c>
    </row>
    <row r="827">
      <c r="A827" s="106" t="inlineStr">
        <is>
          <t xml:space="preserve">ТОШКЕНТ ШАХРИ</t>
        </is>
      </c>
      <c r="C827" s="106" t="inlineStr">
        <is>
          <t xml:space="preserve">Недозвон</t>
        </is>
      </c>
      <c r="D827" s="106" t="inlineStr">
        <is>
          <t xml:space="preserve">Кр-99039083-1</t>
        </is>
      </c>
      <c r="E827" s="106" t="inlineStr">
        <is>
          <t xml:space="preserve">TO’RAXODJAYEVA MANZURA ALISHEROVNA</t>
        </is>
      </c>
      <c r="F827" s="106" t="inlineStr">
        <is>
          <t xml:space="preserve">998908309889 SMS OZI, 998909920099 SMS OZI , 998903580333 SMS UKASI,</t>
        </is>
      </c>
      <c r="G827" s="106" t="inlineStr">
        <is>
          <t xml:space="preserve">TOSHKENT SHAHRI MIROBOD TUMANI ODOBLIK MFY  1-UY,2-XONADON</t>
        </is>
      </c>
      <c r="H827" s="107">
        <v>7.0</v>
      </c>
      <c r="I827" s="107">
        <v>2923509.54</v>
      </c>
    </row>
    <row r="828">
      <c r="A828" s="106" t="inlineStr">
        <is>
          <t xml:space="preserve">ТОШКЕНТ ШАХРИ</t>
        </is>
      </c>
      <c r="C828" s="106" t="inlineStr">
        <is>
          <t xml:space="preserve">Недозвон</t>
        </is>
      </c>
      <c r="D828" s="106" t="inlineStr">
        <is>
          <t xml:space="preserve">Кр-99037060-2</t>
        </is>
      </c>
      <c r="E828" s="106" t="inlineStr">
        <is>
          <t xml:space="preserve">NO’MONOV HUMOYUNBEK QAHRAMON O’G’LI</t>
        </is>
      </c>
      <c r="F828" s="106" t="inlineStr">
        <is>
          <t xml:space="preserve">998954348866 SMS OZI, 998917387171 SMS AKASI, 998501501737 SMS UKASI, 998888171737 SMS DADASI,</t>
        </is>
      </c>
      <c r="G828" s="106" t="inlineStr">
        <is>
          <t xml:space="preserve">TOSHKENT SHAHAR CHILONZOR TUMANI OLMAZOR DAHASI 8/1 UY 23- XONADON</t>
        </is>
      </c>
      <c r="H828" s="107">
        <v>3.0</v>
      </c>
      <c r="I828" s="107">
        <v>2834680.37</v>
      </c>
    </row>
    <row r="829">
      <c r="A829" s="106" t="inlineStr">
        <is>
          <t xml:space="preserve">ТОШКЕНТ ШАХРИ</t>
        </is>
      </c>
      <c r="C829" s="106" t="inlineStr">
        <is>
          <t xml:space="preserve">Недозвон</t>
        </is>
      </c>
      <c r="D829" s="106" t="inlineStr">
        <is>
          <t xml:space="preserve">Кр-99027053-2</t>
        </is>
      </c>
      <c r="E829" s="106" t="inlineStr">
        <is>
          <t xml:space="preserve">XAMRAKULOV SHOYADBEK SHUXRATOVICH</t>
        </is>
      </c>
      <c r="F829" s="106" t="inlineStr">
        <is>
          <t xml:space="preserve">97-420-08-87 SMS OZI, 998974200392 SMS AYOLI, 998977334088 SMS SINGLISI,</t>
        </is>
      </c>
      <c r="G829" s="106" t="inlineStr">
        <is>
          <t xml:space="preserve">TOSHKENT SHAHAR UCHTEPA TUMANI 23-MAVZE 3-UY 8-XONADON</t>
        </is>
      </c>
      <c r="H829" s="107">
        <v>10.0</v>
      </c>
      <c r="I829" s="107">
        <v>2831745.18</v>
      </c>
    </row>
    <row r="830">
      <c r="A830" s="106" t="inlineStr">
        <is>
          <t xml:space="preserve">ТОШКЕНТ ШАХРИ</t>
        </is>
      </c>
      <c r="C830" s="106" t="inlineStr">
        <is>
          <t xml:space="preserve">Недозвон</t>
        </is>
      </c>
      <c r="D830" s="106" t="inlineStr">
        <is>
          <t xml:space="preserve">Кр-99038726-1</t>
        </is>
      </c>
      <c r="E830" s="106" t="inlineStr">
        <is>
          <t xml:space="preserve">CHULPANOVA MUXAYYO RAXMANOVNA</t>
        </is>
      </c>
      <c r="F830" s="106" t="inlineStr">
        <is>
          <t xml:space="preserve">998990666363 SMS OZI, 998998219789 SMS OZI  TOLOVCHI XATAM AKA SHUNGA QILIP YOQIW KERE , 998950306363 SMS QIZI,</t>
        </is>
      </c>
      <c r="G830" s="106" t="inlineStr">
        <is>
          <t xml:space="preserve">TOSHKENT SHAHAR YASHNABOD TUMANI AVIAZOZLAR 2 MAVZESI 5-UY, 3-XONADON</t>
        </is>
      </c>
      <c r="H830" s="107">
        <v>8.0</v>
      </c>
      <c r="I830" s="107">
        <v>2790829.66</v>
      </c>
    </row>
    <row r="831">
      <c r="A831" s="106" t="inlineStr">
        <is>
          <t xml:space="preserve">ТОШКЕНТ ШАХРИ</t>
        </is>
      </c>
      <c r="C831" s="106" t="inlineStr">
        <is>
          <t xml:space="preserve">Недозвон</t>
        </is>
      </c>
      <c r="D831" s="106" t="inlineStr">
        <is>
          <t xml:space="preserve">Кр-99024123-5</t>
        </is>
      </c>
      <c r="E831" s="106" t="inlineStr">
        <is>
          <t xml:space="preserve">XASANOV ISLOM RUSTAM O’G’LI</t>
        </is>
      </c>
      <c r="F831" s="106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831" s="106" t="inlineStr">
        <is>
          <t xml:space="preserve">Олтинкул МФЙ, Олтинкул кучаси, 94-уй, 33-хонадон</t>
        </is>
      </c>
      <c r="H831" s="107">
        <v>10.0</v>
      </c>
      <c r="I831" s="107">
        <v>2787491.17</v>
      </c>
    </row>
    <row r="832">
      <c r="A832" s="106" t="inlineStr">
        <is>
          <t xml:space="preserve">ТОШКЕНТ ШАХРИ</t>
        </is>
      </c>
      <c r="C832" s="106" t="inlineStr">
        <is>
          <t xml:space="preserve">Недозвон</t>
        </is>
      </c>
      <c r="D832" s="106" t="inlineStr">
        <is>
          <t xml:space="preserve">Кр-99020748-5</t>
        </is>
      </c>
      <c r="E832" s="106" t="inlineStr">
        <is>
          <t xml:space="preserve">ABDUG’AFFOROVA DILAFRUZAXON UMIDJON QIZI</t>
        </is>
      </c>
      <c r="F832" s="106" t="inlineStr">
        <is>
          <t xml:space="preserve">93-520-84-88 SMS ozi, 99-812-56-98 SMS OZI 2, 94-670-49-44 SMS ISHCHISI, 95-177-84-80 SMS ISHXONASI,</t>
        </is>
      </c>
      <c r="G832" s="106" t="inlineStr">
        <is>
          <t xml:space="preserve">TOSHKENT SHAHAR OLAMZOR TUMANI QORAQAMISH 2/4, 51-DOM 3-XONADON</t>
        </is>
      </c>
      <c r="H832" s="107">
        <v>10.0</v>
      </c>
      <c r="I832" s="107">
        <v>2733581.35</v>
      </c>
    </row>
    <row r="833">
      <c r="A833" s="106" t="inlineStr">
        <is>
          <t xml:space="preserve">ТОШКЕНТ ШАХРИ</t>
        </is>
      </c>
      <c r="C833" s="106" t="inlineStr">
        <is>
          <t xml:space="preserve">Недозвон</t>
        </is>
      </c>
      <c r="D833" s="106" t="inlineStr">
        <is>
          <t xml:space="preserve">Кр-99060454-2</t>
        </is>
      </c>
      <c r="E833" s="106" t="inlineStr">
        <is>
          <t xml:space="preserve">MIRSAMIKOV NURIDDIN KABILOVICH</t>
        </is>
      </c>
      <c r="F833" s="106" t="inlineStr">
        <is>
          <t xml:space="preserve">+998993025448 SMS OZI, 998888520971 SMS AYOLI, 998948280541 SMS DADASI, 998881555855 SMS ukasi,</t>
        </is>
      </c>
      <c r="G833" s="106" t="inlineStr">
        <is>
          <t xml:space="preserve">TOSHKENT SHAHAR YASHNOBOD TUMANI AXMAD YASSAVIY MFY XOVOS PR 2 KUCHASI 68-UY</t>
        </is>
      </c>
      <c r="H833" s="107">
        <v>10.0</v>
      </c>
      <c r="I833" s="107">
        <v>2613834.78</v>
      </c>
      <c r="K833" s="106" t="inlineStr">
        <is>
          <t xml:space="preserve">Telefon ko'tarmadi</t>
        </is>
      </c>
    </row>
    <row r="834">
      <c r="A834" s="106" t="inlineStr">
        <is>
          <t xml:space="preserve">ТОШКЕНТ ШАХРИ</t>
        </is>
      </c>
      <c r="C834" s="106" t="inlineStr">
        <is>
          <t xml:space="preserve">Недозвон</t>
        </is>
      </c>
      <c r="D834" s="106" t="inlineStr">
        <is>
          <t xml:space="preserve">Кр-99038874-1</t>
        </is>
      </c>
      <c r="E834" s="106" t="inlineStr">
        <is>
          <t xml:space="preserve">ABDUXAKIMOV BEKZOD ALISHER O‘G‘LI</t>
        </is>
      </c>
      <c r="F834" s="106" t="inlineStr">
        <is>
          <t xml:space="preserve">998990000581 SMS OZI, 998770944425 SMS OSHNASI, 998770944425 SMS OSHNASI 2, +998990000581 Primary phone from road24,</t>
        </is>
      </c>
      <c r="G834" s="106" t="inlineStr">
        <is>
          <t xml:space="preserve">Хумо МФЙ,  3Б-строительная территория , 9-уй, 60-хонадон</t>
        </is>
      </c>
      <c r="H834" s="107">
        <v>2.0</v>
      </c>
      <c r="I834" s="107">
        <v>2589922.28</v>
      </c>
      <c r="K834" s="106" t="inlineStr">
        <is>
          <t xml:space="preserve">Telefon ko'tarmadi</t>
        </is>
      </c>
    </row>
    <row r="835">
      <c r="A835" s="106" t="inlineStr">
        <is>
          <t xml:space="preserve">ТОШКЕНТ ШАХРИ</t>
        </is>
      </c>
      <c r="C835" s="106" t="inlineStr">
        <is>
          <t xml:space="preserve">Недозвон</t>
        </is>
      </c>
      <c r="D835" s="106" t="inlineStr">
        <is>
          <t xml:space="preserve">Кр-99039271-1</t>
        </is>
      </c>
      <c r="E835" s="106" t="inlineStr">
        <is>
          <t xml:space="preserve">NAZAROV SOBIRJON ZAKIROVICH</t>
        </is>
      </c>
      <c r="F835" s="106" t="inlineStr">
        <is>
          <t xml:space="preserve">998946388043 SMS OZI, 998946119354 SMS AYOLI, 998995169662 SMS QIZLARI,</t>
        </is>
      </c>
      <c r="G835" s="106" t="inlineStr">
        <is>
          <t xml:space="preserve">TOSHKENT SHAHAR OLMAZOR TUMANI BESHQO`RG`ON 3 DAXA 23 UY 13 XONADON</t>
        </is>
      </c>
      <c r="H835" s="107">
        <v>14.0</v>
      </c>
      <c r="I835" s="107">
        <v>2586046.31</v>
      </c>
    </row>
    <row r="836">
      <c r="A836" s="106" t="inlineStr">
        <is>
          <t xml:space="preserve">ТОШКЕНТ ШАХРИ</t>
        </is>
      </c>
      <c r="C836" s="106" t="inlineStr">
        <is>
          <t xml:space="preserve">Недозвон</t>
        </is>
      </c>
      <c r="D836" s="106" t="inlineStr">
        <is>
          <t xml:space="preserve">Кр-99040289-2</t>
        </is>
      </c>
      <c r="E836" s="106" t="inlineStr">
        <is>
          <t xml:space="preserve">YUNUSXONOVA NAFISA TO’LQIN QIZI</t>
        </is>
      </c>
      <c r="F836" s="106" t="inlineStr">
        <is>
          <t xml:space="preserve">998978055008 SMS ERI,</t>
        </is>
      </c>
      <c r="G836" s="106" t="inlineStr">
        <is>
          <t xml:space="preserve">НАҚҚОШЛИК МФЙ, НАККОШЛИК КЎЧАСИ,  uy:20 xonadon:81</t>
        </is>
      </c>
      <c r="H836" s="107">
        <v>13.0</v>
      </c>
      <c r="I836" s="107">
        <v>2575600.59</v>
      </c>
    </row>
    <row r="837">
      <c r="A837" s="106" t="inlineStr">
        <is>
          <t xml:space="preserve">ТОШКЕНТ ШАХРИ</t>
        </is>
      </c>
      <c r="C837" s="106" t="inlineStr">
        <is>
          <t xml:space="preserve">Недозвон</t>
        </is>
      </c>
      <c r="D837" s="106" t="inlineStr">
        <is>
          <t xml:space="preserve">Кр-99039501-2</t>
        </is>
      </c>
      <c r="E837" s="106" t="inlineStr">
        <is>
          <t xml:space="preserve">QORIYEV SARVAR NOSIRJONOVICH</t>
        </is>
      </c>
      <c r="F837" s="106" t="inlineStr">
        <is>
          <t xml:space="preserve">+998936474400 SMS OZI, 998941373443 SMS DOSTI 2, 998951142949 SMS DOSTI,</t>
        </is>
      </c>
      <c r="G837" s="106" t="inlineStr">
        <is>
          <t xml:space="preserve">г. Ташкент, Юнусабадский район, кв. 6, Туркистон МСГ, 15- Дом, 34- Квартира</t>
        </is>
      </c>
      <c r="H837" s="107">
        <v>10.0</v>
      </c>
      <c r="I837" s="107">
        <v>2541630.53</v>
      </c>
    </row>
    <row r="838">
      <c r="A838" s="106" t="inlineStr">
        <is>
          <t xml:space="preserve">ТОШКЕНТ ШАХРИ</t>
        </is>
      </c>
      <c r="C838" s="106" t="inlineStr">
        <is>
          <t xml:space="preserve">Недозвон</t>
        </is>
      </c>
      <c r="D838" s="106" t="inlineStr">
        <is>
          <t xml:space="preserve">Кр-99033645-6</t>
        </is>
      </c>
      <c r="E838" s="106" t="inlineStr">
        <is>
          <t xml:space="preserve">PACHURIN VYACHESLAV VLADIMIROVICH</t>
        </is>
      </c>
      <c r="F838" s="106" t="inlineStr">
        <is>
          <t xml:space="preserve">998903260038 SMS O’ZI, 998990098018 SMS , 998913090019 SMS,</t>
        </is>
      </c>
      <c r="G838" s="106" t="inlineStr">
        <is>
          <t xml:space="preserve">TOSHKENT SHAHAR OLMAZOR TUMANI GURUCH ARIQ MFY SAG’BON 30 BERK KO’CHASI 1-UY 30-XONADON</t>
        </is>
      </c>
      <c r="I838" s="107">
        <v>2537158.72</v>
      </c>
    </row>
    <row r="839">
      <c r="A839" s="106" t="inlineStr">
        <is>
          <t xml:space="preserve">ТОШКЕНТ ШАХРИ</t>
        </is>
      </c>
      <c r="C839" s="106" t="inlineStr">
        <is>
          <t xml:space="preserve">Недозвон</t>
        </is>
      </c>
      <c r="D839" s="106" t="inlineStr">
        <is>
          <t xml:space="preserve">Кр-99061551-1</t>
        </is>
      </c>
      <c r="E839" s="106" t="inlineStr">
        <is>
          <t xml:space="preserve">SHARIBAYEVA ALINA IBRAGIMOVNA</t>
        </is>
      </c>
      <c r="F839" s="106" t="inlineStr">
        <is>
          <t xml:space="preserve">998910197490 SMS OZI, 998900323016 SMS ERI, 998946644311 SMS SINGLISI,</t>
        </is>
      </c>
      <c r="G839" s="106" t="inlineStr">
        <is>
          <t xml:space="preserve">TOSHKENT SHAXRI YASHNOBOD TUMANI AXMAD YASSAVIY MFY, XOVOS,2 TOR KO'CHASI,1/15 -UY </t>
        </is>
      </c>
      <c r="H839" s="107">
        <v>10.0</v>
      </c>
      <c r="I839" s="107">
        <v>2502757.49</v>
      </c>
    </row>
    <row r="840">
      <c r="A840" s="106" t="inlineStr">
        <is>
          <t xml:space="preserve">ТОШКЕНТ ШАХРИ</t>
        </is>
      </c>
      <c r="C840" s="106" t="inlineStr">
        <is>
          <t xml:space="preserve">Недозвон</t>
        </is>
      </c>
      <c r="D840" s="106" t="inlineStr">
        <is>
          <t xml:space="preserve">Кр-99039231-1</t>
        </is>
      </c>
      <c r="E840" s="106" t="inlineStr">
        <is>
          <t xml:space="preserve">SHARIPOVA MUKADDAS VAXABOVNA</t>
        </is>
      </c>
      <c r="F840" s="106" t="inlineStr">
        <is>
          <t xml:space="preserve">998999092148 SMS OZI, 998974462121 SMS OZI 2, 998974642323 SMS OGLI, 998977123735 SMS QIZ,</t>
        </is>
      </c>
      <c r="G840" s="106" t="inlineStr">
        <is>
          <t xml:space="preserve">TOSHKENT SHAHAR SHAYHANTOXUR TUMANI BOG’ KO’CHASI 12-UY</t>
        </is>
      </c>
      <c r="H840" s="107">
        <v>9.0</v>
      </c>
      <c r="I840" s="107">
        <v>2491800.6</v>
      </c>
    </row>
    <row r="841">
      <c r="A841" s="106" t="inlineStr">
        <is>
          <t xml:space="preserve">ТОШКЕНТ ШАХРИ</t>
        </is>
      </c>
      <c r="C841" s="106" t="inlineStr">
        <is>
          <t xml:space="preserve">Недозвон</t>
        </is>
      </c>
      <c r="D841" s="106" t="inlineStr">
        <is>
          <t xml:space="preserve">Кр-99036612-1</t>
        </is>
      </c>
      <c r="E841" s="106" t="inlineStr">
        <is>
          <t xml:space="preserve">UMAROVA NAZIRA TURAXO’JA QIZI </t>
        </is>
      </c>
      <c r="F841" s="106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841" s="106" t="inlineStr">
        <is>
          <t xml:space="preserve">TOSHKENT SHAHAR CHILONZOR TUMANI BAHORISTON MFY, GULISTON DAXASI, 53-UY, 17-XONADON</t>
        </is>
      </c>
      <c r="H841" s="107">
        <v>7.0</v>
      </c>
      <c r="I841" s="107">
        <v>2472987.45</v>
      </c>
    </row>
    <row r="842">
      <c r="A842" s="106" t="inlineStr">
        <is>
          <t xml:space="preserve">ТОШКЕНТ ШАХРИ</t>
        </is>
      </c>
      <c r="C842" s="106" t="inlineStr">
        <is>
          <t xml:space="preserve">Недозвон</t>
        </is>
      </c>
      <c r="D842" s="106" t="inlineStr">
        <is>
          <t xml:space="preserve">Кр-99063891-1</t>
        </is>
      </c>
      <c r="E842" s="106" t="inlineStr">
        <is>
          <t xml:space="preserve">ABDUFATTOXOV ABDUVALI ABDUMANNOP O’G’LI</t>
        </is>
      </c>
      <c r="G842" s="106" t="inlineStr">
        <is>
          <t xml:space="preserve">IIV 26277</t>
        </is>
      </c>
      <c r="H842" s="107">
        <v>10.0</v>
      </c>
      <c r="I842" s="107">
        <v>2442092.17</v>
      </c>
    </row>
    <row r="843">
      <c r="A843" s="106" t="inlineStr">
        <is>
          <t xml:space="preserve">ТОШКЕНТ ШАХРИ</t>
        </is>
      </c>
      <c r="C843" s="106" t="inlineStr">
        <is>
          <t xml:space="preserve">Недозвон</t>
        </is>
      </c>
      <c r="D843" s="106" t="inlineStr">
        <is>
          <t xml:space="preserve">Кр-99035019-2</t>
        </is>
      </c>
      <c r="E843" s="106" t="inlineStr">
        <is>
          <t xml:space="preserve">ISRAILOV RUSTAM SULTANOVICH</t>
        </is>
      </c>
      <c r="F843" s="106" t="inlineStr">
        <is>
          <t xml:space="preserve">998712485251 SMS O’ZI, 998999994524 SMS OGLI, 998981241558 SMS O’G’LI,</t>
        </is>
      </c>
      <c r="G843" s="106" t="inlineStr">
        <is>
          <t xml:space="preserve">TOSHKENT SHAHAR OLMAZOR TUMANI GULZOR MFY CHUKURSOY KO’CHASI 187-A XONADON</t>
        </is>
      </c>
      <c r="H843" s="107">
        <v>10.0</v>
      </c>
      <c r="I843" s="107">
        <v>2431690.32</v>
      </c>
    </row>
    <row r="844">
      <c r="A844" s="106" t="inlineStr">
        <is>
          <t xml:space="preserve">ТОШКЕНТ ШАХРИ</t>
        </is>
      </c>
      <c r="C844" s="106" t="inlineStr">
        <is>
          <t xml:space="preserve">Недозвон</t>
        </is>
      </c>
      <c r="D844" s="106" t="inlineStr">
        <is>
          <t xml:space="preserve">Кр-99038611-1</t>
        </is>
      </c>
      <c r="E844" s="106" t="inlineStr">
        <is>
          <t xml:space="preserve">ZAKIROV MIRZOXID MIRDJALALOVICH</t>
        </is>
      </c>
      <c r="F844" s="106" t="inlineStr">
        <is>
          <t xml:space="preserve">998773690239 SMS O’ZI, 998997567337 SMS AYOLI, 998998170815 SMS ONASI, 998998163557 SMS  DADASI ,</t>
        </is>
      </c>
      <c r="G844" s="106" t="inlineStr">
        <is>
          <t xml:space="preserve">TOSHKENT OLMAZOR TUMANI XASTIMOM MFY ZARQAYNAR OLCHA TUP 2 TOR KUCHASI 6-UY</t>
        </is>
      </c>
      <c r="H844" s="107">
        <v>8.0</v>
      </c>
      <c r="I844" s="107">
        <v>2415195.84</v>
      </c>
    </row>
    <row r="845">
      <c r="A845" s="106" t="inlineStr">
        <is>
          <t xml:space="preserve">ТОШКЕНТ ШАХРИ</t>
        </is>
      </c>
      <c r="C845" s="106" t="inlineStr">
        <is>
          <t xml:space="preserve">Недозвон</t>
        </is>
      </c>
      <c r="D845" s="106" t="inlineStr">
        <is>
          <t xml:space="preserve">Кр-99056482-2</t>
        </is>
      </c>
      <c r="E845" s="106" t="inlineStr">
        <is>
          <t xml:space="preserve">SADIKOV BEKZOD KURVONALI O’G’LI</t>
        </is>
      </c>
      <c r="F845" s="106" t="inlineStr">
        <is>
          <t xml:space="preserve">998958093262 SMS OZI , 998946626959 SMS OZI 2, 998958092262 SMS ONASI, 998958092262 sms onasi  shunga qlinsin ,</t>
        </is>
      </c>
      <c r="G845" s="106" t="inlineStr">
        <is>
          <t xml:space="preserve">TOSHKENT SHAHRI MIRZO ULUG'BEK TUMANI CHINGELDI MFY TABARRUK KO'CHASI 3-UY</t>
        </is>
      </c>
      <c r="H845" s="107">
        <v>10.0</v>
      </c>
      <c r="I845" s="107">
        <v>2322600.99</v>
      </c>
    </row>
    <row r="846">
      <c r="A846" s="106" t="inlineStr">
        <is>
          <t xml:space="preserve">ТОШКЕНТ ШАХРИ</t>
        </is>
      </c>
      <c r="C846" s="106" t="inlineStr">
        <is>
          <t xml:space="preserve">Недозвон</t>
        </is>
      </c>
      <c r="D846" s="106" t="inlineStr">
        <is>
          <t xml:space="preserve">Кр-99058140-1</t>
        </is>
      </c>
      <c r="E846" s="106" t="inlineStr">
        <is>
          <t xml:space="preserve">EGAMBERDIYEV FARRUX SHOXRUX O’G’LI</t>
        </is>
      </c>
      <c r="F846" s="106" t="inlineStr">
        <is>
          <t xml:space="preserve">998900696949 sms ozi,</t>
        </is>
      </c>
      <c r="G846" s="106" t="inlineStr">
        <is>
          <t xml:space="preserve">TOSHKENT SHAHR OLMAZOR TUMANI</t>
        </is>
      </c>
      <c r="H846" s="107">
        <v>10.0</v>
      </c>
      <c r="I846" s="107">
        <v>2317958.3</v>
      </c>
    </row>
    <row r="847">
      <c r="A847" s="106" t="inlineStr">
        <is>
          <t xml:space="preserve">ТОШКЕНТ ШАХРИ</t>
        </is>
      </c>
      <c r="C847" s="106" t="inlineStr">
        <is>
          <t xml:space="preserve">Недозвон</t>
        </is>
      </c>
      <c r="D847" s="106" t="inlineStr">
        <is>
          <t xml:space="preserve">Кр-99020581-6</t>
        </is>
      </c>
      <c r="E847" s="106" t="inlineStr">
        <is>
          <t xml:space="preserve">ASKAROV SHOAKBAR SHOADILOVICH</t>
        </is>
      </c>
      <c r="F847" s="106" t="inlineStr">
        <is>
          <t xml:space="preserve">99-617-00-59  SMS OZI, 94-696-76-67  SMS AYOLI, 71-298-45-74  SMS UY, 71-248-08-03  SMS UY 2,</t>
        </is>
      </c>
      <c r="G847" s="106" t="inlineStr">
        <is>
          <t xml:space="preserve">TOSHKENT SHAHAR OLMAZOR TUMANI X.RAXMONOV 10-XONADON</t>
        </is>
      </c>
      <c r="H847" s="107">
        <v>10.0</v>
      </c>
      <c r="I847" s="107">
        <v>2279287.37</v>
      </c>
    </row>
    <row r="848">
      <c r="A848" s="106" t="inlineStr">
        <is>
          <t xml:space="preserve">ТОШКЕНТ ШАХРИ</t>
        </is>
      </c>
      <c r="C848" s="106" t="inlineStr">
        <is>
          <t xml:space="preserve">Недозвон</t>
        </is>
      </c>
      <c r="D848" s="106" t="inlineStr">
        <is>
          <t xml:space="preserve">Кр-99034730-2</t>
        </is>
      </c>
      <c r="E848" s="106" t="inlineStr">
        <is>
          <t xml:space="preserve">TO’LAGANOV SHOHRUHXON AKMAL O’G’LI</t>
        </is>
      </c>
      <c r="F848" s="106" t="inlineStr">
        <is>
          <t xml:space="preserve">998994363838 SMS OZI, 998946322959 SMS AKASI, 998946215057 SMS OPASI, 998772080441 SMS UKASI, 998990206116 SMS POCHASI, 998998203767 SMS OPASI,</t>
        </is>
      </c>
      <c r="G848" s="106" t="inlineStr">
        <is>
          <t xml:space="preserve">ТОШКЕНТ ШАХРИ ОЛМАЗОР ТУМАНИ ГАЛАБА МФЙ, ҚОРА-ҚАМИШ 2/4 ДАХАСИ,  uy:48 xonadon:10</t>
        </is>
      </c>
      <c r="H848" s="107">
        <v>10.0</v>
      </c>
      <c r="I848" s="107">
        <v>2220251.31</v>
      </c>
    </row>
    <row r="849">
      <c r="A849" s="106" t="inlineStr">
        <is>
          <t xml:space="preserve">ТОШКЕНТ ШАХРИ</t>
        </is>
      </c>
      <c r="C849" s="106" t="inlineStr">
        <is>
          <t xml:space="preserve">Объезд</t>
        </is>
      </c>
      <c r="D849" s="106" t="inlineStr">
        <is>
          <t xml:space="preserve">Кр-99039378-1</t>
        </is>
      </c>
      <c r="E849" s="106" t="inlineStr">
        <is>
          <t xml:space="preserve">TOXIROVA SHAXZODAXON TOXIR QIZI</t>
        </is>
      </c>
      <c r="F849" s="106" t="inlineStr">
        <is>
          <t xml:space="preserve">+998946494367 SMS O’ZI, 998909833055 SMS AYOLI 2, 998933498843 SMS AYOLI,</t>
        </is>
      </c>
      <c r="G849" s="106" t="inlineStr">
        <is>
          <t xml:space="preserve">кв. Сергели 1, дом 10, кв. 20</t>
        </is>
      </c>
      <c r="H849" s="107">
        <v>10.0</v>
      </c>
      <c r="I849" s="107">
        <v>2210694.11</v>
      </c>
      <c r="K849" s="106" t="inlineStr">
        <is>
          <t xml:space="preserve">Uyiga borildi - va'da berdi</t>
        </is>
      </c>
    </row>
    <row r="850">
      <c r="A850" s="106" t="inlineStr">
        <is>
          <t xml:space="preserve">ТОШКЕНТ ШАХРИ</t>
        </is>
      </c>
      <c r="C850" s="106" t="inlineStr">
        <is>
          <t xml:space="preserve">Недозвон</t>
        </is>
      </c>
      <c r="D850" s="106" t="inlineStr">
        <is>
          <t xml:space="preserve">Кр-99039643-1</t>
        </is>
      </c>
      <c r="E850" s="106" t="inlineStr">
        <is>
          <t xml:space="preserve">MUHAMMADIYEV DO’STBEK TO’RAYEVICH</t>
        </is>
      </c>
      <c r="F850" s="106" t="inlineStr">
        <is>
          <t xml:space="preserve">+998977158872 SMS OZI, 998931200205 SMS UGLI, 998935857736 SMS AYOLI,</t>
        </is>
      </c>
      <c r="G850" s="106" t="inlineStr">
        <is>
          <t xml:space="preserve">Фарход МФЙ, 23 мавзеси, 4-уй, 73-хонадон</t>
        </is>
      </c>
      <c r="H850" s="107">
        <v>2.0</v>
      </c>
      <c r="I850" s="107">
        <v>2208947.39</v>
      </c>
    </row>
    <row r="851">
      <c r="A851" s="106" t="inlineStr">
        <is>
          <t xml:space="preserve">ТОШКЕНТ ШАХРИ</t>
        </is>
      </c>
      <c r="C851" s="106" t="inlineStr">
        <is>
          <t xml:space="preserve">Недозвон</t>
        </is>
      </c>
      <c r="D851" s="106" t="inlineStr">
        <is>
          <t xml:space="preserve">Кр-99027542-2</t>
        </is>
      </c>
      <c r="E851" s="106" t="inlineStr">
        <is>
          <t xml:space="preserve">YO’LDOSHEV XOJIAKBAR RAVSHAN O’G’LI</t>
        </is>
      </c>
      <c r="F851" s="106" t="inlineStr">
        <is>
          <t xml:space="preserve">90-925-57-47  SMS O'ZI, 99-824-83-99  SMS AKASI, 90-902-61-62  SMS AKASI 2, 998336476162 SMS AKASI, 998901863325 SMS dadasin nomeri,</t>
        </is>
      </c>
      <c r="G851" s="106" t="inlineStr">
        <is>
          <t xml:space="preserve">TOSHKENT SHAHAR OLMAZOR TUMANI CHILTUG’ON 3-BERK KO’CHASI 22-UY</t>
        </is>
      </c>
      <c r="H851" s="107">
        <v>10.0</v>
      </c>
      <c r="I851" s="107">
        <v>2195716.51</v>
      </c>
    </row>
    <row r="852">
      <c r="A852" s="106" t="inlineStr">
        <is>
          <t xml:space="preserve">ТОШКЕНТ ШАХРИ</t>
        </is>
      </c>
      <c r="C852" s="106" t="inlineStr">
        <is>
          <t xml:space="preserve">Недозвон</t>
        </is>
      </c>
      <c r="D852" s="106" t="inlineStr">
        <is>
          <t xml:space="preserve">Кр-99037406-1</t>
        </is>
      </c>
      <c r="E852" s="106" t="inlineStr">
        <is>
          <t xml:space="preserve">SAATOV MUZAFFAR MIRAXMATOVICH</t>
        </is>
      </c>
      <c r="F852" s="106" t="inlineStr">
        <is>
          <t xml:space="preserve">998946407505 SMS O’ZI, 998971576710 SMS AYOLI, 998773276710 SMS OPASI, 998991005262 SMS UKASI,</t>
        </is>
      </c>
      <c r="G852" s="106" t="inlineStr">
        <is>
          <t xml:space="preserve">TOSHKENT SHAHAR OLMAZOR TUMANI ESKI SHAHAR MFY,FAROBIY,4 BERK KO’CHASI,6-XONADON</t>
        </is>
      </c>
      <c r="H852" s="107">
        <v>1.0</v>
      </c>
      <c r="I852" s="107">
        <v>2192567.69</v>
      </c>
    </row>
    <row r="853">
      <c r="A853" s="106" t="inlineStr">
        <is>
          <t xml:space="preserve">ТОШКЕНТ ШАХРИ</t>
        </is>
      </c>
      <c r="C853" s="106" t="inlineStr">
        <is>
          <t xml:space="preserve">Недозвон</t>
        </is>
      </c>
      <c r="D853" s="106" t="inlineStr">
        <is>
          <t xml:space="preserve">Кр-99062768-1</t>
        </is>
      </c>
      <c r="E853" s="106" t="inlineStr">
        <is>
          <t xml:space="preserve">RAXMANOVA XILOLA IBRAGIMOVNA</t>
        </is>
      </c>
      <c r="F853" s="106" t="inlineStr">
        <is>
          <t xml:space="preserve">998971046161 OZI, 998886959098 QIZI,</t>
        </is>
      </c>
      <c r="G853" s="106" t="inlineStr">
        <is>
          <t xml:space="preserve">Toshkent shahri  Bektemir tumani Musaffo MFY
Charog'on ko'chasi 2-uy 3-xonadon</t>
        </is>
      </c>
      <c r="H853" s="107">
        <v>14.0</v>
      </c>
      <c r="I853" s="107">
        <v>2150736.22</v>
      </c>
    </row>
    <row r="854">
      <c r="A854" s="106" t="inlineStr">
        <is>
          <t xml:space="preserve">ТОШКЕНТ ШАХРИ</t>
        </is>
      </c>
      <c r="C854" s="106" t="inlineStr">
        <is>
          <t xml:space="preserve">Недозвон</t>
        </is>
      </c>
      <c r="D854" s="106" t="inlineStr">
        <is>
          <t xml:space="preserve">Кр-99035848-4</t>
        </is>
      </c>
      <c r="E854" s="106" t="inlineStr">
        <is>
          <t xml:space="preserve">JURAYEV MUXTOR KENJA O’G’LI</t>
        </is>
      </c>
      <c r="F854" s="106" t="inlineStr">
        <is>
          <t xml:space="preserve">998909469393 SMS O’ZI , 998935569393 SMS O’ZI 2, 998908064499 SMS AYOLI , 998914748242 SMS OPASI ,</t>
        </is>
      </c>
      <c r="G854" s="106" t="inlineStr">
        <is>
          <t xml:space="preserve">ШОДИЁНА МФЙ, ҚОРА-ҚАМИШ 2/5 ДАХАСИ,  uy:5 xonadon:67</t>
        </is>
      </c>
      <c r="H854" s="107">
        <v>10.0</v>
      </c>
      <c r="I854" s="107">
        <v>2002392.53</v>
      </c>
    </row>
    <row r="855">
      <c r="A855" s="106" t="inlineStr">
        <is>
          <t xml:space="preserve">ТОШКЕНТ ШАХРИ</t>
        </is>
      </c>
      <c r="C855" s="106" t="inlineStr">
        <is>
          <t xml:space="preserve">Недозвон</t>
        </is>
      </c>
      <c r="D855" s="106" t="inlineStr">
        <is>
          <t xml:space="preserve">Кр-99063464-1</t>
        </is>
      </c>
      <c r="E855" s="106" t="inlineStr">
        <is>
          <t xml:space="preserve">AZIMOVA ZEBOXON TOXIROVNA</t>
        </is>
      </c>
      <c r="F855" s="106" t="inlineStr">
        <is>
          <t xml:space="preserve">998998562803 Ozi, 998909774699 Eri, 998935854699 Mul egasi dodasi,</t>
        </is>
      </c>
      <c r="G855" s="106" t="inlineStr">
        <is>
          <t xml:space="preserve">OLMAZOR TUMANI</t>
        </is>
      </c>
      <c r="H855" s="107">
        <v>10.0</v>
      </c>
      <c r="I855" s="107">
        <v>1983939.12</v>
      </c>
    </row>
    <row r="856">
      <c r="A856" s="106" t="inlineStr">
        <is>
          <t xml:space="preserve">ТОШКЕНТ ШАХРИ</t>
        </is>
      </c>
      <c r="C856" s="106" t="inlineStr">
        <is>
          <t xml:space="preserve">Объезд</t>
        </is>
      </c>
      <c r="D856" s="106" t="inlineStr">
        <is>
          <t xml:space="preserve">Кр-99041059-1</t>
        </is>
      </c>
      <c r="E856" s="106" t="inlineStr">
        <is>
          <t xml:space="preserve">ABBOSOV NOZIMJON XOJIAKBAR O’G’LI</t>
        </is>
      </c>
      <c r="F856" s="106" t="inlineStr">
        <is>
          <t xml:space="preserve">+998774889944 SMS O’ZI, 998950227769 SMS ONASI, 998991445334 SMS ADASI,</t>
        </is>
      </c>
      <c r="G856" s="106" t="inlineStr">
        <is>
          <t xml:space="preserve">YANGIHAYOT TUMANI YANGI SERGELI 2-UY</t>
        </is>
      </c>
      <c r="H856" s="107">
        <v>13.0</v>
      </c>
      <c r="I856" s="107">
        <v>1936901.75</v>
      </c>
      <c r="K856" s="106" t="inlineStr">
        <is>
          <t xml:space="preserve">Uyiga borildi - va'da berdi</t>
        </is>
      </c>
    </row>
    <row r="857">
      <c r="A857" s="106" t="inlineStr">
        <is>
          <t xml:space="preserve">ТОШКЕНТ ШАХРИ</t>
        </is>
      </c>
      <c r="C857" s="106" t="inlineStr">
        <is>
          <t xml:space="preserve">Недозвон</t>
        </is>
      </c>
      <c r="D857" s="106" t="inlineStr">
        <is>
          <t xml:space="preserve">Кр-99039458-1</t>
        </is>
      </c>
      <c r="E857" s="106" t="inlineStr">
        <is>
          <t xml:space="preserve">SHARIPOV BAXODIR ATAXANOVICH</t>
        </is>
      </c>
      <c r="F857" s="106" t="inlineStr">
        <is>
          <t xml:space="preserve">998333930802 SMS QIZI, 998889964445 SMS OZI, 998914237477 SMS AYOLI,</t>
        </is>
      </c>
      <c r="G857" s="106" t="inlineStr">
        <is>
          <t xml:space="preserve">г. Ташкент, Чиланзарский район, кв. 19, Шухрат МСГ, 29- Дом, 49- Квартира</t>
        </is>
      </c>
      <c r="I857" s="107">
        <v>1927068.33</v>
      </c>
    </row>
    <row r="858">
      <c r="A858" s="106" t="inlineStr">
        <is>
          <t xml:space="preserve">ТОШКЕНТ ШАХРИ</t>
        </is>
      </c>
      <c r="C858" s="106" t="inlineStr">
        <is>
          <t xml:space="preserve">Недозвон</t>
        </is>
      </c>
      <c r="D858" s="106" t="inlineStr">
        <is>
          <t xml:space="preserve">Кр-99041453-2</t>
        </is>
      </c>
      <c r="E858" s="106" t="inlineStr">
        <is>
          <t xml:space="preserve">RO’ZIBOYEV OTABEK MATYAKUBOVICH</t>
        </is>
      </c>
      <c r="F858" s="106" t="inlineStr">
        <is>
          <t xml:space="preserve">+998994344088 SMS O’ZI, 998994682414 SMS OPASI, 998995484088 SMS AYOLI, 998998168018 SMS AYOLINI DUGONASI,</t>
        </is>
      </c>
      <c r="G858" s="106" t="inlineStr">
        <is>
          <t xml:space="preserve">КАТКАЛЪА ҚФЙ, ТУПРОҚҚАЛЪА МФЙ, УЧ ЧИНОР КЎЧАСИ,  uy:131</t>
        </is>
      </c>
      <c r="H858" s="107">
        <v>10.0</v>
      </c>
      <c r="I858" s="107">
        <v>1892762.88</v>
      </c>
    </row>
    <row r="859">
      <c r="A859" s="106" t="inlineStr">
        <is>
          <t xml:space="preserve">ТОШКЕНТ ШАХРИ</t>
        </is>
      </c>
      <c r="C859" s="106" t="inlineStr">
        <is>
          <t xml:space="preserve">Недозвон</t>
        </is>
      </c>
      <c r="D859" s="106" t="inlineStr">
        <is>
          <t xml:space="preserve">Кр-99058068-1</t>
        </is>
      </c>
      <c r="E859" s="106" t="inlineStr">
        <is>
          <t xml:space="preserve">MUSTOFOYEV SUNNATULLOJON MUROD O’G’LI</t>
        </is>
      </c>
      <c r="F859" s="106" t="inlineStr">
        <is>
          <t xml:space="preserve">+998770346263 Primary phone from road24, 998770346263 Primary phone from road24, 998880142555 SMS OZI, 998888771424 SMS OZI3, 998977604678 SMS OZI,</t>
        </is>
      </c>
      <c r="G859" s="106" t="inlineStr">
        <is>
          <t xml:space="preserve">Султония МФЙ, Кора-Су-1 мавзеси, 6-уй, 36-хонадон</t>
        </is>
      </c>
      <c r="H859" s="107">
        <v>10.0</v>
      </c>
      <c r="I859" s="107">
        <v>1860428.35</v>
      </c>
    </row>
    <row r="860">
      <c r="A860" s="106" t="inlineStr">
        <is>
          <t xml:space="preserve">ТОШКЕНТ ШАХРИ</t>
        </is>
      </c>
      <c r="C860" s="106" t="inlineStr">
        <is>
          <t xml:space="preserve">Недозвон</t>
        </is>
      </c>
      <c r="D860" s="106" t="inlineStr">
        <is>
          <t xml:space="preserve">Кр-99059022-1</t>
        </is>
      </c>
      <c r="E860" s="106" t="inlineStr">
        <is>
          <t xml:space="preserve">SHAVKATOV BEKZOD AKROM O’G’LI</t>
        </is>
      </c>
      <c r="F860" s="106" t="inlineStr">
        <is>
          <t xml:space="preserve">+998997213270 Primary phone from road24, 998997213270 Primary phone from road24, 998889541208 SMS ONASI, 998912222873 SMS AKASI,</t>
        </is>
      </c>
      <c r="G860" s="106" t="inlineStr">
        <is>
          <t xml:space="preserve">Zaminobod MFY, Oq-yo’l ko’chasi, 293а-uy</t>
        </is>
      </c>
      <c r="H860" s="107">
        <v>10.0</v>
      </c>
      <c r="I860" s="107">
        <v>1795961.01</v>
      </c>
    </row>
    <row r="861">
      <c r="A861" s="106" t="inlineStr">
        <is>
          <t xml:space="preserve">ТОШКЕНТ ШАХРИ</t>
        </is>
      </c>
      <c r="C861" s="106" t="inlineStr">
        <is>
          <t xml:space="preserve">Недозвон</t>
        </is>
      </c>
      <c r="D861" s="106" t="inlineStr">
        <is>
          <t xml:space="preserve">Кр-99058287-1</t>
        </is>
      </c>
      <c r="E861" s="106" t="inlineStr">
        <is>
          <t xml:space="preserve">MAHAMMADIYEV MEHROJ MUHIDDIN O’G’LI</t>
        </is>
      </c>
      <c r="F861" s="106" t="inlineStr">
        <is>
          <t xml:space="preserve">998500555534 SMS OZI, 998888949099 SMS ZALOGATEL, 998998261654 SMS AKASI, 998733712202 SMS AKASI 2,</t>
        </is>
      </c>
      <c r="G861" s="106" t="inlineStr">
        <is>
          <t xml:space="preserve">TOSHKENT SHAHAR SERGILI TUAMANI SPUTNIK 3 4-DOM 42-XONODON </t>
        </is>
      </c>
      <c r="H861" s="107">
        <v>10.0</v>
      </c>
      <c r="I861" s="107">
        <v>1734209.75</v>
      </c>
    </row>
    <row r="862">
      <c r="A862" s="106" t="inlineStr">
        <is>
          <t xml:space="preserve">ТОШКЕНТ ШАХРИ</t>
        </is>
      </c>
      <c r="C862" s="106" t="inlineStr">
        <is>
          <t xml:space="preserve">Недозвон</t>
        </is>
      </c>
      <c r="D862" s="106" t="inlineStr">
        <is>
          <t xml:space="preserve">Кр-99040234-1</t>
        </is>
      </c>
      <c r="E862" s="106" t="inlineStr">
        <is>
          <t xml:space="preserve">KURBANALIYEV RUSTAM AXMADOVICH</t>
        </is>
      </c>
      <c r="F862" s="106" t="inlineStr">
        <is>
          <t xml:space="preserve">998903599440 SMS OZI, 998935160041 SMS OPASI, 998974009331 SMS AYOLI, 998977246755 SMS OPASI,</t>
        </is>
      </c>
      <c r="G862" s="106" t="inlineStr">
        <is>
          <t xml:space="preserve">Хусайн Бойкаро МФЙ, Юкори Чирчик кучаси, 34-уй, 8-хонадон</t>
        </is>
      </c>
      <c r="H862" s="107">
        <v>15.0</v>
      </c>
      <c r="I862" s="107">
        <v>1680305.79</v>
      </c>
    </row>
    <row r="863">
      <c r="A863" s="106" t="inlineStr">
        <is>
          <t xml:space="preserve">ТОШКЕНТ ШАХРИ</t>
        </is>
      </c>
      <c r="C863" s="106" t="inlineStr">
        <is>
          <t xml:space="preserve">Недозвон</t>
        </is>
      </c>
      <c r="D863" s="106" t="inlineStr">
        <is>
          <t xml:space="preserve">Кр-99057349-1</t>
        </is>
      </c>
      <c r="E863" s="106" t="inlineStr">
        <is>
          <t xml:space="preserve">XOLXO’JAYEV SHERZOD NIG’MONXO’JA O’G’LI</t>
        </is>
      </c>
      <c r="F863" s="106" t="inlineStr">
        <is>
          <t xml:space="preserve">998900230492 SMS OZI, 998977499495 SMS UKASI begona tel qilinmasin, 998909010493 SMS ONASI, 998903530373 SMS OSHNASI,</t>
        </is>
      </c>
      <c r="G863" s="106" t="inlineStr">
        <is>
          <t xml:space="preserve">TOSHKENT SHAHAR YANGIHAYOT TUMANI CHORTOK MFY, BIRLIK KO’CHASI 73-UY</t>
        </is>
      </c>
      <c r="H863" s="107">
        <v>10.0</v>
      </c>
      <c r="I863" s="107">
        <v>1591368.03</v>
      </c>
      <c r="K863" s="106" t="inlineStr">
        <is>
          <t xml:space="preserve">Telefon ko'tarmadi</t>
        </is>
      </c>
    </row>
    <row r="864">
      <c r="A864" s="106" t="inlineStr">
        <is>
          <t xml:space="preserve">ТОШКЕНТ ШАХРИ</t>
        </is>
      </c>
      <c r="C864" s="106" t="inlineStr">
        <is>
          <t xml:space="preserve">Недозвон</t>
        </is>
      </c>
      <c r="D864" s="106" t="inlineStr">
        <is>
          <t xml:space="preserve">Кр-99037547-4</t>
        </is>
      </c>
      <c r="E864" s="106" t="inlineStr">
        <is>
          <t xml:space="preserve">ZIYAYEV RAXMATDJAN MANSUROVICH</t>
        </is>
      </c>
      <c r="F864" s="106" t="inlineStr">
        <is>
          <t xml:space="preserve">998935620702 SMS OZI, 998935611274 SMS SINGLISI, 998955535151 SMS NABIRASI, 998903211215 SMS NABIRASI 2,</t>
        </is>
      </c>
      <c r="G864" s="106" t="inlineStr">
        <is>
          <t xml:space="preserve">TOSHKENT SHAHAR OLMAZOR TUMANI  MASSIV OLIMPIYA 4-UY 40-XONADON</t>
        </is>
      </c>
      <c r="H864" s="107">
        <v>13.0</v>
      </c>
      <c r="I864" s="107">
        <v>1583492.41</v>
      </c>
    </row>
    <row r="865">
      <c r="A865" s="106" t="inlineStr">
        <is>
          <t xml:space="preserve">ТОШКЕНТ ШАХРИ</t>
        </is>
      </c>
      <c r="C865" s="106" t="inlineStr">
        <is>
          <t xml:space="preserve">Недозвон</t>
        </is>
      </c>
      <c r="D865" s="106" t="inlineStr">
        <is>
          <t xml:space="preserve">Кр-99038196-1</t>
        </is>
      </c>
      <c r="E865" s="106" t="inlineStr">
        <is>
          <t xml:space="preserve">XIDOYATOVA GULBAXOR SHAKIRDJANOVNA</t>
        </is>
      </c>
      <c r="F865" s="106" t="inlineStr">
        <is>
          <t xml:space="preserve">998997208711 SMS OZI, 998981260705 SMS AYOLI, 998981277010 SMS AKASI, 998901277010 SMS OVSINI, 998977373737 SMS xojayni,</t>
        </is>
      </c>
      <c r="G865" s="106" t="inlineStr">
        <is>
          <t xml:space="preserve">TOSHKENT SHAHAR SHAYXONTOXUR TUMANI BUSTON MFY AL-XORAZMIY KO’CHASI 57UY</t>
        </is>
      </c>
      <c r="I865" s="107">
        <v>1509132.74</v>
      </c>
    </row>
    <row r="866">
      <c r="A866" s="106" t="inlineStr">
        <is>
          <t xml:space="preserve">ТОШКЕНТ ШАХРИ</t>
        </is>
      </c>
      <c r="C866" s="106" t="inlineStr">
        <is>
          <t xml:space="preserve">Недозвон</t>
        </is>
      </c>
      <c r="D866" s="106" t="inlineStr">
        <is>
          <t xml:space="preserve">Кр-99044324-1</t>
        </is>
      </c>
      <c r="E866" s="106" t="inlineStr">
        <is>
          <t xml:space="preserve">SALIMOV RAVSHAN XASANOVICH</t>
        </is>
      </c>
      <c r="F866" s="106" t="inlineStr">
        <is>
          <t xml:space="preserve">+998935115158 SMS O’ZI, 998900399343 SMS O’G’LI, 998909115933 SMS O’GLI, 998946682311 SMS AYOLI,</t>
        </is>
      </c>
      <c r="G866" s="106" t="inlineStr">
        <is>
          <t xml:space="preserve">г. Ташкент, Шайхантахурский район, ул. Шуманай, проезд 4, Жарарик МСГ, 90а- Дом,</t>
        </is>
      </c>
      <c r="H866" s="107">
        <v>10.0</v>
      </c>
      <c r="I866" s="107">
        <v>1494224.18</v>
      </c>
    </row>
    <row r="867">
      <c r="A867" s="106" t="inlineStr">
        <is>
          <t xml:space="preserve">ТОШКЕНТ ШАХРИ</t>
        </is>
      </c>
      <c r="C867" s="106" t="inlineStr">
        <is>
          <t xml:space="preserve">Недозвон</t>
        </is>
      </c>
      <c r="D867" s="106" t="inlineStr">
        <is>
          <t xml:space="preserve">Кр-99035088-4</t>
        </is>
      </c>
      <c r="E867" s="106" t="inlineStr">
        <is>
          <t xml:space="preserve">MAMADALIYEV BAXADIR SATVOLDIYEVICH</t>
        </is>
      </c>
      <c r="F867" s="106" t="inlineStr">
        <is>
          <t xml:space="preserve">998935116436 SMS O’ZI, 998935226436 SMS AYOLI, 998946312014 SMS O’G’LI, 998935126436 SMS NEVARASI,</t>
        </is>
      </c>
      <c r="G867" s="106" t="inlineStr">
        <is>
          <t xml:space="preserve">IIV60003</t>
        </is>
      </c>
      <c r="H867" s="107">
        <v>14.0</v>
      </c>
      <c r="I867" s="107">
        <v>1471833.09</v>
      </c>
    </row>
    <row r="868">
      <c r="A868" s="106" t="inlineStr">
        <is>
          <t xml:space="preserve">ТОШКЕНТ ШАХРИ</t>
        </is>
      </c>
      <c r="C868" s="106" t="inlineStr">
        <is>
          <t xml:space="preserve">Недозвон</t>
        </is>
      </c>
      <c r="D868" s="106" t="inlineStr">
        <is>
          <t xml:space="preserve">Кр-99039317-1</t>
        </is>
      </c>
      <c r="E868" s="106" t="inlineStr">
        <is>
          <t xml:space="preserve">ERGASHBOYEVA MALOXAT BAXTIYOR QIZI</t>
        </is>
      </c>
      <c r="F868" s="106" t="inlineStr">
        <is>
          <t xml:space="preserve">998998767634 SMS OZI , 998931035553 SMS ONASI , 998990311101 SMS ERI , 998931767634 SMS ERI ,</t>
        </is>
      </c>
      <c r="G868" s="106" t="inlineStr">
        <is>
          <t xml:space="preserve">TOSHKENT SHAHAR CHILONZOR TUMANI TIRSAKOBOD MFY  SHOSH KO’CHASI 37-UY</t>
        </is>
      </c>
      <c r="H868" s="107">
        <v>14.0</v>
      </c>
      <c r="I868" s="107">
        <v>1463674.76</v>
      </c>
    </row>
    <row r="869">
      <c r="A869" s="106" t="inlineStr">
        <is>
          <t xml:space="preserve">ТОШКЕНТ ШАХРИ</t>
        </is>
      </c>
      <c r="C869" s="106" t="inlineStr">
        <is>
          <t xml:space="preserve">Недозвон</t>
        </is>
      </c>
      <c r="D869" s="106" t="inlineStr">
        <is>
          <t xml:space="preserve">Кр-99041153-2</t>
        </is>
      </c>
      <c r="E869" s="106" t="inlineStr">
        <is>
          <t xml:space="preserve">SHOG’IYOSOV ZIYOVIDDIN KAMOLIDDIN O’G’LI</t>
        </is>
      </c>
      <c r="F869" s="106" t="inlineStr">
        <is>
          <t xml:space="preserve">998967106260 SMS O’ZI, 998919451141 SMS AKASI 2, 999443574435 SMS AKASI,</t>
        </is>
      </c>
      <c r="G869" s="106" t="inlineStr">
        <is>
          <t xml:space="preserve">г. Ташкент, Шайхантахурский район, ул. Зафаробод, Зафаробод МСГ, 52а- Дом, -</t>
        </is>
      </c>
      <c r="H869" s="107">
        <v>10.0</v>
      </c>
      <c r="I869" s="107">
        <v>1453285.43</v>
      </c>
    </row>
    <row r="870">
      <c r="A870" s="106" t="inlineStr">
        <is>
          <t xml:space="preserve">ТОШКЕНТ ШАХРИ</t>
        </is>
      </c>
      <c r="C870" s="106" t="inlineStr">
        <is>
          <t xml:space="preserve">Недозвон</t>
        </is>
      </c>
      <c r="D870" s="106" t="inlineStr">
        <is>
          <t xml:space="preserve">Кр-99062684-3</t>
        </is>
      </c>
      <c r="E870" s="106" t="inlineStr">
        <is>
          <t xml:space="preserve">ARASLANOV AZIZXO’JA YOQUBJON O’G’LI</t>
        </is>
      </c>
      <c r="F870" s="106" t="inlineStr">
        <is>
          <t xml:space="preserve">+998935367357 SMS OZI, 998949817557 SMS OZI 2, 998971601090 SMNS AYOLI,</t>
        </is>
      </c>
      <c r="G870" s="106" t="inlineStr">
        <is>
          <t xml:space="preserve">TOSHKENT SHAHAR MIROBOD TUMANI QO’YLIQ 3 30-UY 21-XONADON</t>
        </is>
      </c>
      <c r="H870" s="107">
        <v>15.0</v>
      </c>
      <c r="I870" s="107">
        <v>1437132.26</v>
      </c>
    </row>
    <row r="871">
      <c r="A871" s="106" t="inlineStr">
        <is>
          <t xml:space="preserve">ТОШКЕНТ ШАХРИ</t>
        </is>
      </c>
      <c r="C871" s="106" t="inlineStr">
        <is>
          <t xml:space="preserve">Недозвон</t>
        </is>
      </c>
      <c r="D871" s="106" t="inlineStr">
        <is>
          <t xml:space="preserve">Кр-99040882-1</t>
        </is>
      </c>
      <c r="E871" s="106" t="inlineStr">
        <is>
          <t xml:space="preserve">SULTANOV JAVLONBEK ABDUJABBAROVICH</t>
        </is>
      </c>
      <c r="F871" s="106" t="inlineStr">
        <is>
          <t xml:space="preserve">998903742111 SMS O’ZI, 998990709939 SMS O’G’LI , 998939901334 SMS O’G’LI , 998999179907 SMS AYOLI,</t>
        </is>
      </c>
      <c r="G871" s="106" t="inlineStr">
        <is>
          <t xml:space="preserve">TOSHKENT SHAHAR SHAYXONTOXUR TUMANI CHORSU MFY, CHORSU MAVZESI 10-UY,40-XONADON</t>
        </is>
      </c>
      <c r="H871" s="107">
        <v>15.0</v>
      </c>
      <c r="I871" s="107">
        <v>1383917.5</v>
      </c>
    </row>
    <row r="872">
      <c r="A872" s="106" t="inlineStr">
        <is>
          <t xml:space="preserve">ТОШКЕНТ ШАХРИ</t>
        </is>
      </c>
      <c r="C872" s="106" t="inlineStr">
        <is>
          <t xml:space="preserve">Недозвон</t>
        </is>
      </c>
      <c r="D872" s="106" t="inlineStr">
        <is>
          <t xml:space="preserve">Кр-99037361-1</t>
        </is>
      </c>
      <c r="E872" s="106" t="inlineStr">
        <is>
          <t xml:space="preserve">SHUKUROV TAXIR VARISOVICH</t>
        </is>
      </c>
      <c r="F872" s="106" t="inlineStr">
        <is>
          <t xml:space="preserve">998935632910 SMS O’ZI TEL QILINMASIN, 998951781006 SMS O’G’LI, 998712170735 SMS UY RAQAMI, 998887020400 SMS UGLI TULOVCHI ,</t>
        </is>
      </c>
      <c r="G872" s="106" t="inlineStr">
        <is>
          <t xml:space="preserve">TOSHKENT SHAHAR CHILONZOR TUMANI XOSILOT KO’CHASI ,49-UY</t>
        </is>
      </c>
      <c r="H872" s="107">
        <v>3.0</v>
      </c>
      <c r="I872" s="107">
        <v>1376649.77</v>
      </c>
    </row>
    <row r="873">
      <c r="A873" s="106" t="inlineStr">
        <is>
          <t xml:space="preserve">ТОШКЕНТ ШАХРИ</t>
        </is>
      </c>
      <c r="C873" s="106" t="inlineStr">
        <is>
          <t xml:space="preserve">Недозвон</t>
        </is>
      </c>
      <c r="D873" s="106" t="inlineStr">
        <is>
          <t xml:space="preserve">Кр-99063615-1</t>
        </is>
      </c>
      <c r="E873" s="106" t="inlineStr">
        <is>
          <t xml:space="preserve">MULLADJANOV ZIYODJON MURATOVICH</t>
        </is>
      </c>
      <c r="F873" s="106" t="inlineStr">
        <is>
          <t xml:space="preserve">998917957878 SMS JIYANI, 998956592777 SMS AYOLI, 998956594777 SMS OZI,</t>
        </is>
      </c>
      <c r="G873" s="106" t="inlineStr">
        <is>
          <t xml:space="preserve">11-мавзе 12-уй 33-хонадон</t>
        </is>
      </c>
      <c r="H873" s="107">
        <v>10.0</v>
      </c>
      <c r="I873" s="107">
        <v>1311988.93</v>
      </c>
    </row>
    <row r="874">
      <c r="A874" s="106" t="inlineStr">
        <is>
          <t xml:space="preserve">ТОШКЕНТ ШАХРИ</t>
        </is>
      </c>
      <c r="C874" s="106" t="inlineStr">
        <is>
          <t xml:space="preserve">Недозвон</t>
        </is>
      </c>
      <c r="D874" s="106" t="inlineStr">
        <is>
          <t xml:space="preserve">Кр-99063142-1</t>
        </is>
      </c>
      <c r="E874" s="106" t="inlineStr">
        <is>
          <t xml:space="preserve">YULDOSHEV ISLOMJON ISMATULLO O’G’LI</t>
        </is>
      </c>
      <c r="F874" s="106" t="inlineStr">
        <is>
          <t xml:space="preserve">998775505704 SMS OZI 2, 998912107885 SMS OZI, 998956361136 SMS ONASI,</t>
        </is>
      </c>
      <c r="G874" s="106" t="inlineStr">
        <is>
          <t xml:space="preserve">TOSHKENT SHAHAR SERGILI TUMANI SOFDIL MFY BIRLIK KOCHASI 1-UY 12-XONADON</t>
        </is>
      </c>
      <c r="H874" s="107">
        <v>10.0</v>
      </c>
      <c r="I874" s="107">
        <v>1294203.04</v>
      </c>
      <c r="K874" s="106" t="inlineStr">
        <is>
          <t xml:space="preserve">Telefon ko'tarmadi</t>
        </is>
      </c>
    </row>
    <row r="875">
      <c r="A875" s="106" t="inlineStr">
        <is>
          <t xml:space="preserve">ТОШКЕНТ ШАХРИ</t>
        </is>
      </c>
      <c r="C875" s="106" t="inlineStr">
        <is>
          <t xml:space="preserve">Недозвон</t>
        </is>
      </c>
      <c r="D875" s="106" t="inlineStr">
        <is>
          <t xml:space="preserve">Кр-99039458-2</t>
        </is>
      </c>
      <c r="E875" s="106" t="inlineStr">
        <is>
          <t xml:space="preserve">SHARIPOV BAXODIR ATAXANOVICH</t>
        </is>
      </c>
      <c r="F875" s="106" t="inlineStr">
        <is>
          <t xml:space="preserve">998333930802 SMS QIZI, 998889964445 SMS OZI, 998914237477 SMS AYOLI,</t>
        </is>
      </c>
      <c r="G875" s="106" t="inlineStr">
        <is>
          <t xml:space="preserve">г. Ташкент, Чиланзарский район, кв. 19, Шухрат МСГ, 29- Дом, 49- Квартира</t>
        </is>
      </c>
      <c r="H875" s="107">
        <v>10.0</v>
      </c>
      <c r="I875" s="107">
        <v>1267407.9</v>
      </c>
    </row>
    <row r="876">
      <c r="A876" s="106" t="inlineStr">
        <is>
          <t xml:space="preserve">ТОШКЕНТ ШАХРИ</t>
        </is>
      </c>
      <c r="C876" s="106" t="inlineStr">
        <is>
          <t xml:space="preserve">Недозвон</t>
        </is>
      </c>
      <c r="D876" s="106" t="inlineStr">
        <is>
          <t xml:space="preserve">Кр-99035201-3</t>
        </is>
      </c>
      <c r="E876" s="106" t="inlineStr">
        <is>
          <t xml:space="preserve">ABDUFATTOXOV ABDUG’AFFOR JAXONGIR O’G’LI</t>
        </is>
      </c>
      <c r="F876" s="106" t="inlineStr">
        <is>
          <t xml:space="preserve">998974454581 SMS O’ZI, 998999037757 SMS AKASI, 998990204270 SMS DO’STI, 998901225256 SMS UKASI, 998977417070 SMS shuxrat amakisi,</t>
        </is>
      </c>
      <c r="G876" s="106" t="inlineStr">
        <is>
          <t xml:space="preserve">TOSHKENT SHAHAR SHAYXONTOXUR TUMANI XUVAYDI MFY ZAFAROBOD KO’CHASI 2-UY</t>
        </is>
      </c>
      <c r="H876" s="107">
        <v>10.0</v>
      </c>
      <c r="I876" s="107">
        <v>1162981.15</v>
      </c>
    </row>
    <row r="877">
      <c r="A877" s="106" t="inlineStr">
        <is>
          <t xml:space="preserve">ТОШКЕНТ ШАХРИ</t>
        </is>
      </c>
      <c r="C877" s="106" t="inlineStr">
        <is>
          <t xml:space="preserve">Недозвон</t>
        </is>
      </c>
      <c r="D877" s="106" t="inlineStr">
        <is>
          <t xml:space="preserve">Кр-99039074-1</t>
        </is>
      </c>
      <c r="E877" s="106" t="inlineStr">
        <is>
          <t xml:space="preserve">G’AYBULLAYEV JASURBEK G’AYRAT O’G’LI</t>
        </is>
      </c>
      <c r="F877" s="106" t="inlineStr">
        <is>
          <t xml:space="preserve">998935205108 SMS UKASI, 998946127155 SMS UZI, 998946392008 SMS ONASI, 998951221212 SMS UKASI 2,</t>
        </is>
      </c>
      <c r="G877" s="106" t="inlineStr">
        <is>
          <t xml:space="preserve">TOSHKENT SHAHAR SHAYHANTOXUR TUMANI ILGOR MFY BERUNIY MATLUBOT KOCHASI 1-UY 175-XONADON</t>
        </is>
      </c>
      <c r="H877" s="107">
        <v>10.0</v>
      </c>
      <c r="I877" s="107">
        <v>1158654.5</v>
      </c>
    </row>
    <row r="878">
      <c r="A878" s="106" t="inlineStr">
        <is>
          <t xml:space="preserve">ТОШКЕНТ ШАХРИ</t>
        </is>
      </c>
      <c r="C878" s="106" t="inlineStr">
        <is>
          <t xml:space="preserve">Недозвон</t>
        </is>
      </c>
      <c r="D878" s="106" t="inlineStr">
        <is>
          <t xml:space="preserve">Кр-99039632-1</t>
        </is>
      </c>
      <c r="E878" s="106" t="inlineStr">
        <is>
          <t xml:space="preserve">URMANOV TURGUNBOY YERKINOVICH</t>
        </is>
      </c>
      <c r="F878" s="106" t="inlineStr">
        <is>
          <t xml:space="preserve">998935707831 SMS OZI, 998998425267 SMS OGLI, 998948827831 SMS AYOLI, 998931135267 SMS KELINI,</t>
        </is>
      </c>
      <c r="G878" s="106" t="inlineStr">
        <is>
          <t xml:space="preserve">TOSHKENT SHAHAR OLMAZOR TUMANI ABU BAKIR SHOSHIY 3-BERK KO’CHASI 42-UY</t>
        </is>
      </c>
      <c r="H878" s="107">
        <v>2.0</v>
      </c>
      <c r="I878" s="107">
        <v>1158331.44</v>
      </c>
    </row>
    <row r="879">
      <c r="A879" s="106" t="inlineStr">
        <is>
          <t xml:space="preserve">ТОШКЕНТ ШАХРИ</t>
        </is>
      </c>
      <c r="C879" s="106" t="inlineStr">
        <is>
          <t xml:space="preserve">Недозвон</t>
        </is>
      </c>
      <c r="D879" s="106" t="inlineStr">
        <is>
          <t xml:space="preserve">Кр-99029023-2</t>
        </is>
      </c>
      <c r="E879" s="106" t="inlineStr">
        <is>
          <t xml:space="preserve">RUSTAMOVA O’G’ILOY KOMILJON QIZI</t>
        </is>
      </c>
      <c r="F879" s="106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879" s="106" t="inlineStr">
        <is>
          <t xml:space="preserve">TOSHKENT SHAHAR OLMAZOR TUMANI FAROBIY DUTORCHI TOR KOCHASI 29-UY</t>
        </is>
      </c>
      <c r="I879" s="107">
        <v>1129057.32</v>
      </c>
    </row>
    <row r="880">
      <c r="A880" s="106" t="inlineStr">
        <is>
          <t xml:space="preserve">ТОШКЕНТ ШАХРИ</t>
        </is>
      </c>
      <c r="C880" s="106" t="inlineStr">
        <is>
          <t xml:space="preserve">Недозвон</t>
        </is>
      </c>
      <c r="D880" s="106" t="inlineStr">
        <is>
          <t xml:space="preserve">Кр-99062037-1</t>
        </is>
      </c>
      <c r="E880" s="106" t="inlineStr">
        <is>
          <t xml:space="preserve">INOGAMOV  ZIYOVIDDIN ZINAMUDDINOVICH</t>
        </is>
      </c>
      <c r="F880" s="106" t="inlineStr">
        <is>
          <t xml:space="preserve">998977009002 O`ZI begona qilinmasin, 998954397905 OZI 2, 998948180316 OSHNASI, 998881995335 HAMKASBI бегона клинмасин ,</t>
        </is>
      </c>
      <c r="G880" s="106" t="inlineStr">
        <is>
          <t xml:space="preserve">TOSHKENT SHAHAR YASHNOBOD TUMANI XOSIYAT 1 TOR 11</t>
        </is>
      </c>
      <c r="H880" s="107">
        <v>10.0</v>
      </c>
      <c r="I880" s="107">
        <v>1098628.99</v>
      </c>
    </row>
    <row r="881">
      <c r="A881" s="106" t="inlineStr">
        <is>
          <t xml:space="preserve">ТОШКЕНТ ШАХРИ</t>
        </is>
      </c>
      <c r="C881" s="106" t="inlineStr">
        <is>
          <t xml:space="preserve">Недозвон</t>
        </is>
      </c>
      <c r="D881" s="106" t="inlineStr">
        <is>
          <t xml:space="preserve">Кр-99031812-1</t>
        </is>
      </c>
      <c r="E881" s="106" t="inlineStr">
        <is>
          <t xml:space="preserve">NASRIDDINOV BAXTIYORXO’JA BAHODIR O’G’LI</t>
        </is>
      </c>
      <c r="F881" s="106" t="inlineStr">
        <is>
          <t xml:space="preserve">998935181434 SMS O’ZI FIRMADA DOSTAVCHIK , 998744484412 SMS O’ZI 2, 998946262720 SMS UKASI, 998317488882 SMS UKASI 2,</t>
        </is>
      </c>
      <c r="G881" s="106" t="inlineStr">
        <is>
          <t xml:space="preserve">TOSHKENT SHAHAR SIRG’ALI TUMANI O’ZGARISH MFY, SERGELI MAVZESI 5, 44-UY, 11-XONADON</t>
        </is>
      </c>
      <c r="H881" s="107">
        <v>3.0</v>
      </c>
      <c r="I881" s="107">
        <v>1028355.24</v>
      </c>
    </row>
    <row r="882">
      <c r="A882" s="106" t="inlineStr">
        <is>
          <t xml:space="preserve">ТОШКЕНТ ШАХРИ</t>
        </is>
      </c>
      <c r="C882" s="106" t="inlineStr">
        <is>
          <t xml:space="preserve">Недозвон</t>
        </is>
      </c>
      <c r="D882" s="106" t="inlineStr">
        <is>
          <t xml:space="preserve">Кр-99064118-1</t>
        </is>
      </c>
      <c r="E882" s="106" t="inlineStr">
        <is>
          <t xml:space="preserve">DUSTKULOVA MUKADDAM RAXMONOVNA</t>
        </is>
      </c>
      <c r="F882" s="106" t="inlineStr">
        <is>
          <t xml:space="preserve">998900066468 SMS KELINI, 998955916468 SMS UZI, 998996776020 SMS UGLI,</t>
        </is>
      </c>
      <c r="G882" s="106" t="inlineStr">
        <is>
          <t xml:space="preserve">САЙРАМ МФЙ, САЙРАМ, 5 ТОР КЎЧАСИ,  uy:15/2 xonadon:34А::::64118 Muqaddam   Qorgʻontepa kochasi  3a uy 82 xonadonda yashid flexga krgazib qoyila</t>
        </is>
      </c>
      <c r="H882" s="107">
        <v>10.0</v>
      </c>
      <c r="I882" s="107">
        <v>1008182.44</v>
      </c>
    </row>
    <row r="883">
      <c r="A883" s="106" t="inlineStr">
        <is>
          <t xml:space="preserve">ТОШКЕНТ ШАХРИ</t>
        </is>
      </c>
      <c r="C883" s="106" t="inlineStr">
        <is>
          <t xml:space="preserve">Недозвон</t>
        </is>
      </c>
      <c r="D883" s="106" t="inlineStr">
        <is>
          <t xml:space="preserve">Кр-99039331-1</t>
        </is>
      </c>
      <c r="E883" s="106" t="inlineStr">
        <is>
          <t xml:space="preserve">BABAYEV MAXAMADJON MUXAMEDOVICH</t>
        </is>
      </c>
      <c r="F883" s="106" t="inlineStr">
        <is>
          <t xml:space="preserve">+998939833002 SMS O’ZI, 998339805349 SMS OPASI, 998935290300 SMS JIYANI, 998977085669 SMS OZI  begona qilinmasin !!!,</t>
        </is>
      </c>
      <c r="G883" s="106" t="inlineStr">
        <is>
          <t xml:space="preserve">TOSHKENT SHAHRI YASHNOBOD TUMANI XILOL MFY YANGI XAYOT 2 TOR KO'CHASI 14-UY</t>
        </is>
      </c>
      <c r="H883" s="107">
        <v>10.0</v>
      </c>
      <c r="I883" s="107">
        <v>1001692.69</v>
      </c>
    </row>
    <row r="884">
      <c r="A884" s="106" t="inlineStr">
        <is>
          <t xml:space="preserve">ТОШКЕНТ ШАХРИ</t>
        </is>
      </c>
      <c r="C884" s="106" t="inlineStr">
        <is>
          <t xml:space="preserve">Недозвон</t>
        </is>
      </c>
      <c r="D884" s="106" t="inlineStr">
        <is>
          <t xml:space="preserve">Кр-99037456-1</t>
        </is>
      </c>
      <c r="E884" s="106" t="inlineStr">
        <is>
          <t xml:space="preserve">XUJAYEVA SHOXISTA SHOVKIYEVNA</t>
        </is>
      </c>
      <c r="F884" s="106" t="inlineStr">
        <is>
          <t xml:space="preserve">998954346010 SMS O’ZI, 998990734627 SMS UY,</t>
        </is>
      </c>
      <c r="G884" s="106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884" s="107">
        <v>6.0</v>
      </c>
      <c r="I884" s="107">
        <v>929509.75</v>
      </c>
    </row>
    <row r="885">
      <c r="A885" s="106" t="inlineStr">
        <is>
          <t xml:space="preserve">ТОШКЕНТ ШАХРИ</t>
        </is>
      </c>
      <c r="C885" s="106" t="inlineStr">
        <is>
          <t xml:space="preserve">Недозвон</t>
        </is>
      </c>
      <c r="D885" s="106" t="inlineStr">
        <is>
          <t xml:space="preserve">Кр-99021933-1</t>
        </is>
      </c>
      <c r="E885" s="106" t="inlineStr">
        <is>
          <t xml:space="preserve">MAXAMADALIYEV ABDURAXIM ABDUXAMIDOVICH</t>
        </is>
      </c>
      <c r="F885" s="106" t="inlineStr">
        <is>
          <t xml:space="preserve">998990908118 SMS AYOLI, 998997273438 SMS OZI 2, 998998806697 SMS OZI, 998998808118 SMS ONASI,</t>
        </is>
      </c>
      <c r="G885" s="106" t="inlineStr">
        <is>
          <t xml:space="preserve">TOSHKENT SHAHAR OLMAZOR TUMANI XO’JALIK TOR KO’CHASI 1-UY</t>
        </is>
      </c>
      <c r="H885" s="107">
        <v>13.0</v>
      </c>
      <c r="I885" s="107">
        <v>906137.41</v>
      </c>
    </row>
    <row r="886">
      <c r="A886" s="106" t="inlineStr">
        <is>
          <t xml:space="preserve">ТОШКЕНТ ШАХРИ</t>
        </is>
      </c>
      <c r="C886" s="106" t="inlineStr">
        <is>
          <t xml:space="preserve">Недозвон</t>
        </is>
      </c>
      <c r="D886" s="106" t="inlineStr">
        <is>
          <t xml:space="preserve">Кр-99036050-1</t>
        </is>
      </c>
      <c r="E886" s="106" t="inlineStr">
        <is>
          <t xml:space="preserve">KADIROVA RANO KARAMALIYEVNA</t>
        </is>
      </c>
      <c r="F886" s="106" t="inlineStr">
        <is>
          <t xml:space="preserve">998946041964 SMS O‘ZI, 998900221957 SMS ERI, 998947638882 SMS O‘G‘LI, 998946111994 SMS O‘G‘LI,</t>
        </is>
      </c>
      <c r="G886" s="106" t="inlineStr">
        <is>
          <t xml:space="preserve">TOSHKENT SHAHRI SHAYXONTOXUR TUMANI QORATOSH KO‘CHASI 51A-UY</t>
        </is>
      </c>
      <c r="H886" s="107">
        <v>1.0</v>
      </c>
      <c r="I886" s="107">
        <v>783003.02</v>
      </c>
    </row>
    <row r="887">
      <c r="A887" s="106" t="inlineStr">
        <is>
          <t xml:space="preserve">ТОШКЕНТ ШАХРИ</t>
        </is>
      </c>
      <c r="C887" s="106" t="inlineStr">
        <is>
          <t xml:space="preserve">Недозвон</t>
        </is>
      </c>
      <c r="D887" s="106" t="inlineStr">
        <is>
          <t xml:space="preserve">Кр-99037834-2</t>
        </is>
      </c>
      <c r="E887" s="106" t="inlineStr">
        <is>
          <t xml:space="preserve">ARIPOVA NOIBA SHUKURULLAYEVNA</t>
        </is>
      </c>
      <c r="F887" s="106" t="inlineStr">
        <is>
          <t xml:space="preserve">998946781213 SMS OZI, 998998773919 SMS ERI, 998555081231 SMS UYI,</t>
        </is>
      </c>
      <c r="G887" s="106" t="inlineStr">
        <is>
          <t xml:space="preserve">TOSHKENT SHAHAR SHAYHONTOXUR TUMANI GULOBOD KO’CHASI 68-UY</t>
        </is>
      </c>
      <c r="H887" s="107">
        <v>10.0</v>
      </c>
      <c r="I887" s="107">
        <v>706032.78</v>
      </c>
    </row>
    <row r="888">
      <c r="A888" s="106" t="inlineStr">
        <is>
          <t xml:space="preserve">ТОШКЕНТ ШАХРИ</t>
        </is>
      </c>
      <c r="C888" s="106" t="inlineStr">
        <is>
          <t xml:space="preserve">Недозвон</t>
        </is>
      </c>
      <c r="D888" s="106" t="inlineStr">
        <is>
          <t xml:space="preserve">Кр-99062970-1</t>
        </is>
      </c>
      <c r="E888" s="106" t="inlineStr">
        <is>
          <t xml:space="preserve">ISKANDAROV OTABEK SAMANDAROVICH</t>
        </is>
      </c>
      <c r="F888" s="106" t="inlineStr">
        <is>
          <t xml:space="preserve">998956632014 XATO, 998930757920 SMS AYOLI, 998977750969 SMS OZI, 998999047579 SMS O’G’LI,</t>
        </is>
      </c>
      <c r="G888" s="106" t="inlineStr">
        <is>
          <t xml:space="preserve">TOSHKENT SHAHAR YAKKASAROY TUMANI BOSHLIK KUCHASI 10 UY 11 XONADON</t>
        </is>
      </c>
      <c r="H888" s="107">
        <v>10.0</v>
      </c>
      <c r="I888" s="107">
        <v>702913.83</v>
      </c>
    </row>
    <row r="889">
      <c r="A889" s="106" t="inlineStr">
        <is>
          <t xml:space="preserve">ТОШКЕНТ ШАХРИ</t>
        </is>
      </c>
      <c r="C889" s="106" t="inlineStr">
        <is>
          <t xml:space="preserve">Недозвон</t>
        </is>
      </c>
      <c r="D889" s="106" t="inlineStr">
        <is>
          <t xml:space="preserve">Кр-99023341-1</t>
        </is>
      </c>
      <c r="E889" s="106" t="inlineStr">
        <is>
          <t xml:space="preserve">RAIMOV FARXOD MAXMUDJANOVICH</t>
        </is>
      </c>
      <c r="F889" s="106" t="inlineStr">
        <is>
          <t xml:space="preserve">998973728008 sms tolovchi, 998996907535 sms ozi,</t>
        </is>
      </c>
      <c r="G889" s="106" t="inlineStr">
        <is>
          <t xml:space="preserve">TOSHKENT SHAHRI UCHTEPA TUMANI IBRAT KO’CHASI 87-UY</t>
        </is>
      </c>
      <c r="H889" s="107">
        <v>10.0</v>
      </c>
      <c r="I889" s="107">
        <v>663137.07</v>
      </c>
    </row>
    <row r="890">
      <c r="A890" s="106" t="inlineStr">
        <is>
          <t xml:space="preserve">ТОШКЕНТ ШАХРИ</t>
        </is>
      </c>
      <c r="C890" s="106" t="inlineStr">
        <is>
          <t xml:space="preserve">Недозвон</t>
        </is>
      </c>
      <c r="D890" s="106" t="inlineStr">
        <is>
          <t xml:space="preserve">Кр-99027295-4</t>
        </is>
      </c>
      <c r="E890" s="106" t="inlineStr">
        <is>
          <t xml:space="preserve">GULOMOV JAMOLIDDIN DJURAYEVICH</t>
        </is>
      </c>
      <c r="F890" s="106" t="inlineStr">
        <is>
          <t xml:space="preserve">99-882-49-24 SMS, 99-888-49-24 SMS Ogli Jamshid TOLOVCHI, 99-070-77-51 SMS Ayoli, 93-377-62-20 SMS UY,</t>
        </is>
      </c>
      <c r="G890" s="106" t="inlineStr">
        <is>
          <t xml:space="preserve">Тошкент шахар Олмазор тумани Хислат МФЙ Шифокорлар Шахарчаси 30Г Даха</t>
        </is>
      </c>
      <c r="I890" s="107">
        <v>549513.71</v>
      </c>
    </row>
    <row r="891">
      <c r="A891" s="106" t="inlineStr">
        <is>
          <t xml:space="preserve">ТОШКЕНТ ШАХРИ</t>
        </is>
      </c>
      <c r="C891" s="106" t="inlineStr">
        <is>
          <t xml:space="preserve">Недозвон</t>
        </is>
      </c>
      <c r="D891" s="106" t="inlineStr">
        <is>
          <t xml:space="preserve">Кр-99019234-3</t>
        </is>
      </c>
      <c r="E891" s="106" t="inlineStr">
        <is>
          <t xml:space="preserve">QULAHMATOV ASATILLA FATXULLA O’G’LI</t>
        </is>
      </c>
      <c r="F891" s="106" t="inlineStr">
        <is>
          <t xml:space="preserve">93-005-00-11 SMS  UZI, 998935489499 SMS AKASI, 998946622226 SMS AKASI 2,</t>
        </is>
      </c>
      <c r="G891" s="106" t="inlineStr">
        <is>
          <t xml:space="preserve">TOSHKENT SHAHAR OLMAZOR TUMANI A-SHOSHIY KOCHASI 53-UY</t>
        </is>
      </c>
      <c r="H891" s="107">
        <v>10.0</v>
      </c>
      <c r="I891" s="107">
        <v>487002.63</v>
      </c>
    </row>
    <row r="892">
      <c r="A892" s="106" t="inlineStr">
        <is>
          <t xml:space="preserve">ТОШКЕНТ ШАХРИ</t>
        </is>
      </c>
      <c r="C892" s="106" t="inlineStr">
        <is>
          <t xml:space="preserve">Недозвон</t>
        </is>
      </c>
      <c r="D892" s="106" t="inlineStr">
        <is>
          <t xml:space="preserve">Кр-99062782-1</t>
        </is>
      </c>
      <c r="E892" s="106" t="inlineStr">
        <is>
          <t xml:space="preserve">SOBIRJONOV AZIZBEK ODIL O’G’LI</t>
        </is>
      </c>
      <c r="F892" s="106" t="inlineStr">
        <is>
          <t xml:space="preserve">998909026006 SMS AKASI, 998909075959 SMSM OZI, 998940875888 SMS SINGLISI, 998991093131 SMS AYOLI,</t>
        </is>
      </c>
      <c r="G892" s="106" t="inlineStr">
        <is>
          <t xml:space="preserve">BELTEPA MFY 13-A 12-UY</t>
        </is>
      </c>
      <c r="I892" s="107">
        <v>458775.19</v>
      </c>
    </row>
    <row r="893">
      <c r="A893" s="106" t="inlineStr">
        <is>
          <t xml:space="preserve">ТОШКЕНТ ШАХРИ</t>
        </is>
      </c>
      <c r="C893" s="106" t="inlineStr">
        <is>
          <t xml:space="preserve">Недозвон</t>
        </is>
      </c>
      <c r="D893" s="106" t="inlineStr">
        <is>
          <t xml:space="preserve">Кр-99002540-1</t>
        </is>
      </c>
      <c r="E893" s="106" t="inlineStr">
        <is>
          <t xml:space="preserve">MAXMAYEROV BAXTIYOR RUZIKULOVICH</t>
        </is>
      </c>
      <c r="F893" s="106" t="inlineStr">
        <is>
          <t xml:space="preserve">998994014747 SMS OZI, 998974018448 SMS AYOLI, 998972930064 SMS ONASI, 998931548448 SMS QIZI,</t>
        </is>
      </c>
      <c r="G893" s="106" t="inlineStr">
        <is>
          <t xml:space="preserve">TOSHKENT SHAHAR CHILONZOR TUMANI MEVAZOR MFY, MASHRAB KO’CHASI 58-UY, 35-XONADON</t>
        </is>
      </c>
      <c r="H893" s="107">
        <v>3.0</v>
      </c>
      <c r="I893" s="107">
        <v>374597.9</v>
      </c>
    </row>
    <row r="894">
      <c r="A894" s="108" t="inlineStr">
        <is>
          <t xml:space="preserve">ФАРГОНА ВИЛОЯТИ</t>
        </is>
      </c>
      <c r="C894" s="108" t="inlineStr">
        <is>
          <t xml:space="preserve">Недозвон</t>
        </is>
      </c>
      <c r="D894" s="108" t="inlineStr">
        <is>
          <t xml:space="preserve">Кр-99021030-1</t>
        </is>
      </c>
      <c r="E894" s="108" t="inlineStr">
        <is>
          <t xml:space="preserve">XAYITBOYEV BOBIRJON MADAMINOVICH</t>
        </is>
      </c>
      <c r="F894" s="108" t="inlineStr">
        <is>
          <t xml:space="preserve">91-128-80-09  SMS OZI BOG'CHALARGA GO'SHT TARQATADI , 94-235-80-09  SMS OZI 2 BEGONA, 91-660-53-47  SMS AYOLI, 90-531-73-73  SMS UKASI,</t>
        </is>
      </c>
      <c r="G894" s="108" t="inlineStr">
        <is>
          <t xml:space="preserve">FARG'ONA VILOYATI QUVA TUMANI MANAVIYAT KO'CHASI 44-XONADON</t>
        </is>
      </c>
      <c r="H894" s="109">
        <v>224.0</v>
      </c>
      <c r="I894" s="109">
        <v>98879244.04</v>
      </c>
      <c r="K894" s="108" t="inlineStr">
        <is>
          <t xml:space="preserve">Telefon ko'tarmadi | 40734880.15</t>
        </is>
      </c>
    </row>
    <row r="895">
      <c r="A895" s="108" t="inlineStr">
        <is>
          <t xml:space="preserve">ФАРГОНА ВИЛОЯТИ</t>
        </is>
      </c>
      <c r="C895" s="108" t="inlineStr">
        <is>
          <t xml:space="preserve">Недозвон</t>
        </is>
      </c>
      <c r="D895" s="108" t="inlineStr">
        <is>
          <t xml:space="preserve">Кр-99057107-2</t>
        </is>
      </c>
      <c r="E895" s="108" t="inlineStr">
        <is>
          <t xml:space="preserve">SHOKIROVA JAMILAXON XOJBALAYEVNA</t>
        </is>
      </c>
      <c r="F895" s="108" t="inlineStr">
        <is>
          <t xml:space="preserve">998934170721 OZI, 998940433005 UKASI, 998911221777 JIYANI, 998932462898 SHERIGI,</t>
        </is>
      </c>
      <c r="G895" s="108" t="inlineStr">
        <is>
          <t xml:space="preserve">FARG’ONA VILOYATI FARG’ONA SHAHAR MIRZO ULUG’BEK MFY O’ZBEKISTON OVOZI KO’CHASI 16-UY 4-XONADON</t>
        </is>
      </c>
      <c r="H895" s="109">
        <v>104.0</v>
      </c>
      <c r="I895" s="109">
        <v>61750605.72</v>
      </c>
      <c r="K895" s="108" t="inlineStr">
        <is>
          <t xml:space="preserve">Telefon ko'tarmadi | 14996970.3</t>
        </is>
      </c>
    </row>
    <row r="896">
      <c r="A896" s="108" t="inlineStr">
        <is>
          <t xml:space="preserve">ФАРГОНА ВИЛОЯТИ</t>
        </is>
      </c>
      <c r="C896" s="108" t="inlineStr">
        <is>
          <t xml:space="preserve">Объезд</t>
        </is>
      </c>
      <c r="D896" s="108" t="inlineStr">
        <is>
          <t xml:space="preserve">Кр-99036825-1</t>
        </is>
      </c>
      <c r="E896" s="108" t="inlineStr">
        <is>
          <t xml:space="preserve">RAXMANKULOVA RANO EMINOVNA</t>
        </is>
      </c>
      <c r="F896" s="108" t="inlineStr">
        <is>
          <t xml:space="preserve">998916619568 SMS OZI, 998916667777 SMS OGLI BEGONA, 998992041119 SMS OGLI 2, 998902741221 SMS UYI BEGONA, 998972711111 SMS ,</t>
        </is>
      </c>
      <c r="G896" s="108" t="inlineStr">
        <is>
          <t xml:space="preserve">FARG’ONA VILOYATI FARG’ONA SHAHAR OQARIQ MFY OQARIQ KO’CHASI 350-A UY </t>
        </is>
      </c>
      <c r="H896" s="109">
        <v>122.0</v>
      </c>
      <c r="I896" s="109">
        <v>53771510.2</v>
      </c>
      <c r="K896" s="108" t="inlineStr">
        <is>
          <t xml:space="preserve">Uyiga borildi - va'da berdi | 20648677.87</t>
        </is>
      </c>
    </row>
    <row r="897">
      <c r="A897" s="108" t="inlineStr">
        <is>
          <t xml:space="preserve">ФАРГОНА ВИЛОЯТИ</t>
        </is>
      </c>
      <c r="C897" s="108" t="inlineStr">
        <is>
          <t xml:space="preserve">Недозвон</t>
        </is>
      </c>
      <c r="D897" s="108" t="inlineStr">
        <is>
          <t xml:space="preserve">Кр-99039882-1</t>
        </is>
      </c>
      <c r="E897" s="108" t="inlineStr">
        <is>
          <t xml:space="preserve">AYMATOV SARDORBEK IQBOL O’G’LI</t>
        </is>
      </c>
      <c r="F897" s="108" t="inlineStr">
        <is>
          <t xml:space="preserve">998904050044 SMS OZI, 998972677557 SMS UKASI, 998902324418 SMS AKASI,</t>
        </is>
      </c>
      <c r="G897" s="108" t="inlineStr">
        <is>
          <t xml:space="preserve">FARG’ONA VILOYATI FARG’ONA SHAHAR AL-XORAZMIY MFY JOMIY KO’CHASI 5-A UY 12-XONADON</t>
        </is>
      </c>
      <c r="H897" s="109">
        <v>255.0</v>
      </c>
      <c r="I897" s="109">
        <v>52826466.81</v>
      </c>
      <c r="K897" s="108" t="inlineStr">
        <is>
          <t xml:space="preserve">Telefon ko'tarmadi | 15938452.84</t>
        </is>
      </c>
    </row>
    <row r="898">
      <c r="A898" s="108" t="inlineStr">
        <is>
          <t xml:space="preserve">ФАРГОНА ВИЛОЯТИ</t>
        </is>
      </c>
      <c r="C898" s="108" t="inlineStr">
        <is>
          <t xml:space="preserve">Объезд</t>
        </is>
      </c>
      <c r="D898" s="108" t="inlineStr">
        <is>
          <t xml:space="preserve">Кр-99044960-2</t>
        </is>
      </c>
      <c r="E898" s="108" t="inlineStr">
        <is>
          <t xml:space="preserve">ABDULLAYEV BEGALI MIRZAJONOVICH</t>
        </is>
      </c>
      <c r="F898" s="108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898" s="108" t="inlineStr">
        <is>
          <t xml:space="preserve">FARG’ONA VILOYATI BESHARIQ TUMANI SHOBERDI MFY GULYOR KO’CHASI 40-UY</t>
        </is>
      </c>
      <c r="H898" s="109">
        <v>135.0</v>
      </c>
      <c r="I898" s="109">
        <v>46884561.84</v>
      </c>
      <c r="K898" s="108" t="inlineStr">
        <is>
          <t xml:space="preserve">Uyiga borildi - va'da berdi | 11979165</t>
        </is>
      </c>
    </row>
    <row r="899">
      <c r="A899" s="108" t="inlineStr">
        <is>
          <t xml:space="preserve">ФАРГОНА ВИЛОЯТИ</t>
        </is>
      </c>
      <c r="C899" s="108" t="inlineStr">
        <is>
          <t xml:space="preserve">Недозвон</t>
        </is>
      </c>
      <c r="D899" s="108" t="inlineStr">
        <is>
          <t xml:space="preserve">Кр-99027530-1</t>
        </is>
      </c>
      <c r="E899" s="108" t="inlineStr">
        <is>
          <t xml:space="preserve">USMONALIYEV ANZORBEK BAXROMJON O’G’LI</t>
        </is>
      </c>
      <c r="F899" s="108" t="inlineStr">
        <is>
          <t xml:space="preserve">94-642-45-95  SMS TOLOVCHI, 93-913-53-54  SMS TOLOVCHI 2, 90-362-70-15  SMS O'ZI, 93-166-22-92  SMS AKASI, 998916924164 Maxala Faoli Toberishka xarakat qivotila ,</t>
        </is>
      </c>
      <c r="G899" s="108" t="inlineStr">
        <is>
          <t xml:space="preserve">FARG’ONA VILOYATI BAG’DOD TUMANI 2-BAG’DOD QISHLOG’I KORNIZAR 1 MFY 40-UY</t>
        </is>
      </c>
      <c r="H899" s="109">
        <v>15.0</v>
      </c>
      <c r="I899" s="109">
        <v>35000000.0</v>
      </c>
    </row>
    <row r="900">
      <c r="A900" s="108" t="inlineStr">
        <is>
          <t xml:space="preserve">ФАРГОНА ВИЛОЯТИ</t>
        </is>
      </c>
      <c r="C900" s="108" t="inlineStr">
        <is>
          <t xml:space="preserve">Объезд</t>
        </is>
      </c>
      <c r="D900" s="108" t="inlineStr">
        <is>
          <t xml:space="preserve">Кр-99060331-1</t>
        </is>
      </c>
      <c r="E900" s="108" t="inlineStr">
        <is>
          <t xml:space="preserve">UMAROVA EXTIBOR SOTVOLDIYEVNA</t>
        </is>
      </c>
      <c r="F900" s="108" t="inlineStr">
        <is>
          <t xml:space="preserve">998905331878 узи, 998932974444 невара, 998982775557 уй, 998943313223 эри,</t>
        </is>
      </c>
      <c r="G900" s="108" t="inlineStr">
        <is>
          <t xml:space="preserve">FARG’ONA VILOYATI, FARG’ONA SHAHRI, FARG’ONA MFY, FITRAT KO’CHASI, 27-UY</t>
        </is>
      </c>
      <c r="H900" s="109">
        <v>43.0</v>
      </c>
      <c r="I900" s="109">
        <v>32543292.44</v>
      </c>
      <c r="K900" s="108" t="inlineStr">
        <is>
          <t xml:space="preserve">Uyiga borildi - va'da berdi | TOLOVCHINI AYOLI BILAN GAPLASHILDI AYTAMAN TOLASHADI DEDI | 9776256.28</t>
        </is>
      </c>
    </row>
    <row r="901">
      <c r="A901" s="108" t="inlineStr">
        <is>
          <t xml:space="preserve">ФАРГОНА ВИЛОЯТИ</t>
        </is>
      </c>
      <c r="C901" s="108" t="inlineStr">
        <is>
          <t xml:space="preserve">Недозвон</t>
        </is>
      </c>
      <c r="D901" s="108" t="inlineStr">
        <is>
          <t xml:space="preserve">Кр-99040124-3</t>
        </is>
      </c>
      <c r="E901" s="108" t="inlineStr">
        <is>
          <t xml:space="preserve">MUXAMMADJONOV MUXAMMADALI XXX</t>
        </is>
      </c>
      <c r="F901" s="108" t="inlineStr">
        <is>
          <t xml:space="preserve">998919937777 SMS OZI, 998911381309 SMS UY, 998911381673 SMS AKASI, 998945581001 SMS UKASI,</t>
        </is>
      </c>
      <c r="G901" s="108" t="inlineStr">
        <is>
          <t xml:space="preserve">FARG’ONA VILOYATI FURQAT TUMANI ESHON MFY FAROG’AT KO’CHASI 69 A UY</t>
        </is>
      </c>
      <c r="H901" s="109">
        <v>43.0</v>
      </c>
      <c r="I901" s="109">
        <v>27501942.23</v>
      </c>
      <c r="K901" s="108" t="inlineStr">
        <is>
          <t xml:space="preserve">Telefon ko'tarmadi | 7962630.41</t>
        </is>
      </c>
    </row>
    <row r="902">
      <c r="A902" s="108" t="inlineStr">
        <is>
          <t xml:space="preserve">ФАРГОНА ВИЛОЯТИ</t>
        </is>
      </c>
      <c r="C902" s="108" t="inlineStr">
        <is>
          <t xml:space="preserve">Недозвон</t>
        </is>
      </c>
      <c r="D902" s="108" t="inlineStr">
        <is>
          <t xml:space="preserve">Кр-99040913-4</t>
        </is>
      </c>
      <c r="E902" s="108" t="inlineStr">
        <is>
          <t xml:space="preserve">ISMIXANOVA SEVILA MUSTAFAYEVNA</t>
        </is>
      </c>
      <c r="F902" s="108" t="inlineStr">
        <is>
          <t xml:space="preserve">+998907030041 O’ZI, 998904077354 SHERIGI, 998905815272 SINGLI, 998907040019 SMS O’ZI,</t>
        </is>
      </c>
      <c r="G902" s="108" t="inlineStr">
        <is>
          <t xml:space="preserve">FARG’ONA VILOYATI FARG’ONA SHAHAR IBRAT MFY REGISTON (O’RTA SHO’RA) KO’CHASI 2-UY 9-XONADON</t>
        </is>
      </c>
      <c r="H902" s="109">
        <v>73.0</v>
      </c>
      <c r="I902" s="109">
        <v>21931941.26</v>
      </c>
      <c r="K902" s="108" t="inlineStr">
        <is>
          <t xml:space="preserve">Telefon ko'tarmadi | DUXTIRGA BORGAN OLASAN DEGAN | 6873199.01</t>
        </is>
      </c>
    </row>
    <row r="903">
      <c r="A903" s="108" t="inlineStr">
        <is>
          <t xml:space="preserve">ФАРГОНА ВИЛОЯТИ</t>
        </is>
      </c>
      <c r="C903" s="108" t="inlineStr">
        <is>
          <t xml:space="preserve">Объезд</t>
        </is>
      </c>
      <c r="D903" s="108" t="inlineStr">
        <is>
          <t xml:space="preserve">Кр-99055209-1</t>
        </is>
      </c>
      <c r="E903" s="108" t="inlineStr">
        <is>
          <t xml:space="preserve">ISMOILOV KOMOLJON ISROILOVICH</t>
        </is>
      </c>
      <c r="F903" s="108" t="inlineStr">
        <is>
          <t xml:space="preserve">998911083458 OZI, 998916523715 AYOLI, 998911165525 SINGLISI, 998905343715 UKASI,</t>
        </is>
      </c>
      <c r="G903" s="108" t="inlineStr">
        <is>
          <t xml:space="preserve">FARG’ONA VILOYATI FARG’ONA SHAHAR OQARIQ MFY OQARIQ KO’CHASI 235-UY</t>
        </is>
      </c>
      <c r="H903" s="109">
        <v>43.0</v>
      </c>
      <c r="I903" s="109">
        <v>17720317.58</v>
      </c>
      <c r="K903" s="108" t="inlineStr">
        <is>
          <t xml:space="preserve">Uyiga borildi - va'da berdi | 5416666</t>
        </is>
      </c>
    </row>
    <row r="904">
      <c r="A904" s="108" t="inlineStr">
        <is>
          <t xml:space="preserve">ФАРГОНА ВИЛОЯТИ</t>
        </is>
      </c>
      <c r="C904" s="108" t="inlineStr">
        <is>
          <t xml:space="preserve">Объезд</t>
        </is>
      </c>
      <c r="D904" s="108" t="inlineStr">
        <is>
          <t xml:space="preserve">Кр-99060453-1</t>
        </is>
      </c>
      <c r="E904" s="108" t="inlineStr">
        <is>
          <t xml:space="preserve">YUSUPOVA OMINAXON XXX</t>
        </is>
      </c>
      <c r="F904" s="108" t="inlineStr">
        <is>
          <t xml:space="preserve">998975555600 SMS OZI, 998335757777 SMS OGLI, 998981700078 SMS NEVARASI, 998505102702 SMS OGLI,</t>
        </is>
      </c>
      <c r="G904" s="108" t="inlineStr">
        <is>
          <t xml:space="preserve">FARG’ONA VILOYATI FARG’ONA TUMANI BIRDAMLIK MFY MURUVVAT KO’CHASI 46-XONADON</t>
        </is>
      </c>
      <c r="H904" s="109">
        <v>43.0</v>
      </c>
      <c r="I904" s="109">
        <v>15787878.78</v>
      </c>
      <c r="K904" s="108" t="inlineStr">
        <is>
          <t xml:space="preserve">Uyiga borildi - va'da berdi | 6060606</t>
        </is>
      </c>
    </row>
    <row r="905">
      <c r="A905" s="108" t="inlineStr">
        <is>
          <t xml:space="preserve">ФАРГОНА ВИЛОЯТИ</t>
        </is>
      </c>
      <c r="C905" s="108" t="inlineStr">
        <is>
          <t xml:space="preserve">Недозвон</t>
        </is>
      </c>
      <c r="D905" s="108" t="inlineStr">
        <is>
          <t xml:space="preserve">Кр-99036005-1</t>
        </is>
      </c>
      <c r="E905" s="108" t="inlineStr">
        <is>
          <t xml:space="preserve">YO’LDASHEV JASURBEK JALOLIDIN O’G’LI</t>
        </is>
      </c>
      <c r="F905" s="108" t="inlineStr">
        <is>
          <t xml:space="preserve">998940591389 SMS O’ZI, 998939749309 SMS AYOLI, 998950051108 SMS ONASI , 998999150265 SMS DADASI ,</t>
        </is>
      </c>
      <c r="G905" s="108" t="inlineStr">
        <is>
          <t xml:space="preserve">FARG’ONA VILOYATI BESHARIQ TUMANI KUM MFY KO’KDALA KO’CHASI 531-XONADON</t>
        </is>
      </c>
      <c r="H905" s="109">
        <v>31.0</v>
      </c>
      <c r="I905" s="109">
        <v>12778515.99</v>
      </c>
      <c r="K905" s="108" t="inlineStr">
        <is>
          <t xml:space="preserve">Telefon ko'tarmadi | 5995393.87</t>
        </is>
      </c>
    </row>
    <row r="906">
      <c r="A906" s="108" t="inlineStr">
        <is>
          <t xml:space="preserve">ФАРГОНА ВИЛОЯТИ</t>
        </is>
      </c>
      <c r="C906" s="108" t="inlineStr">
        <is>
          <t xml:space="preserve">Объезд</t>
        </is>
      </c>
      <c r="D906" s="108" t="inlineStr">
        <is>
          <t xml:space="preserve">Кр-99059331-3</t>
        </is>
      </c>
      <c r="E906" s="108" t="inlineStr">
        <is>
          <t xml:space="preserve">YUSUPOV AXATJON MARUFOVICH</t>
        </is>
      </c>
      <c r="F906" s="108" t="inlineStr">
        <is>
          <t xml:space="preserve">+998944490113 SMS, 998941575202 SMS QARINDASH, 998948220113 SMS AYOLI, 998930617923 ORTOGI ,</t>
        </is>
      </c>
      <c r="G906" s="108" t="inlineStr">
        <is>
          <t xml:space="preserve">FARG’ONA VILOYATI FURQAT TUMANI XALQABOD MFY  XALQABOD QISHLOGI 26-UY</t>
        </is>
      </c>
      <c r="H906" s="109">
        <v>43.0</v>
      </c>
      <c r="I906" s="109">
        <v>12771913.48</v>
      </c>
      <c r="K906" s="108" t="inlineStr">
        <is>
          <t xml:space="preserve">Uyiga borildi - va'da berdi | BIROVGA OLIB BERGAN AYTAMAN TOLAYDI DEYABDI ISHI KASHA | 7411175.03</t>
        </is>
      </c>
    </row>
    <row r="907">
      <c r="A907" s="108" t="inlineStr">
        <is>
          <t xml:space="preserve">ФАРГОНА ВИЛОЯТИ</t>
        </is>
      </c>
      <c r="C907" s="108" t="inlineStr">
        <is>
          <t xml:space="preserve">Объезд</t>
        </is>
      </c>
      <c r="D907" s="108" t="inlineStr">
        <is>
          <t xml:space="preserve">Кр-99041275-1</t>
        </is>
      </c>
      <c r="E907" s="108" t="inlineStr">
        <is>
          <t xml:space="preserve">JUMAMATOVA ZULXUMOR ISAKOVNA</t>
        </is>
      </c>
      <c r="F907" s="108" t="inlineStr">
        <is>
          <t xml:space="preserve">+998907788327 O’ZI, 998947215300 UY, 998982787707 ERI, 998987781111 O’G’LI TOLOVCHI,</t>
        </is>
      </c>
      <c r="G907" s="108" t="inlineStr">
        <is>
          <t xml:space="preserve">13-СИМТЕПА (Х.ИБРАГИМОВА) МФЙ, ОБИХАЁТ (ШОКИРОВА) КЎЧАСИ,  uy:32А</t>
        </is>
      </c>
      <c r="H907" s="109">
        <v>73.0</v>
      </c>
      <c r="I907" s="109">
        <v>10626970.22</v>
      </c>
      <c r="J907" s="109">
        <v>2964372.0</v>
      </c>
      <c r="K907" s="108" t="inlineStr">
        <is>
          <t xml:space="preserve">Uyiga borildi - to'ladi | 2964372.32</t>
        </is>
      </c>
    </row>
    <row r="908">
      <c r="A908" s="108" t="inlineStr">
        <is>
          <t xml:space="preserve">ФАРГОНА ВИЛОЯТИ</t>
        </is>
      </c>
      <c r="C908" s="108" t="inlineStr">
        <is>
          <t xml:space="preserve">Недозвон</t>
        </is>
      </c>
      <c r="D908" s="108" t="inlineStr">
        <is>
          <t xml:space="preserve">Кр-99057050-1</t>
        </is>
      </c>
      <c r="E908" s="108" t="inlineStr">
        <is>
          <t xml:space="preserve">ABDULLAYEVA EXTIBOR TURAXODJAYEVNA</t>
        </is>
      </c>
      <c r="F908" s="108" t="inlineStr">
        <is>
          <t xml:space="preserve">998917364446 SMS OZI, 998990670502 SMS O'G'LI, 998170930302 SMS O'G'LI, 998905896636 SMS KELINI,</t>
        </is>
      </c>
      <c r="G908" s="108" t="inlineStr">
        <is>
          <t xml:space="preserve">FARG’ONA VILOYATI QO’QON SHAHAR ALISHER NAVOIY MFY BODOMZOR KO’CHASI 92-XONADON</t>
        </is>
      </c>
      <c r="H908" s="109">
        <v>43.0</v>
      </c>
      <c r="I908" s="109">
        <v>10387723.02</v>
      </c>
      <c r="K908" s="108" t="inlineStr">
        <is>
          <t xml:space="preserve">Telefon ko'tarmadi | 3050669.76</t>
        </is>
      </c>
    </row>
    <row r="909">
      <c r="A909" s="108" t="inlineStr">
        <is>
          <t xml:space="preserve">ФАРГОНА ВИЛОЯТИ</t>
        </is>
      </c>
      <c r="C909" s="108" t="inlineStr">
        <is>
          <t xml:space="preserve">Недозвон</t>
        </is>
      </c>
      <c r="D909" s="108" t="inlineStr">
        <is>
          <t xml:space="preserve">Кр-99062879-1</t>
        </is>
      </c>
      <c r="E909" s="108" t="inlineStr">
        <is>
          <t xml:space="preserve">XOLBEKOV TO’LQINJON FOZILOVICH</t>
        </is>
      </c>
      <c r="F909" s="108" t="inlineStr">
        <is>
          <t xml:space="preserve">998972906368 SMS QIZI, 998974206368 SMS OZI, 998992206368 SMS AYOLI,</t>
        </is>
      </c>
      <c r="G909" s="108" t="inlineStr">
        <is>
          <t xml:space="preserve">QO’SHTEPA TUMANI , MEVAZOR 80-XONADON</t>
        </is>
      </c>
      <c r="H909" s="109">
        <v>43.0</v>
      </c>
      <c r="I909" s="109">
        <v>8929191.81</v>
      </c>
      <c r="K909" s="108" t="inlineStr">
        <is>
          <t xml:space="preserve">Telefon ko'tarmadi | 4724797.37</t>
        </is>
      </c>
    </row>
    <row r="910">
      <c r="A910" s="108" t="inlineStr">
        <is>
          <t xml:space="preserve">ФАРГОНА ВИЛОЯТИ</t>
        </is>
      </c>
      <c r="C910" s="108" t="inlineStr">
        <is>
          <t xml:space="preserve">Недозвон</t>
        </is>
      </c>
      <c r="D910" s="108" t="inlineStr">
        <is>
          <t xml:space="preserve">Кр-99041780-3</t>
        </is>
      </c>
      <c r="E910" s="108" t="inlineStr">
        <is>
          <t xml:space="preserve">XOSHIMOVA MUAZZAM SHERALIYEVNA</t>
        </is>
      </c>
      <c r="F910" s="108" t="inlineStr">
        <is>
          <t xml:space="preserve">+998908492233 SMS O’ZI, 998900782233 ERI 2, 998907622233 ERI, 998948755111 OPASI,</t>
        </is>
      </c>
      <c r="G910" s="108" t="inlineStr">
        <is>
          <t xml:space="preserve">FARG’ONA VILOYATI MARG’ILON SHAHAR TURON MFY YANGI FARG’ONA KO’CHASI 103-UY 32-XONADON</t>
        </is>
      </c>
      <c r="H910" s="109">
        <v>10.0</v>
      </c>
      <c r="I910" s="109">
        <v>7762408.19</v>
      </c>
      <c r="K910" s="108" t="inlineStr">
        <is>
          <t xml:space="preserve">Telefon ko'tarmadi | 2291666.41</t>
        </is>
      </c>
    </row>
    <row r="911">
      <c r="A911" s="108" t="inlineStr">
        <is>
          <t xml:space="preserve">ФАРГОНА ВИЛОЯТИ</t>
        </is>
      </c>
      <c r="C911" s="108" t="inlineStr">
        <is>
          <t xml:space="preserve">Объезд</t>
        </is>
      </c>
      <c r="D911" s="108" t="inlineStr">
        <is>
          <t xml:space="preserve">Кр-99061811-1</t>
        </is>
      </c>
      <c r="E911" s="108" t="inlineStr">
        <is>
          <t xml:space="preserve">RASULOVA ODINA ABDURAXMONOVNA</t>
        </is>
      </c>
      <c r="F911" s="108" t="inlineStr">
        <is>
          <t xml:space="preserve">998905355332 OZI , 998772567505 QIZI , 998882066464 OGLI , 998958680024 UY ,</t>
        </is>
      </c>
      <c r="G911" s="108" t="inlineStr">
        <is>
          <t xml:space="preserve">FARG’ONA VILOYATI FARG’ONA SHAHAR TEMIRYOL 60-UY</t>
        </is>
      </c>
      <c r="H911" s="109">
        <v>13.0</v>
      </c>
      <c r="I911" s="109">
        <v>7550412.81</v>
      </c>
      <c r="K911" s="108" t="inlineStr">
        <is>
          <t xml:space="preserve">Uyiga borildi - va'da berdi | BUGUN 2500QILADI EKAN QOLGANINIYAM BIR IKKUNDA QILIB BERADI EKAN | 2708333</t>
        </is>
      </c>
    </row>
    <row r="912">
      <c r="A912" s="108" t="inlineStr">
        <is>
          <t xml:space="preserve">ФАРГОНА ВИЛОЯТИ</t>
        </is>
      </c>
      <c r="C912" s="108" t="inlineStr">
        <is>
          <t xml:space="preserve">Объезд</t>
        </is>
      </c>
      <c r="D912" s="108" t="inlineStr">
        <is>
          <t xml:space="preserve">Кр-99041055-5</t>
        </is>
      </c>
      <c r="E912" s="108" t="inlineStr">
        <is>
          <t xml:space="preserve">MUMINOV MAMIRJON ABDUMALIKOVICH</t>
        </is>
      </c>
      <c r="F912" s="108" t="inlineStr">
        <is>
          <t xml:space="preserve">+998958366468 O’ZI, 998942063001 O¹G’LI,</t>
        </is>
      </c>
      <c r="G912" s="108" t="inlineStr">
        <is>
          <t xml:space="preserve">FARG’ONA VILOYATI QO’SHTEPA TUMANI KARNAYCHI MFY ARCHAZOR KO’CHASI 234-UY</t>
        </is>
      </c>
      <c r="H912" s="109">
        <v>10.0</v>
      </c>
      <c r="I912" s="109">
        <v>7408734.69</v>
      </c>
      <c r="K912" s="108" t="inlineStr">
        <is>
          <t xml:space="preserve">Uyiga borildi - va'da berdi | 2187499.65</t>
        </is>
      </c>
    </row>
    <row r="913">
      <c r="A913" s="108" t="inlineStr">
        <is>
          <t xml:space="preserve">ФАРГОНА ВИЛОЯТИ</t>
        </is>
      </c>
      <c r="C913" s="108" t="inlineStr">
        <is>
          <t xml:space="preserve">Недозвон</t>
        </is>
      </c>
      <c r="D913" s="108" t="inlineStr">
        <is>
          <t xml:space="preserve">Кр-99039832-1</t>
        </is>
      </c>
      <c r="E913" s="108" t="inlineStr">
        <is>
          <t xml:space="preserve">USMANOV MUZAFFAR MUXAMEDOVICH</t>
        </is>
      </c>
      <c r="F913" s="108" t="inlineStr">
        <is>
          <t xml:space="preserve">998900552185 SMS OZI, 998910593282 SMS AYOLI, 998913241110 SMS UKASI, 998910596232 SMS OGLI,</t>
        </is>
      </c>
      <c r="G913" s="108" t="inlineStr">
        <is>
          <t xml:space="preserve">FARG’ONA VILOYATI QO’QON SHAHAR ISTIQBOL MFY ALISHER NAVOIY KO’CHASI 68-UY 15-XONADON</t>
        </is>
      </c>
      <c r="H913" s="109">
        <v>13.0</v>
      </c>
      <c r="I913" s="109">
        <v>7056688.15</v>
      </c>
      <c r="K913" s="108" t="inlineStr">
        <is>
          <t xml:space="preserve">Telefon ko'tarmadi | QISMAN QILDI QOLGANINIYAM TEZLASHTIRIB QILIB BERAMAN DEYABDI | 2500000</t>
        </is>
      </c>
    </row>
    <row r="914">
      <c r="A914" s="108" t="inlineStr">
        <is>
          <t xml:space="preserve">ФАРГОНА ВИЛОЯТИ</t>
        </is>
      </c>
      <c r="C914" s="108" t="inlineStr">
        <is>
          <t xml:space="preserve">Объезд</t>
        </is>
      </c>
      <c r="D914" s="108" t="inlineStr">
        <is>
          <t xml:space="preserve">Кр-99062779-1</t>
        </is>
      </c>
      <c r="E914" s="108" t="inlineStr">
        <is>
          <t xml:space="preserve">JURAYEVA SADOKAT ADILOVNA</t>
        </is>
      </c>
      <c r="F914" s="108" t="inlineStr">
        <is>
          <t xml:space="preserve">+998903683078 SMS O’ZI, 998903035444 QIZI 2, 998908474999 UY, 998974176939 QIZI, 998905801885 TOLOVCHI,</t>
        </is>
      </c>
      <c r="G914" s="108" t="inlineStr">
        <is>
          <t xml:space="preserve">FARG’ONA VILOYATI FARG’ONA SHAHAR YULDUZ MFY YANGI ASR KO’CHASI 100-A UY 22-XONADON</t>
        </is>
      </c>
      <c r="H914" s="109">
        <v>13.0</v>
      </c>
      <c r="I914" s="109">
        <v>6089269.75</v>
      </c>
      <c r="K914" s="108" t="inlineStr">
        <is>
          <t xml:space="preserve">Uyiga borildi - va'da berdi | 2 LARGA QAYTA ALOQA TOLOV QILADI | 1874999.75</t>
        </is>
      </c>
    </row>
    <row r="915">
      <c r="A915" s="108" t="inlineStr">
        <is>
          <t xml:space="preserve">ФАРГОНА ВИЛОЯТИ</t>
        </is>
      </c>
      <c r="C915" s="108" t="inlineStr">
        <is>
          <t xml:space="preserve">Недозвон</t>
        </is>
      </c>
      <c r="D915" s="108" t="inlineStr">
        <is>
          <t xml:space="preserve">Кр-99039797-1</t>
        </is>
      </c>
      <c r="E915" s="108" t="inlineStr">
        <is>
          <t xml:space="preserve">GAFOROV IKBOLJON UKTAMOVICH</t>
        </is>
      </c>
      <c r="F915" s="108" t="inlineStr">
        <is>
          <t xml:space="preserve">998903699953 SMS OZI, 998911081214 SMS AYOLI, 998916729177 SMS OMASI, 998918865940 SMS UY, 998505995135 SMS UZI NEW, 998905618936 OPASI HADEB BEZOVTA QILINMASIN ,</t>
        </is>
      </c>
      <c r="G915" s="108" t="inlineStr">
        <is>
          <t xml:space="preserve">FARG’ONA VILOYATI RISHTON TUMANI ISTIQBOL MFY ZARARIK KO’CHASI 26-UY</t>
        </is>
      </c>
      <c r="H915" s="109">
        <v>10.0</v>
      </c>
      <c r="I915" s="109">
        <v>5944984.68</v>
      </c>
      <c r="K915" s="108" t="inlineStr">
        <is>
          <t xml:space="preserve">Telefon ko'tarmadi | 2424000</t>
        </is>
      </c>
    </row>
    <row r="916">
      <c r="A916" s="108" t="inlineStr">
        <is>
          <t xml:space="preserve">ФАРГОНА ВИЛОЯТИ</t>
        </is>
      </c>
      <c r="C916" s="108" t="inlineStr">
        <is>
          <t xml:space="preserve">Недозвон</t>
        </is>
      </c>
      <c r="D916" s="108" t="inlineStr">
        <is>
          <t xml:space="preserve">Кр-99052308-1</t>
        </is>
      </c>
      <c r="E916" s="108" t="inlineStr">
        <is>
          <t xml:space="preserve">DEXKONOV BAXTIYOR TURSUNOVICH</t>
        </is>
      </c>
      <c r="F916" s="108" t="inlineStr">
        <is>
          <t xml:space="preserve">998979496268 O`ZI, 998940905979 UY, 998911196869 AYOLI, 998940965979 SMS OZI NEW,</t>
        </is>
      </c>
      <c r="G916" s="108" t="inlineStr">
        <is>
          <t xml:space="preserve">FARGONA VILOYATI</t>
        </is>
      </c>
      <c r="H916" s="109">
        <v>10.0</v>
      </c>
      <c r="I916" s="109">
        <v>5820655.09</v>
      </c>
      <c r="K916" s="108" t="inlineStr">
        <is>
          <t xml:space="preserve">Telefon ko'tarmadi | 1875000</t>
        </is>
      </c>
    </row>
    <row r="917">
      <c r="A917" s="108" t="inlineStr">
        <is>
          <t xml:space="preserve">ФАРГОНА ВИЛОЯТИ</t>
        </is>
      </c>
      <c r="C917" s="108" t="inlineStr">
        <is>
          <t xml:space="preserve">Недозвон</t>
        </is>
      </c>
      <c r="D917" s="108" t="inlineStr">
        <is>
          <t xml:space="preserve">Кр-99035250-1</t>
        </is>
      </c>
      <c r="E917" s="108" t="inlineStr">
        <is>
          <t xml:space="preserve">SHOMATOVA ZAMIRA MUXAMMADOVNA</t>
        </is>
      </c>
      <c r="F917" s="108" t="inlineStr">
        <is>
          <t xml:space="preserve">998958407673 SMS O’ZI, 998908457660 SMS QIZI, 998931907077 SMS JIYANI,</t>
        </is>
      </c>
      <c r="G917" s="108" t="inlineStr">
        <is>
          <t xml:space="preserve">FARG’ONA VILOYATI FARG’ONA SHAHAR BARKAMOL MFY YANGI ASIR KO’CHASI 120-UY 52-XONADON</t>
        </is>
      </c>
      <c r="H917" s="109">
        <v>3.0</v>
      </c>
      <c r="I917" s="109">
        <v>5795399.52</v>
      </c>
    </row>
    <row r="918">
      <c r="A918" s="108" t="inlineStr">
        <is>
          <t xml:space="preserve">ФАРГОНА ВИЛОЯТИ</t>
        </is>
      </c>
      <c r="C918" s="108" t="inlineStr">
        <is>
          <t xml:space="preserve">Недозвон</t>
        </is>
      </c>
      <c r="D918" s="108" t="inlineStr">
        <is>
          <t xml:space="preserve">Кр-99040136-1</t>
        </is>
      </c>
      <c r="E918" s="108" t="inlineStr">
        <is>
          <t xml:space="preserve">MUXTARALIYEV ISRAIL ISMAILOVICH</t>
        </is>
      </c>
      <c r="F918" s="108" t="inlineStr">
        <is>
          <t xml:space="preserve">998505516167 SMS OZI, 998916565115 SMS OGLI 2, 998912062645 SMS AYOLI, 998903035115 SMS KELINI,</t>
        </is>
      </c>
      <c r="G918" s="108" t="inlineStr">
        <is>
          <t xml:space="preserve">FARG’ONA VILOYATI FARG’ONA SHAHAR MUSTAQILLIK MFY BELOVA KO’CHASI 103-UY</t>
        </is>
      </c>
      <c r="H918" s="109">
        <v>13.0</v>
      </c>
      <c r="I918" s="109">
        <v>5364329.32</v>
      </c>
      <c r="K918" s="108" t="inlineStr">
        <is>
          <t xml:space="preserve">Telefon ko'tarmadi | 3823529</t>
        </is>
      </c>
    </row>
    <row r="919">
      <c r="A919" s="108" t="inlineStr">
        <is>
          <t xml:space="preserve">ФАРГОНА ВИЛОЯТИ</t>
        </is>
      </c>
      <c r="C919" s="108" t="inlineStr">
        <is>
          <t xml:space="preserve">Недозвон</t>
        </is>
      </c>
      <c r="D919" s="108" t="inlineStr">
        <is>
          <t xml:space="preserve">Кр-99053631-1</t>
        </is>
      </c>
      <c r="E919" s="108" t="inlineStr">
        <is>
          <t xml:space="preserve">ABDUKARIMOV AKMALJON TO’XTASINOVICH</t>
        </is>
      </c>
      <c r="F919" s="108" t="inlineStr">
        <is>
          <t xml:space="preserve">998916720698 SMS OZI, 998505752669 SMS UKASI, 998943940527 SMKS AYOLI, 998939806766 SMS AKASI, 998941360809 hamkasbi tolovchi,</t>
        </is>
      </c>
      <c r="G919" s="108" t="inlineStr">
        <is>
          <t xml:space="preserve">FARG’ONA VILOYATI FARG’ONA TUMANI GULSHAN MFY BARKAMOL KO’CHASI 93-XONADON</t>
        </is>
      </c>
      <c r="H919" s="109">
        <v>10.0</v>
      </c>
      <c r="I919" s="109">
        <v>5358536.77</v>
      </c>
      <c r="K919" s="108" t="inlineStr">
        <is>
          <t xml:space="preserve">Telefon ko'tarmadi | 1645372.74</t>
        </is>
      </c>
    </row>
    <row r="920">
      <c r="A920" s="108" t="inlineStr">
        <is>
          <t xml:space="preserve">ФАРГОНА ВИЛОЯТИ</t>
        </is>
      </c>
      <c r="C920" s="108" t="inlineStr">
        <is>
          <t xml:space="preserve">Объезд</t>
        </is>
      </c>
      <c r="D920" s="108" t="inlineStr">
        <is>
          <t xml:space="preserve">Кр-99048975-1</t>
        </is>
      </c>
      <c r="E920" s="108" t="inlineStr">
        <is>
          <t xml:space="preserve">ERGASHEV ASRORBEK PAXLAVON O’G’LI</t>
        </is>
      </c>
      <c r="F920" s="108" t="inlineStr">
        <is>
          <t xml:space="preserve">+998941302940 SMS O’ZI, 998888201114 AKASI, 998906860405 AYOLI, 998916548020 UKASI, 998952298454 OZI NEW,</t>
        </is>
      </c>
      <c r="G920" s="108" t="inlineStr">
        <is>
          <t xml:space="preserve">FARG’ONA VILOYATI QO’SHTEPA TUMANI QAMISHTEPA MFY CHORBOG’ KO’CHASI 1.2-UY 16-XONADON</t>
        </is>
      </c>
      <c r="H920" s="109">
        <v>10.0</v>
      </c>
      <c r="I920" s="109">
        <v>5307308.89</v>
      </c>
      <c r="K920" s="108" t="inlineStr">
        <is>
          <t xml:space="preserve">Uyiga borildi - va'da berdi | 1666665.82</t>
        </is>
      </c>
    </row>
    <row r="921">
      <c r="A921" s="108" t="inlineStr">
        <is>
          <t xml:space="preserve">ФАРГОНА ВИЛОЯТИ</t>
        </is>
      </c>
      <c r="C921" s="108" t="inlineStr">
        <is>
          <t xml:space="preserve">Объезд</t>
        </is>
      </c>
      <c r="D921" s="108" t="inlineStr">
        <is>
          <t xml:space="preserve">Кр-99042987-1</t>
        </is>
      </c>
      <c r="E921" s="108" t="inlineStr">
        <is>
          <t xml:space="preserve">ERGASHEVA MARXABOXON MADAMINOVNA</t>
        </is>
      </c>
      <c r="F921" s="108" t="inlineStr">
        <is>
          <t xml:space="preserve">+998911085015 SMS O’ZI, 998911582303 OPASI ,BEGONAAAA, 998916694832 ERI, 998985750796 JIYANI,</t>
        </is>
      </c>
      <c r="G921" s="108" t="inlineStr">
        <is>
          <t xml:space="preserve">FARG’ONA VILOYATI QO’SHTEPA TUMANI BALANDMASJID MFY NAVQURON KO’CHASI 25-XONADON</t>
        </is>
      </c>
      <c r="H921" s="109">
        <v>10.0</v>
      </c>
      <c r="I921" s="109">
        <v>5266634.98</v>
      </c>
      <c r="K921" s="108" t="inlineStr">
        <is>
          <t xml:space="preserve">Uyiga borildi - va'da berdi | 1666665.68</t>
        </is>
      </c>
    </row>
    <row r="922">
      <c r="A922" s="108" t="inlineStr">
        <is>
          <t xml:space="preserve">ФАРГОНА ВИЛОЯТИ</t>
        </is>
      </c>
      <c r="C922" s="108" t="inlineStr">
        <is>
          <t xml:space="preserve">Объезд</t>
        </is>
      </c>
      <c r="D922" s="108" t="inlineStr">
        <is>
          <t xml:space="preserve">Кр-99037178-1</t>
        </is>
      </c>
      <c r="E922" s="108" t="inlineStr">
        <is>
          <t xml:space="preserve">NURULLAYEV XOKIMJON OBIDDINOVICH</t>
        </is>
      </c>
      <c r="F922" s="108" t="inlineStr">
        <is>
          <t xml:space="preserve">998972141971 SMS OZI, 998888141973 SMS AYOLI, 998903020279 SMS OGLI ABDULXAFIZ O'G'LI, 998905371938 SMS KELINI,</t>
        </is>
      </c>
      <c r="G922" s="108" t="inlineStr">
        <is>
          <t xml:space="preserve">FARG’ONA VILOYATI FARG’ONA SHAHAR NAFOSAT MFY XAZINA QASHAKAR KO’CHASI 224-UY</t>
        </is>
      </c>
      <c r="H922" s="109">
        <v>13.0</v>
      </c>
      <c r="I922" s="109">
        <v>5182807.53</v>
      </c>
      <c r="J922" s="109">
        <v>2258677.0</v>
      </c>
      <c r="K922" s="108" t="inlineStr">
        <is>
          <t xml:space="preserve">Uyiga borildi - to'ladi | 2258677.98</t>
        </is>
      </c>
    </row>
    <row r="923">
      <c r="A923" s="108" t="inlineStr">
        <is>
          <t xml:space="preserve">ФАРГОНА ВИЛОЯТИ</t>
        </is>
      </c>
      <c r="C923" s="108" t="inlineStr">
        <is>
          <t xml:space="preserve">Объезд</t>
        </is>
      </c>
      <c r="D923" s="108" t="inlineStr">
        <is>
          <t xml:space="preserve">Кр-99047608-1</t>
        </is>
      </c>
      <c r="E923" s="108" t="inlineStr">
        <is>
          <t xml:space="preserve">ADXAMOV ABDUXALIL AKRAMJONOVICH</t>
        </is>
      </c>
      <c r="F923" s="108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923" s="108" t="inlineStr">
        <is>
          <t xml:space="preserve">QUVASOY SHAHRI</t>
        </is>
      </c>
      <c r="H923" s="109">
        <v>10.0</v>
      </c>
      <c r="I923" s="109">
        <v>5123920.87</v>
      </c>
      <c r="J923" s="109">
        <v>1667000.0</v>
      </c>
      <c r="K923" s="108" t="inlineStr">
        <is>
          <t xml:space="preserve">Uyiga borildi - to'ladi | 1667000</t>
        </is>
      </c>
    </row>
    <row r="924">
      <c r="A924" s="108" t="inlineStr">
        <is>
          <t xml:space="preserve">ФАРГОНА ВИЛОЯТИ</t>
        </is>
      </c>
      <c r="C924" s="108" t="inlineStr">
        <is>
          <t xml:space="preserve">Объезд</t>
        </is>
      </c>
      <c r="D924" s="108" t="inlineStr">
        <is>
          <t xml:space="preserve">Кр-99042673-1</t>
        </is>
      </c>
      <c r="E924" s="108" t="inlineStr">
        <is>
          <t xml:space="preserve">UMURZAKOVA MUNIRA BAXTIYAROVNA</t>
        </is>
      </c>
      <c r="F924" s="108" t="inlineStr">
        <is>
          <t xml:space="preserve">+998951500250 SMS O’ZI, 998916501497 O’G’LI 2, 998936499485 O’G’LI, 998972050027 UY,</t>
        </is>
      </c>
      <c r="G924" s="108" t="inlineStr">
        <is>
          <t xml:space="preserve">FARG’ONA VILOYATI QO’SHTEPA TUMANI QAMISHTEPA MFY SERQO’YOSH KO’CHASI 90-XONADON</t>
        </is>
      </c>
      <c r="H924" s="109">
        <v>10.0</v>
      </c>
      <c r="I924" s="109">
        <v>5102093.36</v>
      </c>
      <c r="K924" s="108" t="inlineStr">
        <is>
          <t xml:space="preserve">Uyiga borildi - va'da berdi | 1812270.59</t>
        </is>
      </c>
    </row>
    <row r="925">
      <c r="A925" s="108" t="inlineStr">
        <is>
          <t xml:space="preserve">ФАРГОНА ВИЛОЯТИ</t>
        </is>
      </c>
      <c r="C925" s="108" t="inlineStr">
        <is>
          <t xml:space="preserve">Недозвон</t>
        </is>
      </c>
      <c r="D925" s="108" t="inlineStr">
        <is>
          <t xml:space="preserve">Кр-99052972-1</t>
        </is>
      </c>
      <c r="E925" s="108" t="inlineStr">
        <is>
          <t xml:space="preserve">AXMATQULOV JUMAQO’ZI ERGASHEVICH</t>
        </is>
      </c>
      <c r="F925" s="108" t="inlineStr">
        <is>
          <t xml:space="preserve">998916882765 SMS OZI, 998901512394 SMS OGL, 998954976569 SMS AYOOLI, 998580532372 SMS OGLI, 998958889169 OZI NEW,</t>
        </is>
      </c>
      <c r="G925" s="108" t="inlineStr">
        <is>
          <t xml:space="preserve">FARG’ONA VILOYATI BOG’DOD TUMANI PAXTAOBOD MFY TASHABBUS KO’CHASI 6-UY</t>
        </is>
      </c>
      <c r="H925" s="109">
        <v>10.0</v>
      </c>
      <c r="I925" s="109">
        <v>5099725.04</v>
      </c>
      <c r="K925" s="108" t="inlineStr">
        <is>
          <t xml:space="preserve">Telefon ko'tarmadi | 1667000</t>
        </is>
      </c>
    </row>
    <row r="926">
      <c r="A926" s="108" t="inlineStr">
        <is>
          <t xml:space="preserve">ФАРГОНА ВИЛОЯТИ</t>
        </is>
      </c>
      <c r="C926" s="108" t="inlineStr">
        <is>
          <t xml:space="preserve">Недозвон</t>
        </is>
      </c>
      <c r="D926" s="108" t="inlineStr">
        <is>
          <t xml:space="preserve">Кр-99047401-1</t>
        </is>
      </c>
      <c r="E926" s="108" t="inlineStr">
        <is>
          <t xml:space="preserve">QAZAQOV ABRORJON RAXIMOVICH</t>
        </is>
      </c>
      <c r="F926" s="108" t="inlineStr">
        <is>
          <t xml:space="preserve">998975958828 O'ZI, 998976661171 JIYANI, 998949142377 AKASI, 998949071171 SMS JIYANI, 998975958828 SMS  NEW, 998948850303 SHUNGA QILINSI TOLOVCHI ,</t>
        </is>
      </c>
      <c r="G926" s="108" t="inlineStr">
        <is>
          <t xml:space="preserve">BUVAYDA TUMANI</t>
        </is>
      </c>
      <c r="H926" s="109">
        <v>10.0</v>
      </c>
      <c r="I926" s="109">
        <v>4999640.59</v>
      </c>
      <c r="K926" s="108" t="inlineStr">
        <is>
          <t xml:space="preserve">Telefon ko'tarmadi | 2121000</t>
        </is>
      </c>
    </row>
    <row r="927">
      <c r="A927" s="108" t="inlineStr">
        <is>
          <t xml:space="preserve">ФАРГОНА ВИЛОЯТИ</t>
        </is>
      </c>
      <c r="C927" s="108" t="inlineStr">
        <is>
          <t xml:space="preserve">Недозвон</t>
        </is>
      </c>
      <c r="D927" s="108" t="inlineStr">
        <is>
          <t xml:space="preserve">Кр-99034161-1</t>
        </is>
      </c>
      <c r="E927" s="108" t="inlineStr">
        <is>
          <t xml:space="preserve">G’OFUROV KOMILJON TOLIBJONOVICH</t>
        </is>
      </c>
      <c r="F927" s="108" t="inlineStr">
        <is>
          <t xml:space="preserve">998902912907 SMS Ozi, 998937248207 SMS Ayoli , 998937278207 SMS Ayoli , 998507770652  qizi tolovchi , 998947963335 UZI NEWWW,</t>
        </is>
      </c>
      <c r="G927" s="108" t="inlineStr">
        <is>
          <t xml:space="preserve">FARG’ONA VILOYATI BOG’DOD TUMANI BEKOBOD MFY XUMO KO’CHASI 118-XONADON</t>
        </is>
      </c>
      <c r="H927" s="109">
        <v>44.0</v>
      </c>
      <c r="I927" s="109">
        <v>4854336.1</v>
      </c>
      <c r="K927" s="108" t="inlineStr">
        <is>
          <t xml:space="preserve">Telefon ko'tarmadi | 2532494.54</t>
        </is>
      </c>
    </row>
    <row r="928">
      <c r="A928" s="108" t="inlineStr">
        <is>
          <t xml:space="preserve">ФАРГОНА ВИЛОЯТИ</t>
        </is>
      </c>
      <c r="C928" s="108" t="inlineStr">
        <is>
          <t xml:space="preserve">Недозвон</t>
        </is>
      </c>
      <c r="D928" s="108" t="inlineStr">
        <is>
          <t xml:space="preserve">Кр-99048926-1</t>
        </is>
      </c>
      <c r="E928" s="108" t="inlineStr">
        <is>
          <t xml:space="preserve">VAXOBOV ABDUSATTOR ABDUVALI O’G’LI</t>
        </is>
      </c>
      <c r="F928" s="108" t="inlineStr">
        <is>
          <t xml:space="preserve">+998882100092 SMS O’ZI, 998911099296 ONASI, 998911275213 DADASI, 998918848640 OPASI,</t>
        </is>
      </c>
      <c r="G928" s="108" t="inlineStr">
        <is>
          <t xml:space="preserve">FARG’ONA VILOYATI QO’SHTEPA TUMANI SARMAZOR MFY SHARQ KO’CHASI 481-XONADON</t>
        </is>
      </c>
      <c r="H928" s="109">
        <v>10.0</v>
      </c>
      <c r="I928" s="109">
        <v>4544705.45</v>
      </c>
      <c r="K928" s="108" t="inlineStr">
        <is>
          <t xml:space="preserve">Telefon ko'tarmadi | 1458332.84</t>
        </is>
      </c>
    </row>
    <row r="929">
      <c r="A929" s="108" t="inlineStr">
        <is>
          <t xml:space="preserve">ФАРГОНА ВИЛОЯТИ</t>
        </is>
      </c>
      <c r="C929" s="108" t="inlineStr">
        <is>
          <t xml:space="preserve">Недозвон</t>
        </is>
      </c>
      <c r="D929" s="108" t="inlineStr">
        <is>
          <t xml:space="preserve">Кр-99047398-1</t>
        </is>
      </c>
      <c r="E929" s="108" t="inlineStr">
        <is>
          <t xml:space="preserve">MAMATKARIMOV SARVARBEK AKMAL O’G’LI</t>
        </is>
      </c>
      <c r="F929" s="108" t="inlineStr">
        <is>
          <t xml:space="preserve">998940290792 SMS O’ZI, 998942412018 SMS AYOLI, 998777518062 SMS DADASI, 998912846371 SMS ONASI,</t>
        </is>
      </c>
      <c r="G929" s="108" t="inlineStr">
        <is>
          <t xml:space="preserve">FARGONA</t>
        </is>
      </c>
      <c r="H929" s="109">
        <v>10.0</v>
      </c>
      <c r="I929" s="109">
        <v>4488080.52</v>
      </c>
      <c r="K929" s="108" t="inlineStr">
        <is>
          <t xml:space="preserve">Telefon ko'tarmadi | 1458000</t>
        </is>
      </c>
    </row>
    <row r="930">
      <c r="A930" s="108" t="inlineStr">
        <is>
          <t xml:space="preserve">ФАРГОНА ВИЛОЯТИ</t>
        </is>
      </c>
      <c r="C930" s="108" t="inlineStr">
        <is>
          <t xml:space="preserve">Недозвон</t>
        </is>
      </c>
      <c r="D930" s="108" t="inlineStr">
        <is>
          <t xml:space="preserve">Кр-99042084-2</t>
        </is>
      </c>
      <c r="E930" s="108" t="inlineStr">
        <is>
          <t xml:space="preserve">ARIPOV KURBONALI FARMANOVICH</t>
        </is>
      </c>
      <c r="F930" s="108" t="inlineStr">
        <is>
          <t xml:space="preserve">+998901666019 SMS O’ZI, 998909425347 AYOLI, 998911270930 KELINI, 998990064471 O’G’LI TO’LOVCHI,</t>
        </is>
      </c>
      <c r="G930" s="108" t="inlineStr">
        <is>
          <t xml:space="preserve">FARG’ONA VILOYATI QUVA TUMANI O’ZBEKISTON MFY BERUNIY KO’CHASI 138-XONADON</t>
        </is>
      </c>
      <c r="H930" s="109">
        <v>10.0</v>
      </c>
      <c r="I930" s="109">
        <v>4175564.86</v>
      </c>
      <c r="K930" s="108" t="inlineStr">
        <is>
          <t xml:space="preserve">Telefon ko'tarmadi | 1818180.96</t>
        </is>
      </c>
    </row>
    <row r="931">
      <c r="A931" s="108" t="inlineStr">
        <is>
          <t xml:space="preserve">ФАРГОНА ВИЛОЯТИ</t>
        </is>
      </c>
      <c r="C931" s="108" t="inlineStr">
        <is>
          <t xml:space="preserve">Недозвон</t>
        </is>
      </c>
      <c r="D931" s="108" t="inlineStr">
        <is>
          <t xml:space="preserve">Кр-99052905-1</t>
        </is>
      </c>
      <c r="E931" s="108" t="inlineStr">
        <is>
          <t xml:space="preserve">KURBONOV SHUXRAT SHAXABIDINOVICH</t>
        </is>
      </c>
      <c r="F931" s="108" t="inlineStr">
        <is>
          <t xml:space="preserve">998700190989 SMS OZI, 998077556362 SMS OZI, 998884130035 SMS OGLI, 998901628776 SMS AYOLI,</t>
        </is>
      </c>
      <c r="G931" s="108" t="inlineStr">
        <is>
          <t xml:space="preserve">FARG’ONA VILOYATI TOSHLOQ TUMANI ZARKENT MFY QASHQARQISHLOQ KO’CHASI 101-XONADON</t>
        </is>
      </c>
      <c r="H931" s="109">
        <v>10.0</v>
      </c>
      <c r="I931" s="109">
        <v>4025771.95</v>
      </c>
      <c r="K931" s="108" t="inlineStr">
        <is>
          <t xml:space="preserve">Telefon ko'tarmadi | 1318019.19</t>
        </is>
      </c>
    </row>
    <row r="932">
      <c r="A932" s="108" t="inlineStr">
        <is>
          <t xml:space="preserve">ФАРГОНА ВИЛОЯТИ</t>
        </is>
      </c>
      <c r="C932" s="108" t="inlineStr">
        <is>
          <t xml:space="preserve">Недозвон</t>
        </is>
      </c>
      <c r="D932" s="108" t="inlineStr">
        <is>
          <t xml:space="preserve">Кр-99027916-1</t>
        </is>
      </c>
      <c r="E932" s="108" t="inlineStr">
        <is>
          <t xml:space="preserve">SATTOROVA XURSHIDAXON RAVSHANJON QIZI</t>
        </is>
      </c>
      <c r="F932" s="108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932" s="108" t="inlineStr">
        <is>
          <t xml:space="preserve">FARG’ONA VILOYATI FARG’ONA SHAHAR FURQAT MFY, YOSHLIK KO’CHASI 93-A UY</t>
        </is>
      </c>
      <c r="H932" s="109">
        <v>2.0</v>
      </c>
      <c r="I932" s="109">
        <v>3893933.39</v>
      </c>
      <c r="K932" s="108" t="inlineStr">
        <is>
          <t xml:space="preserve">Telefon ko'tarmadi | 2576000</t>
        </is>
      </c>
    </row>
    <row r="933">
      <c r="A933" s="108" t="inlineStr">
        <is>
          <t xml:space="preserve">ФАРГОНА ВИЛОЯТИ</t>
        </is>
      </c>
      <c r="C933" s="108" t="inlineStr">
        <is>
          <t xml:space="preserve">Объезд</t>
        </is>
      </c>
      <c r="D933" s="108" t="inlineStr">
        <is>
          <t xml:space="preserve">Кр-99033571-1</t>
        </is>
      </c>
      <c r="E933" s="108" t="inlineStr">
        <is>
          <t xml:space="preserve">UMURZAKOV KARIM XUSANOVICH</t>
        </is>
      </c>
      <c r="F933" s="108" t="inlineStr">
        <is>
          <t xml:space="preserve">998907795658 SMS O’ZI begona, 998505043931 SMS O’G’LI, 998068043412 SMS O’G’LI 2, 998902301456 SMS AYOLI,</t>
        </is>
      </c>
      <c r="G933" s="108" t="inlineStr">
        <is>
          <t xml:space="preserve">FARG’ONA VILOYATI FARG’ONA SHAXAR XUJAMAG’IZ MFY UZIN YO’L KO’CHASI 247-XONADON</t>
        </is>
      </c>
      <c r="H933" s="109">
        <v>3.0</v>
      </c>
      <c r="I933" s="109">
        <v>3785041.79</v>
      </c>
      <c r="J933" s="109">
        <v>2424000.0</v>
      </c>
      <c r="K933" s="108" t="inlineStr">
        <is>
          <t xml:space="preserve">Uyiga borildi - to'ladi | 2424000</t>
        </is>
      </c>
    </row>
    <row r="934">
      <c r="A934" s="108" t="inlineStr">
        <is>
          <t xml:space="preserve">ФАРГОНА ВИЛОЯТИ</t>
        </is>
      </c>
      <c r="C934" s="108" t="inlineStr">
        <is>
          <t xml:space="preserve">Недозвон</t>
        </is>
      </c>
      <c r="D934" s="108" t="inlineStr">
        <is>
          <t xml:space="preserve">Кр-99033555-2</t>
        </is>
      </c>
      <c r="E934" s="108" t="inlineStr">
        <is>
          <t xml:space="preserve">AKBAROV IKROM MUXAMEDOVICH</t>
        </is>
      </c>
      <c r="F934" s="108" t="inlineStr">
        <is>
          <t xml:space="preserve">998902938949 SMS O’ZI, 998903438280 SMS AKASI, 998905652884 SMS AYOLI, 998905084464 SMS JIYANI,</t>
        </is>
      </c>
      <c r="G934" s="108" t="inlineStr">
        <is>
          <t xml:space="preserve">FARG’ONA VILOYATI QO’QON SHAHAR USTA BOZOR MFY PARPASHABOF KO’CHASI 209-XONADON</t>
        </is>
      </c>
      <c r="H934" s="109">
        <v>10.0</v>
      </c>
      <c r="I934" s="109">
        <v>3682299.28</v>
      </c>
      <c r="K934" s="108" t="inlineStr">
        <is>
          <t xml:space="preserve">Telefon ko'tarmadi | 965658.22</t>
        </is>
      </c>
    </row>
    <row r="935">
      <c r="A935" s="108" t="inlineStr">
        <is>
          <t xml:space="preserve">ФАРГОНА ВИЛОЯТИ</t>
        </is>
      </c>
      <c r="C935" s="108" t="inlineStr">
        <is>
          <t xml:space="preserve">Объезд</t>
        </is>
      </c>
      <c r="D935" s="108" t="inlineStr">
        <is>
          <t xml:space="preserve">Кр-99041353-1</t>
        </is>
      </c>
      <c r="E935" s="108" t="inlineStr">
        <is>
          <t xml:space="preserve">MELIQO’ZIYEVNA XURSHIDA MURODOVNA</t>
        </is>
      </c>
      <c r="F935" s="108" t="inlineStr">
        <is>
          <t xml:space="preserve">998940268681 SMS OZI, 998905880464 SMS ERI, 998903606764 SMS UY, 998994027364 SMS OGLI,</t>
        </is>
      </c>
      <c r="G935" s="108" t="inlineStr">
        <is>
          <t xml:space="preserve">FARG’ONA VILOYATI DANG’ARA TUMANI QORA MULLA MFY QO’SHCHINOR KO’CHASI 22-XONADON</t>
        </is>
      </c>
      <c r="H935" s="109">
        <v>10.0</v>
      </c>
      <c r="I935" s="109">
        <v>2865429.23</v>
      </c>
      <c r="J935" s="109">
        <v>549162.0</v>
      </c>
      <c r="K935" s="108" t="inlineStr">
        <is>
          <t xml:space="preserve">Uyiga borildi - to'ladi | TOLAGANI FILALGA KETAYABDI | 549162.59</t>
        </is>
      </c>
    </row>
    <row r="936">
      <c r="A936" s="108" t="inlineStr">
        <is>
          <t xml:space="preserve">ФАРГОНА ВИЛОЯТИ</t>
        </is>
      </c>
      <c r="C936" s="108" t="inlineStr">
        <is>
          <t xml:space="preserve">Объезд</t>
        </is>
      </c>
      <c r="D936" s="108" t="inlineStr">
        <is>
          <t xml:space="preserve">Кр-99035863-1</t>
        </is>
      </c>
      <c r="E936" s="108" t="inlineStr">
        <is>
          <t xml:space="preserve">ERGASHEV ILXOMJON XAKIMOVICH</t>
        </is>
      </c>
      <c r="F936" s="108" t="inlineStr">
        <is>
          <t xml:space="preserve">998916767655 SMS OZI, 998907831068 SMS AYOLI, 998916584356 SMS OGLI, 998907814645 SMS SHERIGI begona, 998949767655 OZI NEW ,</t>
        </is>
      </c>
      <c r="G936" s="108" t="inlineStr">
        <is>
          <t xml:space="preserve">FARG’ONA VILOYATI MARG’ILON SHAHAR YANGI XAYOT MFY S-OLLOYOR KO’CHASI 288-UY</t>
        </is>
      </c>
      <c r="H936" s="109">
        <v>10.0</v>
      </c>
      <c r="I936" s="109">
        <v>2859290.1</v>
      </c>
      <c r="J936" s="109">
        <v>1515000.0</v>
      </c>
      <c r="K936" s="108" t="inlineStr">
        <is>
          <t xml:space="preserve">Uyiga borildi - to'ladi | 1515000</t>
        </is>
      </c>
    </row>
    <row r="937">
      <c r="A937" s="108" t="inlineStr">
        <is>
          <t xml:space="preserve">ФАРГОНА ВИЛОЯТИ</t>
        </is>
      </c>
      <c r="C937" s="108" t="inlineStr">
        <is>
          <t xml:space="preserve">Объезд</t>
        </is>
      </c>
      <c r="D937" s="108" t="inlineStr">
        <is>
          <t xml:space="preserve">Кр-99037171-1</t>
        </is>
      </c>
      <c r="E937" s="108" t="inlineStr">
        <is>
          <t xml:space="preserve">SHARABIDINOVA NUSRATXON ISMOILOVNA</t>
        </is>
      </c>
      <c r="F937" s="108" t="inlineStr">
        <is>
          <t xml:space="preserve">998911303102 SMS OZI, 998999810228 SMS O’G’LI, 998335755717 SMS  QIZI, 998335555717 SMS NEVARASI, 998889270228 OGLI TOLOVCHI ,</t>
        </is>
      </c>
      <c r="G937" s="108" t="inlineStr">
        <is>
          <t xml:space="preserve">FARG’ONA VILOYATI FARG’ONA SHAHAR KIMYOGARLAR MFY SO’LIM KO’CHASI 11/2-UY 18-XONADON</t>
        </is>
      </c>
      <c r="H937" s="109">
        <v>10.0</v>
      </c>
      <c r="I937" s="109">
        <v>2819786.83</v>
      </c>
      <c r="K937" s="108" t="inlineStr">
        <is>
          <t xml:space="preserve">Uyiga borildi - va'da berdi | 1244813.95</t>
        </is>
      </c>
    </row>
    <row r="938">
      <c r="A938" s="108" t="inlineStr">
        <is>
          <t xml:space="preserve">ФАРГОНА ВИЛОЯТИ</t>
        </is>
      </c>
      <c r="C938" s="108" t="inlineStr">
        <is>
          <t xml:space="preserve">Недозвон</t>
        </is>
      </c>
      <c r="D938" s="108" t="inlineStr">
        <is>
          <t xml:space="preserve">Кр-99033385-2</t>
        </is>
      </c>
      <c r="E938" s="108" t="inlineStr">
        <is>
          <t xml:space="preserve">TOSHTEMIROV ULUG’JON NEMATJONOVICH</t>
        </is>
      </c>
      <c r="F938" s="108" t="inlineStr">
        <is>
          <t xml:space="preserve">998773017761 SMS O’ZI, 998907862235 SMS AYOLI, 998773072180 SMS O’G’LI, 998916537761 SMS AKASI, 998910429049 кизи,</t>
        </is>
      </c>
      <c r="G938" s="108" t="inlineStr">
        <is>
          <t xml:space="preserve">FARG'ONA VILOYATI FARG'ONA SHAXAR XO'JAMAG'IZ MFY ULUG'VOR KO'CHASI 528-UY</t>
        </is>
      </c>
      <c r="H938" s="109">
        <v>13.0</v>
      </c>
      <c r="I938" s="109">
        <v>2719125.3</v>
      </c>
      <c r="K938" s="108" t="inlineStr">
        <is>
          <t xml:space="preserve">Telefon ko'tarmadi | 1608932.34</t>
        </is>
      </c>
    </row>
    <row r="939">
      <c r="A939" s="108" t="inlineStr">
        <is>
          <t xml:space="preserve">ФАРГОНА ВИЛОЯТИ</t>
        </is>
      </c>
      <c r="C939" s="108" t="inlineStr">
        <is>
          <t xml:space="preserve">Недозвон</t>
        </is>
      </c>
      <c r="D939" s="108" t="inlineStr">
        <is>
          <t xml:space="preserve">Кр-99035234-1</t>
        </is>
      </c>
      <c r="E939" s="108" t="inlineStr">
        <is>
          <t xml:space="preserve">TURDIMATOV ZAYNOBIDIN XXX</t>
        </is>
      </c>
      <c r="F939" s="108" t="inlineStr">
        <is>
          <t xml:space="preserve">998932990801 SMS OZI BEGONA, 998932440003 SMS JIYANI begona, 998916717174 SMS QIZI, 998938403032 SMS UKASI begona,</t>
        </is>
      </c>
      <c r="G939" s="108" t="inlineStr">
        <is>
          <t xml:space="preserve">FARG’ONA VILOYATI QUVA TUMANI TOSHKENT MFY NURVAT KO’CHASI 17-XONADON</t>
        </is>
      </c>
      <c r="H939" s="109">
        <v>1.0</v>
      </c>
      <c r="I939" s="109">
        <v>2632824.54</v>
      </c>
      <c r="K939" s="108" t="inlineStr">
        <is>
          <t xml:space="preserve">Telefon ko'tarmadi | 1042000</t>
        </is>
      </c>
    </row>
    <row r="940">
      <c r="A940" s="108" t="inlineStr">
        <is>
          <t xml:space="preserve">ФАРГОНА ВИЛОЯТИ</t>
        </is>
      </c>
      <c r="C940" s="108" t="inlineStr">
        <is>
          <t xml:space="preserve">Объезд</t>
        </is>
      </c>
      <c r="D940" s="108" t="inlineStr">
        <is>
          <t xml:space="preserve">Кр-99034448-2</t>
        </is>
      </c>
      <c r="E940" s="108" t="inlineStr">
        <is>
          <t xml:space="preserve">ASHIROVA MIRA ABBASOVNA</t>
        </is>
      </c>
      <c r="F940" s="108" t="inlineStr">
        <is>
          <t xml:space="preserve">998916509967 SMS O’ZI, 998901621373 SMS O’G’LI, 998907844322 SMS O’G’LI, 998939773993 SMS JIYANI BEGONA,</t>
        </is>
      </c>
      <c r="G940" s="108" t="inlineStr">
        <is>
          <t xml:space="preserve">FARG’ONA VILOYATI FARG’ONA SHAHAR M.ULUG’BEK MFY AXMAD YASSAVIY 50-UY 11-XONADON</t>
        </is>
      </c>
      <c r="H940" s="109">
        <v>10.0</v>
      </c>
      <c r="I940" s="109">
        <v>2514425.17</v>
      </c>
      <c r="J940" s="109">
        <v>909071.0</v>
      </c>
      <c r="K940" s="108" t="inlineStr">
        <is>
          <t xml:space="preserve">Uyiga borildi - to'ladi | 909071.89</t>
        </is>
      </c>
    </row>
    <row r="941">
      <c r="A941" s="108" t="inlineStr">
        <is>
          <t xml:space="preserve">ФАРГОНА ВИЛОЯТИ</t>
        </is>
      </c>
      <c r="C941" s="108" t="inlineStr">
        <is>
          <t xml:space="preserve">Объезд</t>
        </is>
      </c>
      <c r="D941" s="108" t="inlineStr">
        <is>
          <t xml:space="preserve">Кр-99052960-1</t>
        </is>
      </c>
      <c r="E941" s="108" t="inlineStr">
        <is>
          <t xml:space="preserve">UMMATQULOV MUXAMADJON YO’LDASHEVICH</t>
        </is>
      </c>
      <c r="F941" s="108" t="inlineStr">
        <is>
          <t xml:space="preserve">998903047144 OZI , 998905866786 OZI 2, 998947797144 AYOLI,</t>
        </is>
      </c>
      <c r="G941" s="108" t="inlineStr">
        <is>
          <t xml:space="preserve">BOG’DOD TUMANI</t>
        </is>
      </c>
      <c r="H941" s="109">
        <v>10.0</v>
      </c>
      <c r="I941" s="109">
        <v>2262651.9</v>
      </c>
      <c r="J941" s="109">
        <v>775466.0</v>
      </c>
      <c r="K941" s="108" t="inlineStr">
        <is>
          <t xml:space="preserve">Uyiga borildi - to'ladi | 775466.14</t>
        </is>
      </c>
    </row>
    <row r="942">
      <c r="A942" s="108" t="inlineStr">
        <is>
          <t xml:space="preserve">ФАРГОНА ВИЛОЯТИ</t>
        </is>
      </c>
      <c r="C942" s="108" t="inlineStr">
        <is>
          <t xml:space="preserve">Недозвон</t>
        </is>
      </c>
      <c r="D942" s="108" t="inlineStr">
        <is>
          <t xml:space="preserve">Кр-99058893-1</t>
        </is>
      </c>
      <c r="E942" s="108" t="inlineStr">
        <is>
          <t xml:space="preserve">RAXMATOV MUXAMMADAZIMJON AXMADJON O’G’LI</t>
        </is>
      </c>
      <c r="F942" s="108" t="inlineStr">
        <is>
          <t xml:space="preserve">998911090005 узи, 998918820808 узи2, 998779700809 уй,</t>
        </is>
      </c>
      <c r="G942" s="108" t="inlineStr">
        <is>
          <t xml:space="preserve">FARG’ONA VILOYATI MARG’ILON SHAXRI YANGI HAYOT MFY S.OLLOYOR KUCHASI 260-UY</t>
        </is>
      </c>
      <c r="H942" s="109">
        <v>10.0</v>
      </c>
      <c r="I942" s="109">
        <v>2251271.49</v>
      </c>
      <c r="K942" s="108" t="inlineStr">
        <is>
          <t xml:space="preserve">Telefon ko'tarmadi | 1457275.73</t>
        </is>
      </c>
    </row>
    <row r="943">
      <c r="A943" s="108" t="inlineStr">
        <is>
          <t xml:space="preserve">ФАРГОНА ВИЛОЯТИ</t>
        </is>
      </c>
      <c r="C943" s="108" t="inlineStr">
        <is>
          <t xml:space="preserve">Недозвон</t>
        </is>
      </c>
      <c r="D943" s="108" t="inlineStr">
        <is>
          <t xml:space="preserve">Кр-99025604-3</t>
        </is>
      </c>
      <c r="E943" s="108" t="inlineStr">
        <is>
          <t xml:space="preserve">KAMOLOVA XILOLAXON A’ZAMOVNA</t>
        </is>
      </c>
      <c r="F943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43" s="108" t="inlineStr">
        <is>
          <t xml:space="preserve">FARG’ONA VILOYATI MARG’ILON SHAHAR ALISHER NAVOYI MFY, MUSTAQILLIK KO’CHASI 525-UY 24-XONADON</t>
        </is>
      </c>
      <c r="H943" s="109">
        <v>10.0</v>
      </c>
      <c r="I943" s="109">
        <v>2091188.56</v>
      </c>
      <c r="K943" s="108" t="inlineStr">
        <is>
          <t xml:space="preserve">Telefon ko'tarmadi | 999999.66</t>
        </is>
      </c>
    </row>
    <row r="944">
      <c r="A944" s="108" t="inlineStr">
        <is>
          <t xml:space="preserve">ФАРГОНА ВИЛОЯТИ</t>
        </is>
      </c>
      <c r="C944" s="108" t="inlineStr">
        <is>
          <t xml:space="preserve">Недозвон</t>
        </is>
      </c>
      <c r="D944" s="108" t="inlineStr">
        <is>
          <t xml:space="preserve">Кр-99034447-1</t>
        </is>
      </c>
      <c r="E944" s="108" t="inlineStr">
        <is>
          <t xml:space="preserve">NO’MONOV NIZOMBEK NE’MATULLO O’G’LI</t>
        </is>
      </c>
      <c r="F944" s="108" t="inlineStr">
        <is>
          <t xml:space="preserve">998916665626 SMS O’ZI, 998772805626 SMS AKASI, 998916765958 SMS UKASI, 998939763939 SMS SHERIGI, 998999855218 SMS new ozi , 998911274848 SMS OZI YENGI NOMERI ,</t>
        </is>
      </c>
      <c r="G944" s="108" t="inlineStr">
        <is>
          <t xml:space="preserve">FARG’ONA VILOYATI MARG’ILON SHAXAR NAVRUZ MFY ILXOM KO’CHASI 14-XONADON</t>
        </is>
      </c>
      <c r="H944" s="109">
        <v>3.0</v>
      </c>
      <c r="I944" s="109">
        <v>2033683.35</v>
      </c>
      <c r="K944" s="108" t="inlineStr">
        <is>
          <t xml:space="preserve">Telefon ko'tarmadi | 1212000</t>
        </is>
      </c>
    </row>
    <row r="945">
      <c r="A945" s="108" t="inlineStr">
        <is>
          <t xml:space="preserve">ФАРГОНА ВИЛОЯТИ</t>
        </is>
      </c>
      <c r="C945" s="108" t="inlineStr">
        <is>
          <t xml:space="preserve">Недозвон</t>
        </is>
      </c>
      <c r="D945" s="108" t="inlineStr">
        <is>
          <t xml:space="preserve">Кр-99062855-4</t>
        </is>
      </c>
      <c r="E945" s="108" t="inlineStr">
        <is>
          <t xml:space="preserve">AXMEDOV AKBARJON ABDULLAJONOVICH</t>
        </is>
      </c>
      <c r="F945" s="108" t="inlineStr">
        <is>
          <t xml:space="preserve">+998931217530 SMS O’ZI, 998947801123 AYOLI, 998994013542 AKASI, 998994481040 O’G’LI,</t>
        </is>
      </c>
      <c r="G945" s="108" t="inlineStr">
        <is>
          <t xml:space="preserve">FARG’ONA VILOYATI FURQAT TUMANI MUSTAQILLIK MFY YANGI XAYOT KO’CHASI 374-UY</t>
        </is>
      </c>
      <c r="H945" s="109">
        <v>10.0</v>
      </c>
      <c r="I945" s="109">
        <v>1922065.28</v>
      </c>
      <c r="K945" s="108" t="inlineStr">
        <is>
          <t xml:space="preserve">Telefon ko'tarmadi | 715234.16</t>
        </is>
      </c>
    </row>
    <row r="946">
      <c r="A946" s="108" t="inlineStr">
        <is>
          <t xml:space="preserve">ФАРГОНА ВИЛОЯТИ</t>
        </is>
      </c>
      <c r="C946" s="108" t="inlineStr">
        <is>
          <t xml:space="preserve">Недозвон</t>
        </is>
      </c>
      <c r="D946" s="108" t="inlineStr">
        <is>
          <t xml:space="preserve">Кр-99038391-1</t>
        </is>
      </c>
      <c r="E946" s="108" t="inlineStr">
        <is>
          <t xml:space="preserve">ERKABOYEV OYBEK XUSANOVICH</t>
        </is>
      </c>
      <c r="F946" s="108" t="inlineStr">
        <is>
          <t xml:space="preserve">998939799696 uzi, 998937494886 ayoli, 998937316996 ugli,</t>
        </is>
      </c>
      <c r="G946" s="108" t="inlineStr">
        <is>
          <t xml:space="preserve">Фаргона тумани Корасув МФЙ Шижоат кучаси ОҚБИЛОЛ ҚФЙ, ЯНГИ ОБОД МФЙ, ЎРИКЗОР КЎЧАСИ,  uy:89</t>
        </is>
      </c>
      <c r="H946" s="109">
        <v>10.0</v>
      </c>
      <c r="I946" s="109">
        <v>1922030.42</v>
      </c>
      <c r="K946" s="108" t="inlineStr">
        <is>
          <t xml:space="preserve">Telefon ko'tarmadi | 643468.24</t>
        </is>
      </c>
    </row>
    <row r="947">
      <c r="A947" s="108" t="inlineStr">
        <is>
          <t xml:space="preserve">ФАРГОНА ВИЛОЯТИ</t>
        </is>
      </c>
      <c r="C947" s="108" t="inlineStr">
        <is>
          <t xml:space="preserve">Недозвон</t>
        </is>
      </c>
      <c r="D947" s="108" t="inlineStr">
        <is>
          <t xml:space="preserve">Кр-99032352-1</t>
        </is>
      </c>
      <c r="E947" s="108" t="inlineStr">
        <is>
          <t xml:space="preserve">SULTANOV DILSHOD ASHURALIYEVICH</t>
        </is>
      </c>
      <c r="F947" s="108" t="inlineStr">
        <is>
          <t xml:space="preserve">998916545700 SMS O’ZI, 998956465701 SMS AYOLI, 998993207090 SMS O’G’LI, 998904070904 SMS JIYANI, 998946300886 SMS  tolovchi new ,</t>
        </is>
      </c>
      <c r="G947" s="108" t="inlineStr">
        <is>
          <t xml:space="preserve">FARG’ONA VIL MARG’ILON SH BO’RXONNIDIN MARG’ILONI MFY B.M KO’CHASI 378-UY</t>
        </is>
      </c>
      <c r="H947" s="109">
        <v>10.0</v>
      </c>
      <c r="I947" s="109">
        <v>1646091.85</v>
      </c>
      <c r="K947" s="108" t="inlineStr">
        <is>
          <t xml:space="preserve">Telefon ko'tarmadi | 1212000</t>
        </is>
      </c>
    </row>
    <row r="948">
      <c r="A948" s="108" t="inlineStr">
        <is>
          <t xml:space="preserve">ФАРГОНА ВИЛОЯТИ</t>
        </is>
      </c>
      <c r="C948" s="108" t="inlineStr">
        <is>
          <t xml:space="preserve">Недозвон</t>
        </is>
      </c>
      <c r="D948" s="108" t="inlineStr">
        <is>
          <t xml:space="preserve">Кр-99041167-1</t>
        </is>
      </c>
      <c r="E948" s="108" t="inlineStr">
        <is>
          <t xml:space="preserve">O’RMONOV SARDORBEK O’LMASALI O’G’LI</t>
        </is>
      </c>
      <c r="F948" s="108" t="inlineStr">
        <is>
          <t xml:space="preserve">+998901515516 SMS OZI, 998901505516 SMS AKASI, 998911505516 SMS AKASI,</t>
        </is>
      </c>
      <c r="G948" s="108" t="inlineStr">
        <is>
          <t xml:space="preserve">Хайит МФЙ, Қўқон кучаси, 68-уй</t>
        </is>
      </c>
      <c r="H948" s="109">
        <v>10.0</v>
      </c>
      <c r="I948" s="109">
        <v>1582415.86</v>
      </c>
      <c r="K948" s="108" t="inlineStr">
        <is>
          <t xml:space="preserve">Telefon ko'tarmadi | 496358.2</t>
        </is>
      </c>
    </row>
    <row r="949">
      <c r="A949" s="108" t="inlineStr">
        <is>
          <t xml:space="preserve">ФАРГОНА ВИЛОЯТИ</t>
        </is>
      </c>
      <c r="C949" s="108" t="inlineStr">
        <is>
          <t xml:space="preserve">Недозвон</t>
        </is>
      </c>
      <c r="D949" s="108" t="inlineStr">
        <is>
          <t xml:space="preserve">Кр-99030462-1</t>
        </is>
      </c>
      <c r="E949" s="108" t="inlineStr">
        <is>
          <t xml:space="preserve">YIGITALIYEV TO’LQIN ERKINJONOVICH</t>
        </is>
      </c>
      <c r="F949" s="108" t="inlineStr">
        <is>
          <t xml:space="preserve">93-979-38-07 SMS  O'ZI, 93-973-50-05 SMS  UKASI, 93-535-84-40 SMS DADASI, 94-205-31-01  SMS AYOLI, 998932068870 sms ozi new, 998958784224 OZI NEW,</t>
        </is>
      </c>
      <c r="G949" s="108" t="inlineStr">
        <is>
          <t xml:space="preserve">FARG’ONA VILOYATI FARG’ONA TUMANI LANGAR MFY, TEPALIK KO’CHASI 55-UY</t>
        </is>
      </c>
      <c r="H949" s="109">
        <v>10.0</v>
      </c>
      <c r="I949" s="109">
        <v>1519463.61</v>
      </c>
      <c r="K949" s="108" t="inlineStr">
        <is>
          <t xml:space="preserve">Telefon ko'tarmadi | 909000</t>
        </is>
      </c>
    </row>
    <row r="950">
      <c r="A950" s="108" t="inlineStr">
        <is>
          <t xml:space="preserve">ФАРГОНА ВИЛОЯТИ</t>
        </is>
      </c>
      <c r="C950" s="108" t="inlineStr">
        <is>
          <t xml:space="preserve">Недозвон</t>
        </is>
      </c>
      <c r="D950" s="108" t="inlineStr">
        <is>
          <t xml:space="preserve">Кр-99030462-3</t>
        </is>
      </c>
      <c r="E950" s="108" t="inlineStr">
        <is>
          <t xml:space="preserve">YIGITALIYEV TO’LQIN ERKINJONOVICH</t>
        </is>
      </c>
      <c r="F950" s="108" t="inlineStr">
        <is>
          <t xml:space="preserve">93-979-38-07 SMS  O'ZI, 93-973-50-05 SMS  UKASI, 93-535-84-40 SMS DADASI, 94-205-31-01  SMS AYOLI, 998932068870 sms ozi new, 998958784224 OZI NEW,</t>
        </is>
      </c>
      <c r="G950" s="108" t="inlineStr">
        <is>
          <t xml:space="preserve">FARG’ONA VILOYATI FARG’ONA TUMANI LANGAR MFY, TEPALIK KO’CHASI 55-UY</t>
        </is>
      </c>
      <c r="H950" s="109">
        <v>10.0</v>
      </c>
      <c r="I950" s="109">
        <v>1317977.1</v>
      </c>
      <c r="K950" s="108" t="inlineStr">
        <is>
          <t xml:space="preserve">Telefon ko'tarmadi | 497637.9</t>
        </is>
      </c>
    </row>
    <row r="951">
      <c r="A951" s="108" t="inlineStr">
        <is>
          <t xml:space="preserve">ФАРГОНА ВИЛОЯТИ</t>
        </is>
      </c>
      <c r="C951" s="108" t="inlineStr">
        <is>
          <t xml:space="preserve">Недозвон</t>
        </is>
      </c>
      <c r="D951" s="108" t="inlineStr">
        <is>
          <t xml:space="preserve">Кр-99060305-1</t>
        </is>
      </c>
      <c r="E951" s="108" t="inlineStr">
        <is>
          <t xml:space="preserve">IBRAGIMOV XAYOTILLO AMRULLOXONOVICH</t>
        </is>
      </c>
      <c r="F951" s="108" t="inlineStr">
        <is>
          <t xml:space="preserve">998995826214 SMS OIZI, 998905826214 SMS AKASI, 998993956214 SMS AYOLI, 998905096010 SMS JIYANI,</t>
        </is>
      </c>
      <c r="G951" s="108" t="inlineStr">
        <is>
          <t xml:space="preserve">FARG’ONA VILOYATI TOSHLOQ TUMANI XO’JJARIQ MFY A-NAVOIY KO’CHASI 153-XONADON</t>
        </is>
      </c>
      <c r="H951" s="109">
        <v>10.0</v>
      </c>
      <c r="I951" s="109">
        <v>1272205.38</v>
      </c>
      <c r="K951" s="108" t="inlineStr">
        <is>
          <t xml:space="preserve">Telefon ko'tarmadi | 352084.36</t>
        </is>
      </c>
    </row>
    <row r="952">
      <c r="A952" s="108" t="inlineStr">
        <is>
          <t xml:space="preserve">ФАРГОНА ВИЛОЯТИ</t>
        </is>
      </c>
      <c r="C952" s="108" t="inlineStr">
        <is>
          <t xml:space="preserve">Объезд</t>
        </is>
      </c>
      <c r="D952" s="108" t="inlineStr">
        <is>
          <t xml:space="preserve">Кр-99030672-1</t>
        </is>
      </c>
      <c r="E952" s="108" t="inlineStr">
        <is>
          <t xml:space="preserve">ABDULLAYEV G’AYRATJON G’OLIB O’G’LI</t>
        </is>
      </c>
      <c r="F952" s="108" t="inlineStr">
        <is>
          <t xml:space="preserve">94-130-65-14  SMS O'ZI, 91-114-54-03  SMS XOLASI TULOVCHI, 93-736-18-38  SMS DADASI, 77-254-78-78  SMS TOG’ASI,</t>
        </is>
      </c>
      <c r="G952" s="108" t="inlineStr">
        <is>
          <t xml:space="preserve">FARG’ONA VILOYATI FARG’ONA SHAHAR MADATKOR MFY, YANGI SOY KO’CHASI 53A XONADON</t>
        </is>
      </c>
      <c r="H952" s="109">
        <v>3.0</v>
      </c>
      <c r="I952" s="109">
        <v>1231181.2</v>
      </c>
      <c r="J952" s="109">
        <v>758000.0</v>
      </c>
      <c r="K952" s="108" t="inlineStr">
        <is>
          <t xml:space="preserve">Uyiga borildi - to'ladi | 758000</t>
        </is>
      </c>
    </row>
    <row r="953">
      <c r="A953" s="108" t="inlineStr">
        <is>
          <t xml:space="preserve">ФАРГОНА ВИЛОЯТИ</t>
        </is>
      </c>
      <c r="C953" s="108" t="inlineStr">
        <is>
          <t xml:space="preserve">Недозвон</t>
        </is>
      </c>
      <c r="D953" s="108" t="inlineStr">
        <is>
          <t xml:space="preserve">Кр-99040038-1</t>
        </is>
      </c>
      <c r="E953" s="108" t="inlineStr">
        <is>
          <t xml:space="preserve">KARIMOV TEMURBEK TURSUNALI O’G’LI</t>
        </is>
      </c>
      <c r="F953" s="108" t="inlineStr">
        <is>
          <t xml:space="preserve">998939833343 SMS OZI, 998916564748 SMS ONASI, 998330310616 SMS OPASI, 998319363322 SMS OPASI 2,</t>
        </is>
      </c>
      <c r="G953" s="108" t="inlineStr">
        <is>
          <t xml:space="preserve">FARG’ONA VILOYATI FARG’ONA SHAHAR 9-FARG’ONA MFY M-SHAYXZODA 38-XONADON</t>
        </is>
      </c>
      <c r="H953" s="109">
        <v>14.0</v>
      </c>
      <c r="I953" s="109">
        <v>1160294.45</v>
      </c>
      <c r="K953" s="108" t="inlineStr">
        <is>
          <t xml:space="preserve">Telefon ko'tarmadi | ANORBAKDA ISHLAYDI HAR OY OYNI OXIRIDA TOLAYDI | 417746.78</t>
        </is>
      </c>
    </row>
    <row r="954">
      <c r="A954" s="108" t="inlineStr">
        <is>
          <t xml:space="preserve">ФАРГОНА ВИЛОЯТИ</t>
        </is>
      </c>
      <c r="C954" s="108" t="inlineStr">
        <is>
          <t xml:space="preserve">Недозвон</t>
        </is>
      </c>
      <c r="D954" s="108" t="inlineStr">
        <is>
          <t xml:space="preserve">Кр-99041835-1</t>
        </is>
      </c>
      <c r="E954" s="108" t="inlineStr">
        <is>
          <t xml:space="preserve">BOLTABOYEV SHOHRUXBEK BEGALI O’G’LI</t>
        </is>
      </c>
      <c r="F954" s="108" t="inlineStr">
        <is>
          <t xml:space="preserve">+998500170756 SMS O’ZI, 998335636300 DADASI, 998955416171 UY, 998999723515 AMAKISI,</t>
        </is>
      </c>
      <c r="G954" s="108" t="inlineStr">
        <is>
          <t xml:space="preserve">FARG’ONA VILOYATI TOSHLOQ TUMANI ZARKENT MFY QASHQARI KO’CHASI 33-XONADON</t>
        </is>
      </c>
      <c r="H954" s="109">
        <v>10.0</v>
      </c>
      <c r="I954" s="109">
        <v>948151.75</v>
      </c>
      <c r="K954" s="108" t="inlineStr">
        <is>
          <t xml:space="preserve">Telefon ko'tarmadi | 470393.8</t>
        </is>
      </c>
    </row>
    <row r="955">
      <c r="A955" s="108" t="inlineStr">
        <is>
          <t xml:space="preserve">ФАРГОНА ВИЛОЯТИ</t>
        </is>
      </c>
      <c r="C955" s="108" t="inlineStr">
        <is>
          <t xml:space="preserve">Недозвон</t>
        </is>
      </c>
      <c r="D955" s="108" t="inlineStr">
        <is>
          <t xml:space="preserve">Кр-99025604-2</t>
        </is>
      </c>
      <c r="E955" s="108" t="inlineStr">
        <is>
          <t xml:space="preserve">KAMOLOVA XILOLAXON A’ZAMOVNA</t>
        </is>
      </c>
      <c r="F955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55" s="108" t="inlineStr">
        <is>
          <t xml:space="preserve">FARG’ONA VILOYATI MARG’ILON SHAHAR ALISHER NAVOYI MFY, MUSTAQILLIK KO’CHASI 525-UY 24-XONADON</t>
        </is>
      </c>
      <c r="H955" s="109">
        <v>14.0</v>
      </c>
      <c r="I955" s="109">
        <v>929847.37</v>
      </c>
      <c r="K955" s="108" t="inlineStr">
        <is>
          <t xml:space="preserve">Telefon ko'tarmadi | 515596.31</t>
        </is>
      </c>
    </row>
    <row r="956">
      <c r="A956" s="108" t="inlineStr">
        <is>
          <t xml:space="preserve">ФАРГОНА ВИЛОЯТИ</t>
        </is>
      </c>
      <c r="C956" s="108" t="inlineStr">
        <is>
          <t xml:space="preserve">Недозвон</t>
        </is>
      </c>
      <c r="D956" s="108" t="inlineStr">
        <is>
          <t xml:space="preserve">Кр-99028581-4</t>
        </is>
      </c>
      <c r="E956" s="108" t="inlineStr">
        <is>
          <t xml:space="preserve">RUSTAMOVA CHINARA ABDRAXMANOVNA</t>
        </is>
      </c>
      <c r="F956" s="108" t="inlineStr">
        <is>
          <t xml:space="preserve">93-443-38-30  SMS O'ZI, 91-396-85-25  SMS ERI , 95-110-82-02  SMS OPASI , 50-772-85-87  SMS SINGLISI ,</t>
        </is>
      </c>
      <c r="G956" s="108" t="inlineStr">
        <is>
          <t xml:space="preserve">FARG’ONA VILOYATI FARG’ONA SHAHAR KIMYOGARLAR MFY, SO’LIM KO’CHASI 11/4-UY 18-XONADON</t>
        </is>
      </c>
      <c r="H956" s="109">
        <v>10.0</v>
      </c>
      <c r="I956" s="109">
        <v>780860.32</v>
      </c>
      <c r="K956" s="108" t="inlineStr">
        <is>
          <t xml:space="preserve">Telefon ko'tarmadi | 358385.15</t>
        </is>
      </c>
    </row>
    <row r="957">
      <c r="A957" s="108" t="inlineStr">
        <is>
          <t xml:space="preserve">ФАРГОНА ВИЛОЯТИ</t>
        </is>
      </c>
      <c r="C957" s="108" t="inlineStr">
        <is>
          <t xml:space="preserve">Объезд</t>
        </is>
      </c>
      <c r="D957" s="108" t="inlineStr">
        <is>
          <t xml:space="preserve">Кр-99062957-2</t>
        </is>
      </c>
      <c r="E957" s="108" t="inlineStr">
        <is>
          <t xml:space="preserve">ASHUROVA LOLAXON SOBIROVNA</t>
        </is>
      </c>
      <c r="F957" s="108" t="inlineStr">
        <is>
          <t xml:space="preserve">+998996427161 SMS O’ZI, 998908350007 QIZI, 998939881893 KELINI, 998947869896 O’ZI 2,</t>
        </is>
      </c>
      <c r="G957" s="108" t="inlineStr">
        <is>
          <t xml:space="preserve">FARG’ONA VILOYATI FARG’ONA SHAHAR ABDULLA QODIRIY MFY ABDULLA QODIRIY KO’CHASI 78-UY 1-XONADON</t>
        </is>
      </c>
      <c r="H957" s="109">
        <v>13.0</v>
      </c>
      <c r="I957" s="109">
        <v>557679.12</v>
      </c>
      <c r="J957" s="109">
        <v>163184.0</v>
      </c>
      <c r="K957" s="108" t="inlineStr">
        <is>
          <t xml:space="preserve">Uyiga borildi - to'ladi | BUGUN QIZI TOLAB QOYADI EKAN | 163184.16</t>
        </is>
      </c>
    </row>
    <row r="958">
      <c r="A958" s="108" t="inlineStr">
        <is>
          <t xml:space="preserve">ФАРГОНА ВИЛОЯТИ</t>
        </is>
      </c>
      <c r="C958" s="108" t="inlineStr">
        <is>
          <t xml:space="preserve">Недозвон</t>
        </is>
      </c>
      <c r="D958" s="108" t="inlineStr">
        <is>
          <t xml:space="preserve">Кр-99025604-4</t>
        </is>
      </c>
      <c r="E958" s="108" t="inlineStr">
        <is>
          <t xml:space="preserve">KAMOLOVA XILOLAXON A’ZAMOVNA</t>
        </is>
      </c>
      <c r="F958" s="108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58" s="108" t="inlineStr">
        <is>
          <t xml:space="preserve">FARG’ONA VILOYATI MARG’ILON SHAHAR ALISHER NAVOYI MFY, MUSTAQILLIK KO’CHASI 525-UY 24-XONADON</t>
        </is>
      </c>
      <c r="H958" s="109">
        <v>10.0</v>
      </c>
      <c r="I958" s="109">
        <v>555026.75</v>
      </c>
      <c r="K958" s="108" t="inlineStr">
        <is>
          <t xml:space="preserve">Telefon ko'tarmadi | 251834.91</t>
        </is>
      </c>
    </row>
    <row r="959">
      <c r="A959" s="110" t="inlineStr">
        <is>
          <t xml:space="preserve">ХОРАЗМ ВИЛОЯТИ</t>
        </is>
      </c>
      <c r="C959" s="110" t="inlineStr">
        <is>
          <t xml:space="preserve">Недозвон</t>
        </is>
      </c>
      <c r="D959" s="110" t="inlineStr">
        <is>
          <t xml:space="preserve">Кр-99058318-1</t>
        </is>
      </c>
      <c r="E959" s="110" t="inlineStr">
        <is>
          <t xml:space="preserve">XAJIYEV JO’RABEK REYIMBERDIYEVICH</t>
        </is>
      </c>
      <c r="F959" s="110" t="inlineStr">
        <is>
          <t xml:space="preserve">998951032380 SMS OZI, 998700618011 SMS AYOLI, 998958827720 SMS AKASI, 998513316742 SMS AKASI 2,</t>
        </is>
      </c>
      <c r="G959" s="110" t="inlineStr">
        <is>
          <t xml:space="preserve">XORAZM VILOYATI XONQA TUMANI DURGADIK MFY MA’NAVIYAT KUCHASI 42-UY</t>
        </is>
      </c>
      <c r="H959" s="111">
        <v>13.0</v>
      </c>
      <c r="I959" s="111">
        <v>8365138.66</v>
      </c>
    </row>
    <row r="960">
      <c r="A960" s="110" t="inlineStr">
        <is>
          <t xml:space="preserve">ХОРАЗМ ВИЛОЯТИ</t>
        </is>
      </c>
      <c r="C960" s="110" t="inlineStr">
        <is>
          <t xml:space="preserve">Недозвон</t>
        </is>
      </c>
      <c r="D960" s="110" t="inlineStr">
        <is>
          <t xml:space="preserve">Кр-99063184-1</t>
        </is>
      </c>
      <c r="E960" s="110" t="inlineStr">
        <is>
          <t xml:space="preserve">ABDULLAYEV ZOHIDJON IBODULLAYEVICH</t>
        </is>
      </c>
      <c r="F960" s="110" t="inlineStr">
        <is>
          <t xml:space="preserve">998937795356 SMS OZI, 998957885356 SMS QIZI, 998937315356 SMS AYOLI, 998904360883 SMS ONASI,</t>
        </is>
      </c>
      <c r="G960" s="110" t="inlineStr">
        <is>
          <t xml:space="preserve">XORAZM VILOYATI BOG’OT TUMANI OBOD MFY YANGI TURMUSH KO’CHASI 81-UY</t>
        </is>
      </c>
      <c r="H960" s="111">
        <v>13.0</v>
      </c>
      <c r="I960" s="111">
        <v>7948088.71</v>
      </c>
    </row>
    <row r="961">
      <c r="A961" s="110" t="inlineStr">
        <is>
          <t xml:space="preserve">ХОРАЗМ ВИЛОЯТИ</t>
        </is>
      </c>
      <c r="C961" s="110" t="inlineStr">
        <is>
          <t xml:space="preserve">Недозвон</t>
        </is>
      </c>
      <c r="D961" s="110" t="inlineStr">
        <is>
          <t xml:space="preserve">Кр-99054973-1</t>
        </is>
      </c>
      <c r="E961" s="110" t="inlineStr">
        <is>
          <t xml:space="preserve">DJUMANIYAZOVA ALTIN GAIPOVNA</t>
        </is>
      </c>
      <c r="F961" s="110" t="inlineStr">
        <is>
          <t xml:space="preserve">998914222703 SMS O'ZI, 998937514987 SMS O'G'LI, 998043215222 SMS O'G'LI 2, 998934652883 SMS O’G’LI 3,</t>
        </is>
      </c>
      <c r="G961" s="110" t="inlineStr">
        <is>
          <t xml:space="preserve">XORAZM VILOYATI URGANCH SHAHRI GULSHAN MFY EZGU UMID KO’CHASI 15-UY</t>
        </is>
      </c>
      <c r="H961" s="111">
        <v>13.0</v>
      </c>
      <c r="I961" s="111">
        <v>6953727.96</v>
      </c>
    </row>
    <row r="962">
      <c r="A962" s="110" t="inlineStr">
        <is>
          <t xml:space="preserve">ХОРАЗМ ВИЛОЯТИ</t>
        </is>
      </c>
      <c r="C962" s="110" t="inlineStr">
        <is>
          <t xml:space="preserve">Недозвон</t>
        </is>
      </c>
      <c r="D962" s="110" t="inlineStr">
        <is>
          <t xml:space="preserve">Кр-99053027-2</t>
        </is>
      </c>
      <c r="E962" s="110" t="inlineStr">
        <is>
          <t xml:space="preserve">BALTAYEV SA’NATBEK MASHARIPOVICH</t>
        </is>
      </c>
      <c r="F962" s="110" t="inlineStr">
        <is>
          <t xml:space="preserve">998955360100 SMS OZI, 998885161966  SMS AYOLI, 998955360601 SMS UKASI, 998977615888 SMS AKASI,</t>
        </is>
      </c>
      <c r="G962" s="110" t="inlineStr">
        <is>
          <t xml:space="preserve">САЁТ ҚФЙ, ШЎР КЎЛ МФЙ, ГУЛАФШОН,  uy:5</t>
        </is>
      </c>
      <c r="H962" s="111">
        <v>10.0</v>
      </c>
      <c r="I962" s="111">
        <v>6919510.41</v>
      </c>
    </row>
    <row r="963">
      <c r="A963" s="110" t="inlineStr">
        <is>
          <t xml:space="preserve">ХОРАЗМ ВИЛОЯТИ</t>
        </is>
      </c>
      <c r="C963" s="110" t="inlineStr">
        <is>
          <t xml:space="preserve">Недозвон</t>
        </is>
      </c>
      <c r="D963" s="110" t="inlineStr">
        <is>
          <t xml:space="preserve">Кр-99062510-1</t>
        </is>
      </c>
      <c r="E963" s="110" t="inlineStr">
        <is>
          <t xml:space="preserve">MATNAZAROV OLLABERGAN MATSAPAYEVICH</t>
        </is>
      </c>
      <c r="F963" s="110" t="inlineStr">
        <is>
          <t xml:space="preserve">998997375562 SMS  OZI, 998910917879 SMS AYOLI, 998995568519 SMS JIYANI, 998997146929 SMS QIZI,</t>
        </is>
      </c>
      <c r="G963" s="110" t="inlineStr">
        <is>
          <t xml:space="preserve">XORAZM VILOYATI SHOVOT TUMANI ISTIQBOL MFY OYBEK KO’CHASI 60-UY</t>
        </is>
      </c>
      <c r="H963" s="111">
        <v>10.0</v>
      </c>
      <c r="I963" s="111">
        <v>6643662.48</v>
      </c>
    </row>
    <row r="964">
      <c r="A964" s="110" t="inlineStr">
        <is>
          <t xml:space="preserve">ХОРАЗМ ВИЛОЯТИ</t>
        </is>
      </c>
      <c r="C964" s="110" t="inlineStr">
        <is>
          <t xml:space="preserve">Недозвон</t>
        </is>
      </c>
      <c r="D964" s="110" t="inlineStr">
        <is>
          <t xml:space="preserve">Кр-99057354-1</t>
        </is>
      </c>
      <c r="E964" s="110" t="inlineStr">
        <is>
          <t xml:space="preserve">VAPAYEV ODAMBAY KARRIYEVICH</t>
        </is>
      </c>
      <c r="F964" s="110" t="inlineStr">
        <is>
          <t xml:space="preserve">998996865806 SMS SINGLISI (TO’LOVCHI), 998915716664 SMS SINGLISINI ERI, 998991818329 SMS UZI, 998900779790 SMS JIYANI, 998776237989 SMS SINGLISI TOLOVCHI,</t>
        </is>
      </c>
      <c r="G964" s="110" t="inlineStr">
        <is>
          <t xml:space="preserve">XORAZM VILOYATI URGANCH TUMANI KO’HNA OVUL MFY BOBODEXQON  4 TOR KUCHASI 4/1-UY</t>
        </is>
      </c>
      <c r="H964" s="111">
        <v>10.0</v>
      </c>
      <c r="I964" s="111">
        <v>6564981.1</v>
      </c>
    </row>
    <row r="965">
      <c r="A965" s="110" t="inlineStr">
        <is>
          <t xml:space="preserve">ХОРАЗМ ВИЛОЯТИ</t>
        </is>
      </c>
      <c r="C965" s="110" t="inlineStr">
        <is>
          <t xml:space="preserve">Недозвон</t>
        </is>
      </c>
      <c r="D965" s="110" t="inlineStr">
        <is>
          <t xml:space="preserve">Кр-99041015-2</t>
        </is>
      </c>
      <c r="E965" s="110" t="inlineStr">
        <is>
          <t xml:space="preserve">JUMANIYAZOVA YOQUTJON SHUXRAT QIZI</t>
        </is>
      </c>
      <c r="F965" s="110" t="inlineStr">
        <is>
          <t xml:space="preserve">+998951015544 SMS UZI, 998885146666 SMS ERI, 998999555544 SMS ERI,</t>
        </is>
      </c>
      <c r="G965" s="110" t="inlineStr">
        <is>
          <t xml:space="preserve">XORAZM VILOYATI URGANCH TUMANI QUMRABOD MFY PROEKTNAYA 181 MAVZESI 59-UY</t>
        </is>
      </c>
      <c r="H965" s="111">
        <v>14.0</v>
      </c>
      <c r="I965" s="111">
        <v>6390811.73</v>
      </c>
    </row>
    <row r="966">
      <c r="A966" s="110" t="inlineStr">
        <is>
          <t xml:space="preserve">ХОРАЗМ ВИЛОЯТИ</t>
        </is>
      </c>
      <c r="C966" s="110" t="inlineStr">
        <is>
          <t xml:space="preserve">Недозвон</t>
        </is>
      </c>
      <c r="D966" s="110" t="inlineStr">
        <is>
          <t xml:space="preserve">Кр-99063545-1</t>
        </is>
      </c>
      <c r="E966" s="110" t="inlineStr">
        <is>
          <t xml:space="preserve">MADAMINOVA ZAMIRA SABIROVNA</t>
        </is>
      </c>
      <c r="F966" s="110" t="inlineStr">
        <is>
          <t xml:space="preserve">+998914290960 SMS UZI, 998944210960 SMS O’G’LI, 998944370960 SMS UYI,</t>
        </is>
      </c>
      <c r="G966" s="110" t="inlineStr">
        <is>
          <t xml:space="preserve">Хорезмская область, Ханкинский район, Хонка ГСГ, Пахлавонлар МСГ, ул. Олтин Хазина, дом 17</t>
        </is>
      </c>
      <c r="H966" s="111">
        <v>10.0</v>
      </c>
      <c r="I966" s="111">
        <v>5730975.98</v>
      </c>
    </row>
    <row r="967">
      <c r="A967" s="110" t="inlineStr">
        <is>
          <t xml:space="preserve">ХОРАЗМ ВИЛОЯТИ</t>
        </is>
      </c>
      <c r="C967" s="110" t="inlineStr">
        <is>
          <t xml:space="preserve">Недозвон</t>
        </is>
      </c>
      <c r="D967" s="110" t="inlineStr">
        <is>
          <t xml:space="preserve">Кр-99057083-1</t>
        </is>
      </c>
      <c r="E967" s="110" t="inlineStr">
        <is>
          <t xml:space="preserve">XO’JANIYOZOVA RO’ZIKA MASHARIPOVNA</t>
        </is>
      </c>
      <c r="F967" s="110" t="inlineStr">
        <is>
          <t xml:space="preserve">998992440203 SMS OGLI TOLOVCHI , 998999670357 SMS  OZI, 998990158282 SMS KATTA OGLI, 998907586802 SMS KATTA OGLI 2,</t>
        </is>
      </c>
      <c r="G967" s="110" t="inlineStr">
        <is>
          <t xml:space="preserve">XORAZM VILOYATI QO’SHKO’PIR TUMANI CHAMANZOR MFY RAVSHANLIK KUCHASI 49-UY</t>
        </is>
      </c>
      <c r="H967" s="111">
        <v>10.0</v>
      </c>
      <c r="I967" s="111">
        <v>5720550.58</v>
      </c>
    </row>
    <row r="968">
      <c r="A968" s="110" t="inlineStr">
        <is>
          <t xml:space="preserve">ХОРАЗМ ВИЛОЯТИ</t>
        </is>
      </c>
      <c r="C968" s="110" t="inlineStr">
        <is>
          <t xml:space="preserve">Недозвон</t>
        </is>
      </c>
      <c r="D968" s="110" t="inlineStr">
        <is>
          <t xml:space="preserve">Кр-99041822-1</t>
        </is>
      </c>
      <c r="E968" s="110" t="inlineStr">
        <is>
          <t xml:space="preserve">JABBAROV MUROD EGAMBERGANOVICH</t>
        </is>
      </c>
      <c r="F968" s="110" t="inlineStr">
        <is>
          <t xml:space="preserve">+998957673366 SMS UZI, 998953260676 SMS AYOLI, 998995263366 SMS O’G’LI, 998502305667 SMS OZI,</t>
        </is>
      </c>
      <c r="G968" s="110" t="inlineStr">
        <is>
          <t xml:space="preserve">Хорезмская область, Янгибазарский район, Уйғур ССГ, Хайват МСГ, ул. Хайват, дом 61</t>
        </is>
      </c>
      <c r="H968" s="111">
        <v>10.0</v>
      </c>
      <c r="I968" s="111">
        <v>5224598.08</v>
      </c>
    </row>
    <row r="969">
      <c r="A969" s="110" t="inlineStr">
        <is>
          <t xml:space="preserve">ХОРАЗМ ВИЛОЯТИ</t>
        </is>
      </c>
      <c r="C969" s="110" t="inlineStr">
        <is>
          <t xml:space="preserve">Недозвон</t>
        </is>
      </c>
      <c r="D969" s="110" t="inlineStr">
        <is>
          <t xml:space="preserve">Кр-99043212-1</t>
        </is>
      </c>
      <c r="E969" s="110" t="inlineStr">
        <is>
          <t xml:space="preserve">MATYAKUBOVA GULCHEXRA KODIROVNA</t>
        </is>
      </c>
      <c r="F969" s="110" t="inlineStr">
        <is>
          <t xml:space="preserve">+998919197377 SMS O’G’LI (TO’LOVCHI), 998200291262 SMS UZI, 998919959323 SMS KELINI,</t>
        </is>
      </c>
      <c r="G969" s="110" t="inlineStr">
        <is>
          <t xml:space="preserve">ХОРАЗМ ВИЛОЯТИ ШОВОТ ТУМАНИ БЕШМАРГАН ҚФЙ, БЕШМАРГАН МФЙ, БЕШМАРГАН КЎЧАСИ,  uy:27</t>
        </is>
      </c>
      <c r="H969" s="111">
        <v>10.0</v>
      </c>
      <c r="I969" s="111">
        <v>5167421.56</v>
      </c>
    </row>
    <row r="970">
      <c r="A970" s="110" t="inlineStr">
        <is>
          <t xml:space="preserve">ХОРАЗМ ВИЛОЯТИ</t>
        </is>
      </c>
      <c r="C970" s="110" t="inlineStr">
        <is>
          <t xml:space="preserve">Недозвон</t>
        </is>
      </c>
      <c r="D970" s="110" t="inlineStr">
        <is>
          <t xml:space="preserve">Кр-99041201-1</t>
        </is>
      </c>
      <c r="E970" s="110" t="inlineStr">
        <is>
          <t xml:space="preserve">SAPAYEVA MAXFIRA PALVANNAZAROVNA</t>
        </is>
      </c>
      <c r="F970" s="110" t="inlineStr">
        <is>
          <t xml:space="preserve">+998948869119 SMS UZI begona, 998939182320 SMS UKASI, 998999666648 SMS SINGLISI,</t>
        </is>
      </c>
      <c r="G970" s="110" t="inlineStr">
        <is>
          <t xml:space="preserve">Хорезмская область, Ургенч ш., Н.Кубро кўчаси 7-йўлак, дом 27, кв. 14</t>
        </is>
      </c>
      <c r="H970" s="111">
        <v>10.0</v>
      </c>
      <c r="I970" s="111">
        <v>5122675.5</v>
      </c>
    </row>
    <row r="971">
      <c r="A971" s="110" t="inlineStr">
        <is>
          <t xml:space="preserve">ХОРАЗМ ВИЛОЯТИ</t>
        </is>
      </c>
      <c r="C971" s="110" t="inlineStr">
        <is>
          <t xml:space="preserve">Недозвон</t>
        </is>
      </c>
      <c r="D971" s="110" t="inlineStr">
        <is>
          <t xml:space="preserve">Кр-99047267-1</t>
        </is>
      </c>
      <c r="E971" s="110" t="inlineStr">
        <is>
          <t xml:space="preserve">BABAJONOV OYBEK BEYJANOVICH</t>
        </is>
      </c>
      <c r="F971" s="110" t="inlineStr">
        <is>
          <t xml:space="preserve">998949900320 OZI, 998990264161 O’G’LI, 998774950911 KICHIK O’G’LI, 998901769343 KATTA O’G’LI,</t>
        </is>
      </c>
      <c r="G971" s="110" t="inlineStr">
        <is>
          <t xml:space="preserve">XORAZM VILOYATI XONQA TUMANI NURAFSHON MSG JALOLADDIN MANGUBERDI KUCHASI 55-UY</t>
        </is>
      </c>
      <c r="H971" s="111">
        <v>10.0</v>
      </c>
      <c r="I971" s="111">
        <v>5092469.84</v>
      </c>
    </row>
    <row r="972">
      <c r="A972" s="110" t="inlineStr">
        <is>
          <t xml:space="preserve">ХОРАЗМ ВИЛОЯТИ</t>
        </is>
      </c>
      <c r="C972" s="110" t="inlineStr">
        <is>
          <t xml:space="preserve">Недозвон</t>
        </is>
      </c>
      <c r="D972" s="110" t="inlineStr">
        <is>
          <t xml:space="preserve">Кр-99052931-1</t>
        </is>
      </c>
      <c r="E972" s="110" t="inlineStr">
        <is>
          <t xml:space="preserve">RAXIMOV DILMUROD KOMILOVICH</t>
        </is>
      </c>
      <c r="F972" s="110" t="inlineStr">
        <is>
          <t xml:space="preserve">998978567484 OZI, 998973638487 AYOLI, 998970963001 O’G’LI,</t>
        </is>
      </c>
      <c r="G972" s="110" t="inlineStr">
        <is>
          <t xml:space="preserve">XORAZM VILOYATI QO’SHKO’PIR TUMANI YANGILIK QFY AYRONKO’L MFY YOSHLIK KO’CHASI 28-UY</t>
        </is>
      </c>
      <c r="H972" s="111">
        <v>10.0</v>
      </c>
      <c r="I972" s="111">
        <v>5067949.84</v>
      </c>
    </row>
    <row r="973">
      <c r="A973" s="110" t="inlineStr">
        <is>
          <t xml:space="preserve">ХОРАЗМ ВИЛОЯТИ</t>
        </is>
      </c>
      <c r="C973" s="110" t="inlineStr">
        <is>
          <t xml:space="preserve">Недозвон</t>
        </is>
      </c>
      <c r="D973" s="110" t="inlineStr">
        <is>
          <t xml:space="preserve">Кр-99059323-1</t>
        </is>
      </c>
      <c r="E973" s="110" t="inlineStr">
        <is>
          <t xml:space="preserve">QO’ZIYEV YO’LDASHBOY BAXODIROVICH</t>
        </is>
      </c>
      <c r="F973" s="110" t="inlineStr">
        <is>
          <t xml:space="preserve">999898733492 SMS OZI, 998995096105 SMS AKASI, 998127733772 SMS AKASI2, 998977900992 SMS KELINI,</t>
        </is>
      </c>
      <c r="G973" s="110" t="inlineStr">
        <is>
          <t xml:space="preserve">XORAZM VILOYATI XIVA TUMANI SHOMOXULUM MFY OG’AINILAR KO’CHASI 6-UY</t>
        </is>
      </c>
      <c r="H973" s="111">
        <v>10.0</v>
      </c>
      <c r="I973" s="111">
        <v>4859593.87</v>
      </c>
    </row>
    <row r="974">
      <c r="A974" s="110" t="inlineStr">
        <is>
          <t xml:space="preserve">ХОРАЗМ ВИЛОЯТИ</t>
        </is>
      </c>
      <c r="C974" s="110" t="inlineStr">
        <is>
          <t xml:space="preserve">Недозвон</t>
        </is>
      </c>
      <c r="D974" s="110" t="inlineStr">
        <is>
          <t xml:space="preserve">Кр-99041388-1</t>
        </is>
      </c>
      <c r="E974" s="110" t="inlineStr">
        <is>
          <t xml:space="preserve">ANNAKOV OYBEK RAJABOVICH</t>
        </is>
      </c>
      <c r="F974" s="110" t="inlineStr">
        <is>
          <t xml:space="preserve">+998933103143 SMS UZI, 998500761161 SMS O’G’LI, 998947708191 SMS AYOLI,</t>
        </is>
      </c>
      <c r="G974" s="110" t="inlineStr">
        <is>
          <t xml:space="preserve">КИРК-ЁП ҚФЙ, ОБОД МФЙ,  uy:Р/С</t>
        </is>
      </c>
      <c r="H974" s="111">
        <v>10.0</v>
      </c>
      <c r="I974" s="111">
        <v>4818540.23</v>
      </c>
    </row>
    <row r="975">
      <c r="A975" s="110" t="inlineStr">
        <is>
          <t xml:space="preserve">ХОРАЗМ ВИЛОЯТИ</t>
        </is>
      </c>
      <c r="C975" s="110" t="inlineStr">
        <is>
          <t xml:space="preserve">Недозвон</t>
        </is>
      </c>
      <c r="D975" s="110" t="inlineStr">
        <is>
          <t xml:space="preserve">Кр-99062964-1</t>
        </is>
      </c>
      <c r="E975" s="110" t="inlineStr">
        <is>
          <t xml:space="preserve">SAFANIYAZOV SEVINCHBEK SAFANIYOZ O’G’LI</t>
        </is>
      </c>
      <c r="F975" s="110" t="inlineStr">
        <is>
          <t xml:space="preserve">+998880013000 SMS UZI, 998884576566 SMS UZI, 998974583344 SMS DO’STI,</t>
        </is>
      </c>
      <c r="G975" s="110" t="inlineStr">
        <is>
          <t xml:space="preserve">ХОРАЗМ ВИЛОЯТИ ЯНГИБОЗОР ТУМАНИ БЎЗҚАЛЪА ҚФЙ, ИФТИХОР МФЙ, ДАРЁЛИК КЎЧАСИ,  uy:11</t>
        </is>
      </c>
      <c r="H975" s="111">
        <v>10.0</v>
      </c>
      <c r="I975" s="111">
        <v>4636339.11</v>
      </c>
    </row>
    <row r="976">
      <c r="A976" s="110" t="inlineStr">
        <is>
          <t xml:space="preserve">ХОРАЗМ ВИЛОЯТИ</t>
        </is>
      </c>
      <c r="C976" s="110" t="inlineStr">
        <is>
          <t xml:space="preserve">Недозвон</t>
        </is>
      </c>
      <c r="D976" s="110" t="inlineStr">
        <is>
          <t xml:space="preserve">Кр-99057302-1</t>
        </is>
      </c>
      <c r="E976" s="110" t="inlineStr">
        <is>
          <t xml:space="preserve">RAJAPOV BEKBERGAN SHERIPBOYEVICH</t>
        </is>
      </c>
      <c r="F976" s="110" t="inlineStr">
        <is>
          <t xml:space="preserve">998907257827 SMS OZI, 998907193038 SMS AYOLI, 998914368707 SMS JIYANI, 998992122346 SMS QAYNOGASI,</t>
        </is>
      </c>
      <c r="G976" s="110" t="inlineStr">
        <is>
          <t xml:space="preserve">XORAZM VILOYATI URGANCH TUMANI UYSHIN MFY ZIYOLILAR 17-UY</t>
        </is>
      </c>
      <c r="H976" s="111">
        <v>10.0</v>
      </c>
      <c r="I976" s="111">
        <v>4460254.52</v>
      </c>
    </row>
    <row r="977">
      <c r="A977" s="110" t="inlineStr">
        <is>
          <t xml:space="preserve">ХОРАЗМ ВИЛОЯТИ</t>
        </is>
      </c>
      <c r="C977" s="110" t="inlineStr">
        <is>
          <t xml:space="preserve">Недозвон</t>
        </is>
      </c>
      <c r="D977" s="110" t="inlineStr">
        <is>
          <t xml:space="preserve">Кр-99057362-1</t>
        </is>
      </c>
      <c r="E977" s="110" t="inlineStr">
        <is>
          <t xml:space="preserve">ATADJANOV XAITBAY XXX</t>
        </is>
      </c>
      <c r="F977" s="110" t="inlineStr">
        <is>
          <t xml:space="preserve">998994405155 SMS O’G’LI (TULOVCHI), 998904335450 SMS UZI, 998416596063 SMS UZI 3, 998774818388 SMS UGLI,</t>
        </is>
      </c>
      <c r="G977" s="110" t="inlineStr">
        <is>
          <t xml:space="preserve">XORAZM VILOYATI URGANCH SHAHRI GULZOR MFY ABDULLA QODIRIY KUCHASI 51-A UY</t>
        </is>
      </c>
      <c r="H977" s="111">
        <v>10.0</v>
      </c>
      <c r="I977" s="111">
        <v>4130513.48</v>
      </c>
    </row>
    <row r="978">
      <c r="A978" s="110" t="inlineStr">
        <is>
          <t xml:space="preserve">ХОРАЗМ ВИЛОЯТИ</t>
        </is>
      </c>
      <c r="C978" s="110" t="inlineStr">
        <is>
          <t xml:space="preserve">Недозвон</t>
        </is>
      </c>
      <c r="D978" s="110" t="inlineStr">
        <is>
          <t xml:space="preserve">Кр-99062735-2</t>
        </is>
      </c>
      <c r="E978" s="110" t="inlineStr">
        <is>
          <t xml:space="preserve">SARIYEV DAVRONBEK SADULLAYEVICH</t>
        </is>
      </c>
      <c r="F978" s="110" t="inlineStr">
        <is>
          <t xml:space="preserve">+998888141565 SMS UZI, 998704849100 SMS O’G’LI, 998974240009 SMS KELINI,</t>
        </is>
      </c>
      <c r="G978" s="110" t="inlineStr">
        <is>
          <t xml:space="preserve">ХОРАЗМ ВИЛОЯТИ БОГОТ ТУМАНИ НАЙМАН ҚФЙ, ТОЗАБОЗОР МФЙ, ВАТАН КЎЧАСИ,  uy:61</t>
        </is>
      </c>
      <c r="H978" s="111">
        <v>15.0</v>
      </c>
      <c r="I978" s="111">
        <v>4072919.07</v>
      </c>
    </row>
    <row r="979">
      <c r="A979" s="110" t="inlineStr">
        <is>
          <t xml:space="preserve">ХОРАЗМ ВИЛОЯТИ</t>
        </is>
      </c>
      <c r="C979" s="110" t="inlineStr">
        <is>
          <t xml:space="preserve">Недозвон</t>
        </is>
      </c>
      <c r="D979" s="110" t="inlineStr">
        <is>
          <t xml:space="preserve">Кр-99064013-1</t>
        </is>
      </c>
      <c r="E979" s="110" t="inlineStr">
        <is>
          <t xml:space="preserve">XAMRAYEV FARRUX ERGASH O’G’LI</t>
        </is>
      </c>
      <c r="F979" s="110" t="inlineStr">
        <is>
          <t xml:space="preserve">+998931855551 SMS O’ZI, 998942301506 SMS AYOLI, 998942301507 SMS DO’STI,</t>
        </is>
      </c>
      <c r="G979" s="110" t="inlineStr">
        <is>
          <t xml:space="preserve">ХОРАЗМ ВИЛОЯТИ ХОНКА ТУМАНИ ҚОРАҚОШ ҚФЙ, МУСТАКИЛЛИК МФЙ,  Узбегим кучаси 65-uy:Р/С</t>
        </is>
      </c>
      <c r="H979" s="111">
        <v>10.0</v>
      </c>
      <c r="I979" s="111">
        <v>4034362.21</v>
      </c>
    </row>
    <row r="980">
      <c r="A980" s="110" t="inlineStr">
        <is>
          <t xml:space="preserve">ХОРАЗМ ВИЛОЯТИ</t>
        </is>
      </c>
      <c r="C980" s="110" t="inlineStr">
        <is>
          <t xml:space="preserve">Недозвон</t>
        </is>
      </c>
      <c r="D980" s="110" t="inlineStr">
        <is>
          <t xml:space="preserve">Кр-99041519-1</t>
        </is>
      </c>
      <c r="E980" s="110" t="inlineStr">
        <is>
          <t xml:space="preserve">ATAYEV ERKINBAY BAYJANOVICH</t>
        </is>
      </c>
      <c r="F980" s="110" t="inlineStr">
        <is>
          <t xml:space="preserve">+998995705003 SMS UZI, 998914244747 SMS O’G’LI, 998955244747 SMS O’G’LI,</t>
        </is>
      </c>
      <c r="G980" s="110" t="inlineStr">
        <is>
          <t xml:space="preserve">ЭСКИ ҚИЁТ ҚФЙ, КУШЧИ КАТТАБОГ МФЙ, ПАЛВОН,  uy:18</t>
        </is>
      </c>
      <c r="H980" s="111">
        <v>10.0</v>
      </c>
      <c r="I980" s="111">
        <v>3949698.1</v>
      </c>
    </row>
    <row r="981">
      <c r="A981" s="110" t="inlineStr">
        <is>
          <t xml:space="preserve">ХОРАЗМ ВИЛОЯТИ</t>
        </is>
      </c>
      <c r="C981" s="110" t="inlineStr">
        <is>
          <t xml:space="preserve">Недозвон</t>
        </is>
      </c>
      <c r="D981" s="110" t="inlineStr">
        <is>
          <t xml:space="preserve">Кр-99041907-1</t>
        </is>
      </c>
      <c r="E981" s="110" t="inlineStr">
        <is>
          <t xml:space="preserve">NARMETOV BAXTIYOR SULTANOVICH</t>
        </is>
      </c>
      <c r="F981" s="110" t="inlineStr">
        <is>
          <t xml:space="preserve">+998918652284 SMS UZI, 998910901875 SMS AYOLI, 998918650291 SMS O’G’LI,</t>
        </is>
      </c>
      <c r="G981" s="110" t="inlineStr">
        <is>
          <t xml:space="preserve">ХОРАЗМ ВИЛОЯТИ КУШКУПИР ТУМАНИ ГОЗОВОТ ҚФЙ, ШЕРОБОД МФЙ, НУРОНИЙ КУЧАСИ uy:18</t>
        </is>
      </c>
      <c r="H981" s="111">
        <v>10.0</v>
      </c>
      <c r="I981" s="111">
        <v>3896576.37</v>
      </c>
    </row>
    <row r="982">
      <c r="A982" s="110" t="inlineStr">
        <is>
          <t xml:space="preserve">ХОРАЗМ ВИЛОЯТИ</t>
        </is>
      </c>
      <c r="C982" s="110" t="inlineStr">
        <is>
          <t xml:space="preserve">Недозвон</t>
        </is>
      </c>
      <c r="D982" s="110" t="inlineStr">
        <is>
          <t xml:space="preserve">Кр-99047894-1</t>
        </is>
      </c>
      <c r="E982" s="110" t="inlineStr">
        <is>
          <t xml:space="preserve">AMINOV AKROM AZAMAT O’G’LI</t>
        </is>
      </c>
      <c r="F982" s="110" t="inlineStr">
        <is>
          <t xml:space="preserve">+998773180700 SMS UZI, 998919947770 SMS AMAKISI, 998935642717 SMS UKASI,</t>
        </is>
      </c>
      <c r="G982" s="110" t="inlineStr">
        <is>
          <t xml:space="preserve">ХОРАЗМ ВИЛОЯТИ УРГАНЧ ТУМАНИ Бўстон МФЙ, А.Темур кучаси, 59-уй</t>
        </is>
      </c>
      <c r="H982" s="111">
        <v>10.0</v>
      </c>
      <c r="I982" s="111">
        <v>3891609.45</v>
      </c>
    </row>
    <row r="983">
      <c r="A983" s="110" t="inlineStr">
        <is>
          <t xml:space="preserve">ХОРАЗМ ВИЛОЯТИ</t>
        </is>
      </c>
      <c r="C983" s="110" t="inlineStr">
        <is>
          <t xml:space="preserve">Недозвон</t>
        </is>
      </c>
      <c r="D983" s="110" t="inlineStr">
        <is>
          <t xml:space="preserve">Кр-99042876-2</t>
        </is>
      </c>
      <c r="E983" s="110" t="inlineStr">
        <is>
          <t xml:space="preserve">MATKARIMOV UMAR QURBANBAYEVICH</t>
        </is>
      </c>
      <c r="F983" s="110" t="inlineStr">
        <is>
          <t xml:space="preserve">+998882010454 SMS UZI, 998880544455 SMS O’G’LI, 998959441475 SMS UZI 2,</t>
        </is>
      </c>
      <c r="G983" s="110" t="inlineStr">
        <is>
          <t xml:space="preserve">ХОРАЗМ ВИЛОЯТИ БОГОТ ТУМАНИ КОРАЁНТОК ҚФЙ, БОГЗОР МФЙ, ЁШЛАР КЎЧАСИ,  uy:23</t>
        </is>
      </c>
      <c r="H983" s="111">
        <v>10.0</v>
      </c>
      <c r="I983" s="111">
        <v>3830961.02</v>
      </c>
    </row>
    <row r="984">
      <c r="A984" s="110" t="inlineStr">
        <is>
          <t xml:space="preserve">ХОРАЗМ ВИЛОЯТИ</t>
        </is>
      </c>
      <c r="C984" s="110" t="inlineStr">
        <is>
          <t xml:space="preserve">Недозвон</t>
        </is>
      </c>
      <c r="D984" s="110" t="inlineStr">
        <is>
          <t xml:space="preserve">Кр-99041894-2</t>
        </is>
      </c>
      <c r="E984" s="110" t="inlineStr">
        <is>
          <t xml:space="preserve">SAIDOV ALISHER BOG’BEKOVICH</t>
        </is>
      </c>
      <c r="F984" s="110" t="inlineStr">
        <is>
          <t xml:space="preserve">+998942564444 SMS UZI, 998903344044 SMS UZI 2, 998904517757 SMS AYOLI,</t>
        </is>
      </c>
      <c r="G984" s="110" t="inlineStr">
        <is>
          <t xml:space="preserve">ХОРАЗМ ВИЛОЯТИ ХАЗОРАСП ТУМАНИ ЖАЛОЛАДДИН МАНГУБЕРДИ МФЙ ШАРОФ РАШИДОВ КУЧАСИ 79 УЙ</t>
        </is>
      </c>
      <c r="H984" s="111">
        <v>10.0</v>
      </c>
      <c r="I984" s="111">
        <v>3497091.87</v>
      </c>
    </row>
    <row r="985">
      <c r="A985" s="110" t="inlineStr">
        <is>
          <t xml:space="preserve">ХОРАЗМ ВИЛОЯТИ</t>
        </is>
      </c>
      <c r="C985" s="110" t="inlineStr">
        <is>
          <t xml:space="preserve">Недозвон</t>
        </is>
      </c>
      <c r="D985" s="110" t="inlineStr">
        <is>
          <t xml:space="preserve">Кр-99063108-1</t>
        </is>
      </c>
      <c r="E985" s="110" t="inlineStr">
        <is>
          <t xml:space="preserve">KURAMBAYEVA MUKADDAS RUZIMBAYEVNA</t>
        </is>
      </c>
      <c r="F985" s="110" t="inlineStr">
        <is>
          <t xml:space="preserve">998973607370 OZI, 998938610022 OGLI, 998937492223 KELINI, 998955360151 DUGONASI,</t>
        </is>
      </c>
      <c r="G985" s="110" t="inlineStr">
        <is>
          <t xml:space="preserve">XORAZM VILOYATI URGANCH TUMANI OQ ARIQLAR MFY USMON NOSIR 3 TOR KUCHASI 10A UY</t>
        </is>
      </c>
      <c r="H985" s="111">
        <v>10.0</v>
      </c>
      <c r="I985" s="111">
        <v>3350751.07</v>
      </c>
    </row>
    <row r="986">
      <c r="A986" s="110" t="inlineStr">
        <is>
          <t xml:space="preserve">ХОРАЗМ ВИЛОЯТИ</t>
        </is>
      </c>
      <c r="C986" s="110" t="inlineStr">
        <is>
          <t xml:space="preserve">Недозвон</t>
        </is>
      </c>
      <c r="D986" s="110" t="inlineStr">
        <is>
          <t xml:space="preserve">Кр-99060858-1</t>
        </is>
      </c>
      <c r="E986" s="110" t="inlineStr">
        <is>
          <t xml:space="preserve">G’AYIPOV ZOXIDJON NORMATOVICH</t>
        </is>
      </c>
      <c r="F986" s="110" t="inlineStr">
        <is>
          <t xml:space="preserve">998908238036 ozi, 998774878500 ayoli, 998948248036 ogli,</t>
        </is>
      </c>
      <c r="G986" s="110" t="inlineStr">
        <is>
          <t xml:space="preserve">Манзил: XORAZM VILOYATI SHOVOT TUMANI ASAVEY MFY BAXOR KO’CHASI 17-UY  </t>
        </is>
      </c>
      <c r="H986" s="111">
        <v>10.0</v>
      </c>
      <c r="I986" s="111">
        <v>3261475.93</v>
      </c>
    </row>
    <row r="987">
      <c r="A987" s="110" t="inlineStr">
        <is>
          <t xml:space="preserve">ХОРАЗМ ВИЛОЯТИ</t>
        </is>
      </c>
      <c r="C987" s="110" t="inlineStr">
        <is>
          <t xml:space="preserve">Недозвон</t>
        </is>
      </c>
      <c r="D987" s="110" t="inlineStr">
        <is>
          <t xml:space="preserve">Кр-99063200-1</t>
        </is>
      </c>
      <c r="E987" s="110" t="inlineStr">
        <is>
          <t xml:space="preserve">SAPAYEV DILMUROD DURDIBEKOVICH</t>
        </is>
      </c>
      <c r="F987" s="110" t="inlineStr">
        <is>
          <t xml:space="preserve">+998505722430 SMS UZI, 998334499565 SMS AYOLI, 998995957765 SMS ONASI,</t>
        </is>
      </c>
      <c r="G987" s="110" t="inlineStr">
        <is>
          <t xml:space="preserve">ХОРАЗМ ВИЛОЯТИ ХИВА ШАХРИ Қумясқа МФЙ, Қудратли кучаси, 10-уй</t>
        </is>
      </c>
      <c r="H987" s="111">
        <v>10.0</v>
      </c>
      <c r="I987" s="111">
        <v>3176031.9</v>
      </c>
    </row>
    <row r="988">
      <c r="A988" s="110" t="inlineStr">
        <is>
          <t xml:space="preserve">ХОРАЗМ ВИЛОЯТИ</t>
        </is>
      </c>
      <c r="C988" s="110" t="inlineStr">
        <is>
          <t xml:space="preserve">Недозвон</t>
        </is>
      </c>
      <c r="D988" s="110" t="inlineStr">
        <is>
          <t xml:space="preserve">Кр-99063594-1</t>
        </is>
      </c>
      <c r="E988" s="110" t="inlineStr">
        <is>
          <t xml:space="preserve">OLLAYOROV JAHONGIR SAIDNAZAROVICH</t>
        </is>
      </c>
      <c r="F988" s="110" t="inlineStr">
        <is>
          <t xml:space="preserve">+998339011562 SMS UZI, 998885122290 SMS AYOLI, 998931172786 SMS UZI 2,</t>
        </is>
      </c>
      <c r="G988" s="110" t="inlineStr">
        <is>
          <t xml:space="preserve">САЁТ ҚФЙ, ЧИНОБОД МФЙ, ЖАЙХУН ОБОД,  uy:99</t>
        </is>
      </c>
      <c r="H988" s="111">
        <v>10.0</v>
      </c>
      <c r="I988" s="111">
        <v>3112930.4</v>
      </c>
    </row>
    <row r="989">
      <c r="A989" s="110" t="inlineStr">
        <is>
          <t xml:space="preserve">ХОРАЗМ ВИЛОЯТИ</t>
        </is>
      </c>
      <c r="C989" s="110" t="inlineStr">
        <is>
          <t xml:space="preserve">Недозвон</t>
        </is>
      </c>
      <c r="D989" s="110" t="inlineStr">
        <is>
          <t xml:space="preserve">Кр-99047148-1</t>
        </is>
      </c>
      <c r="E989" s="110" t="inlineStr">
        <is>
          <t xml:space="preserve">TILLAYEV ULUG’BEK FARXODOVICH</t>
        </is>
      </c>
      <c r="F989" s="110" t="inlineStr">
        <is>
          <t xml:space="preserve">+998937550083 SMS UZI ФЕРМЕР , 998883080715 SMS O’G’LI, 998936680715 SMS UYI,</t>
        </is>
      </c>
      <c r="G989" s="110" t="inlineStr">
        <is>
          <t xml:space="preserve">ХОРАЗМ ВИЛОЯТИ ЯНГИБОЗОР ТУМАНИ ОЁКДУРМАН ҚФЙ, ХАЛКОБОД МФЙ, ДАЯКЎЛ КЎЧАСИ,  uy:8</t>
        </is>
      </c>
      <c r="H989" s="111">
        <v>10.0</v>
      </c>
      <c r="I989" s="111">
        <v>2871557.45</v>
      </c>
    </row>
    <row r="990">
      <c r="A990" s="110" t="inlineStr">
        <is>
          <t xml:space="preserve">ХОРАЗМ ВИЛОЯТИ</t>
        </is>
      </c>
      <c r="C990" s="110" t="inlineStr">
        <is>
          <t xml:space="preserve">Недозвон</t>
        </is>
      </c>
      <c r="D990" s="110" t="inlineStr">
        <is>
          <t xml:space="preserve">Кр-99041377-1</t>
        </is>
      </c>
      <c r="E990" s="110" t="inlineStr">
        <is>
          <t xml:space="preserve">JUMADURDIYEV BEKTEMIR XAJIYEVICH</t>
        </is>
      </c>
      <c r="F990" s="110" t="inlineStr">
        <is>
          <t xml:space="preserve">998885461411 SMS UZI, 998975133428 SMS ONASI, 998975136424 SMS POCHCHASI,</t>
        </is>
      </c>
      <c r="G990" s="110" t="inlineStr">
        <is>
          <t xml:space="preserve">ҒАЛАБА ҚФЙ, ОБОД МФЙ, ОБОД  КЎЧАСИ,  uy:22</t>
        </is>
      </c>
      <c r="H990" s="111">
        <v>10.0</v>
      </c>
      <c r="I990" s="111">
        <v>2249578.05</v>
      </c>
    </row>
    <row r="991">
      <c r="A991" s="110" t="inlineStr">
        <is>
          <t xml:space="preserve">ХОРАЗМ ВИЛОЯТИ</t>
        </is>
      </c>
      <c r="C991" s="110" t="inlineStr">
        <is>
          <t xml:space="preserve">Недозвон</t>
        </is>
      </c>
      <c r="D991" s="110" t="inlineStr">
        <is>
          <t xml:space="preserve">Кр-99039612-1</t>
        </is>
      </c>
      <c r="E991" s="110" t="inlineStr">
        <is>
          <t xml:space="preserve">TAJIBAYEV AXMEDJON BAXTIYAROVICH</t>
        </is>
      </c>
      <c r="F991" s="110" t="inlineStr">
        <is>
          <t xml:space="preserve">998919173223 SMS OZI, 998919995557 SMS OGLI, 998997357575 SMS HAMKASBI, 998995419757 Katta og`li,</t>
        </is>
      </c>
      <c r="G991" s="110" t="inlineStr">
        <is>
          <t xml:space="preserve">XORAZM VILOYATI YANGIBOZOR TUMANI YUQORI BOSHQIRSHIX MFY YOG’DU KO’CHASI 38-UY</t>
        </is>
      </c>
      <c r="H991" s="111">
        <v>3.0</v>
      </c>
      <c r="I991" s="111">
        <v>2195677.31</v>
      </c>
    </row>
    <row r="992">
      <c r="A992" s="110" t="inlineStr">
        <is>
          <t xml:space="preserve">ХОРАЗМ ВИЛОЯТИ</t>
        </is>
      </c>
      <c r="C992" s="110" t="inlineStr">
        <is>
          <t xml:space="preserve">Недозвон</t>
        </is>
      </c>
      <c r="D992" s="110" t="inlineStr">
        <is>
          <t xml:space="preserve">Кр-99046648-2</t>
        </is>
      </c>
      <c r="E992" s="110" t="inlineStr">
        <is>
          <t xml:space="preserve">KURBANOV MANSUR RUSTAMOVICH</t>
        </is>
      </c>
      <c r="F992" s="110" t="inlineStr">
        <is>
          <t xml:space="preserve">+998959856565 SMS UZI, 998772525545 SMS AYOLI begona, 998937445100 SMS OTASI,</t>
        </is>
      </c>
      <c r="G992" s="110" t="inlineStr">
        <is>
          <t xml:space="preserve">ХОРАЗМ ВИЛОЯТИ УРГАНЧ Ш., БИНОКОР МФЙ, БИНОКОР КЎЧАСИ,  uy:35</t>
        </is>
      </c>
      <c r="H992" s="111">
        <v>10.0</v>
      </c>
      <c r="I992" s="111">
        <v>2167302.41</v>
      </c>
    </row>
    <row r="993">
      <c r="A993" s="110" t="inlineStr">
        <is>
          <t xml:space="preserve">ХОРАЗМ ВИЛОЯТИ</t>
        </is>
      </c>
      <c r="C993" s="110" t="inlineStr">
        <is>
          <t xml:space="preserve">Недозвон</t>
        </is>
      </c>
      <c r="D993" s="110" t="inlineStr">
        <is>
          <t xml:space="preserve">Кр-99052723-1</t>
        </is>
      </c>
      <c r="E993" s="110" t="inlineStr">
        <is>
          <t xml:space="preserve">YANGIBOYEVA GULCHEHRA OLIMBOY QIZI</t>
        </is>
      </c>
      <c r="F993" s="110" t="inlineStr">
        <is>
          <t xml:space="preserve">998996824132 SMS O'ZI, 998771032212 SMS ERI, 998770905503 SMS AKASI,</t>
        </is>
      </c>
      <c r="G993" s="110" t="inlineStr">
        <is>
          <t xml:space="preserve">XORAZIM VILOYATI BOG’OT TUMANI MADANIYAT QFY OK-OLTIN MFY,ISTIKLOL 1-TOR KO’CHASI 48-UY</t>
        </is>
      </c>
      <c r="H993" s="111">
        <v>10.0</v>
      </c>
      <c r="I993" s="111">
        <v>2129454.97</v>
      </c>
    </row>
    <row r="994">
      <c r="A994" s="110" t="inlineStr">
        <is>
          <t xml:space="preserve">ХОРАЗМ ВИЛОЯТИ</t>
        </is>
      </c>
      <c r="C994" s="110" t="inlineStr">
        <is>
          <t xml:space="preserve">Недозвон</t>
        </is>
      </c>
      <c r="D994" s="110" t="inlineStr">
        <is>
          <t xml:space="preserve">Кр-99046648-1</t>
        </is>
      </c>
      <c r="E994" s="110" t="inlineStr">
        <is>
          <t xml:space="preserve">KURBANOV MANSUR RUSTAMOVICH</t>
        </is>
      </c>
      <c r="F994" s="110" t="inlineStr">
        <is>
          <t xml:space="preserve">+998959856565 SMS UZI, 998772525545 SMS AYOLI begona, 998937445100 SMS OTASI,</t>
        </is>
      </c>
      <c r="G994" s="110" t="inlineStr">
        <is>
          <t xml:space="preserve">ХОРАЗМ ВИЛОЯТИ УРГАНЧ Ш., БИНОКОР МФЙ, БИНОКОР КЎЧАСИ,  uy:35</t>
        </is>
      </c>
      <c r="H994" s="111">
        <v>10.0</v>
      </c>
      <c r="I994" s="111">
        <v>2122669.38</v>
      </c>
    </row>
    <row r="995">
      <c r="A995" s="110" t="inlineStr">
        <is>
          <t xml:space="preserve">ХОРАЗМ ВИЛОЯТИ</t>
        </is>
      </c>
      <c r="C995" s="110" t="inlineStr">
        <is>
          <t xml:space="preserve">Недозвон</t>
        </is>
      </c>
      <c r="D995" s="110" t="inlineStr">
        <is>
          <t xml:space="preserve">Кр-99046073-1</t>
        </is>
      </c>
      <c r="E995" s="110" t="inlineStr">
        <is>
          <t xml:space="preserve">KARIMOV ABROR RUZIMBAYEVICH</t>
        </is>
      </c>
      <c r="F995" s="110" t="inlineStr">
        <is>
          <t xml:space="preserve">+998888325658 SMS UZI, 998938855658 SMS O’G’LI, 998995485658 SMS UYI,</t>
        </is>
      </c>
      <c r="G995" s="110" t="inlineStr">
        <is>
          <t xml:space="preserve">ХОРАЗМ ВИЛОЯТИ ГУРЛАН ТУМАНИ ВАЗИР ҚФЙ, ОҚҚУМ МФЙ, НАМУНА КЎЧАСИ,  uy:Р/С</t>
        </is>
      </c>
      <c r="H995" s="111">
        <v>13.0</v>
      </c>
      <c r="I995" s="111">
        <v>1940944.26</v>
      </c>
    </row>
    <row r="996">
      <c r="A996" s="110" t="inlineStr">
        <is>
          <t xml:space="preserve">ХОРАЗМ ВИЛОЯТИ</t>
        </is>
      </c>
      <c r="C996" s="110" t="inlineStr">
        <is>
          <t xml:space="preserve">Недозвон</t>
        </is>
      </c>
      <c r="D996" s="110" t="inlineStr">
        <is>
          <t xml:space="preserve">Кр-99041136-2</t>
        </is>
      </c>
      <c r="E996" s="110" t="inlineStr">
        <is>
          <t xml:space="preserve">EGAMBERGANOV ALISHER BAXTIYOROVICH</t>
        </is>
      </c>
      <c r="F996" s="110" t="inlineStr">
        <is>
          <t xml:space="preserve">+998948435557 SMS UZI, 998914255457 SMS AYOLI,</t>
        </is>
      </c>
      <c r="G996" s="110" t="inlineStr">
        <is>
          <t xml:space="preserve">Уйшин МФЙ, Зиёлилар кучаси, 7-уй</t>
        </is>
      </c>
      <c r="H996" s="111">
        <v>10.0</v>
      </c>
      <c r="I996" s="111">
        <v>1807234.28</v>
      </c>
    </row>
    <row r="997">
      <c r="A997" s="110" t="inlineStr">
        <is>
          <t xml:space="preserve">ХОРАЗМ ВИЛОЯТИ</t>
        </is>
      </c>
      <c r="C997" s="110" t="inlineStr">
        <is>
          <t xml:space="preserve">Недозвон</t>
        </is>
      </c>
      <c r="D997" s="110" t="inlineStr">
        <is>
          <t xml:space="preserve">Кр-99063248-1</t>
        </is>
      </c>
      <c r="E997" s="110" t="inlineStr">
        <is>
          <t xml:space="preserve">EGAMOV EGAMBOY HAKIMBOY O’G’LI</t>
        </is>
      </c>
      <c r="F997" s="110" t="inlineStr">
        <is>
          <t xml:space="preserve">998870102300 SMS OZI, 998907432778 SMS UKASI, 998943120877 SMS AKASI,</t>
        </is>
      </c>
      <c r="G997" s="110" t="inlineStr">
        <is>
          <t xml:space="preserve">IIV 33212 XORAZM VILOYATI QUSHKUPIR TUMANI SHIXMASHXAD MFY YANGI QORAMON KUCHASI 8/1 UY</t>
        </is>
      </c>
      <c r="H997" s="111">
        <v>15.0</v>
      </c>
      <c r="I997" s="111">
        <v>1782021.54</v>
      </c>
    </row>
    <row r="998">
      <c r="A998" s="110" t="inlineStr">
        <is>
          <t xml:space="preserve">ХОРАЗМ ВИЛОЯТИ</t>
        </is>
      </c>
      <c r="C998" s="110" t="inlineStr">
        <is>
          <t xml:space="preserve">Недозвон</t>
        </is>
      </c>
      <c r="D998" s="110" t="inlineStr">
        <is>
          <t xml:space="preserve">Кр-99057362-2</t>
        </is>
      </c>
      <c r="E998" s="110" t="inlineStr">
        <is>
          <t xml:space="preserve">ATADJANOV XAITBAY XXX</t>
        </is>
      </c>
      <c r="F998" s="110" t="inlineStr">
        <is>
          <t xml:space="preserve">998994405155 SMS O’G’LI (TULOVCHI), 998904335450 SMS UZI, 998416596063 SMS UZI 3, 998774818388 SMS UGLI,</t>
        </is>
      </c>
      <c r="G998" s="110" t="inlineStr">
        <is>
          <t xml:space="preserve">XORAZM VILOYATI URGANCH SHAHRI GULZOR MFY ABDULLA QODIRIY KUCHASI 51-A UY</t>
        </is>
      </c>
      <c r="H998" s="111">
        <v>10.0</v>
      </c>
      <c r="I998" s="111">
        <v>1411029.68</v>
      </c>
    </row>
    <row r="999">
      <c r="A999" s="110" t="inlineStr">
        <is>
          <t xml:space="preserve">ХОРАЗМ ВИЛОЯТИ</t>
        </is>
      </c>
      <c r="C999" s="110" t="inlineStr">
        <is>
          <t xml:space="preserve">Недозвон</t>
        </is>
      </c>
      <c r="D999" s="110" t="inlineStr">
        <is>
          <t xml:space="preserve">Кр-99056258-1</t>
        </is>
      </c>
      <c r="E999" s="110" t="inlineStr">
        <is>
          <t xml:space="preserve">ABDUSHARIPOV QUDRATBEK QUVONDIQOVICH</t>
        </is>
      </c>
      <c r="F999" s="110" t="inlineStr">
        <is>
          <t xml:space="preserve">998772770008 SMS OZI, 998950690015 SMS AYOLI, 998339993307 SMS UKASI, 998507561756 SMS AKASI,</t>
        </is>
      </c>
      <c r="G999" s="110" t="inlineStr">
        <is>
          <t xml:space="preserve">XORAZM VILOYATI URGANCH SHAHAR BINOKOR KO’CHASI 21/1</t>
        </is>
      </c>
      <c r="I999" s="111">
        <v>1122205.36</v>
      </c>
    </row>
    <row r="1000">
      <c r="A1000" s="110" t="inlineStr">
        <is>
          <t xml:space="preserve">ХОРАЗМ ВИЛОЯТИ</t>
        </is>
      </c>
      <c r="C1000" s="110" t="inlineStr">
        <is>
          <t xml:space="preserve">Недозвон</t>
        </is>
      </c>
      <c r="D1000" s="110" t="inlineStr">
        <is>
          <t xml:space="preserve">Кр-99059323-2</t>
        </is>
      </c>
      <c r="E1000" s="110" t="inlineStr">
        <is>
          <t xml:space="preserve">QO’ZIYEV YO’LDASHBOY BAXODIROVICH</t>
        </is>
      </c>
      <c r="F1000" s="110" t="inlineStr">
        <is>
          <t xml:space="preserve">999898733492 SMS OZI, 998995096105 SMS AKASI, 998127733772 SMS AKASI2, 998977900992 SMS KELINI,</t>
        </is>
      </c>
      <c r="G1000" s="110" t="inlineStr">
        <is>
          <t xml:space="preserve">XORAZM VILOYATI XIVA TUMANI SHOMOXULUM MFY OG’AINILAR KO’CHASI 6-UY</t>
        </is>
      </c>
      <c r="H1000" s="111">
        <v>10.0</v>
      </c>
      <c r="I1000" s="111">
        <v>934700.64</v>
      </c>
    </row>
    <row r="1001">
      <c r="A1001" s="110" t="inlineStr">
        <is>
          <t xml:space="preserve">ХОРАЗМ ВИЛОЯТИ</t>
        </is>
      </c>
      <c r="C1001" s="110" t="inlineStr">
        <is>
          <t xml:space="preserve">Недозвон</t>
        </is>
      </c>
      <c r="D1001" s="110" t="inlineStr">
        <is>
          <t xml:space="preserve">Кр-99062622-1</t>
        </is>
      </c>
      <c r="E1001" s="110" t="inlineStr">
        <is>
          <t xml:space="preserve">MATQURBANOVA GULNORA QO’ZIBOYEVNA</t>
        </is>
      </c>
      <c r="F1001" s="110" t="inlineStr">
        <is>
          <t xml:space="preserve">+998997412708 SMS UZI, 998970904717 SMS ERI, 998973310706 SMS O’G’LI,</t>
        </is>
      </c>
      <c r="G1001" s="110" t="inlineStr">
        <is>
          <t xml:space="preserve">ХОРАЗМ ВИЛОЯТИ КУШКУПИР ТУМАНИ КОТОГОН ҚФЙ, БАРАТЛАР МФЙ,  НУРХАЁТ КУЧАСИ 1-УЙ</t>
        </is>
      </c>
      <c r="H1001" s="111">
        <v>10.0</v>
      </c>
      <c r="I1001" s="111">
        <v>893801.18</v>
      </c>
    </row>
    <row r="1002">
      <c r="A1002" s="110" t="inlineStr">
        <is>
          <t xml:space="preserve">ХОРАЗМ ВИЛОЯТИ</t>
        </is>
      </c>
      <c r="C1002" s="110" t="inlineStr">
        <is>
          <t xml:space="preserve">Недозвон</t>
        </is>
      </c>
      <c r="D1002" s="110" t="inlineStr">
        <is>
          <t xml:space="preserve">Кр-99063527-1</t>
        </is>
      </c>
      <c r="E1002" s="110" t="inlineStr">
        <is>
          <t xml:space="preserve">OTABAYEV DIYORBEK ULUG’BEKOVICH</t>
        </is>
      </c>
      <c r="F1002" s="110" t="inlineStr">
        <is>
          <t xml:space="preserve">+998918621807 SMS UZI, 998905599259 SMS DO’STI, 998914282802 SMS DO’STI,</t>
        </is>
      </c>
      <c r="G1002" s="110" t="inlineStr">
        <is>
          <t xml:space="preserve">ХОРАЗМ ВИЛОЯТИ УРГАНЧ ШАХРИ Ziyokorlar MFY, Yangiobod ko’chasi, 79-uy</t>
        </is>
      </c>
      <c r="H1002" s="111">
        <v>10.0</v>
      </c>
      <c r="I1002" s="111">
        <v>855409.69</v>
      </c>
    </row>
    <row r="1003">
      <c r="A1003" s="110" t="inlineStr">
        <is>
          <t xml:space="preserve">ХОРАЗМ ВИЛОЯТИ</t>
        </is>
      </c>
      <c r="C1003" s="110" t="inlineStr">
        <is>
          <t xml:space="preserve">Недозвон</t>
        </is>
      </c>
      <c r="D1003" s="110" t="inlineStr">
        <is>
          <t xml:space="preserve">Кр-99052651-2</t>
        </is>
      </c>
      <c r="E1003" s="110" t="inlineStr">
        <is>
          <t xml:space="preserve">TURABOYEV XUSNIDDIN JONIBEK O’G’LI</t>
        </is>
      </c>
      <c r="F1003" s="110" t="inlineStr">
        <is>
          <t xml:space="preserve">998953376818 SMS OZI,</t>
        </is>
      </c>
      <c r="G1003" s="110" t="inlineStr">
        <is>
          <t xml:space="preserve">YANGIBOZOR TUMANI TOZADO’RMON MFY. OLMAZOR 1 KO’CHASI 24-UY</t>
        </is>
      </c>
      <c r="H1003" s="111">
        <v>10.0</v>
      </c>
      <c r="I1003" s="111">
        <v>789442.68</v>
      </c>
    </row>
    <row r="1004">
      <c r="A1004" s="110" t="inlineStr">
        <is>
          <t xml:space="preserve">ХОРАЗМ ВИЛОЯТИ</t>
        </is>
      </c>
      <c r="C1004" s="110" t="inlineStr">
        <is>
          <t xml:space="preserve">Недозвон</t>
        </is>
      </c>
      <c r="D1004" s="110" t="inlineStr">
        <is>
          <t xml:space="preserve">Кр-99063013-4</t>
        </is>
      </c>
      <c r="E1004" s="110" t="inlineStr">
        <is>
          <t xml:space="preserve">JUMANIYOZOVA SHOXISTA BAXTIYOROVNA</t>
        </is>
      </c>
      <c r="F1004" s="110" t="inlineStr">
        <is>
          <t xml:space="preserve">+998993924494 SMS UZI, 998957377005 SMS ERI, 998990835394 SMS QIZI,</t>
        </is>
      </c>
      <c r="G1004" s="110" t="inlineStr">
        <is>
          <t xml:space="preserve">Хорезмская область, Багатский район, Маданият ССГ, Ок-олтин МСГ, ул. Истиклол, пр. 1, дом 349</t>
        </is>
      </c>
      <c r="H1004" s="111">
        <v>10.0</v>
      </c>
      <c r="I1004" s="111">
        <v>486462.49</v>
      </c>
    </row>
    <row r="1005">
      <c r="A1005" s="110" t="inlineStr">
        <is>
          <t xml:space="preserve">ХОРАЗМ ВИЛОЯТИ</t>
        </is>
      </c>
      <c r="C1005" s="110" t="inlineStr">
        <is>
          <t xml:space="preserve">Недозвон</t>
        </is>
      </c>
      <c r="D1005" s="110" t="inlineStr">
        <is>
          <t xml:space="preserve">Кр-99042876-3</t>
        </is>
      </c>
      <c r="E1005" s="110" t="inlineStr">
        <is>
          <t xml:space="preserve">MATKARIMOV UMAR QURBANBAYEVICH</t>
        </is>
      </c>
      <c r="F1005" s="110" t="inlineStr">
        <is>
          <t xml:space="preserve">+998882010454 SMS UZI, 998880544455 SMS O’G’LI, 998959441475 SMS UZI 2,</t>
        </is>
      </c>
      <c r="G1005" s="110" t="inlineStr">
        <is>
          <t xml:space="preserve">ХОРАЗМ ВИЛОЯТИ БОГОТ ТУМАНИ КОРАЁНТОК ҚФЙ, БОГЗОР МФЙ, ЁШЛАР КЎЧАСИ,  uy:23</t>
        </is>
      </c>
      <c r="H1005" s="111">
        <v>10.0</v>
      </c>
      <c r="I1005" s="111">
        <v>449939.0</v>
      </c>
    </row>
    <row r="1006">
      <c r="A1006" s="110" t="inlineStr">
        <is>
          <t xml:space="preserve">ХОРАЗМ ВИЛОЯТИ</t>
        </is>
      </c>
      <c r="C1006" s="110" t="inlineStr">
        <is>
          <t xml:space="preserve">Недозвон</t>
        </is>
      </c>
      <c r="D1006" s="110" t="inlineStr">
        <is>
          <t xml:space="preserve">Кр-99063223-1</t>
        </is>
      </c>
      <c r="E1006" s="110" t="inlineStr">
        <is>
          <t xml:space="preserve">RAXIMOV RASUL ISMAILOVICH</t>
        </is>
      </c>
      <c r="F1006" s="110" t="inlineStr">
        <is>
          <t xml:space="preserve">+998882242141 SMS UZI, 998873941424 SMS AYOLI, 998976092101 SMS O’G’LI,</t>
        </is>
      </c>
      <c r="G1006" s="110" t="inlineStr">
        <is>
          <t xml:space="preserve">ШИХМАХШАД ШФЙ, ЗАРБДОР МФЙ,  uy:Р/С</t>
        </is>
      </c>
      <c r="H1006" s="111">
        <v>10.0</v>
      </c>
      <c r="I1006" s="111">
        <v>405595.47</v>
      </c>
    </row>
    <row r="1007">
      <c r="A1007" s="112" t="inlineStr">
        <is>
          <t xml:space="preserve">ХОРАЗМ ВИЛОЯТИ</t>
        </is>
      </c>
      <c r="B1007" s="112" t="inlineStr">
        <is>
          <t xml:space="preserve">BOSH OFIS</t>
        </is>
      </c>
      <c r="C1007" s="112" t="inlineStr">
        <is>
          <t xml:space="preserve">Недозвон</t>
        </is>
      </c>
      <c r="D1007" s="112" t="inlineStr">
        <is>
          <t xml:space="preserve">Кр-99022070-5</t>
        </is>
      </c>
      <c r="E1007" s="112" t="inlineStr">
        <is>
          <t xml:space="preserve">BABAJONOVA DILNOZA KADAMBOYEVNA</t>
        </is>
      </c>
      <c r="F1007" s="112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07" s="112" t="inlineStr">
        <is>
          <t xml:space="preserve">XORAZM VILOYATI URGANCH SHAXAR NAVRUZ MAXALLASI NAVBAHOR 3-TOR KUCHASI 36-UY</t>
        </is>
      </c>
      <c r="H1007" s="113">
        <v>13.0</v>
      </c>
      <c r="I1007" s="113">
        <v>26494852.95</v>
      </c>
      <c r="K1007" s="112" t="inlineStr">
        <is>
          <t xml:space="preserve">Telefon ko'tarmadi | oy oxiri yopad | 110</t>
        </is>
      </c>
    </row>
    <row r="1008">
      <c r="A1008" s="112" t="inlineStr">
        <is>
          <t xml:space="preserve">ХОРАЗМ ВИЛОЯТИ</t>
        </is>
      </c>
      <c r="B1008" s="112" t="inlineStr">
        <is>
          <t xml:space="preserve">BOSH OFIS</t>
        </is>
      </c>
      <c r="C1008" s="112" t="inlineStr">
        <is>
          <t xml:space="preserve">Недозвон</t>
        </is>
      </c>
      <c r="D1008" s="112" t="inlineStr">
        <is>
          <t xml:space="preserve">Кр-99063153-1</t>
        </is>
      </c>
      <c r="E1008" s="112" t="inlineStr">
        <is>
          <t xml:space="preserve">KALANDAROVA SANOBAR JUMABOYEVNA</t>
        </is>
      </c>
      <c r="F1008" s="112" t="inlineStr">
        <is>
          <t xml:space="preserve">998946355502 SMS OZI, 998944016415 SMS ERI, 998931375502 SMS OGLI,</t>
        </is>
      </c>
      <c r="G1008" s="112" t="inlineStr">
        <is>
          <t xml:space="preserve">FARG’ONA VILOYATI BOG’DOD TUMANI DASHT MFY ZULFIYA KO’CHASI 51-UY</t>
        </is>
      </c>
      <c r="H1008" s="113">
        <v>13.0</v>
      </c>
      <c r="I1008" s="113">
        <v>6910062.55</v>
      </c>
      <c r="K1008" s="112" t="inlineStr">
        <is>
          <t xml:space="preserve">ofisga kevotti | 1515</t>
        </is>
      </c>
    </row>
    <row r="1009">
      <c r="A1009" s="114" t="inlineStr">
        <is>
          <t xml:space="preserve">ХОРАЗМ ВИЛОЯТИ</t>
        </is>
      </c>
      <c r="B1009" s="114" t="inlineStr">
        <is>
          <t xml:space="preserve">SUPER BRANCH</t>
        </is>
      </c>
      <c r="C1009" s="114" t="inlineStr">
        <is>
          <t xml:space="preserve">Недозвон</t>
        </is>
      </c>
      <c r="D1009" s="114" t="inlineStr">
        <is>
          <t xml:space="preserve">Кр-99040506-1</t>
        </is>
      </c>
      <c r="E1009" s="114" t="inlineStr">
        <is>
          <t xml:space="preserve">POLVONOVA GULI PALVANOVNA</t>
        </is>
      </c>
      <c r="F1009" s="114" t="inlineStr">
        <is>
          <t xml:space="preserve">998771410273 SMS OZI, 998959841939 SMS SINGLSI, 998700579694 SMS JIYANI,</t>
        </is>
      </c>
      <c r="G1009" s="114" t="inlineStr">
        <is>
          <t xml:space="preserve">XORAZM VILOYATI URGANCH SHAHRI GULCHILAR MSG AL-BERUNIY 25A UY 6 XONADON</t>
        </is>
      </c>
      <c r="H1009" s="115">
        <v>104.0</v>
      </c>
      <c r="I1009" s="115">
        <v>26198941.05</v>
      </c>
      <c r="K1009" s="114" t="inlineStr">
        <is>
          <t xml:space="preserve">m | 904</t>
        </is>
      </c>
    </row>
    <row r="1010">
      <c r="A1010" s="114" t="inlineStr">
        <is>
          <t xml:space="preserve">ХОРАЗМ ВИЛОЯТИ</t>
        </is>
      </c>
      <c r="B1010" s="114" t="inlineStr">
        <is>
          <t xml:space="preserve">SUPER BRANCH</t>
        </is>
      </c>
      <c r="C1010" s="114" t="inlineStr">
        <is>
          <t xml:space="preserve">Недозвон</t>
        </is>
      </c>
      <c r="D1010" s="114" t="inlineStr">
        <is>
          <t xml:space="preserve">Кр-99039581-1</t>
        </is>
      </c>
      <c r="E1010" s="114" t="inlineStr">
        <is>
          <t xml:space="preserve">BABOJONOVA YORQINOY EGAMBERGANOVNA</t>
        </is>
      </c>
      <c r="F1010" s="114" t="inlineStr">
        <is>
          <t xml:space="preserve">998904308082 SMS OZI, 998912778683 SMS TOLOVCHI, 998935491659 SMS KELINI, 998919878683 SMS JIYANI, 998505891659 SMS TOLOVCHI,</t>
        </is>
      </c>
      <c r="G1010" s="114" t="inlineStr">
        <is>
          <t xml:space="preserve">XORAZM VILOYATI SHOVOT TUMANI TUPROQQALA MFY LUTFIY KUCHASI 6-UY </t>
        </is>
      </c>
      <c r="H1010" s="115">
        <v>34.0</v>
      </c>
      <c r="I1010" s="115">
        <v>14770381.75</v>
      </c>
      <c r="K1010" s="114" t="inlineStr">
        <is>
          <t xml:space="preserve">m | 805</t>
        </is>
      </c>
    </row>
    <row r="1011">
      <c r="A1011" s="114" t="inlineStr">
        <is>
          <t xml:space="preserve">ХОРАЗМ ВИЛОЯТИ</t>
        </is>
      </c>
      <c r="B1011" s="114" t="inlineStr">
        <is>
          <t xml:space="preserve">SUPER BRANCH</t>
        </is>
      </c>
      <c r="C1011" s="114" t="inlineStr">
        <is>
          <t xml:space="preserve">Объезд</t>
        </is>
      </c>
      <c r="D1011" s="114" t="inlineStr">
        <is>
          <t xml:space="preserve">Кр-99040149-1</t>
        </is>
      </c>
      <c r="E1011" s="114" t="inlineStr">
        <is>
          <t xml:space="preserve">XUDOYBERGANOV DONIYOR QUVONDIQ O’G’LI</t>
        </is>
      </c>
      <c r="F1011" s="114" t="inlineStr">
        <is>
          <t xml:space="preserve">998507170080 SMS OZI, 998994358118 SMS AYOLI, 998991121100 SMS DOSTI,</t>
        </is>
      </c>
      <c r="G1011" s="114" t="inlineStr">
        <is>
          <t xml:space="preserve">XORAZM VILOYATI XAZORASP TUMANI ISHCHILAR MFY A.NAVOYI KUCHASI 8-UY</t>
        </is>
      </c>
      <c r="H1011" s="115">
        <v>10.0</v>
      </c>
      <c r="I1011" s="115">
        <v>5734060.54</v>
      </c>
      <c r="K1011" s="114" t="inlineStr">
        <is>
          <t xml:space="preserve">Uyiga borildi - va'da berdi | o'zi Turkiyada ayoli yoki oetogi bilan gaplashaman pul tashashini kutishvotti | 866</t>
        </is>
      </c>
    </row>
    <row r="1012">
      <c r="A1012" s="114" t="inlineStr">
        <is>
          <t xml:space="preserve">ХОРАЗМ ВИЛОЯТИ</t>
        </is>
      </c>
      <c r="B1012" s="114" t="inlineStr">
        <is>
          <t xml:space="preserve">SUPER BRANCH</t>
        </is>
      </c>
      <c r="C1012" s="114" t="inlineStr">
        <is>
          <t xml:space="preserve">Объезд</t>
        </is>
      </c>
      <c r="D1012" s="114" t="inlineStr">
        <is>
          <t xml:space="preserve">Кр-99052981-1</t>
        </is>
      </c>
      <c r="E1012" s="114" t="inlineStr">
        <is>
          <t xml:space="preserve">MADRAXIMOVA  ZEBINISO MADRIMOVNA</t>
        </is>
      </c>
      <c r="F1012" s="114" t="inlineStr">
        <is>
          <t xml:space="preserve">998791161524 SMS OZI, 998995969099 SMS UKASI, 998975271155 SMS OPASI, 998721152582 SMS OPASI,</t>
        </is>
      </c>
      <c r="G1012" s="114" t="inlineStr">
        <is>
          <t xml:space="preserve">XORAZM VILOYATI YANGIARIQ TUMANI YANGI OBOD MFY YANGI OBOD KO’CHASI 40-UY</t>
        </is>
      </c>
      <c r="H1012" s="115">
        <v>10.0</v>
      </c>
      <c r="I1012" s="115">
        <v>5119065.52</v>
      </c>
      <c r="J1012" s="115">
        <v>5119065.52</v>
      </c>
      <c r="K1012" s="114" t="inlineStr">
        <is>
          <t xml:space="preserve">Uyiga borildi - to'ladi | yopaildi | 1221</t>
        </is>
      </c>
    </row>
    <row r="1013">
      <c r="A1013" s="114" t="inlineStr">
        <is>
          <t xml:space="preserve">ХОРАЗМ ВИЛОЯТИ</t>
        </is>
      </c>
      <c r="B1013" s="114" t="inlineStr">
        <is>
          <t xml:space="preserve">SUPER BRANCH</t>
        </is>
      </c>
      <c r="C1013" s="114" t="inlineStr">
        <is>
          <t xml:space="preserve">Объезд</t>
        </is>
      </c>
      <c r="D1013" s="114" t="inlineStr">
        <is>
          <t xml:space="preserve">Кр-99040505-1</t>
        </is>
      </c>
      <c r="E1013" s="114" t="inlineStr">
        <is>
          <t xml:space="preserve">EGAMOVA XOLISXON ALLABERGANOVNA</t>
        </is>
      </c>
      <c r="F1013" s="114" t="inlineStr">
        <is>
          <t xml:space="preserve">998934531982 SMS ERI, 998934268290 SMS OZI, 998997464344 SMS AKASI, 998991167127 SMS UKASI,</t>
        </is>
      </c>
      <c r="G1013" s="114" t="inlineStr">
        <is>
          <t xml:space="preserve">XORAZM VILOYATI URGANCH SHAHAR MASHAL MFY XIVA 2-YULAK 3-UY</t>
        </is>
      </c>
      <c r="H1013" s="115">
        <v>10.0</v>
      </c>
      <c r="I1013" s="115">
        <v>5037207.59</v>
      </c>
      <c r="J1013" s="115">
        <v>1900000.0</v>
      </c>
      <c r="K1013" s="114" t="inlineStr">
        <is>
          <t xml:space="preserve">Uyiga borildi - to'ladi | 1,9 mln tolov qildi qolganini 20-sanagacha yopad | 903</t>
        </is>
      </c>
    </row>
    <row r="1014">
      <c r="A1014" s="114" t="inlineStr">
        <is>
          <t xml:space="preserve">ХОРАЗМ ВИЛОЯТИ</t>
        </is>
      </c>
      <c r="B1014" s="114" t="inlineStr">
        <is>
          <t xml:space="preserve">SUPER BRANCH</t>
        </is>
      </c>
      <c r="C1014" s="114" t="inlineStr">
        <is>
          <t xml:space="preserve">Объезд</t>
        </is>
      </c>
      <c r="D1014" s="114" t="inlineStr">
        <is>
          <t xml:space="preserve">Кр-99061565-2</t>
        </is>
      </c>
      <c r="E1014" s="114" t="inlineStr">
        <is>
          <t xml:space="preserve">ODAMBAYEV DIYORBEK BAXTIYOR O’G’LI</t>
        </is>
      </c>
      <c r="F1014" s="114" t="inlineStr">
        <is>
          <t xml:space="preserve">998973643330 узи, 998881589333 укаси, 998881535959 дусти, 998991929629 онаси,</t>
        </is>
      </c>
      <c r="G1014" s="114" t="inlineStr">
        <is>
          <t xml:space="preserve">XORAZM VILOYATI XONQA TUMANI ILG’OR MFY TURKISTON KO¹CHASI 154-UY</t>
        </is>
      </c>
      <c r="H1014" s="115">
        <v>10.0</v>
      </c>
      <c r="I1014" s="115">
        <v>4415431.95</v>
      </c>
      <c r="K1014" s="114" t="inlineStr">
        <is>
          <t xml:space="preserve">Uyiga borildi - va'da berdi | 1381</t>
        </is>
      </c>
    </row>
    <row r="1015">
      <c r="A1015" s="114" t="inlineStr">
        <is>
          <t xml:space="preserve">ХОРАЗМ ВИЛОЯТИ</t>
        </is>
      </c>
      <c r="B1015" s="114" t="inlineStr">
        <is>
          <t xml:space="preserve">SUPER BRANCH</t>
        </is>
      </c>
      <c r="C1015" s="114" t="inlineStr">
        <is>
          <t xml:space="preserve">Недозвон</t>
        </is>
      </c>
      <c r="D1015" s="114" t="inlineStr">
        <is>
          <t xml:space="preserve">Кр-99040263-2</t>
        </is>
      </c>
      <c r="E1015" s="114" t="inlineStr">
        <is>
          <t xml:space="preserve">ABDULLAYEV BAXODIR ALIMBAYEVICH</t>
        </is>
      </c>
      <c r="F1015" s="114" t="inlineStr">
        <is>
          <t xml:space="preserve">998991660816 SMS OZI, 998990624394 SMS OZI 2, 998949923336 SMS OGLI,</t>
        </is>
      </c>
      <c r="G1015" s="114" t="inlineStr">
        <is>
          <t xml:space="preserve">XORAZM VILOYATI XONQA TUMANI PAXTAKOR MFY PAXTAKOR 4-TOR KO’CHASI 3-UY</t>
        </is>
      </c>
      <c r="H1015" s="115">
        <v>10.0</v>
      </c>
      <c r="I1015" s="115">
        <v>3646773.03</v>
      </c>
      <c r="K1015" s="114" t="inlineStr">
        <is>
          <t xml:space="preserve">boglanib bolmad | 879</t>
        </is>
      </c>
    </row>
    <row r="1016">
      <c r="A1016" s="114" t="inlineStr">
        <is>
          <t xml:space="preserve">ХОРАЗМ ВИЛОЯТИ</t>
        </is>
      </c>
      <c r="B1016" s="114" t="inlineStr">
        <is>
          <t xml:space="preserve">SUPER BRANCH</t>
        </is>
      </c>
      <c r="C1016" s="114" t="inlineStr">
        <is>
          <t xml:space="preserve">Недозвон</t>
        </is>
      </c>
      <c r="D1016" s="114" t="inlineStr">
        <is>
          <t xml:space="preserve">Кр-99040646-1</t>
        </is>
      </c>
      <c r="E1016" s="114" t="inlineStr">
        <is>
          <t xml:space="preserve">ALLABERGANOV AXMED IBROGIMOVICH</t>
        </is>
      </c>
      <c r="F1016" s="114" t="inlineStr">
        <is>
          <t xml:space="preserve">998935289163 SMS OZI, 998500110088 SMS OGLI, 998860775752 SMS OGLI 2,</t>
        </is>
      </c>
      <c r="G1016" s="114" t="inlineStr">
        <is>
          <t xml:space="preserve">XORAZM VILOYATI XIVA TUMANI PIRNAXOS MFY OKKABUTAR KO’CHASI 33-UY</t>
        </is>
      </c>
      <c r="H1016" s="115">
        <v>10.0</v>
      </c>
      <c r="I1016" s="115">
        <v>3633039.33</v>
      </c>
      <c r="K1016" s="114" t="inlineStr">
        <is>
          <t xml:space="preserve">Telefon ko'tarmadi | kotarmad tg yozdim | 913</t>
        </is>
      </c>
    </row>
    <row r="1017">
      <c r="A1017" s="114" t="inlineStr">
        <is>
          <t xml:space="preserve">ХОРАЗМ ВИЛОЯТИ</t>
        </is>
      </c>
      <c r="B1017" s="114" t="inlineStr">
        <is>
          <t xml:space="preserve">SUPER BRANCH</t>
        </is>
      </c>
      <c r="C1017" s="114" t="inlineStr">
        <is>
          <t xml:space="preserve">Объезд</t>
        </is>
      </c>
      <c r="D1017" s="114" t="inlineStr">
        <is>
          <t xml:space="preserve">Кр-99058711-1</t>
        </is>
      </c>
      <c r="E1017" s="114" t="inlineStr">
        <is>
          <t xml:space="preserve">KARIMOV KAMIL XXX</t>
        </is>
      </c>
      <c r="F1017" s="114" t="inlineStr">
        <is>
          <t xml:space="preserve">998787380477 SMS OZI, 998870356737 SMS AYOLI, 998887925535 SMS OGLI , 998883533372 SMS OGLI2,</t>
        </is>
      </c>
      <c r="G1017" s="114" t="inlineStr">
        <is>
          <t xml:space="preserve">XORAZM VILOYATI YANGIARIQ TUMANI SHAYXBOG’I MFY   SHAYXBOG’I  28-UY</t>
        </is>
      </c>
      <c r="H1017" s="115">
        <v>10.0</v>
      </c>
      <c r="I1017" s="115">
        <v>2618114.25</v>
      </c>
      <c r="K1017" s="114" t="inlineStr">
        <is>
          <t xml:space="preserve">Uyiga borildi - va'da berdi | 1330</t>
        </is>
      </c>
    </row>
    <row r="1018">
      <c r="A1018" s="114" t="inlineStr">
        <is>
          <t xml:space="preserve">ХОРАЗМ ВИЛОЯТИ</t>
        </is>
      </c>
      <c r="B1018" s="114" t="inlineStr">
        <is>
          <t xml:space="preserve">SUPER BRANCH</t>
        </is>
      </c>
      <c r="C1018" s="114" t="inlineStr">
        <is>
          <t xml:space="preserve">Недозвон</t>
        </is>
      </c>
      <c r="D1018" s="114" t="inlineStr">
        <is>
          <t xml:space="preserve">Кр-99039670-1</t>
        </is>
      </c>
      <c r="E1018" s="114" t="inlineStr">
        <is>
          <t xml:space="preserve">VAISOV JAVLONBEK BAXRAMOVICH</t>
        </is>
      </c>
      <c r="F1018" s="114" t="inlineStr">
        <is>
          <t xml:space="preserve">998995020106 SMS OZI, 998994191920 SMS AYOLI, 998914361920 SMS AYOLI 2, 998334141920 SMS OGLI,</t>
        </is>
      </c>
      <c r="G1018" s="114" t="inlineStr">
        <is>
          <t xml:space="preserve">XORAZM VILOYATI SHOVOT TUMANI QIYOT QFY QIYOT MFY BUNYODKOR 92-UY</t>
        </is>
      </c>
      <c r="H1018" s="115">
        <v>10.0</v>
      </c>
      <c r="I1018" s="115">
        <v>2227248.06</v>
      </c>
      <c r="K1018" s="114" t="inlineStr">
        <is>
          <t xml:space="preserve">Telefon ko'tarmadi | kotarmad | 824</t>
        </is>
      </c>
    </row>
    <row r="1019">
      <c r="A1019" s="114" t="inlineStr">
        <is>
          <t xml:space="preserve">ХОРАЗМ ВИЛОЯТИ</t>
        </is>
      </c>
      <c r="B1019" s="114" t="inlineStr">
        <is>
          <t xml:space="preserve">SUPER BRANCH</t>
        </is>
      </c>
      <c r="C1019" s="114" t="inlineStr">
        <is>
          <t xml:space="preserve">Недозвон</t>
        </is>
      </c>
      <c r="D1019" s="114" t="inlineStr">
        <is>
          <t xml:space="preserve">Кр-99036598-1</t>
        </is>
      </c>
      <c r="E1019" s="114" t="inlineStr">
        <is>
          <t xml:space="preserve">MATMURATOV UMRBEK KOMILOVICH</t>
        </is>
      </c>
      <c r="F1019" s="114" t="inlineStr">
        <is>
          <t xml:space="preserve">998915724490 SMS OZI, 998703900042 SMS OZI, 998997389192 SMS UKASI, 998991636075 SMS ONASI,</t>
        </is>
      </c>
      <c r="G1019" s="114" t="inlineStr">
        <is>
          <t xml:space="preserve">XORAZM VILOYATI BOG’OT TUMANI YANGI KADAM SHFY XIVA KO’CHASI 277</t>
        </is>
      </c>
      <c r="H1019" s="115">
        <v>7.0</v>
      </c>
      <c r="I1019" s="115">
        <v>1645074.18</v>
      </c>
      <c r="K1019" s="114" t="inlineStr">
        <is>
          <t xml:space="preserve">Telefon ko'tarmadi | kotarmad | 587</t>
        </is>
      </c>
    </row>
    <row r="1020">
      <c r="A1020" s="114" t="inlineStr">
        <is>
          <t xml:space="preserve">ХОРАЗМ ВИЛОЯТИ</t>
        </is>
      </c>
      <c r="B1020" s="114" t="inlineStr">
        <is>
          <t xml:space="preserve">SUPER BRANCH</t>
        </is>
      </c>
      <c r="C1020" s="114" t="inlineStr">
        <is>
          <t xml:space="preserve">Недозвон</t>
        </is>
      </c>
      <c r="D1020" s="114" t="inlineStr">
        <is>
          <t xml:space="preserve">Кр-99038058-1</t>
        </is>
      </c>
      <c r="E1020" s="114" t="inlineStr">
        <is>
          <t xml:space="preserve">UMIRZOQOVA MUKADDAM UMMATALIYEVNA</t>
        </is>
      </c>
      <c r="F1020" s="114" t="inlineStr">
        <is>
          <t xml:space="preserve">998990534741 SMS OZI, 998952228676 SMS OZI 2, 998972026063 SMS QIZI , 998773112899 SMS QIZI 2,</t>
        </is>
      </c>
      <c r="G1020" s="114" t="inlineStr">
        <is>
          <t xml:space="preserve">XORAZM VILOYATI QO’SHKO’PIR TUMANI GULZOR MFY OQ OLTIN KUCHASI 53-UY</t>
        </is>
      </c>
      <c r="H1020" s="115">
        <v>3.0</v>
      </c>
      <c r="I1020" s="115">
        <v>1417718.86</v>
      </c>
      <c r="K1020" s="114" t="inlineStr">
        <is>
          <t xml:space="preserve">Telefon ko'tarmadi | kotarmad | 676</t>
        </is>
      </c>
    </row>
    <row r="1021">
      <c r="A1021" s="114" t="inlineStr">
        <is>
          <t xml:space="preserve">ХОРАЗМ ВИЛОЯТИ</t>
        </is>
      </c>
      <c r="B1021" s="114" t="inlineStr">
        <is>
          <t xml:space="preserve">SUPER BRANCH</t>
        </is>
      </c>
      <c r="C1021" s="114" t="inlineStr">
        <is>
          <t xml:space="preserve">Недозвон</t>
        </is>
      </c>
      <c r="D1021" s="114" t="inlineStr">
        <is>
          <t xml:space="preserve">Кр-99039841-1</t>
        </is>
      </c>
      <c r="E1021" s="114" t="inlineStr">
        <is>
          <t xml:space="preserve">QURBONOV MAQSUD XXX</t>
        </is>
      </c>
      <c r="F1021" s="114" t="inlineStr">
        <is>
          <t xml:space="preserve">998988680132 SMS OZI, 998955248582 SMS OGLI, 998951318387 SMS QIZI begona, 998889529090 SMS  BEGONA,</t>
        </is>
      </c>
      <c r="G1021" s="114" t="inlineStr">
        <is>
          <t xml:space="preserve">XORAZM VILOYATI URGANCH TUMANI KO’NAOVUL MFY BOBODEXKON KO’CHASI 29-UY</t>
        </is>
      </c>
      <c r="H1021" s="115">
        <v>10.0</v>
      </c>
      <c r="I1021" s="115">
        <v>1208963.34</v>
      </c>
      <c r="K1021" s="114" t="inlineStr">
        <is>
          <t xml:space="preserve">Telefon ko'tarmadi | kotarmad, tg yoq, mfy kotarmad | 838</t>
        </is>
      </c>
    </row>
    <row r="1022">
      <c r="A1022" s="116" t="inlineStr">
        <is>
          <t xml:space="preserve">ХОРАЗМ ВИЛОЯТИ</t>
        </is>
      </c>
      <c r="B1022" s="116" t="inlineStr">
        <is>
          <t xml:space="preserve">Урганч филиали</t>
        </is>
      </c>
      <c r="C1022" s="116" t="inlineStr">
        <is>
          <t xml:space="preserve">Недозвон</t>
        </is>
      </c>
      <c r="D1022" s="116" t="inlineStr">
        <is>
          <t xml:space="preserve">Кр-99029612-1</t>
        </is>
      </c>
      <c r="E1022" s="116" t="inlineStr">
        <is>
          <t xml:space="preserve">OTAJONOV G’AYRATBEK MARKS O’G’LI</t>
        </is>
      </c>
      <c r="F1022" s="116" t="inlineStr">
        <is>
          <t xml:space="preserve">88-219-07-19  SMS UZI(begona), 88-649-22-11  SMS UKASI, 88-746-19-32  SMS ONASI, 88-485-15-35  SMS OTASI, 998881569799 SMS UZI new,</t>
        </is>
      </c>
      <c r="G1022" s="116" t="inlineStr">
        <is>
          <t xml:space="preserve">XORAZM VIL QO’SHKO’PIR TUM SHIXMAXSHAD SH MAXMUD QASHQARIY KUCH 21-UY</t>
        </is>
      </c>
      <c r="H1022" s="117">
        <v>213.0</v>
      </c>
      <c r="I1022" s="117">
        <v>30901603.13</v>
      </c>
      <c r="K1022" s="116" t="inlineStr">
        <is>
          <t xml:space="preserve">m | 252</t>
        </is>
      </c>
    </row>
    <row r="1023">
      <c r="A1023" s="116" t="inlineStr">
        <is>
          <t xml:space="preserve">ХОРАЗМ ВИЛОЯТИ</t>
        </is>
      </c>
      <c r="B1023" s="116" t="inlineStr">
        <is>
          <t xml:space="preserve">Урганч филиали</t>
        </is>
      </c>
      <c r="C1023" s="116" t="inlineStr">
        <is>
          <t xml:space="preserve">Недозвон</t>
        </is>
      </c>
      <c r="D1023" s="116" t="inlineStr">
        <is>
          <t xml:space="preserve">Кр-99041317-1</t>
        </is>
      </c>
      <c r="E1023" s="116" t="inlineStr">
        <is>
          <t xml:space="preserve">KARIMOV SARDORBEK AXMEDJANOVICH</t>
        </is>
      </c>
      <c r="F1023" s="116" t="inlineStr">
        <is>
          <t xml:space="preserve">+998886160585 SMS UZI, 998947101585 SMS AYOLI, 998990793313 SMS O’G’LI,</t>
        </is>
      </c>
      <c r="G1023" s="116" t="inlineStr">
        <is>
          <t xml:space="preserve">ЭСКИ ҚИЁТ ҚФЙ, КУШЧИ КАТТАБОГ МФЙ, ЖАСУР,  uy:476</t>
        </is>
      </c>
      <c r="H1023" s="117">
        <v>135.0</v>
      </c>
      <c r="I1023" s="117">
        <v>22199792.57</v>
      </c>
      <c r="K1023" s="116" t="inlineStr">
        <is>
          <t xml:space="preserve">m | 984</t>
        </is>
      </c>
    </row>
    <row r="1024">
      <c r="A1024" s="116" t="inlineStr">
        <is>
          <t xml:space="preserve">ХОРАЗМ ВИЛОЯТИ</t>
        </is>
      </c>
      <c r="B1024" s="116" t="inlineStr">
        <is>
          <t xml:space="preserve">Урганч филиали</t>
        </is>
      </c>
      <c r="C1024" s="116" t="inlineStr">
        <is>
          <t xml:space="preserve">Недозвон</t>
        </is>
      </c>
      <c r="D1024" s="116" t="inlineStr">
        <is>
          <t xml:space="preserve">Кр-99042671-1</t>
        </is>
      </c>
      <c r="E1024" s="116" t="inlineStr">
        <is>
          <t xml:space="preserve">ALLABERGANOVA SO’NA QAZAQOVNA</t>
        </is>
      </c>
      <c r="F1024" s="116" t="inlineStr">
        <is>
          <t xml:space="preserve">+998876079107 SMS O’G’LI, 998972119107 SMS KELINI, 998976706820 SMS O’ZI,</t>
        </is>
      </c>
      <c r="G1024" s="116" t="inlineStr">
        <is>
          <t xml:space="preserve">ХОРАЗМ ВИЛОЯТИ ХОНКА ТУМАНИ КИРК-ЁП ҚФЙ, ДЎРМОН МФЙ,  uy:Р/С</t>
        </is>
      </c>
      <c r="H1024" s="117">
        <v>73.0</v>
      </c>
      <c r="I1024" s="117">
        <v>13416362.52</v>
      </c>
      <c r="K1024" s="116" t="inlineStr">
        <is>
          <t xml:space="preserve">m | 1056</t>
        </is>
      </c>
    </row>
    <row r="1025">
      <c r="A1025" s="116" t="inlineStr">
        <is>
          <t xml:space="preserve">ХОРАЗМ ВИЛОЯТИ</t>
        </is>
      </c>
      <c r="B1025" s="116" t="inlineStr">
        <is>
          <t xml:space="preserve">Урганч филиали</t>
        </is>
      </c>
      <c r="C1025" s="116" t="inlineStr">
        <is>
          <t xml:space="preserve">Недозвон</t>
        </is>
      </c>
      <c r="D1025" s="116" t="inlineStr">
        <is>
          <t xml:space="preserve">Кр-99031735-1</t>
        </is>
      </c>
      <c r="E1025" s="116" t="inlineStr">
        <is>
          <t xml:space="preserve">KOMILJONOV OLLASHUKUR QUVONDIQ O’G’LI</t>
        </is>
      </c>
      <c r="F1025" s="116" t="inlineStr">
        <is>
          <t xml:space="preserve">998887172402 SMS O’ZI, 998938629499 SMS TOG’ASI, 998889231077 SMS ONASI, 998943143640 SMS OTASI,</t>
        </is>
      </c>
      <c r="G1025" s="116" t="inlineStr">
        <is>
          <t xml:space="preserve">XORAZM VILOYATI YANGIARIQ TUMANI CHAKIR MAXALLASI CHAKIR TOSH KUCHASI 50 UY</t>
        </is>
      </c>
      <c r="H1025" s="117">
        <v>157.0</v>
      </c>
      <c r="I1025" s="117">
        <v>10799978.9</v>
      </c>
      <c r="K1025" s="116" t="inlineStr">
        <is>
          <t xml:space="preserve">m | 326</t>
        </is>
      </c>
    </row>
    <row r="1026">
      <c r="A1026" s="116" t="inlineStr">
        <is>
          <t xml:space="preserve">ХОРАЗМ ВИЛОЯТИ</t>
        </is>
      </c>
      <c r="B1026" s="116" t="inlineStr">
        <is>
          <t xml:space="preserve">Урганч филиали</t>
        </is>
      </c>
      <c r="C1026" s="116" t="inlineStr">
        <is>
          <t xml:space="preserve">Недозвон</t>
        </is>
      </c>
      <c r="D1026" s="116" t="inlineStr">
        <is>
          <t xml:space="preserve">Кр-99033624-1</t>
        </is>
      </c>
      <c r="E1026" s="116" t="inlineStr">
        <is>
          <t xml:space="preserve">SAPAYEV KUVANDIK KAMILOVICH</t>
        </is>
      </c>
      <c r="F1026" s="116" t="inlineStr">
        <is>
          <t xml:space="preserve">998330667174 SMS O’ZI, 998914223737 SMS O’G’LI, 998883717174 SMS O’G’LI, 998932946708 SMS O’G’LI 2, 998914277174 Ozi New, 998971403313 Ogli New,</t>
        </is>
      </c>
      <c r="G1026" s="116" t="inlineStr">
        <is>
          <t xml:space="preserve">XORAZM VILOYATI XIVA TUMANI GANDIMIYON QFY PARISHA MFY TUYG’U KUCHASI 132-UY</t>
        </is>
      </c>
      <c r="H1026" s="117">
        <v>94.0</v>
      </c>
      <c r="I1026" s="117">
        <v>9162983.14</v>
      </c>
      <c r="K1026" s="116" t="inlineStr">
        <is>
          <t xml:space="preserve">m | 417</t>
        </is>
      </c>
    </row>
    <row r="1027">
      <c r="A1027" s="116" t="inlineStr">
        <is>
          <t xml:space="preserve">ХОРАЗМ ВИЛОЯТИ</t>
        </is>
      </c>
      <c r="B1027" s="116" t="inlineStr">
        <is>
          <t xml:space="preserve">Урганч филиали</t>
        </is>
      </c>
      <c r="C1027" s="116" t="inlineStr">
        <is>
          <t xml:space="preserve">Недозвон</t>
        </is>
      </c>
      <c r="D1027" s="116" t="inlineStr">
        <is>
          <t xml:space="preserve">Кр-99022070-7</t>
        </is>
      </c>
      <c r="E1027" s="116" t="inlineStr">
        <is>
          <t xml:space="preserve">BABAJONOVA DILNOZA KADAMBOYEVNA</t>
        </is>
      </c>
      <c r="F1027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27" s="116" t="inlineStr">
        <is>
          <t xml:space="preserve">XORAZM VILOYATI URGANCH SHAXAR NAVRUZ MAXALLASI NAVBAHOR 3-TOR KUCHASI 36-UY</t>
        </is>
      </c>
      <c r="H1027" s="117">
        <v>13.0</v>
      </c>
      <c r="I1027" s="117">
        <v>6521595.21</v>
      </c>
      <c r="K1027" s="116" t="inlineStr">
        <is>
          <t xml:space="preserve">Telefon ko'tarmadi | oy oxiri yopad | 112</t>
        </is>
      </c>
    </row>
    <row r="1028">
      <c r="A1028" s="116" t="inlineStr">
        <is>
          <t xml:space="preserve">ХОРАЗМ ВИЛОЯТИ</t>
        </is>
      </c>
      <c r="B1028" s="116" t="inlineStr">
        <is>
          <t xml:space="preserve">Урганч филиали</t>
        </is>
      </c>
      <c r="C1028" s="116" t="inlineStr">
        <is>
          <t xml:space="preserve">Недозвон</t>
        </is>
      </c>
      <c r="D1028" s="116" t="inlineStr">
        <is>
          <t xml:space="preserve">Кр-99033024-1</t>
        </is>
      </c>
      <c r="E1028" s="116" t="inlineStr">
        <is>
          <t xml:space="preserve">QADIROV BOZORBAY XUDAYBERGANOVICH</t>
        </is>
      </c>
      <c r="F1028" s="116" t="inlineStr">
        <is>
          <t xml:space="preserve">998934121071 SMS O’ZI, 998933464686 SMS O’G’LI begona, 998933150574 SMS AYOLI, 998974515974 SMS O’ZI 2,</t>
        </is>
      </c>
      <c r="G1028" s="116" t="inlineStr">
        <is>
          <t xml:space="preserve">XORAZM VILOYATI XONQA TUMANI TURKISTON MFY XORAZM KUCHASI 24-UY</t>
        </is>
      </c>
      <c r="H1028" s="117">
        <v>55.0</v>
      </c>
      <c r="I1028" s="117">
        <v>5435925.19</v>
      </c>
      <c r="K1028" s="116" t="inlineStr">
        <is>
          <t xml:space="preserve">m | 377</t>
        </is>
      </c>
    </row>
    <row r="1029">
      <c r="A1029" s="116" t="inlineStr">
        <is>
          <t xml:space="preserve">ХОРАЗМ ВИЛОЯТИ</t>
        </is>
      </c>
      <c r="B1029" s="116" t="inlineStr">
        <is>
          <t xml:space="preserve">Урганч филиали</t>
        </is>
      </c>
      <c r="C1029" s="116" t="inlineStr">
        <is>
          <t xml:space="preserve">Недозвон</t>
        </is>
      </c>
      <c r="D1029" s="116" t="inlineStr">
        <is>
          <t xml:space="preserve">Кр-99032390-1</t>
        </is>
      </c>
      <c r="E1029" s="116" t="inlineStr">
        <is>
          <t xml:space="preserve">YULDASHEV RAVSHAN MUXAMEDJANOVICH</t>
        </is>
      </c>
      <c r="F1029" s="116" t="inlineStr">
        <is>
          <t xml:space="preserve">998932817070 SMS O’ZI, 998900778677 SMS O’G’LI, 998993477717 SMS begona,</t>
        </is>
      </c>
      <c r="G1029" s="116" t="inlineStr">
        <is>
          <t xml:space="preserve">XORAZM VILOYATI URGANCH SHAHAR GUJUMZOR KUCHASI 2/2 UY 10 XONADON</t>
        </is>
      </c>
      <c r="H1029" s="117">
        <v>10.0</v>
      </c>
      <c r="I1029" s="117">
        <v>5181196.56</v>
      </c>
      <c r="K1029" s="116" t="inlineStr">
        <is>
          <t xml:space="preserve">Telefon ko'tarmadi | Kotarmad | 351</t>
        </is>
      </c>
    </row>
    <row r="1030">
      <c r="A1030" s="116" t="inlineStr">
        <is>
          <t xml:space="preserve">ХОРАЗМ ВИЛОЯТИ</t>
        </is>
      </c>
      <c r="B1030" s="116" t="inlineStr">
        <is>
          <t xml:space="preserve">Урганч филиали</t>
        </is>
      </c>
      <c r="C1030" s="116" t="inlineStr">
        <is>
          <t xml:space="preserve">Объезд</t>
        </is>
      </c>
      <c r="D1030" s="116" t="inlineStr">
        <is>
          <t xml:space="preserve">Кр-99048761-1</t>
        </is>
      </c>
      <c r="E1030" s="116" t="inlineStr">
        <is>
          <t xml:space="preserve">RAXIMOV QADAMBOY RUSTAMOVICH</t>
        </is>
      </c>
      <c r="F1030" s="116" t="inlineStr">
        <is>
          <t xml:space="preserve">+998972214945 SMS O’G’LI, 998870014945 SMS AYOLI, 998876454945 SMS UZI,</t>
        </is>
      </c>
      <c r="G1030" s="116" t="inlineStr">
        <is>
          <t xml:space="preserve">ХОРАЗМ ВИЛОЯТИ ХОНКА Ш., ЖАННАТМАКОН МФЙ, НАФОСАТ, 1 ТОР КЎЧАСИ,  uy:20</t>
        </is>
      </c>
      <c r="H1030" s="117">
        <v>10.0</v>
      </c>
      <c r="I1030" s="117">
        <v>4973587.57</v>
      </c>
      <c r="K1030" s="116" t="inlineStr">
        <is>
          <t xml:space="preserve">Uyiga borildi - va'da berdi | 1152</t>
        </is>
      </c>
    </row>
    <row r="1031">
      <c r="A1031" s="116" t="inlineStr">
        <is>
          <t xml:space="preserve">ХОРАЗМ ВИЛОЯТИ</t>
        </is>
      </c>
      <c r="B1031" s="116" t="inlineStr">
        <is>
          <t xml:space="preserve">Урганч филиали</t>
        </is>
      </c>
      <c r="C1031" s="116" t="inlineStr">
        <is>
          <t xml:space="preserve">Недозвон</t>
        </is>
      </c>
      <c r="D1031" s="116" t="inlineStr">
        <is>
          <t xml:space="preserve">Кр-99031438-1</t>
        </is>
      </c>
      <c r="E1031" s="116" t="inlineStr">
        <is>
          <t xml:space="preserve">MADRAXIMOVA SURAYYO URUSLANOVNA</t>
        </is>
      </c>
      <c r="F1031" s="116" t="inlineStr">
        <is>
          <t xml:space="preserve">+998507375512 SMS UZI, 998900901911 SMS KELINI, 998918612201 SMS O’G’LI,</t>
        </is>
      </c>
      <c r="G1031" s="116" t="inlineStr">
        <is>
          <t xml:space="preserve">ХОРАЗМ ВИЛОЯТИ УРГАНЧ ТУМАНИ Қумрабод МФЙ, Проектная 181 А мавзеси, 56V-уй</t>
        </is>
      </c>
      <c r="H1031" s="117">
        <v>10.0</v>
      </c>
      <c r="I1031" s="117">
        <v>4403617.36</v>
      </c>
      <c r="K1031" s="116" t="inlineStr">
        <is>
          <t xml:space="preserve">Telefon ko'tarmadi | kotarmD TG YOZDIM | 315</t>
        </is>
      </c>
    </row>
    <row r="1032">
      <c r="A1032" s="116" t="inlineStr">
        <is>
          <t xml:space="preserve">ХОРАЗМ ВИЛОЯТИ</t>
        </is>
      </c>
      <c r="B1032" s="116" t="inlineStr">
        <is>
          <t xml:space="preserve">Урганч филиали</t>
        </is>
      </c>
      <c r="C1032" s="116" t="inlineStr">
        <is>
          <t xml:space="preserve">Объезд</t>
        </is>
      </c>
      <c r="D1032" s="116" t="inlineStr">
        <is>
          <t xml:space="preserve">Кр-99047926-1</t>
        </is>
      </c>
      <c r="E1032" s="116" t="inlineStr">
        <is>
          <t xml:space="preserve">QADIROV NIZOMBOY ALLABERGANOVICH</t>
        </is>
      </c>
      <c r="F1032" s="116" t="inlineStr">
        <is>
          <t xml:space="preserve">+998937536776 SMS UZI, 998942359728 SMS QIZI,</t>
        </is>
      </c>
      <c r="G1032" s="116" t="inlineStr">
        <is>
          <t xml:space="preserve">ХОРАЗМ ВИЛОЯТИ БОГОТ ТУМАНИ МИРИШКОР ҚФЙ, СОХИБКОР МФЙ, ХАЛК ОБОД КЎЧАСИ,  uy:60</t>
        </is>
      </c>
      <c r="H1032" s="117">
        <v>10.0</v>
      </c>
      <c r="I1032" s="117">
        <v>3948148.07</v>
      </c>
      <c r="K1032" s="116" t="inlineStr">
        <is>
          <t xml:space="preserve">Uyiga borildi - va'da berdi | 1144</t>
        </is>
      </c>
    </row>
    <row r="1033">
      <c r="A1033" s="116" t="inlineStr">
        <is>
          <t xml:space="preserve">ХОРАЗМ ВИЛОЯТИ</t>
        </is>
      </c>
      <c r="B1033" s="116" t="inlineStr">
        <is>
          <t xml:space="preserve">Урганч филиали</t>
        </is>
      </c>
      <c r="C1033" s="116" t="inlineStr">
        <is>
          <t xml:space="preserve">Объезд</t>
        </is>
      </c>
      <c r="D1033" s="116" t="inlineStr">
        <is>
          <t xml:space="preserve">Кр-99063613-1</t>
        </is>
      </c>
      <c r="E1033" s="116" t="inlineStr">
        <is>
          <t xml:space="preserve">OTABOYEV XAMIDJON FARHOD O’G’LI</t>
        </is>
      </c>
      <c r="F1033" s="116" t="inlineStr">
        <is>
          <t xml:space="preserve">+998941921899 SMS UZI, 998939420716 SMS UZI 2, 998948350365 SMS DO’STI,</t>
        </is>
      </c>
      <c r="G1033" s="116" t="inlineStr">
        <is>
          <t xml:space="preserve">ХОРАЗМ ВИЛОЯТИ ТУПРОККАЛЪА ТУМАНИ Пастом МФЙ, Бунёдкор кучаси, 2-уй</t>
        </is>
      </c>
      <c r="H1033" s="117">
        <v>10.0</v>
      </c>
      <c r="I1033" s="117">
        <v>3837061.91</v>
      </c>
      <c r="K1033" s="116" t="inlineStr">
        <is>
          <t xml:space="preserve">Uyiga borildi - va'da berdi | 1590</t>
        </is>
      </c>
    </row>
    <row r="1034">
      <c r="A1034" s="116" t="inlineStr">
        <is>
          <t xml:space="preserve">ХОРАЗМ ВИЛОЯТИ</t>
        </is>
      </c>
      <c r="B1034" s="116" t="inlineStr">
        <is>
          <t xml:space="preserve">Урганч филиали</t>
        </is>
      </c>
      <c r="C1034" s="116" t="inlineStr">
        <is>
          <t xml:space="preserve">Объезд</t>
        </is>
      </c>
      <c r="D1034" s="116" t="inlineStr">
        <is>
          <t xml:space="preserve">Кр-99040465-1</t>
        </is>
      </c>
      <c r="E1034" s="116" t="inlineStr">
        <is>
          <t xml:space="preserve">AVAZMETOV FURQAT OTAXON O’G’LI</t>
        </is>
      </c>
      <c r="F1034" s="116" t="inlineStr">
        <is>
          <t xml:space="preserve">+998937586161 SMS UZI, 998337586161 SMS AYOLI, 998337900202 SMS UZI 2 begona, 998930921161 SMS UKASI, 998942369696 SMS AKASI JURAT,</t>
        </is>
      </c>
      <c r="G1034" s="116" t="inlineStr">
        <is>
          <t xml:space="preserve">ГУЛОБОД ҚФЙ, КЎНҒИРОТ МФЙ, СОГЛОМ ТУРМУШ КЎЧАСИ,  uy:58</t>
        </is>
      </c>
      <c r="H1034" s="117">
        <v>10.0</v>
      </c>
      <c r="I1034" s="117">
        <v>3788071.04</v>
      </c>
      <c r="K1034" s="116" t="inlineStr">
        <is>
          <t xml:space="preserve">Uyiga borildi - va'da berdi | Kotarmad | 895</t>
        </is>
      </c>
    </row>
    <row r="1035">
      <c r="A1035" s="116" t="inlineStr">
        <is>
          <t xml:space="preserve">ХОРАЗМ ВИЛОЯТИ</t>
        </is>
      </c>
      <c r="B1035" s="116" t="inlineStr">
        <is>
          <t xml:space="preserve">Урганч филиали</t>
        </is>
      </c>
      <c r="C1035" s="116" t="inlineStr">
        <is>
          <t xml:space="preserve">Недозвон</t>
        </is>
      </c>
      <c r="D1035" s="116" t="inlineStr">
        <is>
          <t xml:space="preserve">Кр-99030259-1</t>
        </is>
      </c>
      <c r="E1035" s="116" t="inlineStr">
        <is>
          <t xml:space="preserve">XO’JANIYAZOVA MA’FTUNA UKTAMOVNA</t>
        </is>
      </c>
      <c r="F1035" s="116" t="inlineStr">
        <is>
          <t xml:space="preserve">90-649-60-65 SMS O’ZI, 90-579-60-65 SMS  ERI xezm , 99-053-12-43  SMS O’G’LI(BEGONA),</t>
        </is>
      </c>
      <c r="G1035" s="116" t="inlineStr">
        <is>
          <t xml:space="preserve">XORAZM VILOYATI SHOVOT TUMANI KATKALA MAXALLASI SEMURG KUCHASI 28-UY</t>
        </is>
      </c>
      <c r="H1035" s="117">
        <v>15.0</v>
      </c>
      <c r="I1035" s="117">
        <v>3533278.74</v>
      </c>
      <c r="K1035" s="116" t="inlineStr">
        <is>
          <t xml:space="preserve">Telefon ko'tarmadi | kotarmad | 265</t>
        </is>
      </c>
    </row>
    <row r="1036">
      <c r="A1036" s="116" t="inlineStr">
        <is>
          <t xml:space="preserve">ХОРАЗМ ВИЛОЯТИ</t>
        </is>
      </c>
      <c r="B1036" s="116" t="inlineStr">
        <is>
          <t xml:space="preserve">Урганч филиали</t>
        </is>
      </c>
      <c r="C1036" s="116" t="inlineStr">
        <is>
          <t xml:space="preserve">Недозвон</t>
        </is>
      </c>
      <c r="D1036" s="116" t="inlineStr">
        <is>
          <t xml:space="preserve">Кр-99028495-1</t>
        </is>
      </c>
      <c r="E1036" s="116" t="inlineStr">
        <is>
          <t xml:space="preserve">ESHCHANOV BAXADIR SALOYOVICH</t>
        </is>
      </c>
      <c r="F1036" s="116" t="inlineStr">
        <is>
          <t xml:space="preserve">998995503738 SMS OZI, 998974569292 SMS OGLI, 998974579292 SMS KElini,</t>
        </is>
      </c>
      <c r="G1036" s="116" t="inlineStr">
        <is>
          <t xml:space="preserve">XORAZM VILOYATI GURLAN TUMANI BOG’ISHAMOL MAXALLASI SOHIBKOR KUCHASI 34 UY</t>
        </is>
      </c>
      <c r="H1036" s="117">
        <v>3.0</v>
      </c>
      <c r="I1036" s="117">
        <v>3472385.97</v>
      </c>
      <c r="K1036" s="116" t="inlineStr">
        <is>
          <t xml:space="preserve">Telefon ko'tarmadi | kotarmad | 201</t>
        </is>
      </c>
    </row>
    <row r="1037">
      <c r="A1037" s="116" t="inlineStr">
        <is>
          <t xml:space="preserve">ХОРАЗМ ВИЛОЯТИ</t>
        </is>
      </c>
      <c r="B1037" s="116" t="inlineStr">
        <is>
          <t xml:space="preserve">Урганч филиали</t>
        </is>
      </c>
      <c r="C1037" s="116" t="inlineStr">
        <is>
          <t xml:space="preserve">Недозвон</t>
        </is>
      </c>
      <c r="D1037" s="116" t="inlineStr">
        <is>
          <t xml:space="preserve">Кр-99031116-1</t>
        </is>
      </c>
      <c r="E1037" s="116" t="inlineStr">
        <is>
          <t xml:space="preserve">BOBOJANOVA GULSHAN ZARIFOVNA</t>
        </is>
      </c>
      <c r="F1037" s="116" t="inlineStr">
        <is>
          <t xml:space="preserve">99-967-19-88  SMS O’ZI, 97-511-19-08  SMS ERI, 93-281-19-08  SMS ERI 2,</t>
        </is>
      </c>
      <c r="G1037" s="116" t="inlineStr">
        <is>
          <t xml:space="preserve">XORAZM VILOYATI YANGIARIQ TUMANI OGOXIY MFY MUSTAQILLIK KUCHASI 19-UY</t>
        </is>
      </c>
      <c r="H1037" s="117">
        <v>27.0</v>
      </c>
      <c r="I1037" s="117">
        <v>3387940.42</v>
      </c>
      <c r="K1037" s="116" t="inlineStr">
        <is>
          <t xml:space="preserve">m | 306</t>
        </is>
      </c>
    </row>
    <row r="1038">
      <c r="A1038" s="116" t="inlineStr">
        <is>
          <t xml:space="preserve">ХОРАЗМ ВИЛОЯТИ</t>
        </is>
      </c>
      <c r="B1038" s="116" t="inlineStr">
        <is>
          <t xml:space="preserve">Урганч филиали</t>
        </is>
      </c>
      <c r="C1038" s="116" t="inlineStr">
        <is>
          <t xml:space="preserve">Недозвон</t>
        </is>
      </c>
      <c r="D1038" s="116" t="inlineStr">
        <is>
          <t xml:space="preserve">Кр-99030602-1</t>
        </is>
      </c>
      <c r="E1038" s="116" t="inlineStr">
        <is>
          <t xml:space="preserve">ILHOMBOYEV OTAJON BAXROM O’G’LI</t>
        </is>
      </c>
      <c r="F1038" s="116" t="inlineStr">
        <is>
          <t xml:space="preserve">94-812-08-39  SMS O’ZI, 95-270-52-12  SMS ONASI, 88-603-33-53  SMS OPASI, 50-107-01-07  SMS OTASI(begona), 998940906707 SMS O'ZI 2,</t>
        </is>
      </c>
      <c r="G1038" s="116" t="inlineStr">
        <is>
          <t xml:space="preserve">XORAZM VILOYATI XAZARASP TUMANI J.MANGUBERDI MAXALLASI SH.RASHIDOV KUCHASI 17 UY</t>
        </is>
      </c>
      <c r="H1038" s="117">
        <v>6.0</v>
      </c>
      <c r="I1038" s="117">
        <v>3280134.77</v>
      </c>
      <c r="K1038" s="116" t="inlineStr">
        <is>
          <t xml:space="preserve">Telefon ko'tarmadi | hamma raqami ochu | 283</t>
        </is>
      </c>
    </row>
    <row r="1039">
      <c r="A1039" s="116" t="inlineStr">
        <is>
          <t xml:space="preserve">ХОРАЗМ ВИЛОЯТИ</t>
        </is>
      </c>
      <c r="B1039" s="116" t="inlineStr">
        <is>
          <t xml:space="preserve">Урганч филиали</t>
        </is>
      </c>
      <c r="C1039" s="116" t="inlineStr">
        <is>
          <t xml:space="preserve">Недозвон</t>
        </is>
      </c>
      <c r="D1039" s="116" t="inlineStr">
        <is>
          <t xml:space="preserve">Кр-99031733-1</t>
        </is>
      </c>
      <c r="E1039" s="116" t="inlineStr">
        <is>
          <t xml:space="preserve">OTAJANOV XURSANDBEK BEKDURDI O’G’LI</t>
        </is>
      </c>
      <c r="F1039" s="116" t="inlineStr">
        <is>
          <t xml:space="preserve">998933328252 SMS O’ZI, 998507228171 SMS UKASI, 998883621581 SMS ONASI, 998949771571 SMS OTASI ogay otasi , 998932490367 SMS DAVLATMUROD ukasi,</t>
        </is>
      </c>
      <c r="G1039" s="116" t="inlineStr">
        <is>
          <t xml:space="preserve">XORAZM VILOYATI XAZORASP TUMANI AL-XORAZMIY MAXALLASI MUSTAQILLIK KUCHASI 10 DOM 7 UY</t>
        </is>
      </c>
      <c r="H1039" s="117">
        <v>6.0</v>
      </c>
      <c r="I1039" s="117">
        <v>3279321.25</v>
      </c>
      <c r="K1039" s="116" t="inlineStr">
        <is>
          <t xml:space="preserve">Telefon ko'tarmadi | tel kotarmid tg yoq mfy bunaqa odam bizada yashamid dd | 325</t>
        </is>
      </c>
    </row>
    <row r="1040">
      <c r="A1040" s="116" t="inlineStr">
        <is>
          <t xml:space="preserve">ХОРАЗМ ВИЛОЯТИ</t>
        </is>
      </c>
      <c r="B1040" s="116" t="inlineStr">
        <is>
          <t xml:space="preserve">Урганч филиали</t>
        </is>
      </c>
      <c r="C1040" s="116" t="inlineStr">
        <is>
          <t xml:space="preserve">Недозвон</t>
        </is>
      </c>
      <c r="D1040" s="116" t="inlineStr">
        <is>
          <t xml:space="preserve">Кр-99032355-1</t>
        </is>
      </c>
      <c r="E1040" s="116" t="inlineStr">
        <is>
          <t xml:space="preserve">DAVLATOV ODILBEK NAZAROVICH</t>
        </is>
      </c>
      <c r="F1040" s="116" t="inlineStr">
        <is>
          <t xml:space="preserve">998933447912 SMS O’ZI, 998999462828 SMS O’G’LI, 998990157912 SMS UY, 998501511582 SMS AYOLI begona,</t>
        </is>
      </c>
      <c r="G1040" s="116" t="inlineStr">
        <is>
          <t xml:space="preserve">XORAZM VILOYATI QO’SHKO’PIR TUMANI SHIX QFY BOG’ZOR MFY OQYOP KUCHASI 222-UY</t>
        </is>
      </c>
      <c r="H1040" s="117">
        <v>10.0</v>
      </c>
      <c r="I1040" s="117">
        <v>3044227.53</v>
      </c>
      <c r="K1040" s="116" t="inlineStr">
        <is>
          <t xml:space="preserve">Telefon ko'tarmadi | Kotarmad | 350</t>
        </is>
      </c>
    </row>
    <row r="1041">
      <c r="A1041" s="116" t="inlineStr">
        <is>
          <t xml:space="preserve">ХОРАЗМ ВИЛОЯТИ</t>
        </is>
      </c>
      <c r="B1041" s="116" t="inlineStr">
        <is>
          <t xml:space="preserve">Урганч филиали</t>
        </is>
      </c>
      <c r="C1041" s="116" t="inlineStr">
        <is>
          <t xml:space="preserve">Объезд</t>
        </is>
      </c>
      <c r="D1041" s="116" t="inlineStr">
        <is>
          <t xml:space="preserve">Кр-99063183-1</t>
        </is>
      </c>
      <c r="E1041" s="116" t="inlineStr">
        <is>
          <t xml:space="preserve">RO’ZIMOVA MUNAVVAR XXX</t>
        </is>
      </c>
      <c r="F1041" s="116" t="inlineStr">
        <is>
          <t xml:space="preserve">+998935345727 SMS UZI, 998940471414 SMS O’G’LI,</t>
        </is>
      </c>
      <c r="G1041" s="116" t="inlineStr">
        <is>
          <t xml:space="preserve">ХОРАЗМ ВИЛОЯТИ ЯНГИАРИК ТУМАНИ КАРМИШ ҚФЙ, ШИХБОГИ МФЙ, УЧ ХОВЛИ, 3 ТОР КЎЧАСИ,  uy:5</t>
        </is>
      </c>
      <c r="H1041" s="117">
        <v>10.0</v>
      </c>
      <c r="I1041" s="117">
        <v>2865819.78</v>
      </c>
      <c r="K1041" s="116" t="inlineStr">
        <is>
          <t xml:space="preserve">Uyiga borildi - va'da berdi | 1522</t>
        </is>
      </c>
    </row>
    <row r="1042">
      <c r="A1042" s="116" t="inlineStr">
        <is>
          <t xml:space="preserve">ХОРАЗМ ВИЛОЯТИ</t>
        </is>
      </c>
      <c r="B1042" s="116" t="inlineStr">
        <is>
          <t xml:space="preserve">Урганч филиали</t>
        </is>
      </c>
      <c r="C1042" s="116" t="inlineStr">
        <is>
          <t xml:space="preserve">Недозвон</t>
        </is>
      </c>
      <c r="D1042" s="116" t="inlineStr">
        <is>
          <t xml:space="preserve">Кр-99030635-1</t>
        </is>
      </c>
      <c r="E1042" s="116" t="inlineStr">
        <is>
          <t xml:space="preserve">MADRIMOVA MAHLIYOXON MANSURBEKOVNA</t>
        </is>
      </c>
      <c r="F1042" s="116" t="inlineStr">
        <is>
          <t xml:space="preserve">93-744-00-80  SMS O’ZI, 91-860-34-44  SMS UKASI begona , 94-118-00-80  SMS ERI,</t>
        </is>
      </c>
      <c r="G1042" s="116" t="inlineStr">
        <is>
          <t xml:space="preserve">XORAZM VILOYATI URGANCH SHAHRI NAVBAXOR MAXALLASI ULUG’BEK KUCHASI 41 UY</t>
        </is>
      </c>
      <c r="H1042" s="117">
        <v>6.0</v>
      </c>
      <c r="I1042" s="117">
        <v>2787323.77</v>
      </c>
      <c r="K1042" s="116" t="inlineStr">
        <is>
          <t xml:space="preserve">Telefon ko'tarmadi | kotarmad | 289</t>
        </is>
      </c>
    </row>
    <row r="1043">
      <c r="A1043" s="116" t="inlineStr">
        <is>
          <t xml:space="preserve">ХОРАЗМ ВИЛОЯТИ</t>
        </is>
      </c>
      <c r="B1043" s="116" t="inlineStr">
        <is>
          <t xml:space="preserve">Урганч филиали</t>
        </is>
      </c>
      <c r="C1043" s="116" t="inlineStr">
        <is>
          <t xml:space="preserve">Недозвон</t>
        </is>
      </c>
      <c r="D1043" s="116" t="inlineStr">
        <is>
          <t xml:space="preserve">Кр-99030749-1</t>
        </is>
      </c>
      <c r="E1043" s="116" t="inlineStr">
        <is>
          <t xml:space="preserve">SULTANOVA ZIYADA RUZIMOVNA</t>
        </is>
      </c>
      <c r="F1043" s="116" t="inlineStr">
        <is>
          <t xml:space="preserve">97-452-12-63  SMS O’ZI, 97-518-08-21  SMS O’G’LI, 94-531-03-35  SMS JIYANI,</t>
        </is>
      </c>
      <c r="G1043" s="116" t="inlineStr">
        <is>
          <t xml:space="preserve">XORAZM VILOYATI URGANCH TUMANI OQ ARIK MAXALLASI USMON NOSIR KUCHASI 148 UY</t>
        </is>
      </c>
      <c r="H1043" s="117">
        <v>3.0</v>
      </c>
      <c r="I1043" s="117">
        <v>2746885.8</v>
      </c>
      <c r="K1043" s="116" t="inlineStr">
        <is>
          <t xml:space="preserve">Telefon ko'tarmadi | kotarmad tg jovob kemad | 297</t>
        </is>
      </c>
    </row>
    <row r="1044">
      <c r="A1044" s="116" t="inlineStr">
        <is>
          <t xml:space="preserve">ХОРАЗМ ВИЛОЯТИ</t>
        </is>
      </c>
      <c r="B1044" s="116" t="inlineStr">
        <is>
          <t xml:space="preserve">Урганч филиали</t>
        </is>
      </c>
      <c r="C1044" s="116" t="inlineStr">
        <is>
          <t xml:space="preserve">Недозвон</t>
        </is>
      </c>
      <c r="D1044" s="116" t="inlineStr">
        <is>
          <t xml:space="preserve">Кр-99033501-1</t>
        </is>
      </c>
      <c r="E1044" s="116" t="inlineStr">
        <is>
          <t xml:space="preserve">SETIMOV OTANAZAR SOTIMOVICH</t>
        </is>
      </c>
      <c r="F1044" s="116" t="inlineStr">
        <is>
          <t xml:space="preserve">998993325332 SMS O’ZI begona, 998883625332 SMS AYOLI, 998976087787 SMS KELINI begona, 998880040420 SMS O’G’LI,</t>
        </is>
      </c>
      <c r="G1044" s="116" t="inlineStr">
        <is>
          <t xml:space="preserve">XORAZM VILOYATI XONQA TUMANI PAXLAVONLAR MFY AVAZ O’TAR KUCHASI 5-UY</t>
        </is>
      </c>
      <c r="H1044" s="117">
        <v>6.0</v>
      </c>
      <c r="I1044" s="117">
        <v>2469554.49</v>
      </c>
      <c r="K1044" s="116" t="inlineStr">
        <is>
          <t xml:space="preserve">Telefon ko'tarmadi | Kotarmad | 403</t>
        </is>
      </c>
    </row>
    <row r="1045">
      <c r="A1045" s="116" t="inlineStr">
        <is>
          <t xml:space="preserve">ХОРАЗМ ВИЛОЯТИ</t>
        </is>
      </c>
      <c r="B1045" s="116" t="inlineStr">
        <is>
          <t xml:space="preserve">Урганч филиали</t>
        </is>
      </c>
      <c r="C1045" s="116" t="inlineStr">
        <is>
          <t xml:space="preserve">Недозвон</t>
        </is>
      </c>
      <c r="D1045" s="116" t="inlineStr">
        <is>
          <t xml:space="preserve">Кр-99022070-6</t>
        </is>
      </c>
      <c r="E1045" s="116" t="inlineStr">
        <is>
          <t xml:space="preserve">BABAJONOVA DILNOZA KADAMBOYEVNA</t>
        </is>
      </c>
      <c r="F1045" s="116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1045" s="116" t="inlineStr">
        <is>
          <t xml:space="preserve">XORAZM VILOYATI URGANCH SHAXAR NAVRUZ MAXALLASI NAVBAHOR 3-TOR KUCHASI 36-UY</t>
        </is>
      </c>
      <c r="H1045" s="117">
        <v>10.0</v>
      </c>
      <c r="I1045" s="117">
        <v>2171827.52</v>
      </c>
      <c r="K1045" s="116" t="inlineStr">
        <is>
          <t xml:space="preserve">Telefon ko'tarmadi | oy oxiri yopad | 111</t>
        </is>
      </c>
    </row>
    <row r="1046">
      <c r="A1046" s="116" t="inlineStr">
        <is>
          <t xml:space="preserve">ХОРАЗМ ВИЛОЯТИ</t>
        </is>
      </c>
      <c r="B1046" s="116" t="inlineStr">
        <is>
          <t xml:space="preserve">Урганч филиали</t>
        </is>
      </c>
      <c r="C1046" s="116" t="inlineStr">
        <is>
          <t xml:space="preserve">Объезд</t>
        </is>
      </c>
      <c r="D1046" s="116" t="inlineStr">
        <is>
          <t xml:space="preserve">Кр-99041025-1</t>
        </is>
      </c>
      <c r="E1046" s="116" t="inlineStr">
        <is>
          <t xml:space="preserve">MENGLIYEV SHERZODBEK SAFOBOY O’G’LI</t>
        </is>
      </c>
      <c r="F1046" s="116" t="inlineStr">
        <is>
          <t xml:space="preserve">+998999668598 SMS UZI, 998931165424 SMS XOTINI,</t>
        </is>
      </c>
      <c r="G1046" s="116" t="inlineStr">
        <is>
          <t xml:space="preserve">БОГОТ Ш., БЕРУНИЙ МФЙ, ФАРОҒАТЛИ КЎЧАСИ,  uy:15</t>
        </is>
      </c>
      <c r="H1046" s="117">
        <v>10.0</v>
      </c>
      <c r="I1046" s="117">
        <v>1786159.84</v>
      </c>
      <c r="K1046" s="116" t="inlineStr">
        <is>
          <t xml:space="preserve">Uyiga borildi - va'da berdi | 949</t>
        </is>
      </c>
    </row>
    <row r="1047">
      <c r="A1047" s="116" t="inlineStr">
        <is>
          <t xml:space="preserve">ХОРАЗМ ВИЛОЯТИ</t>
        </is>
      </c>
      <c r="B1047" s="116" t="inlineStr">
        <is>
          <t xml:space="preserve">Урганч филиали</t>
        </is>
      </c>
      <c r="C1047" s="116" t="inlineStr">
        <is>
          <t xml:space="preserve">Недозвон</t>
        </is>
      </c>
      <c r="D1047" s="116" t="inlineStr">
        <is>
          <t xml:space="preserve">Кр-99032052-1</t>
        </is>
      </c>
      <c r="E1047" s="116" t="inlineStr">
        <is>
          <t xml:space="preserve">BOLTABAYEV ABBOSBEK ANVARBEK O’G’LI</t>
        </is>
      </c>
      <c r="F1047" s="116" t="inlineStr">
        <is>
          <t xml:space="preserve">998992874544 SMS O’ZI malyarkada ishlidi, 998335170097 SMS O’ZI 2, 998338860076 SMS OTASI, 998992354544 SMS AYOLI,</t>
        </is>
      </c>
      <c r="G1047" s="116" t="inlineStr">
        <is>
          <t xml:space="preserve">XORAZM VILOYATI URGANCH TUMANI OXUNBOBOYEV QFY YUQORI JIRMIZ MFY BIRDAMLIK KUCHASI 3-UY</t>
        </is>
      </c>
      <c r="I1047" s="117">
        <v>1595644.57</v>
      </c>
      <c r="K1047" s="116" t="inlineStr">
        <is>
          <t xml:space="preserve">Telefon ko'tarmadi | Kotarmad | 337</t>
        </is>
      </c>
    </row>
    <row r="1048">
      <c r="A1048" s="116" t="inlineStr">
        <is>
          <t xml:space="preserve">ХОРАЗМ ВИЛОЯТИ</t>
        </is>
      </c>
      <c r="B1048" s="116" t="inlineStr">
        <is>
          <t xml:space="preserve">Урганч филиали</t>
        </is>
      </c>
      <c r="C1048" s="116" t="inlineStr">
        <is>
          <t xml:space="preserve">Недозвон</t>
        </is>
      </c>
      <c r="D1048" s="116" t="inlineStr">
        <is>
          <t xml:space="preserve">Кр-99032408-1</t>
        </is>
      </c>
      <c r="E1048" s="116" t="inlineStr">
        <is>
          <t xml:space="preserve">DAVRONBEKOV FARRUHBEK JASUR OG’LI</t>
        </is>
      </c>
      <c r="F1048" s="116" t="inlineStr">
        <is>
          <t xml:space="preserve">998507775971 SMS UZI(BEGANA), 998507775972 SMS XOLASI, 998944576446 SMS AKASI (Begona), 998949498476 SMS ONASI,</t>
        </is>
      </c>
      <c r="G1048" s="116" t="inlineStr">
        <is>
          <t xml:space="preserve">XORAZM VILOYATI XONQA TUMANI JANNATMAKON MAXALLASI SOGLOM AVLOD KUCHASI 11 UY</t>
        </is>
      </c>
      <c r="H1048" s="117">
        <v>10.0</v>
      </c>
      <c r="I1048" s="117">
        <v>1562008.87</v>
      </c>
      <c r="K1048" s="116" t="inlineStr">
        <is>
          <t xml:space="preserve">m | 352</t>
        </is>
      </c>
    </row>
    <row r="1049">
      <c r="A1049" s="116" t="inlineStr">
        <is>
          <t xml:space="preserve">ХОРАЗМ ВИЛОЯТИ</t>
        </is>
      </c>
      <c r="B1049" s="116" t="inlineStr">
        <is>
          <t xml:space="preserve">Урганч филиали</t>
        </is>
      </c>
      <c r="C1049" s="116" t="inlineStr">
        <is>
          <t xml:space="preserve">Недозвон</t>
        </is>
      </c>
      <c r="D1049" s="116" t="inlineStr">
        <is>
          <t xml:space="preserve">Кр-99032762-1</t>
        </is>
      </c>
      <c r="E1049" s="116" t="inlineStr">
        <is>
          <t xml:space="preserve">JUMANIYAZOV BOBUR ULUG’BEK O’G’LI</t>
        </is>
      </c>
      <c r="F1049" s="116" t="inlineStr">
        <is>
          <t xml:space="preserve">998919167179 SMS O’ZI, 998919927179 SMS AYOLI, 998907258828 SMS ONASI, 998977914046 SMS OTASI,</t>
        </is>
      </c>
      <c r="G1049" s="116" t="inlineStr">
        <is>
          <t xml:space="preserve">XORAZM VILOYATI XIVA TUMANI JURYON MFY NAVOYI KUCHASI 76-UY</t>
        </is>
      </c>
      <c r="H1049" s="117">
        <v>1.0</v>
      </c>
      <c r="I1049" s="117">
        <v>1339363.85</v>
      </c>
      <c r="K1049" s="116" t="inlineStr">
        <is>
          <t xml:space="preserve">Telefon ko'tarmadi | Nomerlari ochu | 365</t>
        </is>
      </c>
    </row>
    <row r="1050">
      <c r="A1050" s="116" t="inlineStr">
        <is>
          <t xml:space="preserve">ХОРАЗМ ВИЛОЯТИ</t>
        </is>
      </c>
      <c r="B1050" s="116" t="inlineStr">
        <is>
          <t xml:space="preserve">Урганч филиали</t>
        </is>
      </c>
      <c r="C1050" s="116" t="inlineStr">
        <is>
          <t xml:space="preserve">Недозвон</t>
        </is>
      </c>
      <c r="D1050" s="116" t="inlineStr">
        <is>
          <t xml:space="preserve">Кр-99030443-1</t>
        </is>
      </c>
      <c r="E1050" s="116" t="inlineStr">
        <is>
          <t xml:space="preserve">RUZMETOVA OYSANAM RAJABBAY QIZI</t>
        </is>
      </c>
      <c r="F1050" s="116" t="inlineStr">
        <is>
          <t xml:space="preserve">94-230-43-43 SMS  ERI, 97-211-89-42  SMS AKASI, 90-737-63-68  SMS TO’LOVCHI, 998772028942 SMS Uzi,</t>
        </is>
      </c>
      <c r="G1050" s="116" t="inlineStr">
        <is>
          <t xml:space="preserve">XORAZM VILOYATI URGANCH SHAHAR SAXOVAT MFY ZAMAXSHARIY KUCHASI 117-UY</t>
        </is>
      </c>
      <c r="H1050" s="117">
        <v>10.0</v>
      </c>
      <c r="I1050" s="117">
        <v>824481.0</v>
      </c>
      <c r="K1050" s="116" t="inlineStr">
        <is>
          <t xml:space="preserve">Telefon ko'tarmadi | boglanib bolmad | 276</t>
        </is>
      </c>
    </row>
  </sheetData>
  <autoFilter ref="A2:K1050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12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  <row r="3">
      <c r="A3" s="98" t="inlineStr">
        <is>
          <t xml:space="preserve">АНДИЖОН ВИЛОЯТИ</t>
        </is>
      </c>
      <c r="C3" s="98" t="inlineStr">
        <is>
          <t xml:space="preserve">Объезд</t>
        </is>
      </c>
      <c r="D3" s="98" t="inlineStr">
        <is>
          <t xml:space="preserve">Кр-99038794-1</t>
        </is>
      </c>
      <c r="E3" s="98" t="inlineStr">
        <is>
          <t xml:space="preserve">TOSHXO’JAYEV FAZLIDDIN ZOKIRJON O’G’LI</t>
        </is>
      </c>
      <c r="F3" s="98" t="inlineStr">
        <is>
          <t xml:space="preserve">998903807010 SMS OZI, 998916197010 SMS AYOLI, 998954779770 SMS ONASI ОГАЙНИСИНИ НОМЕРИ , 998505114440 SMS AKASI бегона ,</t>
        </is>
      </c>
      <c r="G3" s="98" t="inlineStr">
        <is>
          <t xml:space="preserve">ANDIJON VILOYATI ANDIJON SHAXAR ISLOMOBOD  MFY, MIRPO’STIN KO’CHASI 40 B-UY  31-XONADON</t>
        </is>
      </c>
      <c r="H3" s="99">
        <v>59.0</v>
      </c>
      <c r="I3" s="99">
        <v>21106704.9</v>
      </c>
      <c r="K3" s="98" t="inlineStr">
        <is>
          <t xml:space="preserve">Uyiga borildi - va'da berdi | 16164383.561643835 | 4942321.34</t>
        </is>
      </c>
    </row>
    <row r="4">
      <c r="A4" s="98" t="inlineStr">
        <is>
          <t xml:space="preserve">АНДИЖОН ВИЛОЯТИ</t>
        </is>
      </c>
      <c r="C4" s="98" t="inlineStr">
        <is>
          <t xml:space="preserve">Объезд</t>
        </is>
      </c>
      <c r="D4" s="98" t="inlineStr">
        <is>
          <t xml:space="preserve">Кр-99057085-1</t>
        </is>
      </c>
      <c r="E4" s="98" t="inlineStr">
        <is>
          <t xml:space="preserve">YULDASHEVA NILUFAR KAMILOVNA</t>
        </is>
      </c>
      <c r="F4" s="98" t="inlineStr">
        <is>
          <t xml:space="preserve">998872557757 SMS OZI, 998982700122 SMS OGLI, 998772581112 SMS QIZI, 998882331807 SMS JIYANI,</t>
        </is>
      </c>
      <c r="G4" s="98" t="inlineStr">
        <is>
          <t xml:space="preserve">ANDIJON VILOYATI ANDIJON TUMANI ZANGIBOBO MFY PORLOQ KO’CHASI 306-UY</t>
        </is>
      </c>
      <c r="H4" s="99">
        <v>13.0</v>
      </c>
      <c r="I4" s="99">
        <v>15030583.25</v>
      </c>
      <c r="J4" s="99">
        <v>5342465.0</v>
      </c>
      <c r="K4" s="98" t="inlineStr">
        <is>
          <t xml:space="preserve">Uyiga borildi - to'ladi | 5342465.7534246575 | 9688117.5</t>
        </is>
      </c>
    </row>
    <row r="5">
      <c r="A5" s="98" t="inlineStr">
        <is>
          <t xml:space="preserve">АНДИЖОН ВИЛОЯТИ</t>
        </is>
      </c>
      <c r="C5" s="98" t="inlineStr">
        <is>
          <t xml:space="preserve">Объезд</t>
        </is>
      </c>
      <c r="D5" s="98" t="inlineStr">
        <is>
          <t xml:space="preserve">Кр-99063020-2</t>
        </is>
      </c>
      <c r="E5" s="98" t="inlineStr">
        <is>
          <t xml:space="preserve">XALIMOV ILXOMJON DJALILOVICH</t>
        </is>
      </c>
      <c r="F5" s="98" t="inlineStr">
        <is>
          <t xml:space="preserve">998979950022 OZI, 998941030105 ONASI, 998945616463 JIYANI, 998993478909 KELINI,</t>
        </is>
      </c>
      <c r="G5" s="98" t="inlineStr">
        <is>
          <t xml:space="preserve">ANDIJON VILOYATI ASAKA TUMANI BOBUR MFY KARVONSAROY KO’CHASI 135 UY</t>
        </is>
      </c>
      <c r="H5" s="99">
        <v>13.0</v>
      </c>
      <c r="I5" s="99">
        <v>11945562.59</v>
      </c>
      <c r="K5" s="98" t="inlineStr">
        <is>
          <t xml:space="preserve">Uyiga borildi - va'da berdi | 4273972.602739726 | 7671589.99</t>
        </is>
      </c>
    </row>
    <row r="6">
      <c r="A6" s="98" t="inlineStr">
        <is>
          <t xml:space="preserve">АНДИЖОН ВИЛОЯТИ</t>
        </is>
      </c>
      <c r="C6" s="98" t="inlineStr">
        <is>
          <t xml:space="preserve">Объезд</t>
        </is>
      </c>
      <c r="D6" s="98" t="inlineStr">
        <is>
          <t xml:space="preserve">Кр-99061813-1</t>
        </is>
      </c>
      <c r="E6" s="98" t="inlineStr">
        <is>
          <t xml:space="preserve">AXMEDOVA LOLAXON XASANOVNA</t>
        </is>
      </c>
      <c r="F6" s="98" t="inlineStr">
        <is>
          <t xml:space="preserve">998939680860 узи, 998948093111 угли, 998772093139 угли, 998990300805 угли,</t>
        </is>
      </c>
      <c r="G6" s="98" t="inlineStr">
        <is>
          <t xml:space="preserve">ANDIJON VILOYATI IZBOSKAN TUMANI CHEKYO MFY ABU ALI IBN SINO KO’CHASI 27-UY</t>
        </is>
      </c>
      <c r="H6" s="99">
        <v>10.0</v>
      </c>
      <c r="I6" s="99">
        <v>8193435.21</v>
      </c>
      <c r="K6" s="98" t="inlineStr">
        <is>
          <t xml:space="preserve">Uyiga borildi - va'da berdi | 2465753.4246575343 | 5727681.79</t>
        </is>
      </c>
    </row>
    <row r="7">
      <c r="A7" s="98" t="inlineStr">
        <is>
          <t xml:space="preserve">АНДИЖОН ВИЛОЯТИ</t>
        </is>
      </c>
      <c r="C7" s="98" t="inlineStr">
        <is>
          <t xml:space="preserve">Объезд</t>
        </is>
      </c>
      <c r="D7" s="98" t="inlineStr">
        <is>
          <t xml:space="preserve">Кр-99063311-2</t>
        </is>
      </c>
      <c r="E7" s="98" t="inlineStr">
        <is>
          <t xml:space="preserve">MAHKAMOVA MAVLUDA QORATOYEVNA</t>
        </is>
      </c>
      <c r="F7" s="98" t="inlineStr">
        <is>
          <t xml:space="preserve">+998907574245 SMS O’ZI, 998931041313 SMS JIYANI, 998937834245 SMS O’ZI2, 998949998375 SMS OPASI,</t>
        </is>
      </c>
      <c r="G7" s="98" t="inlineStr">
        <is>
          <t xml:space="preserve">ANDIJON VILOYATI IZBOSKAN TUMANI YUQORI MFY DAMBA  KO’CHASI 10-UY</t>
        </is>
      </c>
      <c r="H7" s="99">
        <v>10.0</v>
      </c>
      <c r="I7" s="99">
        <v>7235757.47</v>
      </c>
      <c r="K7" s="98" t="inlineStr">
        <is>
          <t xml:space="preserve">Uyiga borildi - va'da berdi | 2191780.821917808 | 5043976.65</t>
        </is>
      </c>
    </row>
    <row r="8">
      <c r="A8" s="98" t="inlineStr">
        <is>
          <t xml:space="preserve">АНДИЖОН ВИЛОЯТИ</t>
        </is>
      </c>
      <c r="C8" s="98" t="inlineStr">
        <is>
          <t xml:space="preserve">Объезд</t>
        </is>
      </c>
      <c r="D8" s="98" t="inlineStr">
        <is>
          <t xml:space="preserve">Кр-99029207-1</t>
        </is>
      </c>
      <c r="E8" s="98" t="inlineStr">
        <is>
          <t xml:space="preserve">SOBIROVA SADOQATOY RAXIMJON QIZI</t>
        </is>
      </c>
      <c r="F8" s="98" t="inlineStr">
        <is>
          <t xml:space="preserve">94-542-12-54  SMS TOLOVCHI, 93-849-22-52  SMS TOLOVCHI XOJAYINI tanmiman ddi , 94-282-31-32  TOLOVCHI ukasi , 95-022-11-55 TOLOVCHIS OGLI,</t>
        </is>
      </c>
      <c r="G8" s="98" t="inlineStr">
        <is>
          <t xml:space="preserve">ANDIJON VILOYATI PAXTAOBOD TUMANI AXILLIK MFY AXILLIK KO’CHASI 4-UY</t>
        </is>
      </c>
      <c r="H8" s="99">
        <v>10.0</v>
      </c>
      <c r="I8" s="99">
        <v>5333808.6</v>
      </c>
      <c r="K8" s="98" t="inlineStr">
        <is>
          <t xml:space="preserve">Uyiga borildi - va'da berdi | 1917808.219178082 | 3416000.38</t>
        </is>
      </c>
    </row>
    <row r="9">
      <c r="A9" s="98" t="inlineStr">
        <is>
          <t xml:space="preserve">АНДИЖОН ВИЛОЯТИ</t>
        </is>
      </c>
      <c r="C9" s="98" t="inlineStr">
        <is>
          <t xml:space="preserve">Объезд</t>
        </is>
      </c>
      <c r="D9" s="98" t="inlineStr">
        <is>
          <t xml:space="preserve">Кр-99041539-1</t>
        </is>
      </c>
      <c r="E9" s="98" t="inlineStr">
        <is>
          <t xml:space="preserve">SHERALIYEV SARDORBEK SODIQJON O’G’LI</t>
        </is>
      </c>
      <c r="F9" s="98" t="inlineStr">
        <is>
          <t xml:space="preserve">998914845776 SMS OZI, 998996325251 SMS AYOLI, 998992425251 SMS ONASI, +998914845776 Primary phone from road24, 998948642717 SMS O’ZI2,</t>
        </is>
      </c>
      <c r="G9" s="98" t="inlineStr">
        <is>
          <t xml:space="preserve">Андижон вилояти  Андижон шахар   Бунёдкор (9-сон) МФЙ, Қўш ариқ дахаси, 46-уй, 15-хонадон</t>
        </is>
      </c>
      <c r="H9" s="99">
        <v>10.0</v>
      </c>
      <c r="I9" s="99">
        <v>2922859.21</v>
      </c>
      <c r="K9" s="98" t="inlineStr">
        <is>
          <t xml:space="preserve">Uyiga borildi - va'da berdi | 547945.205479452 | 2374914</t>
        </is>
      </c>
    </row>
    <row r="10">
      <c r="A10" s="98" t="inlineStr">
        <is>
          <t xml:space="preserve">АНДИЖОН ВИЛОЯТИ</t>
        </is>
      </c>
      <c r="C10" s="98" t="inlineStr">
        <is>
          <t xml:space="preserve">Объезд</t>
        </is>
      </c>
      <c r="D10" s="98" t="inlineStr">
        <is>
          <t xml:space="preserve">Кр-99037425-1</t>
        </is>
      </c>
      <c r="E10" s="98" t="inlineStr">
        <is>
          <t xml:space="preserve">SHUKUROV QUVONCHBEK XABIBILLAYEVICH</t>
        </is>
      </c>
      <c r="F10" s="98" t="inlineStr">
        <is>
          <t xml:space="preserve">998905271070 SMS OZI, 998901707424 SMS OGLI, 998914865970 SMS AYOLI, 998953475970 SMS QIZI,</t>
        </is>
      </c>
      <c r="G10" s="98" t="inlineStr">
        <is>
          <t xml:space="preserve">ANDIJON VILOYATI ANDIJON TUMANI YUKSALISH MFY YUKSALISH KO’CHASI 19-UY </t>
        </is>
      </c>
      <c r="H10" s="99">
        <v>2.0</v>
      </c>
      <c r="I10" s="99">
        <v>2889861.23</v>
      </c>
      <c r="J10" s="99">
        <v>273972.0</v>
      </c>
      <c r="K10" s="98" t="inlineStr">
        <is>
          <t xml:space="preserve">Uyiga borildi - to'ladi | 273972.602739726 | 2615888.63</t>
        </is>
      </c>
    </row>
    <row r="11">
      <c r="A11" s="98" t="inlineStr">
        <is>
          <t xml:space="preserve">АНДИЖОН ВИЛОЯТИ</t>
        </is>
      </c>
      <c r="C11" s="98" t="inlineStr">
        <is>
          <t xml:space="preserve">Объезд</t>
        </is>
      </c>
      <c r="D11" s="98" t="inlineStr">
        <is>
          <t xml:space="preserve">Кр-99044378-2</t>
        </is>
      </c>
      <c r="E11" s="98" t="inlineStr">
        <is>
          <t xml:space="preserve">SHOKIROV NURULLO AXMADULLAYEVICH</t>
        </is>
      </c>
      <c r="F11" s="98" t="inlineStr">
        <is>
          <t xml:space="preserve">+998914912216 SMS O’ZI, 998770387887 SMS QIZI tel qilinmasin, 998779630238 SMS AYOLI , 998931144480 SMS O’G’LI,</t>
        </is>
      </c>
      <c r="G11" s="98" t="inlineStr">
        <is>
          <t xml:space="preserve">АНДИЖОН ВИЛОЯТИ АНДИЖОН ШАХРИ МАДАНИЯТ МФЙ, Т.КЕЛДИЕВ,  uy:102</t>
        </is>
      </c>
      <c r="H11" s="99">
        <v>10.0</v>
      </c>
      <c r="I11" s="99">
        <v>2714002.69</v>
      </c>
      <c r="K11" s="98" t="inlineStr">
        <is>
          <t xml:space="preserve">Uyiga borildi - va'da berdi | 821917.8082191781 | 1892084.88</t>
        </is>
      </c>
    </row>
    <row r="12">
      <c r="A12" s="98" t="inlineStr">
        <is>
          <t xml:space="preserve">АНДИЖОН ВИЛОЯТИ</t>
        </is>
      </c>
      <c r="C12" s="98" t="inlineStr">
        <is>
          <t xml:space="preserve">Объезд</t>
        </is>
      </c>
      <c r="D12" s="98" t="inlineStr">
        <is>
          <t xml:space="preserve">Кр-99063106-1</t>
        </is>
      </c>
      <c r="E12" s="98" t="inlineStr">
        <is>
          <t xml:space="preserve">SOTVOLDIYEVA MAXMUDAXON QOSIMOVNA</t>
        </is>
      </c>
      <c r="F12" s="98" t="inlineStr">
        <is>
          <t xml:space="preserve">998770492346 OZI, 998931092588 OGLI, 998937212671 OPASI, 998942592770 DUGONASI,</t>
        </is>
      </c>
      <c r="G12" s="98" t="inlineStr">
        <is>
          <t xml:space="preserve">ANDIJON VILOYATI QO’RG’ONTEPA TUMANI UCHQUN MFY ISTIQBOL KO’CHASI 16 UY</t>
        </is>
      </c>
      <c r="H12" s="99">
        <v>10.0</v>
      </c>
      <c r="I12" s="99">
        <v>2695142.29</v>
      </c>
      <c r="J12" s="99">
        <v>821917.0</v>
      </c>
      <c r="K12" s="98" t="inlineStr">
        <is>
          <t xml:space="preserve">Uyiga borildi - to'ladi | 821917.8082191781 | 1873224.48</t>
        </is>
      </c>
    </row>
    <row r="13">
      <c r="A13" s="98" t="inlineStr">
        <is>
          <t xml:space="preserve">АНДИЖОН ВИЛОЯТИ</t>
        </is>
      </c>
      <c r="C13" s="98" t="inlineStr">
        <is>
          <t xml:space="preserve">Объезд</t>
        </is>
      </c>
      <c r="D13" s="98" t="inlineStr">
        <is>
          <t xml:space="preserve">Кр-99063748-2</t>
        </is>
      </c>
      <c r="E13" s="98" t="inlineStr">
        <is>
          <t xml:space="preserve">XURBOYEV MURODILJON MURODJON O’G’LI</t>
        </is>
      </c>
      <c r="F13" s="98" t="inlineStr">
        <is>
          <t xml:space="preserve">+998931757095 SMS O’ZI, 998505454475 SMS DADASI, 998938701978 SMS ONASI, 998971622313 SMS SINGLISI,</t>
        </is>
      </c>
      <c r="G13" s="98" t="inlineStr">
        <is>
          <t xml:space="preserve">ANDIJON VILOYATI  IZBOSKAN TUMANI A. JOMIY MFY TASHABBUS MARKAZI KO’CHASI 15-UY</t>
        </is>
      </c>
      <c r="H13" s="99">
        <v>13.0</v>
      </c>
      <c r="I13" s="99">
        <v>2457473.75</v>
      </c>
      <c r="K13" s="98" t="inlineStr">
        <is>
          <t xml:space="preserve">Uyiga borildi - va'da berdi | 890410.9589041095 | 1567062.79</t>
        </is>
      </c>
    </row>
    <row r="14">
      <c r="A14" s="98" t="inlineStr">
        <is>
          <t xml:space="preserve">АНДИЖОН ВИЛОЯТИ</t>
        </is>
      </c>
      <c r="C14" s="98" t="inlineStr">
        <is>
          <t xml:space="preserve">Объезд</t>
        </is>
      </c>
      <c r="D14" s="98" t="inlineStr">
        <is>
          <t xml:space="preserve">Кр-99044378-1</t>
        </is>
      </c>
      <c r="E14" s="98" t="inlineStr">
        <is>
          <t xml:space="preserve">SHOKIROV NURULLO AXMADULLAYEVICH</t>
        </is>
      </c>
      <c r="F14" s="98" t="inlineStr">
        <is>
          <t xml:space="preserve">+998914912216 SMS O’ZI, 998770387887 SMS QIZI tel qilinmasin, 998779630238 SMS AYOLI , 998931144480 SMS O’G’LI,</t>
        </is>
      </c>
      <c r="G14" s="98" t="inlineStr">
        <is>
          <t xml:space="preserve">АНДИЖОН ВИЛОЯТИ АНДИЖОН ШАХРИ МАДАНИЯТ МФЙ, Т.КЕЛДИЕВ,  uy:102</t>
        </is>
      </c>
      <c r="I14" s="99">
        <v>1400789.42</v>
      </c>
      <c r="K14" s="98" t="inlineStr">
        <is>
          <t xml:space="preserve">Uyiga borildi - va'da berdi | 0 | 1400789.42</t>
        </is>
      </c>
    </row>
    <row r="15">
      <c r="A15" s="98" t="inlineStr">
        <is>
          <t xml:space="preserve">АНДИЖОН ВИЛОЯТИ</t>
        </is>
      </c>
      <c r="C15" s="98" t="inlineStr">
        <is>
          <t xml:space="preserve">Объезд</t>
        </is>
      </c>
      <c r="D15" s="98" t="inlineStr">
        <is>
          <t xml:space="preserve">Кр-99041539-2</t>
        </is>
      </c>
      <c r="E15" s="98" t="inlineStr">
        <is>
          <t xml:space="preserve">SHERALIYEV SARDORBEK SODIQJON O’G’LI</t>
        </is>
      </c>
      <c r="F15" s="98" t="inlineStr">
        <is>
          <t xml:space="preserve">998914845776 SMS OZI, 998996325251 SMS AYOLI, 998992425251 SMS ONASI, +998914845776 Primary phone from road24, 998948642717 SMS O’ZI2,</t>
        </is>
      </c>
      <c r="G15" s="98" t="inlineStr">
        <is>
          <t xml:space="preserve">Андижон вилояти  Андижон шахар   Бунёдкор (9-сон) МФЙ, Қўш ариқ дахаси, 46-уй, 15-хонадон</t>
        </is>
      </c>
      <c r="H15" s="99">
        <v>10.0</v>
      </c>
      <c r="I15" s="99">
        <v>931523.62</v>
      </c>
      <c r="K15" s="98" t="inlineStr">
        <is>
          <t xml:space="preserve">Uyiga borildi - va'da berdi | 178082.19178082192 | 753441.43</t>
        </is>
      </c>
    </row>
    <row r="16">
      <c r="A16" s="100" t="inlineStr">
        <is>
          <t xml:space="preserve">БУХОРО ВИЛОЯТИ</t>
        </is>
      </c>
      <c r="B16" s="100" t="inlineStr">
        <is>
          <t xml:space="preserve">SUPER BRANCH</t>
        </is>
      </c>
      <c r="C16" s="100" t="inlineStr">
        <is>
          <t xml:space="preserve">Объезд</t>
        </is>
      </c>
      <c r="D16" s="100" t="inlineStr">
        <is>
          <t xml:space="preserve">Кр-99019690-5</t>
        </is>
      </c>
      <c r="E16" s="100" t="inlineStr">
        <is>
          <t xml:space="preserve">HAYDAROV FURQAT RAXMATILLOYEVICH</t>
        </is>
      </c>
      <c r="F16" s="100" t="inlineStr">
        <is>
          <t xml:space="preserve">97-488-07-66  SMS O'ZI, 88-301-90-93  SMS AKASI, 97-296-06-93  SMS UY, 93-841-53-50  SMS AYOLI, 998505999203 SMS O'ZI2,</t>
        </is>
      </c>
      <c r="G16" s="100" t="inlineStr">
        <is>
          <t xml:space="preserve">BUXORO VILOYAT BUXORO SHAHRI BESHKAPPA KO'CHASI 106 UY</t>
        </is>
      </c>
      <c r="H16" s="101">
        <v>7.0</v>
      </c>
      <c r="I16" s="101">
        <v>2199808.54</v>
      </c>
      <c r="J16" s="101">
        <v>2484160.0</v>
      </c>
      <c r="K16" s="100" t="inlineStr">
        <is>
          <t xml:space="preserve">Uyiga borildi - to'ladi | 2 | 2484160.2179178083</t>
        </is>
      </c>
    </row>
    <row r="17">
      <c r="A17" s="100" t="inlineStr">
        <is>
          <t xml:space="preserve">БУХОРО ВИЛОЯТИ</t>
        </is>
      </c>
      <c r="B17" s="100" t="inlineStr">
        <is>
          <t xml:space="preserve">SUPER BRANCH</t>
        </is>
      </c>
      <c r="C17" s="100" t="inlineStr">
        <is>
          <t xml:space="preserve">Объезд</t>
        </is>
      </c>
      <c r="D17" s="100" t="inlineStr">
        <is>
          <t xml:space="preserve">Кр-99019690-6</t>
        </is>
      </c>
      <c r="E17" s="100" t="inlineStr">
        <is>
          <t xml:space="preserve">HAYDAROV FURQAT RAXMATILLOYEVICH</t>
        </is>
      </c>
      <c r="F17" s="100" t="inlineStr">
        <is>
          <t xml:space="preserve">97-488-07-66  SMS O'ZI, 88-301-90-93  SMS AKASI, 97-296-06-93  SMS UY, 93-841-53-50  SMS AYOLI, 998505999203 SMS O'ZI2,</t>
        </is>
      </c>
      <c r="G17" s="100" t="inlineStr">
        <is>
          <t xml:space="preserve">BUXORO VILOYAT BUXORO SHAHRI BESHKAPPA KO'CHASI 106 UY</t>
        </is>
      </c>
      <c r="H17" s="101">
        <v>7.0</v>
      </c>
      <c r="I17" s="101">
        <v>1144641.83</v>
      </c>
      <c r="J17" s="101">
        <v>1277949.0</v>
      </c>
      <c r="K17" s="100" t="inlineStr">
        <is>
          <t xml:space="preserve">Uyiga borildi - to'ladi | 3 | 1277949.4817260276</t>
        </is>
      </c>
    </row>
    <row r="18">
      <c r="A18" s="102" t="inlineStr">
        <is>
          <t xml:space="preserve">БУХОРО ВИЛОЯТИ</t>
        </is>
      </c>
      <c r="B18" s="102" t="inlineStr">
        <is>
          <t xml:space="preserve">Бухоро филиали</t>
        </is>
      </c>
      <c r="C18" s="102" t="inlineStr">
        <is>
          <t xml:space="preserve">Объезд</t>
        </is>
      </c>
      <c r="D18" s="102" t="inlineStr">
        <is>
          <t xml:space="preserve">Кр-99032591-1</t>
        </is>
      </c>
      <c r="E18" s="102" t="inlineStr">
        <is>
          <t xml:space="preserve">BOZOROV DILSHOD OLIM O’G’LI</t>
        </is>
      </c>
      <c r="F18" s="102" t="inlineStr">
        <is>
          <t xml:space="preserve">998995853782 SMS O’G’LI, 998940186667 SMS AYOLI(BEGONA), 998938997077 SMS ONASI, 998930831515 SMS HAMKASBI бегона ,</t>
        </is>
      </c>
      <c r="G18" s="102" t="inlineStr">
        <is>
          <t xml:space="preserve">BUXORO VILOYATI ROMITAN TUMANI O'TABEK MFY, PITMON q-q, 6-uy</t>
        </is>
      </c>
      <c r="H18" s="103">
        <v>0.0</v>
      </c>
      <c r="I18" s="103">
        <v>1298935.71</v>
      </c>
      <c r="K18" s="102" t="inlineStr">
        <is>
          <t xml:space="preserve">Uyiga borildi - va'da berdi | 9 | 1298935.71</t>
        </is>
      </c>
    </row>
    <row r="19">
      <c r="A19" s="104" t="inlineStr">
        <is>
          <t xml:space="preserve">ЖИЗЗАХ ВИЛОЯТИ</t>
        </is>
      </c>
      <c r="C19" s="104" t="inlineStr">
        <is>
          <t xml:space="preserve">Объезд</t>
        </is>
      </c>
      <c r="D19" s="104" t="inlineStr">
        <is>
          <t xml:space="preserve">Кр-99038833-1</t>
        </is>
      </c>
      <c r="E19" s="104" t="inlineStr">
        <is>
          <t xml:space="preserve">XOSILBEKOV SHUXRAT SAFAROVICH</t>
        </is>
      </c>
      <c r="F19" s="104" t="inlineStr">
        <is>
          <t xml:space="preserve">998941957573 SMS O’ZI, 998935570175 SMS AYOLI, 998945160190 SMS UKASI, 998947277308 SMS SINGLISI,</t>
        </is>
      </c>
      <c r="G19" s="104" t="inlineStr">
        <is>
          <t xml:space="preserve">ZOMIN TUMANI</t>
        </is>
      </c>
      <c r="H19" s="105">
        <v>1.0</v>
      </c>
      <c r="I19" s="105">
        <v>7710283.95</v>
      </c>
      <c r="J19" s="105">
        <v>7710283.95</v>
      </c>
      <c r="K19" s="104" t="inlineStr">
        <is>
          <t xml:space="preserve">Uyiga borildi - to'ladi</t>
        </is>
      </c>
    </row>
    <row r="20">
      <c r="A20" s="104" t="inlineStr">
        <is>
          <t xml:space="preserve">ЖИЗЗАХ ВИЛОЯТИ</t>
        </is>
      </c>
      <c r="C20" s="104" t="inlineStr">
        <is>
          <t xml:space="preserve">Объезд</t>
        </is>
      </c>
      <c r="D20" s="104" t="inlineStr">
        <is>
          <t xml:space="preserve">Кр-99036552-1</t>
        </is>
      </c>
      <c r="E20" s="104" t="inlineStr">
        <is>
          <t xml:space="preserve">ALBEKOVA MUXABAT SAYLIYEVNA</t>
        </is>
      </c>
      <c r="F20" s="104" t="inlineStr">
        <is>
          <t xml:space="preserve">998906437402 SMS TULOVCHI, 998884374488 SMS KUYOVI TOLOVCHI, 998905163139 SMS QIZI, 998915650972 SMS UZI,</t>
        </is>
      </c>
      <c r="G20" s="104" t="inlineStr">
        <is>
          <t xml:space="preserve">JIZZAX VILOYATI JIZZAX SHAHRI XAMID OLIMJON MFY QANGLI KUCHASI 18-UY </t>
        </is>
      </c>
      <c r="H20" s="105">
        <v>8.0</v>
      </c>
      <c r="I20" s="105">
        <v>7549466.09</v>
      </c>
      <c r="K20" s="104" t="inlineStr">
        <is>
          <t xml:space="preserve">Uyiga borildi - va'da berdi | yorqin tema</t>
        </is>
      </c>
    </row>
    <row r="21">
      <c r="A21" s="104" t="inlineStr">
        <is>
          <t xml:space="preserve">ЖИЗЗАХ ВИЛОЯТИ</t>
        </is>
      </c>
      <c r="C21" s="104" t="inlineStr">
        <is>
          <t xml:space="preserve">Объезд</t>
        </is>
      </c>
      <c r="D21" s="104" t="inlineStr">
        <is>
          <t xml:space="preserve">Кр-99063392-1</t>
        </is>
      </c>
      <c r="E21" s="104" t="inlineStr">
        <is>
          <t xml:space="preserve">BERDIYAROV TO’RAMUROD XUDOYKULOVICH</t>
        </is>
      </c>
      <c r="F21" s="104" t="inlineStr">
        <is>
          <t xml:space="preserve">998501568064 UZI, 998939931883 AYOLI, 998943438583 ONAS,</t>
        </is>
      </c>
      <c r="G21" s="104" t="inlineStr">
        <is>
          <t xml:space="preserve">БОГИШАМОЛ КФЙ, БОГИШАМОЛ КФЙ, МУГОЛ КИШЛОГИ,  uy:РАКАМСИЗ</t>
        </is>
      </c>
      <c r="H21" s="105">
        <v>10.0</v>
      </c>
      <c r="I21" s="105">
        <v>6308129.35</v>
      </c>
      <c r="K21" s="104" t="inlineStr">
        <is>
          <t xml:space="preserve">Uyiga borildi - va'da berdi</t>
        </is>
      </c>
    </row>
    <row r="22">
      <c r="A22" s="104" t="inlineStr">
        <is>
          <t xml:space="preserve">ЖИЗЗАХ ВИЛОЯТИ</t>
        </is>
      </c>
      <c r="C22" s="104" t="inlineStr">
        <is>
          <t xml:space="preserve">Объезд</t>
        </is>
      </c>
      <c r="D22" s="104" t="inlineStr">
        <is>
          <t xml:space="preserve">Кр-99030311-1</t>
        </is>
      </c>
      <c r="E22" s="104" t="inlineStr">
        <is>
          <t xml:space="preserve">SHERANOV SHERZOD ZULFAROVICH</t>
        </is>
      </c>
      <c r="F22" s="104" t="inlineStr">
        <is>
          <t xml:space="preserve">94-922-86-60  SMS O'ZI, 91-943-85-05 SMS O’ZI 2, 94-922-86-60 SMS  UY, 93-304-52-56 SMS  OTASI,</t>
        </is>
      </c>
      <c r="G22" s="104" t="inlineStr">
        <is>
          <t xml:space="preserve">JIZZAX VILOYATI ZARBDOR TUMANI DO’STLIK SHAXARCHASI SHODLIK MFY ISTIQBOL KUCHASI 43-UY </t>
        </is>
      </c>
      <c r="H22" s="105">
        <v>164.0</v>
      </c>
      <c r="I22" s="105">
        <v>5460425.89</v>
      </c>
      <c r="K22" s="104" t="inlineStr">
        <is>
          <t xml:space="preserve">Uyiga borildi - va'da berdi | yorqin tema</t>
        </is>
      </c>
    </row>
    <row r="23">
      <c r="A23" s="104" t="inlineStr">
        <is>
          <t xml:space="preserve">ЖИЗЗАХ ВИЛОЯТИ</t>
        </is>
      </c>
      <c r="C23" s="104" t="inlineStr">
        <is>
          <t xml:space="preserve">Объезд</t>
        </is>
      </c>
      <c r="D23" s="104" t="inlineStr">
        <is>
          <t xml:space="preserve">Кр-99021925-1</t>
        </is>
      </c>
      <c r="E23" s="104" t="inlineStr">
        <is>
          <t xml:space="preserve">ISMOILOVA NARGIZA ABDUSALIYEVNA</t>
        </is>
      </c>
      <c r="F23" s="104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23" s="104" t="inlineStr">
        <is>
          <t xml:space="preserve">JIZZAX VILOYATI SHAROF RASHIDOV TUMANI QANG'LI QFY ARISHLI MAHALLASI ZIYOKOR KUCHASI 4-UY</t>
        </is>
      </c>
      <c r="H23" s="105">
        <v>3.0</v>
      </c>
      <c r="I23" s="105">
        <v>5112052.46</v>
      </c>
      <c r="K23" s="104" t="inlineStr">
        <is>
          <t xml:space="preserve">Uyiga borildi - va'da berdi</t>
        </is>
      </c>
    </row>
    <row r="24">
      <c r="A24" s="104" t="inlineStr">
        <is>
          <t xml:space="preserve">ЖИЗЗАХ ВИЛОЯТИ</t>
        </is>
      </c>
      <c r="C24" s="104" t="inlineStr">
        <is>
          <t xml:space="preserve">Объезд</t>
        </is>
      </c>
      <c r="D24" s="104" t="inlineStr">
        <is>
          <t xml:space="preserve">Кр-99042640-1</t>
        </is>
      </c>
      <c r="E24" s="104" t="inlineStr">
        <is>
          <t xml:space="preserve">XO’JAQULOV FURQAT JAYNAROVICH</t>
        </is>
      </c>
      <c r="F24" s="104" t="inlineStr">
        <is>
          <t xml:space="preserve">+998771070575 SMS, 998932920870 SMS, 998990343029 SMS,</t>
        </is>
      </c>
      <c r="G24" s="104" t="inlineStr">
        <is>
          <t xml:space="preserve">JIZZAX VILOYATI ZAFAROBOD TUMANI BIRLIK QFY RUDAKIY KUCHASI 4-A UY</t>
        </is>
      </c>
      <c r="H24" s="105">
        <v>10.0</v>
      </c>
      <c r="I24" s="105">
        <v>4645444.05</v>
      </c>
      <c r="K24" s="104" t="inlineStr">
        <is>
          <t xml:space="preserve">Uyiga borildi - va'da berdi</t>
        </is>
      </c>
    </row>
    <row r="25">
      <c r="A25" s="104" t="inlineStr">
        <is>
          <t xml:space="preserve">ЖИЗЗАХ ВИЛОЯТИ</t>
        </is>
      </c>
      <c r="C25" s="104" t="inlineStr">
        <is>
          <t xml:space="preserve">Объезд</t>
        </is>
      </c>
      <c r="D25" s="104" t="inlineStr">
        <is>
          <t xml:space="preserve">Кр-99063375-1</t>
        </is>
      </c>
      <c r="E25" s="104" t="inlineStr">
        <is>
          <t xml:space="preserve">AG’LAMOV AZIMXON AKRAM O’G’LI</t>
        </is>
      </c>
      <c r="F25" s="104" t="inlineStr">
        <is>
          <t xml:space="preserve">998881511212 AKASI, 998915981212 AKASI, 998970105070 UZI,</t>
        </is>
      </c>
      <c r="G25" s="104" t="inlineStr">
        <is>
          <t xml:space="preserve">УЧАРИК МФЙ, ХАМЗАОБОД, ФИРДАВСИЙ,  uy:9</t>
        </is>
      </c>
      <c r="H25" s="105">
        <v>10.0</v>
      </c>
      <c r="I25" s="105">
        <v>3915897.31</v>
      </c>
      <c r="K25" s="104" t="inlineStr">
        <is>
          <t xml:space="preserve">Uyiga borildi - va'da berdi</t>
        </is>
      </c>
    </row>
    <row r="26">
      <c r="A26" s="104" t="inlineStr">
        <is>
          <t xml:space="preserve">ЖИЗЗАХ ВИЛОЯТИ</t>
        </is>
      </c>
      <c r="C26" s="104" t="inlineStr">
        <is>
          <t xml:space="preserve">Объезд</t>
        </is>
      </c>
      <c r="D26" s="104" t="inlineStr">
        <is>
          <t xml:space="preserve">Кр-99040996-1</t>
        </is>
      </c>
      <c r="E26" s="104" t="inlineStr">
        <is>
          <t xml:space="preserve">BOBAQULOV JASUR INOMOVICH</t>
        </is>
      </c>
      <c r="F26" s="104" t="inlineStr">
        <is>
          <t xml:space="preserve">998959118222 SMS OZI, 998888481114 SMS AYOLI, 998956311666 SMS UY, 998915935501 SMS SINGLISI,</t>
        </is>
      </c>
      <c r="G26" s="104" t="inlineStr">
        <is>
          <t xml:space="preserve">JIZZAX VILOYATI SH.RASHIDOV TUMANI UCHTEPA MFY BESHQAYRAGOCH KUCHASI 168-UY </t>
        </is>
      </c>
      <c r="H26" s="105">
        <v>10.0</v>
      </c>
      <c r="I26" s="105">
        <v>3196871.89</v>
      </c>
      <c r="K26" s="104" t="inlineStr">
        <is>
          <t xml:space="preserve">Uyiga borildi - va'da berdi</t>
        </is>
      </c>
    </row>
    <row r="27">
      <c r="A27" s="104" t="inlineStr">
        <is>
          <t xml:space="preserve">ЖИЗЗАХ ВИЛОЯТИ</t>
        </is>
      </c>
      <c r="C27" s="104" t="inlineStr">
        <is>
          <t xml:space="preserve">Объезд</t>
        </is>
      </c>
      <c r="D27" s="104" t="inlineStr">
        <is>
          <t xml:space="preserve">Кр-99039896-1</t>
        </is>
      </c>
      <c r="E27" s="104" t="inlineStr">
        <is>
          <t xml:space="preserve">UMMATOV JAVLON MAVLONOVICH</t>
        </is>
      </c>
      <c r="F27" s="104" t="inlineStr">
        <is>
          <t xml:space="preserve">998959172024 SMS OZI, 998957701676 SMS UKASI, 998957741676 SMS SINGLIASI, 998911956219 SMS DADASI, 998995247977 sms uzi mew, 998995247977 sms uzi new,</t>
        </is>
      </c>
      <c r="G27" s="104" t="inlineStr">
        <is>
          <t xml:space="preserve">JIZZAX VILOYATI SH.RASHIDOV TUMANI UCH TEPA MFY GUNCHA KUCHASI 97-UY </t>
        </is>
      </c>
      <c r="H27" s="105">
        <v>10.0</v>
      </c>
      <c r="I27" s="105">
        <v>2824533.3</v>
      </c>
      <c r="K27" s="104" t="inlineStr">
        <is>
          <t xml:space="preserve">Uyiga borildi - va'da berdi</t>
        </is>
      </c>
    </row>
    <row r="28">
      <c r="A28" s="104" t="inlineStr">
        <is>
          <t xml:space="preserve">ЖИЗЗАХ ВИЛОЯТИ</t>
        </is>
      </c>
      <c r="C28" s="104" t="inlineStr">
        <is>
          <t xml:space="preserve">Объезд</t>
        </is>
      </c>
      <c r="D28" s="104" t="inlineStr">
        <is>
          <t xml:space="preserve">Кр-99041710-1</t>
        </is>
      </c>
      <c r="E28" s="104" t="inlineStr">
        <is>
          <t xml:space="preserve">MAMARAJABOVA ZULOYXA ABDUMALIK QIZI</t>
        </is>
      </c>
      <c r="F28" s="104" t="inlineStr">
        <is>
          <t xml:space="preserve">998339269697 SMS, 998931049616 SMS,</t>
        </is>
      </c>
      <c r="G28" s="104" t="inlineStr">
        <is>
          <t xml:space="preserve">JIZZAX VILOYATI BAXMAL TUMANI TONGOTAR MFY QUSHTEPA QISHLOGI 65-UY</t>
        </is>
      </c>
      <c r="H28" s="105">
        <v>10.0</v>
      </c>
      <c r="I28" s="105">
        <v>2497483.08</v>
      </c>
      <c r="J28" s="105">
        <v>2497483.08</v>
      </c>
      <c r="K28" s="104" t="inlineStr">
        <is>
          <t xml:space="preserve">Uyiga borildi - to'ladi | qisman tolov qildi</t>
        </is>
      </c>
    </row>
    <row r="29">
      <c r="A29" s="104" t="inlineStr">
        <is>
          <t xml:space="preserve">ЖИЗЗАХ ВИЛОЯТИ</t>
        </is>
      </c>
      <c r="C29" s="104" t="inlineStr">
        <is>
          <t xml:space="preserve">Объезд</t>
        </is>
      </c>
      <c r="D29" s="104" t="inlineStr">
        <is>
          <t xml:space="preserve">Кр-99060382-1</t>
        </is>
      </c>
      <c r="E29" s="104" t="inlineStr">
        <is>
          <t xml:space="preserve">XONIMKULOV XURSHID UMARKUL O’G’LI</t>
        </is>
      </c>
      <c r="F29" s="104" t="inlineStr">
        <is>
          <t xml:space="preserve">998991027333 узи, 998915900150 аели, 998911968898 шериги,</t>
        </is>
      </c>
      <c r="G29" s="104" t="inlineStr">
        <is>
          <t xml:space="preserve">JIZZAX VILOYATI JIZZAX TUMANI BUNYODKOR MFY LOLAZOR KUCHASI 1A-UY</t>
        </is>
      </c>
      <c r="H29" s="105">
        <v>13.0</v>
      </c>
      <c r="I29" s="105">
        <v>1908130.27</v>
      </c>
      <c r="K29" s="104" t="inlineStr">
        <is>
          <t xml:space="preserve">Uyiga borildi - va'da berdi</t>
        </is>
      </c>
    </row>
    <row r="30">
      <c r="A30" s="104" t="inlineStr">
        <is>
          <t xml:space="preserve">ЖИЗЗАХ ВИЛОЯТИ</t>
        </is>
      </c>
      <c r="C30" s="104" t="inlineStr">
        <is>
          <t xml:space="preserve">Объезд</t>
        </is>
      </c>
      <c r="D30" s="104" t="inlineStr">
        <is>
          <t xml:space="preserve">Кр-99026372-3</t>
        </is>
      </c>
      <c r="E30" s="104" t="inlineStr">
        <is>
          <t xml:space="preserve">ARIPOV FAXRIDDIN JO’MANOVICH</t>
        </is>
      </c>
      <c r="F30" s="104" t="inlineStr">
        <is>
          <t xml:space="preserve">94-138-50-20 SMS UZI , 91-209-90-77 SMS UZI, 94-001-51-35 SMS UY, 91-028-70-28 SMS AYOLI,</t>
        </is>
      </c>
      <c r="G30" s="104" t="inlineStr">
        <is>
          <t xml:space="preserve">JIZZAX VILOYATI MARJONBULOQ SHMB LALMIKOR MFY NAVRO’Z MAHALLASI 60-UY</t>
        </is>
      </c>
      <c r="H30" s="105">
        <v>10.0</v>
      </c>
      <c r="I30" s="105">
        <v>1508602.38</v>
      </c>
      <c r="J30" s="105">
        <v>1508602.38</v>
      </c>
      <c r="K30" s="104" t="inlineStr">
        <is>
          <t xml:space="preserve">Uyiga borildi - to'ladi</t>
        </is>
      </c>
    </row>
    <row r="31">
      <c r="A31" s="104" t="inlineStr">
        <is>
          <t xml:space="preserve">ЖИЗЗАХ ВИЛОЯТИ</t>
        </is>
      </c>
      <c r="C31" s="104" t="inlineStr">
        <is>
          <t xml:space="preserve">Объезд</t>
        </is>
      </c>
      <c r="D31" s="104" t="inlineStr">
        <is>
          <t xml:space="preserve">Кр-99030311-2</t>
        </is>
      </c>
      <c r="E31" s="104" t="inlineStr">
        <is>
          <t xml:space="preserve">SHERANOV SHERZOD ZULFAROVICH</t>
        </is>
      </c>
      <c r="F31" s="104" t="inlineStr">
        <is>
          <t xml:space="preserve">94-922-86-60  SMS O'ZI, 91-943-85-05 SMS O’ZI 2, 94-922-86-60 SMS  UY, 93-304-52-56 SMS  OTASI,</t>
        </is>
      </c>
      <c r="G31" s="104" t="inlineStr">
        <is>
          <t xml:space="preserve">JIZZAX VILOYATI ZARBDOR TUMANI DO’STLIK SHAXARCHASI SHODLIK MFY ISTIQBOL KUCHASI 43-UY </t>
        </is>
      </c>
      <c r="H31" s="105">
        <v>15.0</v>
      </c>
      <c r="I31" s="105">
        <v>1356589.76</v>
      </c>
      <c r="K31" s="104" t="inlineStr">
        <is>
          <t xml:space="preserve">Uyiga borildi - va'da berdi | yorqin tema</t>
        </is>
      </c>
    </row>
    <row r="32">
      <c r="A32" s="104" t="inlineStr">
        <is>
          <t xml:space="preserve">ЖИЗЗАХ ВИЛОЯТИ</t>
        </is>
      </c>
      <c r="C32" s="104" t="inlineStr">
        <is>
          <t xml:space="preserve">Объезд</t>
        </is>
      </c>
      <c r="D32" s="104" t="inlineStr">
        <is>
          <t xml:space="preserve">Кр-99018232-3</t>
        </is>
      </c>
      <c r="E32" s="104" t="inlineStr">
        <is>
          <t xml:space="preserve">ELIMBAYEVA MAVLYUDA KOLDASHOVNA</t>
        </is>
      </c>
      <c r="F32" s="104" t="inlineStr">
        <is>
          <t xml:space="preserve">97-647-48-78  SMS ERI, 97-522-05-30  SMS O'G'LI, 97-800-12-81  SMS QIZI, 93-553-18-82  SMS UKASI,</t>
        </is>
      </c>
      <c r="G32" s="104" t="inlineStr">
        <is>
          <t xml:space="preserve">JIZZAX VILOYATI ZAFAROBOD TUMANI YORQIN MAHALLASI CHEVARLAR KUCHASI 15-UY</t>
        </is>
      </c>
      <c r="H32" s="105">
        <v>2.0</v>
      </c>
      <c r="I32" s="105">
        <v>1296595.75</v>
      </c>
      <c r="K32" s="104" t="inlineStr">
        <is>
          <t xml:space="preserve">Uyiga borildi - va'da berdi</t>
        </is>
      </c>
    </row>
    <row r="33">
      <c r="A33" s="104" t="inlineStr">
        <is>
          <t xml:space="preserve">ЖИЗЗАХ ВИЛОЯТИ</t>
        </is>
      </c>
      <c r="C33" s="104" t="inlineStr">
        <is>
          <t xml:space="preserve">Объезд</t>
        </is>
      </c>
      <c r="D33" s="104" t="inlineStr">
        <is>
          <t xml:space="preserve">Кр-99034201-1</t>
        </is>
      </c>
      <c r="E33" s="104" t="inlineStr">
        <is>
          <t xml:space="preserve">OCHILOV TO’LQIN ABDUALIMOVICH</t>
        </is>
      </c>
      <c r="F33" s="104" t="inlineStr">
        <is>
          <t xml:space="preserve">998902294031 SMS OZI, 998915676560 SMS AYOLI, 998912080702 SMS KELINI, 998915960702 SMS SINGLI,</t>
        </is>
      </c>
      <c r="G33" s="104" t="inlineStr">
        <is>
          <t xml:space="preserve">JIZZAX VILOYATI JIZZAX TUMANI QULAMA QFY A.NAVOIY KUCHASI 27-UY </t>
        </is>
      </c>
      <c r="I33" s="105">
        <v>6266.97</v>
      </c>
      <c r="J33" s="105">
        <v>6266.97</v>
      </c>
      <c r="K33" s="104" t="inlineStr">
        <is>
          <t xml:space="preserve">Uyiga borildi - to'ladi</t>
        </is>
      </c>
    </row>
    <row r="34">
      <c r="A34" s="106" t="inlineStr">
        <is>
          <t xml:space="preserve">КАШКАДАРЁ ВИЛОЯТИ</t>
        </is>
      </c>
      <c r="C34" s="106" t="inlineStr">
        <is>
          <t xml:space="preserve">Объезд</t>
        </is>
      </c>
      <c r="D34" s="106" t="inlineStr">
        <is>
          <t xml:space="preserve">Кр-99063133-1</t>
        </is>
      </c>
      <c r="E34" s="106" t="inlineStr">
        <is>
          <t xml:space="preserve">TO’XTAYEV BOBUR ALISHER O’G’LI</t>
        </is>
      </c>
      <c r="F34" s="106" t="inlineStr">
        <is>
          <t xml:space="preserve">998908992275 SMS OZI, 998993458899 SMS TO'LOVCHI, 998906097727 SMS OTASI, 998919611171 SMS AKASI,</t>
        </is>
      </c>
      <c r="G34" s="106" t="inlineStr">
        <is>
          <t xml:space="preserve">QASHQADARYO VILOYATI QARSHI TUMANI BOG’OBOD MFY TUQMANG’IT QISHLOG’I 260-UY</t>
        </is>
      </c>
      <c r="H34" s="107">
        <v>43.0</v>
      </c>
      <c r="I34" s="107">
        <v>22609689.05</v>
      </c>
      <c r="K34" s="106" t="inlineStr">
        <is>
          <t xml:space="preserve">Uyiga borildi - va'da berdi</t>
        </is>
      </c>
    </row>
    <row r="35">
      <c r="A35" s="106" t="inlineStr">
        <is>
          <t xml:space="preserve">КАШКАДАРЁ ВИЛОЯТИ</t>
        </is>
      </c>
      <c r="C35" s="106" t="inlineStr">
        <is>
          <t xml:space="preserve">Объезд</t>
        </is>
      </c>
      <c r="D35" s="106" t="inlineStr">
        <is>
          <t xml:space="preserve">Кр-99060317-1</t>
        </is>
      </c>
      <c r="E35" s="106" t="inlineStr">
        <is>
          <t xml:space="preserve">NAFASOV ASADBEK VALIJON O’G’LI</t>
        </is>
      </c>
      <c r="F35" s="106" t="inlineStr">
        <is>
          <t xml:space="preserve">998973852277 SMS OZI, 998886191100 SMS AYOLI, 998770994440 SMS DADASI, 998886195000 SMS ONASI,</t>
        </is>
      </c>
      <c r="G35" s="106" t="inlineStr">
        <is>
          <t xml:space="preserve">QASHQADARYO VILOYATI YAKKABOG’ TUMANI ISTIQLOL MFY OLAQARG’A QISHLOG’I</t>
        </is>
      </c>
      <c r="H35" s="107">
        <v>13.0</v>
      </c>
      <c r="I35" s="107">
        <v>11614788.09</v>
      </c>
      <c r="K35" s="106" t="inlineStr">
        <is>
          <t xml:space="preserve">Uyiga borildi - va'da berdi | qisnab to'lov qildi</t>
        </is>
      </c>
    </row>
    <row r="36">
      <c r="A36" s="106" t="inlineStr">
        <is>
          <t xml:space="preserve">КАШКАДАРЁ ВИЛОЯТИ</t>
        </is>
      </c>
      <c r="C36" s="106" t="inlineStr">
        <is>
          <t xml:space="preserve">Объезд</t>
        </is>
      </c>
      <c r="D36" s="106" t="inlineStr">
        <is>
          <t xml:space="preserve">Кр-99063959-1</t>
        </is>
      </c>
      <c r="E36" s="106" t="inlineStr">
        <is>
          <t xml:space="preserve">IBROGIMOV RASHID ISMOIL UG’LI</t>
        </is>
      </c>
      <c r="F36" s="106" t="inlineStr">
        <is>
          <t xml:space="preserve">998887737107 SMS AKASI, 998953307107 SMS AKASI, 998992719999 SMS UYI,</t>
        </is>
      </c>
      <c r="G36" s="106" t="inlineStr">
        <is>
          <t xml:space="preserve">QASHQADARYO VILOYATI SHAXRISABZ TUMANI YANGIOBOD MFY ZAMONDOSH  67 - UY</t>
        </is>
      </c>
      <c r="H36" s="107">
        <v>10.0</v>
      </c>
      <c r="I36" s="107">
        <v>4235038.14</v>
      </c>
      <c r="K36" s="106" t="inlineStr">
        <is>
          <t xml:space="preserve">Uyiga borildi - va'da berdi</t>
        </is>
      </c>
    </row>
    <row r="37">
      <c r="A37" s="106" t="inlineStr">
        <is>
          <t xml:space="preserve">КАШКАДАРЁ ВИЛОЯТИ</t>
        </is>
      </c>
      <c r="C37" s="106" t="inlineStr">
        <is>
          <t xml:space="preserve">Объезд</t>
        </is>
      </c>
      <c r="D37" s="106" t="inlineStr">
        <is>
          <t xml:space="preserve">Кр-99037441-4</t>
        </is>
      </c>
      <c r="E37" s="106" t="inlineStr">
        <is>
          <t xml:space="preserve">KOSIMOV ABROR ABDISALOMOVICH</t>
        </is>
      </c>
      <c r="F37" s="106" t="inlineStr">
        <is>
          <t xml:space="preserve">998887417117 SMS OZI, 998905175558 SMS AKASI  BEGONA, 998941729897 SMS JURASI,</t>
        </is>
      </c>
      <c r="G37" s="106" t="inlineStr">
        <is>
          <t xml:space="preserve">QASHQADARYO VILOYATI G’UZOR TUMANI TINCHLIK MFY YANGI TONG KO’CHASI 765-UY</t>
        </is>
      </c>
      <c r="H37" s="107">
        <v>10.0</v>
      </c>
      <c r="I37" s="107">
        <v>3313867.96</v>
      </c>
      <c r="K37" s="106" t="inlineStr">
        <is>
          <t xml:space="preserve">Uyiga borildi - va'da berdi</t>
        </is>
      </c>
    </row>
    <row r="38">
      <c r="A38" s="106" t="inlineStr">
        <is>
          <t xml:space="preserve">КАШКАДАРЁ ВИЛОЯТИ</t>
        </is>
      </c>
      <c r="C38" s="106" t="inlineStr">
        <is>
          <t xml:space="preserve">Объезд</t>
        </is>
      </c>
      <c r="D38" s="106" t="inlineStr">
        <is>
          <t xml:space="preserve">Кр-99040694-2</t>
        </is>
      </c>
      <c r="E38" s="106" t="inlineStr">
        <is>
          <t xml:space="preserve">TOSHPULATOV SHAHRIYOR XOLMUROD O’G’LI</t>
        </is>
      </c>
      <c r="F38" s="106" t="inlineStr">
        <is>
          <t xml:space="preserve">998932061021 AKASI, 998952622787 UKASI,</t>
        </is>
      </c>
      <c r="G38" s="106" t="inlineStr">
        <is>
          <t xml:space="preserve">ОЛМАЗОР МФЙ, УЧТУТ,  uy:Р/С</t>
        </is>
      </c>
      <c r="H38" s="107">
        <v>10.0</v>
      </c>
      <c r="I38" s="107">
        <v>2788081.51</v>
      </c>
      <c r="K38" s="106" t="inlineStr">
        <is>
          <t xml:space="preserve">Uyiga borildi - va'da berdi</t>
        </is>
      </c>
    </row>
    <row r="39">
      <c r="A39" s="106" t="inlineStr">
        <is>
          <t xml:space="preserve">КАШКАДАРЁ ВИЛОЯТИ</t>
        </is>
      </c>
      <c r="C39" s="106" t="inlineStr">
        <is>
          <t xml:space="preserve">Объезд</t>
        </is>
      </c>
      <c r="D39" s="106" t="inlineStr">
        <is>
          <t xml:space="preserve">Кр-99059908-1</t>
        </is>
      </c>
      <c r="E39" s="106" t="inlineStr">
        <is>
          <t xml:space="preserve">TO’LAYEV MIRJALOL MUZAFFARJON O’G’LI</t>
        </is>
      </c>
      <c r="F39" s="106" t="inlineStr">
        <is>
          <t xml:space="preserve">+998883110080 SMS, 998771727141 SMS, 998889518080 SMS,</t>
        </is>
      </c>
      <c r="G39" s="106" t="inlineStr">
        <is>
          <t xml:space="preserve">КАШКАДАРЁ ВИЛОЯТИ ГУЗОР ТУМАНИ ШЕРАЛИ МФЙ ХАЛКАБОД КИШЛОГИ</t>
        </is>
      </c>
      <c r="H39" s="107">
        <v>10.0</v>
      </c>
      <c r="I39" s="107">
        <v>2353346.3</v>
      </c>
      <c r="K39" s="106" t="inlineStr">
        <is>
          <t xml:space="preserve">Uyiga borildi - va'da berdi</t>
        </is>
      </c>
    </row>
    <row r="40">
      <c r="A40" s="106" t="inlineStr">
        <is>
          <t xml:space="preserve">КАШКАДАРЁ ВИЛОЯТИ</t>
        </is>
      </c>
      <c r="C40" s="106" t="inlineStr">
        <is>
          <t xml:space="preserve">Объезд</t>
        </is>
      </c>
      <c r="D40" s="106" t="inlineStr">
        <is>
          <t xml:space="preserve">Кр-99037085-2</t>
        </is>
      </c>
      <c r="E40" s="106" t="inlineStr">
        <is>
          <t xml:space="preserve">XAMRAYEVA GULNORA XURRAMOVNA</t>
        </is>
      </c>
      <c r="F40" s="106" t="inlineStr">
        <is>
          <t xml:space="preserve">998979549700 SMS OZI (OG'LI) XUSAN, 998881941597 SMS O’G’LI, 998884287278 SMS UKASI (UZI), 998886757572 SMS AKASI,</t>
        </is>
      </c>
      <c r="G40" s="106" t="inlineStr">
        <is>
          <t xml:space="preserve">QASHQADARYO VILOYATI QARSHI TUMANI MEVAZOR MFY NAVRUZ QURG’ONI SHAHARCHASI 67/1 UY </t>
        </is>
      </c>
      <c r="H40" s="107">
        <v>10.0</v>
      </c>
      <c r="I40" s="107">
        <v>1951671.16</v>
      </c>
      <c r="J40" s="107">
        <v>1951671.16</v>
      </c>
      <c r="K40" s="106" t="inlineStr">
        <is>
          <t xml:space="preserve">Uyiga borildi - to'ladi</t>
        </is>
      </c>
    </row>
    <row r="41">
      <c r="A41" s="106" t="inlineStr">
        <is>
          <t xml:space="preserve">КАШКАДАРЁ ВИЛОЯТИ</t>
        </is>
      </c>
      <c r="C41" s="106" t="inlineStr">
        <is>
          <t xml:space="preserve">Объезд</t>
        </is>
      </c>
      <c r="D41" s="106" t="inlineStr">
        <is>
          <t xml:space="preserve">Кр-99038805-1</t>
        </is>
      </c>
      <c r="E41" s="106" t="inlineStr">
        <is>
          <t xml:space="preserve">ESHQULOV ABROR AZAMATOVICH</t>
        </is>
      </c>
      <c r="F41" s="106" t="inlineStr">
        <is>
          <t xml:space="preserve">998976776676 SMS O’ZI, 998990647161 SMS AYOLI, 998972560232 SMS AKASI , 998947061030 SMS ONASI,</t>
        </is>
      </c>
      <c r="G41" s="106" t="inlineStr">
        <is>
          <t xml:space="preserve">QARSHI TUMANI</t>
        </is>
      </c>
      <c r="H41" s="107">
        <v>6.0</v>
      </c>
      <c r="I41" s="107">
        <v>1414554.52</v>
      </c>
      <c r="J41" s="107">
        <v>1414554.52</v>
      </c>
      <c r="K41" s="106" t="inlineStr">
        <is>
          <t xml:space="preserve">Uyiga borildi - to'ladi</t>
        </is>
      </c>
    </row>
    <row r="42">
      <c r="A42" s="106" t="inlineStr">
        <is>
          <t xml:space="preserve">КАШКАДАРЁ ВИЛОЯТИ</t>
        </is>
      </c>
      <c r="C42" s="106" t="inlineStr">
        <is>
          <t xml:space="preserve">Объезд</t>
        </is>
      </c>
      <c r="D42" s="106" t="inlineStr">
        <is>
          <t xml:space="preserve">Кр-99035313-4</t>
        </is>
      </c>
      <c r="E42" s="106" t="inlineStr">
        <is>
          <t xml:space="preserve">OMONOV RO’YIDDIN ADASH O’G’LI</t>
        </is>
      </c>
      <c r="F42" s="106" t="inlineStr">
        <is>
          <t xml:space="preserve">998906167214 SMS OILASI, 998913830559 SMS AKASI  UZIII TO'LOVCHI, 998993830559 SMS OILASI, 998914682525 SMS UKASI (POCHCHASI),</t>
        </is>
      </c>
      <c r="G42" s="106" t="inlineStr">
        <is>
          <t xml:space="preserve">QASHQADARYO VILOYATI QARSHI TUMANI TINCHLIK MFY PARMITON QISHLOG’I 13-UY</t>
        </is>
      </c>
      <c r="H42" s="107">
        <v>10.0</v>
      </c>
      <c r="I42" s="107">
        <v>1341477.22</v>
      </c>
      <c r="J42" s="107">
        <v>1341477.22</v>
      </c>
      <c r="K42" s="106" t="inlineStr">
        <is>
          <t xml:space="preserve">Uyiga borildi - to'ladi</t>
        </is>
      </c>
    </row>
    <row r="43">
      <c r="A43" s="106" t="inlineStr">
        <is>
          <t xml:space="preserve">КАШКАДАРЁ ВИЛОЯТИ</t>
        </is>
      </c>
      <c r="C43" s="106" t="inlineStr">
        <is>
          <t xml:space="preserve">Объезд</t>
        </is>
      </c>
      <c r="D43" s="106" t="inlineStr">
        <is>
          <t xml:space="preserve">Кр-99035313-2</t>
        </is>
      </c>
      <c r="E43" s="106" t="inlineStr">
        <is>
          <t xml:space="preserve">OMONOV RO’YIDDIN ADASH O’G’LI</t>
        </is>
      </c>
      <c r="F43" s="106" t="inlineStr">
        <is>
          <t xml:space="preserve">998906167214 SMS OILASI, 998913830559 SMS AKASI  UZIII TO'LOVCHI, 998993830559 SMS OILASI, 998914682525 SMS UKASI (POCHCHASI),</t>
        </is>
      </c>
      <c r="G43" s="106" t="inlineStr">
        <is>
          <t xml:space="preserve">QASHQADARYO VILOYATI QARSHI TUMANI TINCHLIK MFY PARMITON QISHLOG’I 13-UY</t>
        </is>
      </c>
      <c r="H43" s="107">
        <v>3.0</v>
      </c>
      <c r="I43" s="107">
        <v>999946.2</v>
      </c>
      <c r="J43" s="107">
        <v>999946.2</v>
      </c>
      <c r="K43" s="106" t="inlineStr">
        <is>
          <t xml:space="preserve">Uyiga borildi - to'ladi</t>
        </is>
      </c>
    </row>
    <row r="44">
      <c r="A44" s="106" t="inlineStr">
        <is>
          <t xml:space="preserve">КАШКАДАРЁ ВИЛОЯТИ</t>
        </is>
      </c>
      <c r="C44" s="106" t="inlineStr">
        <is>
          <t xml:space="preserve">Объезд</t>
        </is>
      </c>
      <c r="D44" s="106" t="inlineStr">
        <is>
          <t xml:space="preserve">Кр-99038004-1</t>
        </is>
      </c>
      <c r="E44" s="106" t="inlineStr">
        <is>
          <t xml:space="preserve">RAXMONOVA NILUFAR RAXMIDDIN QIZI</t>
        </is>
      </c>
      <c r="F44" s="106" t="inlineStr">
        <is>
          <t xml:space="preserve">998889543030 SMS OZI, 998882070694 SMS OILASI, 998979537171 SMS AKASI, 998991689400 SMS AKASI, 998974380089 SMS TO'LOVCHI,</t>
        </is>
      </c>
      <c r="G44" s="106" t="inlineStr">
        <is>
          <t xml:space="preserve">КАШКАДАРЁ ВИЛОЯТИ КОСОН ТУМАНИ Эсабой МФЙ Эсабой кучаси 31-уй</t>
        </is>
      </c>
      <c r="H44" s="107">
        <v>10.0</v>
      </c>
      <c r="I44" s="107">
        <v>779178.8</v>
      </c>
      <c r="J44" s="107">
        <v>779178.8</v>
      </c>
      <c r="K44" s="106" t="inlineStr">
        <is>
          <t xml:space="preserve">Uyiga borildi - to'ladi</t>
        </is>
      </c>
    </row>
    <row r="45">
      <c r="A45" s="106" t="inlineStr">
        <is>
          <t xml:space="preserve">КАШКАДАРЁ ВИЛОЯТИ</t>
        </is>
      </c>
      <c r="C45" s="106" t="inlineStr">
        <is>
          <t xml:space="preserve">Объезд</t>
        </is>
      </c>
      <c r="D45" s="106" t="inlineStr">
        <is>
          <t xml:space="preserve">Кр-99040703-2</t>
        </is>
      </c>
      <c r="E45" s="106" t="inlineStr">
        <is>
          <t xml:space="preserve">SHOMURODOV BEKMUROD SHERQULOVICH</t>
        </is>
      </c>
      <c r="F45" s="106" t="inlineStr">
        <is>
          <t xml:space="preserve">+998934213611 sms uzi , 998333993611 sms ogli, 998773004642 sms ayoli , 998996862082 sms uzi2,</t>
        </is>
      </c>
      <c r="G45" s="106" t="inlineStr">
        <is>
          <t xml:space="preserve">КАЗОКЛИ МФЙ, КАЗОКЛИ,  uy:Р/С</t>
        </is>
      </c>
      <c r="I45" s="107">
        <v>466210.86</v>
      </c>
      <c r="J45" s="107">
        <v>466210.86</v>
      </c>
      <c r="K45" s="106" t="inlineStr">
        <is>
          <t xml:space="preserve">Uyiga borildi - to'ladi</t>
        </is>
      </c>
    </row>
    <row r="46">
      <c r="A46" s="108" t="inlineStr">
        <is>
          <t xml:space="preserve">КОРАКАЛПОГИСТОН РЕСПУБЛИКАСИ</t>
        </is>
      </c>
      <c r="C46" s="108" t="inlineStr">
        <is>
          <t xml:space="preserve">Объезд</t>
        </is>
      </c>
      <c r="D46" s="108" t="inlineStr">
        <is>
          <t xml:space="preserve">Кр-99062698-1</t>
        </is>
      </c>
      <c r="E46" s="108" t="inlineStr">
        <is>
          <t xml:space="preserve">ABDUALIYEV ABDIBAY ABDIRXANOVICH</t>
        </is>
      </c>
      <c r="F46" s="108" t="inlineStr">
        <is>
          <t xml:space="preserve">998997887003 SSM OZI, 998973546546 SMS AYOLI, 998991807003 SMS OGLI, 999877880239 SMS OGLI 2,</t>
        </is>
      </c>
      <c r="G46" s="108" t="inlineStr">
        <is>
          <t xml:space="preserve">QORAQALPOGISTON RES NUKUS SHAHAR AMUDARYO MFY SARI KOL KUSHASI 30 UY </t>
        </is>
      </c>
      <c r="H46" s="109">
        <v>15.0</v>
      </c>
      <c r="I46" s="109">
        <v>9839953.64</v>
      </c>
      <c r="K46" s="108" t="inlineStr">
        <is>
          <t xml:space="preserve">Uyiga borildi - va'da berdi | KO'TARMADI | 1424</t>
        </is>
      </c>
    </row>
    <row r="47">
      <c r="A47" s="108" t="inlineStr">
        <is>
          <t xml:space="preserve">КОРАКАЛПОГИСТОН РЕСПУБЛИКАСИ</t>
        </is>
      </c>
      <c r="C47" s="108" t="inlineStr">
        <is>
          <t xml:space="preserve">Объезд</t>
        </is>
      </c>
      <c r="D47" s="108" t="inlineStr">
        <is>
          <t xml:space="preserve">Кр-99046605-1</t>
        </is>
      </c>
      <c r="E47" s="108" t="inlineStr">
        <is>
          <t xml:space="preserve">BALTAYEV SADULLA MAKSUDOVICH</t>
        </is>
      </c>
      <c r="F47" s="108" t="inlineStr">
        <is>
          <t xml:space="preserve">998907147737 SMS UZI, 998947020528 SMS UGLI, 998945640304 SMS QIZI BEGONA , 998997147737 o'zi newww,</t>
        </is>
      </c>
      <c r="G47" s="108" t="inlineStr">
        <is>
          <t xml:space="preserve">QORAQALPOGISTON RES XOJAYLI TUMANI TUTZAR MFY XALKABAD KUSHASI 8 UY</t>
        </is>
      </c>
      <c r="H47" s="109">
        <v>13.0</v>
      </c>
      <c r="I47" s="109">
        <v>6971404.06</v>
      </c>
      <c r="K47" s="108" t="inlineStr">
        <is>
          <t xml:space="preserve">Uyiga borildi - va'da berdi | BUGUNGA VADA BERDILA OYLIGIM TUSHDI TASHEMAN DEDILA | 1120</t>
        </is>
      </c>
    </row>
    <row r="48">
      <c r="A48" s="108" t="inlineStr">
        <is>
          <t xml:space="preserve">КОРАКАЛПОГИСТОН РЕСПУБЛИКАСИ</t>
        </is>
      </c>
      <c r="C48" s="108" t="inlineStr">
        <is>
          <t xml:space="preserve">Объезд</t>
        </is>
      </c>
      <c r="D48" s="108" t="inlineStr">
        <is>
          <t xml:space="preserve">Кр-99056113-1</t>
        </is>
      </c>
      <c r="E48" s="108" t="inlineStr">
        <is>
          <t xml:space="preserve">TAJIMURATOVA NASIBA JUMAMBETOVNA</t>
        </is>
      </c>
      <c r="F48" s="108" t="inlineStr">
        <is>
          <t xml:space="preserve">998959469019 SMS OZI , 998880042678 SMS OZI 2 AKASI TO'LOVCHI , 998902625683 SMS OZI 3,</t>
        </is>
      </c>
      <c r="G48" s="108" t="inlineStr">
        <is>
          <t xml:space="preserve">QARAQALPOGISTON RES NUKUS SHAHAR DOSLIQ GUZARI MFY A.DOSNAZAROV KUSHASI 131 UY  28 KVARTIRA </t>
        </is>
      </c>
      <c r="H48" s="109">
        <v>10.0</v>
      </c>
      <c r="I48" s="109">
        <v>5927006.05</v>
      </c>
      <c r="K48" s="108" t="inlineStr">
        <is>
          <t xml:space="preserve">Uyiga borildi - va'da berdi | 1250</t>
        </is>
      </c>
    </row>
    <row r="49">
      <c r="A49" s="108" t="inlineStr">
        <is>
          <t xml:space="preserve">КОРАКАЛПОГИСТОН РЕСПУБЛИКАСИ</t>
        </is>
      </c>
      <c r="C49" s="108" t="inlineStr">
        <is>
          <t xml:space="preserve">Объезд</t>
        </is>
      </c>
      <c r="D49" s="108" t="inlineStr">
        <is>
          <t xml:space="preserve">Кр-99052708-1</t>
        </is>
      </c>
      <c r="E49" s="108" t="inlineStr">
        <is>
          <t xml:space="preserve">ABDIRAMANOV ZAKIR ABDIRIYEMOVICH</t>
        </is>
      </c>
      <c r="F49" s="108" t="inlineStr">
        <is>
          <t xml:space="preserve">998930009217 SMS OZI, 998913897229 SMS AKASI, 998904238131 SMS QIZI, 998904230693 SMS OGLI, 998907357534 ozi newww,</t>
        </is>
      </c>
      <c r="G49" s="108" t="inlineStr">
        <is>
          <t xml:space="preserve">QARAQALPOGISTON RES XOJAYLI TUMANI SABIK MFY SAXRA KUSHASI 7 UY </t>
        </is>
      </c>
      <c r="H49" s="109">
        <v>10.0</v>
      </c>
      <c r="I49" s="109">
        <v>4723738.02</v>
      </c>
      <c r="K49" s="108" t="inlineStr">
        <is>
          <t xml:space="preserve">Uyiga borildi - va'da berdi | QIZI BN GAPLASHDIM AYTIB QO'YAMAN AKAM TO'LAYDI DEDI 20KUNI OYLIGI TUSHADI EKAN | 1202</t>
        </is>
      </c>
    </row>
    <row r="50">
      <c r="A50" s="108" t="inlineStr">
        <is>
          <t xml:space="preserve">КОРАКАЛПОГИСТОН РЕСПУБЛИКАСИ</t>
        </is>
      </c>
      <c r="C50" s="108" t="inlineStr">
        <is>
          <t xml:space="preserve">Объезд</t>
        </is>
      </c>
      <c r="D50" s="108" t="inlineStr">
        <is>
          <t xml:space="preserve">Кр-99057077-1</t>
        </is>
      </c>
      <c r="E50" s="108" t="inlineStr">
        <is>
          <t xml:space="preserve">SERIKBAYEV MARAT ALDANAZAROVICH</t>
        </is>
      </c>
      <c r="F50" s="108" t="inlineStr">
        <is>
          <t xml:space="preserve">998946831315 SMS UZI, 998905906668 SMS QIZI, 998933083023 SMS UKASI, 998938743798 SMS KELINI,</t>
        </is>
      </c>
      <c r="G50" s="108" t="inlineStr">
        <is>
          <t xml:space="preserve">QARAQALPOGISTON RES NUKUS SHAHAR SHIGIS MFY MATEKE JUMANAZAROV KUSHASI 18 UY</t>
        </is>
      </c>
      <c r="H50" s="109">
        <v>10.0</v>
      </c>
      <c r="I50" s="109">
        <v>2558543.06</v>
      </c>
      <c r="K50" s="108" t="inlineStr">
        <is>
          <t xml:space="preserve">Uyiga borildi - va'da berdi | 20KUNI TO'LOV QILADI | 1261</t>
        </is>
      </c>
    </row>
    <row r="51">
      <c r="A51" s="108" t="inlineStr">
        <is>
          <t xml:space="preserve">КОРАКАЛПОГИСТОН РЕСПУБЛИКАСИ</t>
        </is>
      </c>
      <c r="C51" s="108" t="inlineStr">
        <is>
          <t xml:space="preserve">Объезд</t>
        </is>
      </c>
      <c r="D51" s="108" t="inlineStr">
        <is>
          <t xml:space="preserve">Кр-99041431-1</t>
        </is>
      </c>
      <c r="E51" s="108" t="inlineStr">
        <is>
          <t xml:space="preserve">BAYNAZAROVA AMANGUL KALIBAYEVNA</t>
        </is>
      </c>
      <c r="F51" s="108" t="inlineStr">
        <is>
          <t xml:space="preserve">998906536610 SMS OZI, 998919359599 SMS QIZI, 998913918821 SMS OGLI, 998913810499 SMS KELINI, 998933029514 SMS UKASI WU RAQAM ISHLAYDI,</t>
        </is>
      </c>
      <c r="G51" s="108" t="inlineStr">
        <is>
          <t xml:space="preserve">QARAQALPOGISTON RES NUKUS SHAHAR XAUA JOLI MFY DAWLET BAQSI KUSHASI 21 UY </t>
        </is>
      </c>
      <c r="H51" s="109">
        <v>10.0</v>
      </c>
      <c r="I51" s="109">
        <v>2047607.36</v>
      </c>
      <c r="K51" s="108" t="inlineStr">
        <is>
          <t xml:space="preserve">Uyiga borildi - va'da berdi | UKASI BN GAPLASHDIM OY OXIRIDA OPAM OYLIK OLADILA VA FILIALGA TASHAB BERADILA DEDILA QOZOQDALA | 999</t>
        </is>
      </c>
    </row>
    <row r="52">
      <c r="A52" s="108" t="inlineStr">
        <is>
          <t xml:space="preserve">КОРАКАЛПОГИСТОН РЕСПУБЛИКАСИ</t>
        </is>
      </c>
      <c r="C52" s="108" t="inlineStr">
        <is>
          <t xml:space="preserve">Объезд</t>
        </is>
      </c>
      <c r="D52" s="108" t="inlineStr">
        <is>
          <t xml:space="preserve">Кр-99047374-1</t>
        </is>
      </c>
      <c r="E52" s="108" t="inlineStr">
        <is>
          <t xml:space="preserve">SHARAPOV BAXIT URAZBAYEVICH</t>
        </is>
      </c>
      <c r="F52" s="108" t="inlineStr">
        <is>
          <t xml:space="preserve">998880716102 OGLI, 998907077908 OZI, 998994507986 OYALI,</t>
        </is>
      </c>
      <c r="G52" s="108" t="inlineStr">
        <is>
          <t xml:space="preserve">Qaraqalpogiston Respublikasi nukus shahar Nurli bostan MFY Askerler joli kushasi 215 uy</t>
        </is>
      </c>
      <c r="H52" s="109">
        <v>10.0</v>
      </c>
      <c r="I52" s="109">
        <v>1770339.7</v>
      </c>
      <c r="K52" s="108" t="inlineStr">
        <is>
          <t xml:space="preserve">Uyiga borildi - va'da berdi | UYIGA FILIAL BORISHDI  QOZOQDA ISHLAYDI 3KUNDA OYLIGINI OLIB FILIALGA TASHAB BERAMAN DEBDILA | 1130</t>
        </is>
      </c>
    </row>
    <row r="53">
      <c r="A53" s="108" t="inlineStr">
        <is>
          <t xml:space="preserve">КОРАКАЛПОГИСТОН РЕСПУБЛИКАСИ</t>
        </is>
      </c>
      <c r="C53" s="108" t="inlineStr">
        <is>
          <t xml:space="preserve">Объезд</t>
        </is>
      </c>
      <c r="D53" s="108" t="inlineStr">
        <is>
          <t xml:space="preserve">Кр-99063402-1</t>
        </is>
      </c>
      <c r="E53" s="108" t="inlineStr">
        <is>
          <t xml:space="preserve">JAMGIRBAYEV SHOXZOD XALMURAT ULI</t>
        </is>
      </c>
      <c r="F53" s="108" t="inlineStr">
        <is>
          <t xml:space="preserve">998906527006 OZI, 998913931005 AKASI, 998951773003 AKASI 2,</t>
        </is>
      </c>
      <c r="G53" s="108" t="inlineStr">
        <is>
          <t xml:space="preserve">QARAQALPOGISTON RES NUKUS SHAHAR NAUBAXAR MFY ELI AZAT KUSHASI 15 UY</t>
        </is>
      </c>
      <c r="H53" s="109">
        <v>10.0</v>
      </c>
      <c r="I53" s="109">
        <v>1767587.38</v>
      </c>
      <c r="J53" s="109">
        <v>1767587.38</v>
      </c>
      <c r="K53" s="108" t="inlineStr">
        <is>
          <t xml:space="preserve">Uyiga borildi - to'ladi | 1552</t>
        </is>
      </c>
    </row>
    <row r="54">
      <c r="A54" s="110" t="inlineStr">
        <is>
          <t xml:space="preserve">НАВОИЙ ВИЛОЯТИ</t>
        </is>
      </c>
      <c r="C54" s="110" t="inlineStr">
        <is>
          <t xml:space="preserve">Объезд</t>
        </is>
      </c>
      <c r="D54" s="110" t="inlineStr">
        <is>
          <t xml:space="preserve">Кр-99040670-1</t>
        </is>
      </c>
      <c r="E54" s="110" t="inlineStr">
        <is>
          <t xml:space="preserve">SATTOROV ZAFAR FATTOHOVICH</t>
        </is>
      </c>
      <c r="F54" s="110" t="inlineStr">
        <is>
          <t xml:space="preserve">998997540001 SMS OZI oqtuvchi , 998912512244 SMS ERI, 998913086648 SMS ONASI, 998930590059 SMS JIYANI,</t>
        </is>
      </c>
      <c r="G54" s="110" t="inlineStr">
        <is>
          <t xml:space="preserve">NAVOIY VILOYATI, QIZILTEPA  TUMANI, GULZOR MFY, GULZOR KO'CHASI, 561-UY</t>
        </is>
      </c>
      <c r="H54" s="111">
        <v>10.0</v>
      </c>
      <c r="I54" s="111">
        <v>4302470.58</v>
      </c>
      <c r="K54" s="110" t="inlineStr">
        <is>
          <t xml:space="preserve">Uyiga borildi | uyiga boramiz dip etti</t>
        </is>
      </c>
    </row>
    <row r="55">
      <c r="A55" s="112" t="inlineStr">
        <is>
          <t xml:space="preserve">НАМАНГАН ВИЛОЯТИ</t>
        </is>
      </c>
      <c r="C55" s="112" t="inlineStr">
        <is>
          <t xml:space="preserve">Объезд</t>
        </is>
      </c>
      <c r="D55" s="112" t="inlineStr">
        <is>
          <t xml:space="preserve">Кр-99063350-2</t>
        </is>
      </c>
      <c r="E55" s="112" t="inlineStr">
        <is>
          <t xml:space="preserve">HASANOV NASRIDDIN FAZLIDDINOVICH</t>
        </is>
      </c>
      <c r="F55" s="112" t="inlineStr">
        <is>
          <t xml:space="preserve">+998947058118 SMS O’ZI, 998932726162 SMS QIZI, 998947322062 SMS AYOLI,</t>
        </is>
      </c>
      <c r="G55" s="112" t="inlineStr">
        <is>
          <t xml:space="preserve">НАМАНГАН ВИЛОЯТИ УЙЧИ ТУМАНИ НАВОИЙ МФЙ БОҒИ ЭРАМ КЎЧАСИ 1 УЙ</t>
        </is>
      </c>
      <c r="H55" s="113">
        <v>10.0</v>
      </c>
      <c r="I55" s="113">
        <v>6845285.86</v>
      </c>
      <c r="K55" s="112" t="inlineStr">
        <is>
          <t xml:space="preserve">Uyiga borildi | qisman tolov qilb berdi | Стандартрый</t>
        </is>
      </c>
    </row>
    <row r="56">
      <c r="A56" s="112" t="inlineStr">
        <is>
          <t xml:space="preserve">НАМАНГАН ВИЛОЯТИ</t>
        </is>
      </c>
      <c r="C56" s="112" t="inlineStr">
        <is>
          <t xml:space="preserve">Объезд</t>
        </is>
      </c>
      <c r="D56" s="112" t="inlineStr">
        <is>
          <t xml:space="preserve">Кр-99063450-2</t>
        </is>
      </c>
      <c r="E56" s="112" t="inlineStr">
        <is>
          <t xml:space="preserve">MUYDINOVA GULJAXON YUSUPOVNA</t>
        </is>
      </c>
      <c r="F56" s="112" t="inlineStr">
        <is>
          <t xml:space="preserve">+998942830389 SMS O’ZI, 998508877719 SMS UY, 998932916566 SMS SINGLISI,</t>
        </is>
      </c>
      <c r="G56" s="112" t="inlineStr">
        <is>
          <t xml:space="preserve">НАМАНГАН ВИЛОЯТИ ЯНГИ НАМАНГАН ТУМАНИ КЕЛАЖАК ТОНГИ МФЙ ХАСАНОБОД КЎЧАСИ 28А-УЙ</t>
        </is>
      </c>
      <c r="H56" s="113">
        <v>10.0</v>
      </c>
      <c r="I56" s="113">
        <v>3616653.25</v>
      </c>
      <c r="K56" s="112" t="inlineStr">
        <is>
          <t xml:space="preserve">Uyiga borildi | uyida xch kim yogakan | Стандартрый</t>
        </is>
      </c>
    </row>
    <row r="57">
      <c r="A57" s="112" t="inlineStr">
        <is>
          <t xml:space="preserve">НАМАНГАН ВИЛОЯТИ</t>
        </is>
      </c>
      <c r="C57" s="112" t="inlineStr">
        <is>
          <t xml:space="preserve">Объезд</t>
        </is>
      </c>
      <c r="D57" s="112" t="inlineStr">
        <is>
          <t xml:space="preserve">Кр-99034285-1</t>
        </is>
      </c>
      <c r="E57" s="112" t="inlineStr">
        <is>
          <t xml:space="preserve">NURIDDINOV MURODJON ABDULVOXIT O’G’LI</t>
        </is>
      </c>
      <c r="F57" s="112" t="inlineStr">
        <is>
          <t xml:space="preserve">998990903636 SMS O’ZI, 998945087459 SMS DADASI, 998956751004 SMS AYOLI, 998933554343 SMS UKASI,</t>
        </is>
      </c>
      <c r="G57" s="112" t="inlineStr">
        <is>
          <t xml:space="preserve">NAMANGAN VILOYATI UYCHI TUMANI YORQO’RG’ON QFY OQTOSH MFY TARAQQIYOT KO’CHA 22 UY</t>
        </is>
      </c>
      <c r="H57" s="113">
        <v>10.0</v>
      </c>
      <c r="I57" s="113">
        <v>2820987.51</v>
      </c>
      <c r="K57" s="112" t="inlineStr">
        <is>
          <t xml:space="preserve">Uyiga borildi | bittasini yopib berdi qolgani erta indin qisman tolab berdi bunga | Стандартрый</t>
        </is>
      </c>
    </row>
    <row r="58">
      <c r="A58" s="112" t="inlineStr">
        <is>
          <t xml:space="preserve">НАМАНГАН ВИЛОЯТИ</t>
        </is>
      </c>
      <c r="C58" s="112" t="inlineStr">
        <is>
          <t xml:space="preserve">Объезд</t>
        </is>
      </c>
      <c r="D58" s="112" t="inlineStr">
        <is>
          <t xml:space="preserve">Кр-99050372-2</t>
        </is>
      </c>
      <c r="E58" s="112" t="inlineStr">
        <is>
          <t xml:space="preserve">MAMANAZAROV NODIRBEK ISROIL O’G’LI</t>
        </is>
      </c>
      <c r="F58" s="112" t="inlineStr">
        <is>
          <t xml:space="preserve">+998932534343 SMS O’ZI, 998993790909 SMS O’ZI 2 begona, 998995410505 SMS AYOLI BEGONA,</t>
        </is>
      </c>
      <c r="G58" s="112" t="inlineStr">
        <is>
          <t xml:space="preserve">NAMANGAN VILOYATI NAMANGAN SHAHAR SHODLIK MFY TO’RAQO’RG’ON KO’CHASI 12 UY</t>
        </is>
      </c>
      <c r="H58" s="113">
        <v>10.0</v>
      </c>
      <c r="I58" s="113">
        <v>1336418.11</v>
      </c>
      <c r="K58" s="112" t="inlineStr">
        <is>
          <t xml:space="preserve">Uyiga borildi | yopildi | Стандартрый</t>
        </is>
      </c>
    </row>
    <row r="59">
      <c r="A59" s="112" t="inlineStr">
        <is>
          <t xml:space="preserve">НАМАНГАН ВИЛОЯТИ</t>
        </is>
      </c>
      <c r="C59" s="112" t="inlineStr">
        <is>
          <t xml:space="preserve">Объезд</t>
        </is>
      </c>
      <c r="D59" s="112" t="inlineStr">
        <is>
          <t xml:space="preserve">Кр-99034285-2</t>
        </is>
      </c>
      <c r="E59" s="112" t="inlineStr">
        <is>
          <t xml:space="preserve">NURIDDINOV MURODJON ABDULVOXIT O’G’LI</t>
        </is>
      </c>
      <c r="F59" s="112" t="inlineStr">
        <is>
          <t xml:space="preserve">998990903636 SMS O’ZI, 998945087459 SMS DADASI, 998956751004 SMS AYOLI, 998933554343 SMS UKASI,</t>
        </is>
      </c>
      <c r="G59" s="112" t="inlineStr">
        <is>
          <t xml:space="preserve">NAMANGAN VILOYATI UYCHI TUMANI YORQO’RG’ON QFY OQTOSH MFY TARAQQIYOT KO’CHA 22 UY</t>
        </is>
      </c>
      <c r="H59" s="113">
        <v>10.0</v>
      </c>
      <c r="I59" s="113">
        <v>902766.97</v>
      </c>
      <c r="K59" s="112" t="inlineStr">
        <is>
          <t xml:space="preserve">Uyiga borildi | yopildi | Стандартрый</t>
        </is>
      </c>
    </row>
    <row r="60">
      <c r="A60" s="114" t="inlineStr">
        <is>
          <t xml:space="preserve">САМАРКАНД ВИЛОЯТИ</t>
        </is>
      </c>
      <c r="C60" s="114" t="inlineStr">
        <is>
          <t xml:space="preserve">Объезд</t>
        </is>
      </c>
      <c r="D60" s="114" t="inlineStr">
        <is>
          <t xml:space="preserve">Кр-99045220-1</t>
        </is>
      </c>
      <c r="E60" s="114" t="inlineStr">
        <is>
          <t xml:space="preserve">ABDIYEV FAXRIDDIN ASKAROVICH</t>
        </is>
      </c>
      <c r="F60" s="114" t="inlineStr">
        <is>
          <t xml:space="preserve">+998935157020 SMS OZI 2, 998937772322 SMS AYOLI, 998940994040 SMS OZI, 998953307020 SMS UYI,</t>
        </is>
      </c>
      <c r="G60" s="114" t="inlineStr">
        <is>
          <t xml:space="preserve">SAMARQAND VILOYATI PAYARIQ TUMANI ILG’OR MFY QOZI QISHLOG’I</t>
        </is>
      </c>
      <c r="H60" s="115">
        <v>73.0</v>
      </c>
      <c r="I60" s="115">
        <v>19138777.76</v>
      </c>
      <c r="K60" s="114" t="inlineStr">
        <is>
          <t xml:space="preserve">Uyiga borildi - va'da berdi | sudda  ishi</t>
        </is>
      </c>
    </row>
    <row r="61">
      <c r="A61" s="114" t="inlineStr">
        <is>
          <t xml:space="preserve">САМАРКАНД ВИЛОЯТИ</t>
        </is>
      </c>
      <c r="C61" s="114" t="inlineStr">
        <is>
          <t xml:space="preserve">Объезд</t>
        </is>
      </c>
      <c r="D61" s="114" t="inlineStr">
        <is>
          <t xml:space="preserve">Кр-99034543-2</t>
        </is>
      </c>
      <c r="E61" s="114" t="inlineStr">
        <is>
          <t xml:space="preserve">KULIYEV XURSHID ISMAILOVICH</t>
        </is>
      </c>
      <c r="F61" s="114" t="inlineStr">
        <is>
          <t xml:space="preserve">998912975577 SMS O’ZI, 998913140077 SMS ERI, 998915494303 SMS , +998913140077 SMS OZI,</t>
        </is>
      </c>
      <c r="G61" s="114" t="inlineStr">
        <is>
          <t xml:space="preserve">SAMARQAND VILOYATI PASTDARG’OM TUMANI TURON MFY</t>
        </is>
      </c>
      <c r="H61" s="115">
        <v>10.0</v>
      </c>
      <c r="I61" s="115">
        <v>14530822.46</v>
      </c>
      <c r="K61" s="114" t="inlineStr">
        <is>
          <t xml:space="preserve">Uyiga borildi - va'da berdi | ishxonasiga borildi</t>
        </is>
      </c>
    </row>
    <row r="62">
      <c r="A62" s="114" t="inlineStr">
        <is>
          <t xml:space="preserve">САМАРКАНД ВИЛОЯТИ</t>
        </is>
      </c>
      <c r="C62" s="114" t="inlineStr">
        <is>
          <t xml:space="preserve">Объезд</t>
        </is>
      </c>
      <c r="D62" s="114" t="inlineStr">
        <is>
          <t xml:space="preserve">Кр-99045550-1</t>
        </is>
      </c>
      <c r="E62" s="114" t="inlineStr">
        <is>
          <t xml:space="preserve">YO’LYAXSHIYEV MOHIR MANSUR O’G’LI</t>
        </is>
      </c>
      <c r="F62" s="114" t="inlineStr">
        <is>
          <t xml:space="preserve">+998952306777 SMS OZI, 998507068065 SMS AYASI, 998507757594 SMS AYOLI, 998940947545 SMS UKASI,</t>
        </is>
      </c>
      <c r="G62" s="114" t="inlineStr">
        <is>
          <t xml:space="preserve">SAMARQAND VILOYATI URGUT TUMANI YUQORI TEGANA MFY X.BAYQORO KUCHASI 24-UY</t>
        </is>
      </c>
      <c r="H62" s="115">
        <v>43.0</v>
      </c>
      <c r="I62" s="115">
        <v>9416166.3</v>
      </c>
      <c r="K62" s="114" t="inlineStr">
        <is>
          <t xml:space="preserve">Uyiga borildi - va'da berdi</t>
        </is>
      </c>
    </row>
    <row r="63">
      <c r="A63" s="114" t="inlineStr">
        <is>
          <t xml:space="preserve">САМАРКАНД ВИЛОЯТИ</t>
        </is>
      </c>
      <c r="C63" s="114" t="inlineStr">
        <is>
          <t xml:space="preserve">Объезд</t>
        </is>
      </c>
      <c r="D63" s="114" t="inlineStr">
        <is>
          <t xml:space="preserve">Кр-99057329-1</t>
        </is>
      </c>
      <c r="E63" s="114" t="inlineStr">
        <is>
          <t xml:space="preserve">SODIQOV ANVARJON VORISJONOVICH</t>
        </is>
      </c>
      <c r="F63" s="114" t="inlineStr">
        <is>
          <t xml:space="preserve">998953976067 SMS UZI, 998500579222 SMS TULOVCHI, 998997798472 SMS TULOVCHI ZALOGATEL , 998910320010 SMS UY,</t>
        </is>
      </c>
      <c r="G63" s="114" t="inlineStr">
        <is>
          <t xml:space="preserve">SAMARQAND TUMANI</t>
        </is>
      </c>
      <c r="H63" s="115">
        <v>10.0</v>
      </c>
      <c r="I63" s="115">
        <v>3639543.06</v>
      </c>
      <c r="K63" s="114" t="inlineStr">
        <is>
          <t xml:space="preserve">Uyiga borildi - va'da berdi | uyiga borildi</t>
        </is>
      </c>
    </row>
    <row r="64">
      <c r="A64" s="114" t="inlineStr">
        <is>
          <t xml:space="preserve">САМАРКАНД ВИЛОЯТИ</t>
        </is>
      </c>
      <c r="C64" s="114" t="inlineStr">
        <is>
          <t xml:space="preserve">Объезд</t>
        </is>
      </c>
      <c r="D64" s="114" t="inlineStr">
        <is>
          <t xml:space="preserve">Кр-99059521-1</t>
        </is>
      </c>
      <c r="E64" s="114" t="inlineStr">
        <is>
          <t xml:space="preserve">NEMATOVA LOLAXON FARXODJON QIZI</t>
        </is>
      </c>
      <c r="F64" s="114" t="inlineStr">
        <is>
          <t xml:space="preserve">+998944600370 SMS OZI, 998500105600 SMS UKASI, 998949230370 SMS ERI, 998979290370 SMS UYI,</t>
        </is>
      </c>
      <c r="G64" s="114" t="inlineStr">
        <is>
          <t xml:space="preserve">SAMARQAND VILOYATI PAYARIQ TUMANI ERNAZARQURG’ON MFY YANGI ZAMON KUCHASI 54-UY</t>
        </is>
      </c>
      <c r="H64" s="115">
        <v>10.0</v>
      </c>
      <c r="I64" s="115">
        <v>3587565.25</v>
      </c>
      <c r="K64" s="114" t="inlineStr">
        <is>
          <t xml:space="preserve">Uyiga borildi - va'da berdi | uyiga borishdi</t>
        </is>
      </c>
    </row>
    <row r="65">
      <c r="A65" s="114" t="inlineStr">
        <is>
          <t xml:space="preserve">САМАРКАНД ВИЛОЯТИ</t>
        </is>
      </c>
      <c r="C65" s="114" t="inlineStr">
        <is>
          <t xml:space="preserve">Объезд</t>
        </is>
      </c>
      <c r="D65" s="114" t="inlineStr">
        <is>
          <t xml:space="preserve">Кр-99062920-1</t>
        </is>
      </c>
      <c r="E65" s="114" t="inlineStr">
        <is>
          <t xml:space="preserve">BOBOYEV SHERXON RUZIMURODOVICH</t>
        </is>
      </c>
      <c r="F65" s="114" t="inlineStr">
        <is>
          <t xml:space="preserve">+998992957374 SMS OZI, 998904757374 SMS OZI 2, 998956738444 SMS UKASI,</t>
        </is>
      </c>
      <c r="G65" s="114" t="inlineStr">
        <is>
          <t xml:space="preserve">SAMARQAND VILOYATI NUROBOD TUMANI OQSOY MFY</t>
        </is>
      </c>
      <c r="H65" s="115">
        <v>10.0</v>
      </c>
      <c r="I65" s="115">
        <v>3443274.88</v>
      </c>
      <c r="J65" s="115">
        <v>3443274.88</v>
      </c>
      <c r="K65" s="114" t="inlineStr">
        <is>
          <t xml:space="preserve">Uyiga borildi - to'ladi | yopildi</t>
        </is>
      </c>
    </row>
    <row r="66">
      <c r="A66" s="114" t="inlineStr">
        <is>
          <t xml:space="preserve">САМАРКАНД ВИЛОЯТИ</t>
        </is>
      </c>
      <c r="C66" s="114" t="inlineStr">
        <is>
          <t xml:space="preserve">Объезд</t>
        </is>
      </c>
      <c r="D66" s="114" t="inlineStr">
        <is>
          <t xml:space="preserve">Кр-99057430-1</t>
        </is>
      </c>
      <c r="E66" s="114" t="inlineStr">
        <is>
          <t xml:space="preserve">TOSHMURODOV JAVLONBEK ULUG’BEKOVICH</t>
        </is>
      </c>
      <c r="F66" s="114" t="inlineStr">
        <is>
          <t xml:space="preserve">998942894664 SMS UZI, 998918460505 SMS AKASI TULOVCHI, 998942870050 SMS AKASI, 998942131877 SMS AYASI,</t>
        </is>
      </c>
      <c r="G66" s="114" t="inlineStr">
        <is>
          <t xml:space="preserve">SAMARQAND VILOYATI PAXTACHI TUMANI MIRZO NODIM MFY REGISTON KUCHASI 97-UY</t>
        </is>
      </c>
      <c r="H66" s="115">
        <v>10.0</v>
      </c>
      <c r="I66" s="115">
        <v>3387227.9</v>
      </c>
      <c r="J66" s="115">
        <v>3387227.9</v>
      </c>
      <c r="K66" s="114" t="inlineStr">
        <is>
          <t xml:space="preserve">Uyiga borildi - to'ladi | yopildi</t>
        </is>
      </c>
    </row>
    <row r="67">
      <c r="A67" s="114" t="inlineStr">
        <is>
          <t xml:space="preserve">САМАРКАНД ВИЛОЯТИ</t>
        </is>
      </c>
      <c r="C67" s="114" t="inlineStr">
        <is>
          <t xml:space="preserve">Объезд</t>
        </is>
      </c>
      <c r="D67" s="114" t="inlineStr">
        <is>
          <t xml:space="preserve">Кр-99008241-5</t>
        </is>
      </c>
      <c r="E67" s="114" t="inlineStr">
        <is>
          <t xml:space="preserve">KOMILOV SHERZOD NAJIMOVICH</t>
        </is>
      </c>
      <c r="F67" s="114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67" s="114" t="inlineStr">
        <is>
          <t xml:space="preserve">SAMARQAND VILOYATI KATTAQO’RG’ON TUMANI MULLAKICHKINA</t>
        </is>
      </c>
      <c r="H67" s="115">
        <v>3.0</v>
      </c>
      <c r="I67" s="115">
        <v>2920966.89</v>
      </c>
      <c r="K67" s="114" t="inlineStr">
        <is>
          <t xml:space="preserve">Uyiga borildi - va'da berdi</t>
        </is>
      </c>
    </row>
    <row r="68">
      <c r="A68" s="114" t="inlineStr">
        <is>
          <t xml:space="preserve">САМАРКАНД ВИЛОЯТИ</t>
        </is>
      </c>
      <c r="C68" s="114" t="inlineStr">
        <is>
          <t xml:space="preserve">Объезд</t>
        </is>
      </c>
      <c r="D68" s="114" t="inlineStr">
        <is>
          <t xml:space="preserve">Кр-99062811-2</t>
        </is>
      </c>
      <c r="E68" s="114" t="inlineStr">
        <is>
          <t xml:space="preserve">SHOKIROV SAVRIDDIN SALOHIDDIN O’G’LI</t>
        </is>
      </c>
      <c r="F68" s="114" t="inlineStr">
        <is>
          <t xml:space="preserve">+998931430020 SMS OZI, 998505711620 SMS OPASI, 998937243255 SMS UKASI,</t>
        </is>
      </c>
      <c r="G68" s="114" t="inlineStr">
        <is>
          <t xml:space="preserve">SAMARQAND VILOYATI TAYLOQ TUMANI YANGI XAYOT MFY CHOVONDOZ KUCHASI</t>
        </is>
      </c>
      <c r="H68" s="115">
        <v>10.0</v>
      </c>
      <c r="I68" s="115">
        <v>2882928.02</v>
      </c>
      <c r="J68" s="115">
        <v>2882928.02</v>
      </c>
      <c r="K68" s="114" t="inlineStr">
        <is>
          <t xml:space="preserve">Uyiga borildi - to'ladi | yopildi</t>
        </is>
      </c>
    </row>
    <row r="69">
      <c r="A69" s="114" t="inlineStr">
        <is>
          <t xml:space="preserve">САМАРКАНД ВИЛОЯТИ</t>
        </is>
      </c>
      <c r="C69" s="114" t="inlineStr">
        <is>
          <t xml:space="preserve">Объезд</t>
        </is>
      </c>
      <c r="D69" s="114" t="inlineStr">
        <is>
          <t xml:space="preserve">Кр-99037081-1</t>
        </is>
      </c>
      <c r="E69" s="114" t="inlineStr">
        <is>
          <t xml:space="preserve">QUZIYEV SHERZOD HAMDAMKULOVICH</t>
        </is>
      </c>
      <c r="F69" s="114" t="inlineStr">
        <is>
          <t xml:space="preserve">998944771277 SMS OZI, 998940090440 SMS AYOLI, 998990215277 SMS OGLI, 998930388336 SMS QIZI, 998700444786 SMS UZI NEW, 998700111786 SMS XOTINI NEW, 998990215277 SMS UY,</t>
        </is>
      </c>
      <c r="G69" s="114" t="inlineStr">
        <is>
          <t xml:space="preserve">SAMARQAND VILOYATI TAYLOQ TUMANI NAYMAN MFY JASORAT KUCHASI 1-UY</t>
        </is>
      </c>
      <c r="H69" s="115">
        <v>15.0</v>
      </c>
      <c r="I69" s="115">
        <v>2231295.53</v>
      </c>
      <c r="K69" s="114" t="inlineStr">
        <is>
          <t xml:space="preserve">Uyiga borildi - va'da berdi</t>
        </is>
      </c>
    </row>
    <row r="70">
      <c r="A70" s="114" t="inlineStr">
        <is>
          <t xml:space="preserve">САМАРКАНД ВИЛОЯТИ</t>
        </is>
      </c>
      <c r="C70" s="114" t="inlineStr">
        <is>
          <t xml:space="preserve">Объезд</t>
        </is>
      </c>
      <c r="D70" s="114" t="inlineStr">
        <is>
          <t xml:space="preserve">Кр-99050656-2</t>
        </is>
      </c>
      <c r="E70" s="114" t="inlineStr">
        <is>
          <t xml:space="preserve">BERDIMURODOV NUMONJON KOMILJONOVICH</t>
        </is>
      </c>
      <c r="F70" s="114" t="inlineStr">
        <is>
          <t xml:space="preserve">+998939705584 SMS OZI, 998770530720 SMS UYI, 998933599647 SMS AYOLI, 998997189688 SMS ZALOGADATEL,</t>
        </is>
      </c>
      <c r="G70" s="114" t="inlineStr">
        <is>
          <t xml:space="preserve">SAMARQAND VILOYATI PAYARIQ TUMANI ZARAFSHON MFY KASHFIYOT 49-UY</t>
        </is>
      </c>
      <c r="I70" s="115">
        <v>1852074.84</v>
      </c>
      <c r="K70" s="114" t="inlineStr">
        <is>
          <t xml:space="preserve">Uyiga borildi - va'da berdi | uyida doston aka</t>
        </is>
      </c>
    </row>
    <row r="71">
      <c r="A71" s="114" t="inlineStr">
        <is>
          <t xml:space="preserve">САМАРКАНД ВИЛОЯТИ</t>
        </is>
      </c>
      <c r="C71" s="114" t="inlineStr">
        <is>
          <t xml:space="preserve">Объезд</t>
        </is>
      </c>
      <c r="D71" s="114" t="inlineStr">
        <is>
          <t xml:space="preserve">Кр-99007936-14</t>
        </is>
      </c>
      <c r="E71" s="114" t="inlineStr">
        <is>
          <t xml:space="preserve">MAMASHARIPOV UTKIR MAMARZAYEVICH</t>
        </is>
      </c>
      <c r="F71" s="114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71" s="114" t="inlineStr">
        <is>
          <t xml:space="preserve">SAMARQAND VILOYATI OQDARYO TUMANI A.TEMUR MFY KALLAR QISHLOG’I</t>
        </is>
      </c>
      <c r="H71" s="115">
        <v>10.0</v>
      </c>
      <c r="I71" s="115">
        <v>1779309.22</v>
      </c>
      <c r="K71" s="114" t="inlineStr">
        <is>
          <t xml:space="preserve">Uyiga borildi - va'da berdi</t>
        </is>
      </c>
    </row>
    <row r="72">
      <c r="A72" s="114" t="inlineStr">
        <is>
          <t xml:space="preserve">САМАРКАНД ВИЛОЯТИ</t>
        </is>
      </c>
      <c r="C72" s="114" t="inlineStr">
        <is>
          <t xml:space="preserve">Объезд</t>
        </is>
      </c>
      <c r="D72" s="114" t="inlineStr">
        <is>
          <t xml:space="preserve">Кр-99040926-1</t>
        </is>
      </c>
      <c r="E72" s="114" t="inlineStr">
        <is>
          <t xml:space="preserve">ABDIVALIYEVA IRODA URAQOVNA</t>
        </is>
      </c>
      <c r="F72" s="114" t="inlineStr">
        <is>
          <t xml:space="preserve">+998993827337 SMS OZI, 998701085409 SMS OPASI, 998945378668 SMS UZI 2, 998993837337 SMS ERI,</t>
        </is>
      </c>
      <c r="G72" s="114" t="inlineStr">
        <is>
          <t xml:space="preserve">А.НАВОИЙ ҚФЙ, ЯНГИОБОД МФЙ, МУЗОН ҚИШЛОҒИ,  uy:Р/С</t>
        </is>
      </c>
      <c r="H72" s="115">
        <v>15.0</v>
      </c>
      <c r="I72" s="115">
        <v>1681946.37</v>
      </c>
      <c r="K72" s="114" t="inlineStr">
        <is>
          <t xml:space="preserve">Uyiga borildi - va'da berdi</t>
        </is>
      </c>
    </row>
    <row r="73">
      <c r="A73" s="114" t="inlineStr">
        <is>
          <t xml:space="preserve">САМАРКАНД ВИЛОЯТИ</t>
        </is>
      </c>
      <c r="C73" s="114" t="inlineStr">
        <is>
          <t xml:space="preserve">Объезд</t>
        </is>
      </c>
      <c r="D73" s="114" t="inlineStr">
        <is>
          <t xml:space="preserve">Кр-99007936-12</t>
        </is>
      </c>
      <c r="E73" s="114" t="inlineStr">
        <is>
          <t xml:space="preserve">MAMASHARIPOV UTKIR MAMARZAYEVICH</t>
        </is>
      </c>
      <c r="F73" s="114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73" s="114" t="inlineStr">
        <is>
          <t xml:space="preserve">SAMARQAND VILOYATI OQDARYO TUMANI A.TEMUR MFY KALLAR QISHLOG’I</t>
        </is>
      </c>
      <c r="H73" s="115">
        <v>10.0</v>
      </c>
      <c r="I73" s="115">
        <v>1197934.82</v>
      </c>
      <c r="K73" s="114" t="inlineStr">
        <is>
          <t xml:space="preserve">Uyiga borildi - va'da berdi</t>
        </is>
      </c>
    </row>
    <row r="74">
      <c r="A74" s="114" t="inlineStr">
        <is>
          <t xml:space="preserve">САМАРКАНД ВИЛОЯТИ</t>
        </is>
      </c>
      <c r="C74" s="114" t="inlineStr">
        <is>
          <t xml:space="preserve">Объезд</t>
        </is>
      </c>
      <c r="D74" s="114" t="inlineStr">
        <is>
          <t xml:space="preserve">Кр-99007936-11</t>
        </is>
      </c>
      <c r="E74" s="114" t="inlineStr">
        <is>
          <t xml:space="preserve">MAMASHARIPOV UTKIR MAMARZAYEVICH</t>
        </is>
      </c>
      <c r="F74" s="114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74" s="114" t="inlineStr">
        <is>
          <t xml:space="preserve">SAMARQAND VILOYATI OQDARYO TUMANI A.TEMUR MFY KALLAR QISHLOG’I</t>
        </is>
      </c>
      <c r="H74" s="115">
        <v>3.0</v>
      </c>
      <c r="I74" s="115">
        <v>1176359.03</v>
      </c>
      <c r="K74" s="114" t="inlineStr">
        <is>
          <t xml:space="preserve">Uyiga borildi - va'da berdi</t>
        </is>
      </c>
    </row>
    <row r="75">
      <c r="A75" s="114" t="inlineStr">
        <is>
          <t xml:space="preserve">САМАРКАНД ВИЛОЯТИ</t>
        </is>
      </c>
      <c r="C75" s="114" t="inlineStr">
        <is>
          <t xml:space="preserve">Объезд</t>
        </is>
      </c>
      <c r="D75" s="114" t="inlineStr">
        <is>
          <t xml:space="preserve">Кр-99008241-6</t>
        </is>
      </c>
      <c r="E75" s="114" t="inlineStr">
        <is>
          <t xml:space="preserve">KOMILOV SHERZOD NAJIMOVICH</t>
        </is>
      </c>
      <c r="F75" s="114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75" s="114" t="inlineStr">
        <is>
          <t xml:space="preserve">SAMARQAND VILOYATI KATTAQO’RG’ON TUMANI MULLAKICHKINA</t>
        </is>
      </c>
      <c r="H75" s="115">
        <v>2.0</v>
      </c>
      <c r="I75" s="115">
        <v>921961.21</v>
      </c>
      <c r="J75" s="115">
        <v>921961.21</v>
      </c>
      <c r="K75" s="114" t="inlineStr">
        <is>
          <t xml:space="preserve">Uyiga borildi - to'ladi | yopildi</t>
        </is>
      </c>
    </row>
    <row r="76">
      <c r="A76" s="114" t="inlineStr">
        <is>
          <t xml:space="preserve">САМАРКАНД ВИЛОЯТИ</t>
        </is>
      </c>
      <c r="C76" s="114" t="inlineStr">
        <is>
          <t xml:space="preserve">Объезд</t>
        </is>
      </c>
      <c r="D76" s="114" t="inlineStr">
        <is>
          <t xml:space="preserve">Кр-99034419-1</t>
        </is>
      </c>
      <c r="E76" s="114" t="inlineStr">
        <is>
          <t xml:space="preserve">ABDULLAYEVA SOADAT ALLAMURADOVNA</t>
        </is>
      </c>
      <c r="F76" s="114" t="inlineStr">
        <is>
          <t xml:space="preserve">998991332753 SMS O’ZI, 998942561450 SMS O’G’LI, 998992742115 SMS  NABIRASI,</t>
        </is>
      </c>
      <c r="G76" s="114" t="inlineStr">
        <is>
          <t xml:space="preserve">SAMARQAND VILOYATI PAXTACHI TUMANI ZARAFSHON MFY ORZU KUCHASI 34-UY</t>
        </is>
      </c>
      <c r="I76" s="115">
        <v>777575.78</v>
      </c>
      <c r="J76" s="115">
        <v>777575.78</v>
      </c>
      <c r="K76" s="114" t="inlineStr">
        <is>
          <t xml:space="preserve">Uyiga borildi - to'ladi | yopildi</t>
        </is>
      </c>
    </row>
    <row r="77">
      <c r="A77" s="114" t="inlineStr">
        <is>
          <t xml:space="preserve">САМАРКАНД ВИЛОЯТИ</t>
        </is>
      </c>
      <c r="C77" s="114" t="inlineStr">
        <is>
          <t xml:space="preserve">Объезд</t>
        </is>
      </c>
      <c r="D77" s="114" t="inlineStr">
        <is>
          <t xml:space="preserve">Кр-99037081-3</t>
        </is>
      </c>
      <c r="E77" s="114" t="inlineStr">
        <is>
          <t xml:space="preserve">QUZIYEV SHERZOD HAMDAMKULOVICH</t>
        </is>
      </c>
      <c r="F77" s="114" t="inlineStr">
        <is>
          <t xml:space="preserve">998944771277 SMS OZI, 998940090440 SMS AYOLI, 998990215277 SMS OGLI, 998930388336 SMS QIZI, 998700444786 SMS UZI NEW, 998700111786 SMS XOTINI NEW, 998990215277 SMS UY,</t>
        </is>
      </c>
      <c r="G77" s="114" t="inlineStr">
        <is>
          <t xml:space="preserve">SAMARQAND VILOYATI TAYLOQ TUMANI NAYMAN MFY JASORAT KUCHASI 1-UY</t>
        </is>
      </c>
      <c r="H77" s="115">
        <v>10.0</v>
      </c>
      <c r="I77" s="115">
        <v>687256.27</v>
      </c>
      <c r="K77" s="114" t="inlineStr">
        <is>
          <t xml:space="preserve">Uyiga borildi - va'da berdi</t>
        </is>
      </c>
    </row>
    <row r="78">
      <c r="A78" s="116" t="inlineStr">
        <is>
          <t xml:space="preserve">СУРХОНДАРЁ ВИЛОЯТИ</t>
        </is>
      </c>
      <c r="C78" s="116" t="inlineStr">
        <is>
          <t xml:space="preserve">Объезд</t>
        </is>
      </c>
      <c r="D78" s="116" t="inlineStr">
        <is>
          <t xml:space="preserve">Кр-99039320-1</t>
        </is>
      </c>
      <c r="E78" s="116" t="inlineStr">
        <is>
          <t xml:space="preserve">KURBANOV FAZLIDDIN ABDUKAXOROVICH</t>
        </is>
      </c>
      <c r="F78" s="116" t="inlineStr">
        <is>
          <t xml:space="preserve">998991354667 SMS OZI, 998991205994 SMS AYOLI, 998994513084 SMS AKASI, 998745116760 SMS UY,</t>
        </is>
      </c>
      <c r="G78" s="116" t="inlineStr">
        <is>
          <t xml:space="preserve">SURXONDARYO VILOYATI DENOV TUMANI OYBARAK MFY CHINORSOY  KO’CHASI 42-UY</t>
        </is>
      </c>
      <c r="H78" s="117">
        <v>167.0</v>
      </c>
      <c r="I78" s="117">
        <v>20832794.66</v>
      </c>
      <c r="K78" s="116" t="inlineStr">
        <is>
          <t xml:space="preserve">Uyiga borildi - va'da berdi | 21sanaga tolov | 771</t>
        </is>
      </c>
    </row>
    <row r="79">
      <c r="A79" s="116" t="inlineStr">
        <is>
          <t xml:space="preserve">СУРХОНДАРЁ ВИЛОЯТИ</t>
        </is>
      </c>
      <c r="C79" s="116" t="inlineStr">
        <is>
          <t xml:space="preserve">Объезд</t>
        </is>
      </c>
      <c r="D79" s="116" t="inlineStr">
        <is>
          <t xml:space="preserve">Кр-99041110-1</t>
        </is>
      </c>
      <c r="E79" s="116" t="inlineStr">
        <is>
          <t xml:space="preserve">KASIMOV NODIRBEK BAYKABILOVICH</t>
        </is>
      </c>
      <c r="F79" s="116" t="inlineStr">
        <is>
          <t xml:space="preserve">+998998830188 SMS O’ZI, 998770043004 SMS KELINI, 998958449474 SMS AYOLI, 998991090189 SMS DO’STDI, 998998830188 Primary phone from road24,</t>
        </is>
      </c>
      <c r="G79" s="116" t="inlineStr">
        <is>
          <t xml:space="preserve">ЖОНЧЕККА ҚФЙ, ДЕХКОН МФЙ, ЖОНЧЕККА ҚФЙ, ДЕХКОН МФЙ, ДЕХКОН,  uy:.</t>
        </is>
      </c>
      <c r="H79" s="117">
        <v>10.0</v>
      </c>
      <c r="I79" s="117">
        <v>4357378.6</v>
      </c>
      <c r="K79" s="116" t="inlineStr">
        <is>
          <t xml:space="preserve">Uyiga borildi - va'da berdi | oy oxrga | 960</t>
        </is>
      </c>
    </row>
    <row r="80">
      <c r="A80" s="116" t="inlineStr">
        <is>
          <t xml:space="preserve">СУРХОНДАРЁ ВИЛОЯТИ</t>
        </is>
      </c>
      <c r="C80" s="116" t="inlineStr">
        <is>
          <t xml:space="preserve">Объезд</t>
        </is>
      </c>
      <c r="D80" s="116" t="inlineStr">
        <is>
          <t xml:space="preserve">Кр-99035964-1</t>
        </is>
      </c>
      <c r="E80" s="116" t="inlineStr">
        <is>
          <t xml:space="preserve">SULOYMONOV ERKIN NOZIMOVICH</t>
        </is>
      </c>
      <c r="F80" s="116" t="inlineStr">
        <is>
          <t xml:space="preserve">998770300464 SMS O’ZI, 998881538883 SMS AYOLI, 998770320564 SMS O’G’LI, 998936034414 SMS OSHNASI,</t>
        </is>
      </c>
      <c r="G80" s="116" t="inlineStr">
        <is>
          <t xml:space="preserve">SURXONDARYO VILOYATI DENOV TUMANI O’RTAQISHLOQ MFY TAVAKULL K’OCHASI 21-UY</t>
        </is>
      </c>
      <c r="H80" s="117">
        <v>3.0</v>
      </c>
      <c r="I80" s="117">
        <v>2520863.96</v>
      </c>
      <c r="K80" s="116" t="inlineStr">
        <is>
          <t xml:space="preserve">Uyiga borildi - va'da berdi | wu hafta yopad | 543</t>
        </is>
      </c>
    </row>
    <row r="81">
      <c r="A81" s="116" t="inlineStr">
        <is>
          <t xml:space="preserve">СУРХОНДАРЁ ВИЛОЯТИ</t>
        </is>
      </c>
      <c r="C81" s="116" t="inlineStr">
        <is>
          <t xml:space="preserve">Объезд</t>
        </is>
      </c>
      <c r="D81" s="116" t="inlineStr">
        <is>
          <t xml:space="preserve">Кр-99035996-1</t>
        </is>
      </c>
      <c r="E81" s="116" t="inlineStr">
        <is>
          <t xml:space="preserve">ALMARDONOV BOBOMUROD BOBORAXMATOVICH</t>
        </is>
      </c>
      <c r="F81" s="116" t="inlineStr">
        <is>
          <t xml:space="preserve">998995444686 SMS OZI, 998883176868 SMS SHERIGI, 998978967555 SMS UY, 998975502586 SMS,</t>
        </is>
      </c>
      <c r="G81" s="116" t="inlineStr">
        <is>
          <t xml:space="preserve">SURXONDARYO VILOYATI DENOV TUMANI FAYZLI MFY BUYUK IPAKYULI KO'CHASI 1-UY</t>
        </is>
      </c>
      <c r="H81" s="117">
        <v>3.0</v>
      </c>
      <c r="I81" s="117">
        <v>2248695.19</v>
      </c>
      <c r="J81" s="117">
        <v>2248695.19</v>
      </c>
      <c r="K81" s="116" t="inlineStr">
        <is>
          <t xml:space="preserve">Uyiga borildi - to'ladi | toladi | 544</t>
        </is>
      </c>
    </row>
    <row r="82">
      <c r="A82" s="116" t="inlineStr">
        <is>
          <t xml:space="preserve">СУРХОНДАРЁ ВИЛОЯТИ</t>
        </is>
      </c>
      <c r="C82" s="116" t="inlineStr">
        <is>
          <t xml:space="preserve">Объезд</t>
        </is>
      </c>
      <c r="D82" s="116" t="inlineStr">
        <is>
          <t xml:space="preserve">Кр-99039591-1</t>
        </is>
      </c>
      <c r="E82" s="116" t="inlineStr">
        <is>
          <t xml:space="preserve">YO’LDOSHEV BAHODIR HAZRATQULOVICH</t>
        </is>
      </c>
      <c r="F82" s="116" t="inlineStr">
        <is>
          <t xml:space="preserve">998975339787 SMS OZI, 998971231999 SMS UY, 998884207571 SMS ONASI,</t>
        </is>
      </c>
      <c r="G82" s="116" t="inlineStr">
        <is>
          <t xml:space="preserve">SURXONDARYO VILOYATI DENOV TUMANI MUQUMIY MFY TARAQQIYOT 6-UY</t>
        </is>
      </c>
      <c r="H82" s="117">
        <v>3.0</v>
      </c>
      <c r="I82" s="117">
        <v>2242888.97</v>
      </c>
      <c r="K82" s="116" t="inlineStr">
        <is>
          <t xml:space="preserve">Uyiga borildi - va'da berdi | bugun erte tolo qlad | 806</t>
        </is>
      </c>
    </row>
    <row r="83">
      <c r="A83" s="116" t="inlineStr">
        <is>
          <t xml:space="preserve">СУРХОНДАРЁ ВИЛОЯТИ</t>
        </is>
      </c>
      <c r="C83" s="116" t="inlineStr">
        <is>
          <t xml:space="preserve">Объезд</t>
        </is>
      </c>
      <c r="D83" s="116" t="inlineStr">
        <is>
          <t xml:space="preserve">Кр-99038010-1</t>
        </is>
      </c>
      <c r="E83" s="116" t="inlineStr">
        <is>
          <t xml:space="preserve">ABDURAXIMOVA MUNAVVAR XO’SHBOQ QIZI</t>
        </is>
      </c>
      <c r="F83" s="116" t="inlineStr">
        <is>
          <t xml:space="preserve">998942004892 SMS OZI, 998958987789 SMS UYI , 998958110962 SMS SINGLISi, 998945300101 SMS UYI 2 ,</t>
        </is>
      </c>
      <c r="G83" s="116" t="inlineStr">
        <is>
          <t xml:space="preserve">SURXONDARYO VILOYATI DENOV TUMANI ELOBOD MFY NURLISAODAT 19-UY</t>
        </is>
      </c>
      <c r="H83" s="117">
        <v>9.0</v>
      </c>
      <c r="I83" s="117">
        <v>1890409.96</v>
      </c>
      <c r="J83" s="117">
        <v>1890409.96</v>
      </c>
      <c r="K83" s="116" t="inlineStr">
        <is>
          <t xml:space="preserve">Uyiga borildi - to'ladi | oylik tolovi yopild | 671</t>
        </is>
      </c>
    </row>
    <row r="84">
      <c r="A84" s="116" t="inlineStr">
        <is>
          <t xml:space="preserve">СУРХОНДАРЁ ВИЛОЯТИ</t>
        </is>
      </c>
      <c r="C84" s="116" t="inlineStr">
        <is>
          <t xml:space="preserve">Объезд</t>
        </is>
      </c>
      <c r="D84" s="116" t="inlineStr">
        <is>
          <t xml:space="preserve">Кр-99011383-5</t>
        </is>
      </c>
      <c r="E84" s="116" t="inlineStr">
        <is>
          <t xml:space="preserve">BURONOV ESHMAMAT KENJAYEVICH</t>
        </is>
      </c>
      <c r="F84" s="116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84" s="116" t="inlineStr">
        <is>
          <t xml:space="preserve">SURXONDARYO VILOYATI DENOV TUMANI BINOKOR QFY OZOD MFY TERAKZOR KO’CHASI 89-UY  </t>
        </is>
      </c>
      <c r="H84" s="117">
        <v>10.0</v>
      </c>
      <c r="I84" s="117">
        <v>1150057.03</v>
      </c>
      <c r="K84" s="116" t="inlineStr">
        <is>
          <t xml:space="preserve">Uyiga borildi - va'da berdi | 20 cilarida tolo qlad | 34</t>
        </is>
      </c>
    </row>
    <row r="85">
      <c r="A85" s="116" t="inlineStr">
        <is>
          <t xml:space="preserve">СУРХОНДАРЁ ВИЛОЯТИ</t>
        </is>
      </c>
      <c r="C85" s="116" t="inlineStr">
        <is>
          <t xml:space="preserve">Объезд</t>
        </is>
      </c>
      <c r="D85" s="116" t="inlineStr">
        <is>
          <t xml:space="preserve">Кр-99031360-1</t>
        </is>
      </c>
      <c r="E85" s="116" t="inlineStr">
        <is>
          <t xml:space="preserve">AZIMOVA IRODA ISMATULLAYEVNA</t>
        </is>
      </c>
      <c r="F85" s="116" t="inlineStr">
        <is>
          <t xml:space="preserve">99-425-57-94 SMS OZi, 99-204-57-94  SMS UY, 93-634-35-69  SMS DADASI, 99-209-57-94  SMS OZI,</t>
        </is>
      </c>
      <c r="G85" s="116" t="inlineStr">
        <is>
          <t xml:space="preserve">SURXONDARYO VILOYATI SARIOSIYO TUMANI BOGI-IRAM QFY SHAXRIOBOD MFY SAXI KO’CHASI 69-UY </t>
        </is>
      </c>
      <c r="I85" s="117">
        <v>883090.92</v>
      </c>
      <c r="K85" s="116" t="inlineStr">
        <is>
          <t xml:space="preserve">Uyiga borildi - va'da berdi | wahnoz ogan | 311</t>
        </is>
      </c>
    </row>
    <row r="86">
      <c r="A86" s="98" t="inlineStr">
        <is>
          <t xml:space="preserve">ТОШКЕНТ ШАХРИ</t>
        </is>
      </c>
      <c r="C86" s="98" t="inlineStr">
        <is>
          <t xml:space="preserve">Объезд</t>
        </is>
      </c>
      <c r="D86" s="98" t="inlineStr">
        <is>
          <t xml:space="preserve">Кр-99063240-1</t>
        </is>
      </c>
      <c r="E86" s="98" t="inlineStr">
        <is>
          <t xml:space="preserve">BOZOROV FAZLIDDIN JUMAYEVICH</t>
        </is>
      </c>
      <c r="F86" s="98" t="inlineStr">
        <is>
          <t xml:space="preserve">998777923003 SMS DADASI (ISHXONASI), 998908073003 SMS ISHXONMASI, 998936998569 SMS ONASI, 998999162111 SMS OZI,</t>
        </is>
      </c>
      <c r="G86" s="98" t="inlineStr">
        <is>
          <t xml:space="preserve">TOSHKENT SHAHAR YANGIHAYOT TUMANI BINOKOR MFY SANGZOR KOCHASI 24-UY 19-XONADON</t>
        </is>
      </c>
      <c r="H86" s="99">
        <v>15.0</v>
      </c>
      <c r="I86" s="99">
        <v>11101366.27</v>
      </c>
      <c r="K86" s="98" t="inlineStr">
        <is>
          <t xml:space="preserve">Uyiga borildi - va'da berdi | 3-4kunda to'\</t>
        </is>
      </c>
    </row>
    <row r="87">
      <c r="A87" s="98" t="inlineStr">
        <is>
          <t xml:space="preserve">ТОШКЕНТ ШАХРИ</t>
        </is>
      </c>
      <c r="C87" s="98" t="inlineStr">
        <is>
          <t xml:space="preserve">Объезд</t>
        </is>
      </c>
      <c r="D87" s="98" t="inlineStr">
        <is>
          <t xml:space="preserve">Кр-99042127-1</t>
        </is>
      </c>
      <c r="E87" s="98" t="inlineStr">
        <is>
          <t xml:space="preserve">ABDULLAYEVA SHAXLO SHARIFJONOVNA</t>
        </is>
      </c>
      <c r="F87" s="98" t="inlineStr">
        <is>
          <t xml:space="preserve">998953205678 SMS OZI begona , 998909813239 SMS ozi , 998946449886 SMS ogli , 998917829977 SMS eri ,</t>
        </is>
      </c>
      <c r="G87" s="98" t="inlineStr">
        <is>
          <t xml:space="preserve">TOSHKENT SHAHAR YUNUSOBOD TUMANI TIKLANISH MFY TIKLANISH PROEZD 6 KOCHASI 2-UY</t>
        </is>
      </c>
      <c r="H87" s="99">
        <v>10.0</v>
      </c>
      <c r="I87" s="99">
        <v>7578561.14</v>
      </c>
      <c r="K87" s="98" t="inlineStr">
        <is>
          <t xml:space="preserve">Uyiga borildi - va'da berdi | bugun sud</t>
        </is>
      </c>
    </row>
    <row r="88">
      <c r="A88" s="98" t="inlineStr">
        <is>
          <t xml:space="preserve">ТОШКЕНТ ШАХРИ</t>
        </is>
      </c>
      <c r="C88" s="98" t="inlineStr">
        <is>
          <t xml:space="preserve">Объезд</t>
        </is>
      </c>
      <c r="D88" s="98" t="inlineStr">
        <is>
          <t xml:space="preserve">Кр-99036167-2</t>
        </is>
      </c>
      <c r="E88" s="98" t="inlineStr">
        <is>
          <t xml:space="preserve">AXMEDOV BOTIR YULDASHEVICH</t>
        </is>
      </c>
      <c r="F88" s="98" t="inlineStr">
        <is>
          <t xml:space="preserve">998998200012 SMS O’ZI , 998710500122 SMS O’ZI 2, 998903165191 SMS AYOLI , 998990952222 SMS O’G’LI ,</t>
        </is>
      </c>
      <c r="G88" s="98" t="inlineStr">
        <is>
          <t xml:space="preserve">TOSHKENT SHAHAR SIRG’ALI TUMANI YANGI TURMUSH 5-TOR KO’CHASI 25-UY</t>
        </is>
      </c>
      <c r="H88" s="99">
        <v>77.0</v>
      </c>
      <c r="I88" s="99">
        <v>7168753.41</v>
      </c>
      <c r="K88" s="98" t="inlineStr">
        <is>
          <t xml:space="preserve">Uyiga borildi - va'da berdi</t>
        </is>
      </c>
    </row>
    <row r="89">
      <c r="A89" s="98" t="inlineStr">
        <is>
          <t xml:space="preserve">ТОШКЕНТ ШАХРИ</t>
        </is>
      </c>
      <c r="C89" s="98" t="inlineStr">
        <is>
          <t xml:space="preserve">Объезд</t>
        </is>
      </c>
      <c r="D89" s="98" t="inlineStr">
        <is>
          <t xml:space="preserve">Кр-99039892-1</t>
        </is>
      </c>
      <c r="E89" s="98" t="inlineStr">
        <is>
          <t xml:space="preserve">ATABEKOVA DILNOZA MUROD QIZI</t>
        </is>
      </c>
      <c r="F89" s="98" t="inlineStr">
        <is>
          <t xml:space="preserve">+998770054745 SMS,</t>
        </is>
      </c>
      <c r="G89" s="98" t="inlineStr">
        <is>
          <t xml:space="preserve">г. Ташкент, Янгихаётский район, 8-строительная территория, Орият МСГ, 49- Дом, 35- Квартира</t>
        </is>
      </c>
      <c r="H89" s="99">
        <v>10.0</v>
      </c>
      <c r="I89" s="99">
        <v>6281395.57</v>
      </c>
      <c r="K89" s="98" t="inlineStr">
        <is>
          <t xml:space="preserve">Uyiga borildi - va'da berdi | dushanbi to'lidi</t>
        </is>
      </c>
    </row>
    <row r="90">
      <c r="A90" s="98" t="inlineStr">
        <is>
          <t xml:space="preserve">ТОШКЕНТ ШАХРИ</t>
        </is>
      </c>
      <c r="C90" s="98" t="inlineStr">
        <is>
          <t xml:space="preserve">Объезд</t>
        </is>
      </c>
      <c r="D90" s="98" t="inlineStr">
        <is>
          <t xml:space="preserve">Кр-99036291-3</t>
        </is>
      </c>
      <c r="E90" s="98" t="inlineStr">
        <is>
          <t xml:space="preserve">ABDUG‘AFOROV ABRORJON ABDURASUL O‘G‘LI</t>
        </is>
      </c>
      <c r="F90" s="98" t="inlineStr">
        <is>
          <t xml:space="preserve">998998849202 SMS OZI, 998997710748 SMS ISHCHISI , 998932790919 SMS DOSTI, +998998849202 Primary phone from road24,</t>
        </is>
      </c>
      <c r="G90" s="98" t="inlineStr">
        <is>
          <t xml:space="preserve">БОБОДЕҲҚОН МФЙ, БОБОДЕҲҚОН КЎЧАСИ,  uy:45А</t>
        </is>
      </c>
      <c r="H90" s="99">
        <v>15.0</v>
      </c>
      <c r="I90" s="99">
        <v>4891662.93</v>
      </c>
      <c r="K90" s="98" t="inlineStr">
        <is>
          <t xml:space="preserve">Uyiga borildi - va'da berdi</t>
        </is>
      </c>
    </row>
    <row r="91">
      <c r="A91" s="98" t="inlineStr">
        <is>
          <t xml:space="preserve">ТОШКЕНТ ШАХРИ</t>
        </is>
      </c>
      <c r="C91" s="98" t="inlineStr">
        <is>
          <t xml:space="preserve">Объезд</t>
        </is>
      </c>
      <c r="D91" s="98" t="inlineStr">
        <is>
          <t xml:space="preserve">Кр-99036018-1</t>
        </is>
      </c>
      <c r="E91" s="98" t="inlineStr">
        <is>
          <t xml:space="preserve">ARIPOVA SANOBAR NARIMANOVNA</t>
        </is>
      </c>
      <c r="F91" s="98" t="inlineStr">
        <is>
          <t xml:space="preserve">998910141058 SMS OZI, 998900073026 SMS KELINI, 998935287242 SMS OGLI, 998358306912 SMS KELINI,</t>
        </is>
      </c>
      <c r="G91" s="98" t="inlineStr">
        <is>
          <t xml:space="preserve">TOSHKENT SHAHAR YUNUSOBOD TUMANI 10-MAVZE 7- UY 37- KVARTIRA</t>
        </is>
      </c>
      <c r="H91" s="99">
        <v>3.0</v>
      </c>
      <c r="I91" s="99">
        <v>3763996.33</v>
      </c>
      <c r="K91" s="98" t="inlineStr">
        <is>
          <t xml:space="preserve">Uyiga borildi - va'da berdi</t>
        </is>
      </c>
    </row>
    <row r="92">
      <c r="A92" s="98" t="inlineStr">
        <is>
          <t xml:space="preserve">ТОШКЕНТ ШАХРИ</t>
        </is>
      </c>
      <c r="C92" s="98" t="inlineStr">
        <is>
          <t xml:space="preserve">Объезд</t>
        </is>
      </c>
      <c r="D92" s="98" t="inlineStr">
        <is>
          <t xml:space="preserve">Кр-99035003-2</t>
        </is>
      </c>
      <c r="E92" s="98" t="inlineStr">
        <is>
          <t xml:space="preserve">ABDULAZIZOV AKBARJON ABDUSALOM O‘G‘LI</t>
        </is>
      </c>
      <c r="F92" s="98" t="inlineStr">
        <is>
          <t xml:space="preserve">998998865038 SMS O’ZI, 998811103432 SMS O’ZI 2, 998994092541 SMS DO’STI, 998998865038 SMS O’ZI 3, +998998865038 Primary phone from road24,</t>
        </is>
      </c>
      <c r="G92" s="98" t="inlineStr">
        <is>
          <t xml:space="preserve">УСТА ШИРИН МФЙ, КЎРГАЗМА КЎЧАСИ,  uy:57</t>
        </is>
      </c>
      <c r="H92" s="99">
        <v>10.0</v>
      </c>
      <c r="I92" s="99">
        <v>3520552.5</v>
      </c>
      <c r="K92" s="98" t="inlineStr">
        <is>
          <t xml:space="preserve">Uyiga borildi - va'da berdi</t>
        </is>
      </c>
    </row>
    <row r="93">
      <c r="A93" s="98" t="inlineStr">
        <is>
          <t xml:space="preserve">ТОШКЕНТ ШАХРИ</t>
        </is>
      </c>
      <c r="C93" s="98" t="inlineStr">
        <is>
          <t xml:space="preserve">Объезд</t>
        </is>
      </c>
      <c r="D93" s="98" t="inlineStr">
        <is>
          <t xml:space="preserve">Кр-99039378-1</t>
        </is>
      </c>
      <c r="E93" s="98" t="inlineStr">
        <is>
          <t xml:space="preserve">TOXIROVA SHAXZODAXON TOXIR QIZI</t>
        </is>
      </c>
      <c r="F93" s="98" t="inlineStr">
        <is>
          <t xml:space="preserve">+998946494367 SMS O’ZI, 998909833055 SMS AYOLI 2, 998933498843 SMS AYOLI,</t>
        </is>
      </c>
      <c r="G93" s="98" t="inlineStr">
        <is>
          <t xml:space="preserve">кв. Сергели 1, дом 10, кв. 20</t>
        </is>
      </c>
      <c r="H93" s="99">
        <v>10.0</v>
      </c>
      <c r="I93" s="99">
        <v>2210694.11</v>
      </c>
      <c r="K93" s="98" t="inlineStr">
        <is>
          <t xml:space="preserve">Uyiga borildi - va'da berdi</t>
        </is>
      </c>
    </row>
    <row r="94">
      <c r="A94" s="98" t="inlineStr">
        <is>
          <t xml:space="preserve">ТОШКЕНТ ШАХРИ</t>
        </is>
      </c>
      <c r="C94" s="98" t="inlineStr">
        <is>
          <t xml:space="preserve">Объезд</t>
        </is>
      </c>
      <c r="D94" s="98" t="inlineStr">
        <is>
          <t xml:space="preserve">Кр-99041059-1</t>
        </is>
      </c>
      <c r="E94" s="98" t="inlineStr">
        <is>
          <t xml:space="preserve">ABBOSOV NOZIMJON XOJIAKBAR O’G’LI</t>
        </is>
      </c>
      <c r="F94" s="98" t="inlineStr">
        <is>
          <t xml:space="preserve">+998774889944 SMS O’ZI, 998950227769 SMS ONASI, 998991445334 SMS ADASI,</t>
        </is>
      </c>
      <c r="G94" s="98" t="inlineStr">
        <is>
          <t xml:space="preserve">YANGIHAYOT TUMANI YANGI SERGELI 2-UY</t>
        </is>
      </c>
      <c r="H94" s="99">
        <v>13.0</v>
      </c>
      <c r="I94" s="99">
        <v>1936901.75</v>
      </c>
      <c r="K94" s="98" t="inlineStr">
        <is>
          <t xml:space="preserve">Uyiga borildi - va'da berdi</t>
        </is>
      </c>
    </row>
    <row r="95">
      <c r="A95" s="100" t="inlineStr">
        <is>
          <t xml:space="preserve">ФАРГОНА ВИЛОЯТИ</t>
        </is>
      </c>
      <c r="C95" s="100" t="inlineStr">
        <is>
          <t xml:space="preserve">Объезд</t>
        </is>
      </c>
      <c r="D95" s="100" t="inlineStr">
        <is>
          <t xml:space="preserve">Кр-99036825-1</t>
        </is>
      </c>
      <c r="E95" s="100" t="inlineStr">
        <is>
          <t xml:space="preserve">RAXMANKULOVA RANO EMINOVNA</t>
        </is>
      </c>
      <c r="F95" s="100" t="inlineStr">
        <is>
          <t xml:space="preserve">998916619568 SMS OZI, 998916667777 SMS OGLI BEGONA, 998992041119 SMS OGLI 2, 998902741221 SMS UYI BEGONA, 998972711111 SMS ,</t>
        </is>
      </c>
      <c r="G95" s="100" t="inlineStr">
        <is>
          <t xml:space="preserve">FARG’ONA VILOYATI FARG’ONA SHAHAR OQARIQ MFY OQARIQ KO’CHASI 350-A UY </t>
        </is>
      </c>
      <c r="H95" s="101">
        <v>122.0</v>
      </c>
      <c r="I95" s="101">
        <v>53771510.2</v>
      </c>
      <c r="K95" s="100" t="inlineStr">
        <is>
          <t xml:space="preserve">Uyiga borildi - va'da berdi | 20648677.87</t>
        </is>
      </c>
    </row>
    <row r="96">
      <c r="A96" s="100" t="inlineStr">
        <is>
          <t xml:space="preserve">ФАРГОНА ВИЛОЯТИ</t>
        </is>
      </c>
      <c r="C96" s="100" t="inlineStr">
        <is>
          <t xml:space="preserve">Объезд</t>
        </is>
      </c>
      <c r="D96" s="100" t="inlineStr">
        <is>
          <t xml:space="preserve">Кр-99044960-2</t>
        </is>
      </c>
      <c r="E96" s="100" t="inlineStr">
        <is>
          <t xml:space="preserve">ABDULLAYEV BEGALI MIRZAJONOVICH</t>
        </is>
      </c>
      <c r="F96" s="100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96" s="100" t="inlineStr">
        <is>
          <t xml:space="preserve">FARG’ONA VILOYATI BESHARIQ TUMANI SHOBERDI MFY GULYOR KO’CHASI 40-UY</t>
        </is>
      </c>
      <c r="H96" s="101">
        <v>135.0</v>
      </c>
      <c r="I96" s="101">
        <v>46884561.84</v>
      </c>
      <c r="K96" s="100" t="inlineStr">
        <is>
          <t xml:space="preserve">Uyiga borildi - va'da berdi | 11979165</t>
        </is>
      </c>
    </row>
    <row r="97">
      <c r="A97" s="100" t="inlineStr">
        <is>
          <t xml:space="preserve">ФАРГОНА ВИЛОЯТИ</t>
        </is>
      </c>
      <c r="C97" s="100" t="inlineStr">
        <is>
          <t xml:space="preserve">Объезд</t>
        </is>
      </c>
      <c r="D97" s="100" t="inlineStr">
        <is>
          <t xml:space="preserve">Кр-99060331-1</t>
        </is>
      </c>
      <c r="E97" s="100" t="inlineStr">
        <is>
          <t xml:space="preserve">UMAROVA EXTIBOR SOTVOLDIYEVNA</t>
        </is>
      </c>
      <c r="F97" s="100" t="inlineStr">
        <is>
          <t xml:space="preserve">998905331878 узи, 998932974444 невара, 998982775557 уй, 998943313223 эри,</t>
        </is>
      </c>
      <c r="G97" s="100" t="inlineStr">
        <is>
          <t xml:space="preserve">FARG’ONA VILOYATI, FARG’ONA SHAHRI, FARG’ONA MFY, FITRAT KO’CHASI, 27-UY</t>
        </is>
      </c>
      <c r="H97" s="101">
        <v>43.0</v>
      </c>
      <c r="I97" s="101">
        <v>32543292.44</v>
      </c>
      <c r="K97" s="100" t="inlineStr">
        <is>
          <t xml:space="preserve">Uyiga borildi - va'da berdi | TOLOVCHINI AYOLI BILAN GAPLASHILDI AYTAMAN TOLASHADI DEDI | 9776256.28</t>
        </is>
      </c>
    </row>
    <row r="98">
      <c r="A98" s="100" t="inlineStr">
        <is>
          <t xml:space="preserve">ФАРГОНА ВИЛОЯТИ</t>
        </is>
      </c>
      <c r="C98" s="100" t="inlineStr">
        <is>
          <t xml:space="preserve">Объезд</t>
        </is>
      </c>
      <c r="D98" s="100" t="inlineStr">
        <is>
          <t xml:space="preserve">Кр-99055209-1</t>
        </is>
      </c>
      <c r="E98" s="100" t="inlineStr">
        <is>
          <t xml:space="preserve">ISMOILOV KOMOLJON ISROILOVICH</t>
        </is>
      </c>
      <c r="F98" s="100" t="inlineStr">
        <is>
          <t xml:space="preserve">998911083458 OZI, 998916523715 AYOLI, 998911165525 SINGLISI, 998905343715 UKASI,</t>
        </is>
      </c>
      <c r="G98" s="100" t="inlineStr">
        <is>
          <t xml:space="preserve">FARG’ONA VILOYATI FARG’ONA SHAHAR OQARIQ MFY OQARIQ KO’CHASI 235-UY</t>
        </is>
      </c>
      <c r="H98" s="101">
        <v>43.0</v>
      </c>
      <c r="I98" s="101">
        <v>17720317.58</v>
      </c>
      <c r="K98" s="100" t="inlineStr">
        <is>
          <t xml:space="preserve">Uyiga borildi - va'da berdi | 5416666</t>
        </is>
      </c>
    </row>
    <row r="99">
      <c r="A99" s="100" t="inlineStr">
        <is>
          <t xml:space="preserve">ФАРГОНА ВИЛОЯТИ</t>
        </is>
      </c>
      <c r="C99" s="100" t="inlineStr">
        <is>
          <t xml:space="preserve">Объезд</t>
        </is>
      </c>
      <c r="D99" s="100" t="inlineStr">
        <is>
          <t xml:space="preserve">Кр-99060453-1</t>
        </is>
      </c>
      <c r="E99" s="100" t="inlineStr">
        <is>
          <t xml:space="preserve">YUSUPOVA OMINAXON XXX</t>
        </is>
      </c>
      <c r="F99" s="100" t="inlineStr">
        <is>
          <t xml:space="preserve">998975555600 SMS OZI, 998335757777 SMS OGLI, 998981700078 SMS NEVARASI, 998505102702 SMS OGLI,</t>
        </is>
      </c>
      <c r="G99" s="100" t="inlineStr">
        <is>
          <t xml:space="preserve">FARG’ONA VILOYATI FARG’ONA TUMANI BIRDAMLIK MFY MURUVVAT KO’CHASI 46-XONADON</t>
        </is>
      </c>
      <c r="H99" s="101">
        <v>43.0</v>
      </c>
      <c r="I99" s="101">
        <v>15787878.78</v>
      </c>
      <c r="K99" s="100" t="inlineStr">
        <is>
          <t xml:space="preserve">Uyiga borildi - va'da berdi | 6060606</t>
        </is>
      </c>
    </row>
    <row r="100">
      <c r="A100" s="100" t="inlineStr">
        <is>
          <t xml:space="preserve">ФАРГОНА ВИЛОЯТИ</t>
        </is>
      </c>
      <c r="C100" s="100" t="inlineStr">
        <is>
          <t xml:space="preserve">Объезд</t>
        </is>
      </c>
      <c r="D100" s="100" t="inlineStr">
        <is>
          <t xml:space="preserve">Кр-99059331-3</t>
        </is>
      </c>
      <c r="E100" s="100" t="inlineStr">
        <is>
          <t xml:space="preserve">YUSUPOV AXATJON MARUFOVICH</t>
        </is>
      </c>
      <c r="F100" s="100" t="inlineStr">
        <is>
          <t xml:space="preserve">+998944490113 SMS, 998941575202 SMS QARINDASH, 998948220113 SMS AYOLI, 998930617923 ORTOGI ,</t>
        </is>
      </c>
      <c r="G100" s="100" t="inlineStr">
        <is>
          <t xml:space="preserve">FARG’ONA VILOYATI FURQAT TUMANI XALQABOD MFY  XALQABOD QISHLOGI 26-UY</t>
        </is>
      </c>
      <c r="H100" s="101">
        <v>43.0</v>
      </c>
      <c r="I100" s="101">
        <v>12771913.48</v>
      </c>
      <c r="K100" s="100" t="inlineStr">
        <is>
          <t xml:space="preserve">Uyiga borildi - va'da berdi | BIROVGA OLIB BERGAN AYTAMAN TOLAYDI DEYABDI ISHI KASHA | 7411175.03</t>
        </is>
      </c>
    </row>
    <row r="101">
      <c r="A101" s="100" t="inlineStr">
        <is>
          <t xml:space="preserve">ФАРГОНА ВИЛОЯТИ</t>
        </is>
      </c>
      <c r="C101" s="100" t="inlineStr">
        <is>
          <t xml:space="preserve">Объезд</t>
        </is>
      </c>
      <c r="D101" s="100" t="inlineStr">
        <is>
          <t xml:space="preserve">Кр-99041275-1</t>
        </is>
      </c>
      <c r="E101" s="100" t="inlineStr">
        <is>
          <t xml:space="preserve">JUMAMATOVA ZULXUMOR ISAKOVNA</t>
        </is>
      </c>
      <c r="F101" s="100" t="inlineStr">
        <is>
          <t xml:space="preserve">+998907788327 O’ZI, 998947215300 UY, 998982787707 ERI, 998987781111 O’G’LI TOLOVCHI,</t>
        </is>
      </c>
      <c r="G101" s="100" t="inlineStr">
        <is>
          <t xml:space="preserve">13-СИМТЕПА (Х.ИБРАГИМОВА) МФЙ, ОБИХАЁТ (ШОКИРОВА) КЎЧАСИ,  uy:32А</t>
        </is>
      </c>
      <c r="H101" s="101">
        <v>73.0</v>
      </c>
      <c r="I101" s="101">
        <v>10626970.22</v>
      </c>
      <c r="J101" s="101">
        <v>2964372.0</v>
      </c>
      <c r="K101" s="100" t="inlineStr">
        <is>
          <t xml:space="preserve">Uyiga borildi - to'ladi | 2964372.32</t>
        </is>
      </c>
    </row>
    <row r="102">
      <c r="A102" s="100" t="inlineStr">
        <is>
          <t xml:space="preserve">ФАРГОНА ВИЛОЯТИ</t>
        </is>
      </c>
      <c r="C102" s="100" t="inlineStr">
        <is>
          <t xml:space="preserve">Объезд</t>
        </is>
      </c>
      <c r="D102" s="100" t="inlineStr">
        <is>
          <t xml:space="preserve">Кр-99061811-1</t>
        </is>
      </c>
      <c r="E102" s="100" t="inlineStr">
        <is>
          <t xml:space="preserve">RASULOVA ODINA ABDURAXMONOVNA</t>
        </is>
      </c>
      <c r="F102" s="100" t="inlineStr">
        <is>
          <t xml:space="preserve">998905355332 OZI , 998772567505 QIZI , 998882066464 OGLI , 998958680024 UY ,</t>
        </is>
      </c>
      <c r="G102" s="100" t="inlineStr">
        <is>
          <t xml:space="preserve">FARG’ONA VILOYATI FARG’ONA SHAHAR TEMIRYOL 60-UY</t>
        </is>
      </c>
      <c r="H102" s="101">
        <v>13.0</v>
      </c>
      <c r="I102" s="101">
        <v>7550412.81</v>
      </c>
      <c r="K102" s="100" t="inlineStr">
        <is>
          <t xml:space="preserve">Uyiga borildi - va'da berdi | BUGUN 2500QILADI EKAN QOLGANINIYAM BIR IKKUNDA QILIB BERADI EKAN | 2708333</t>
        </is>
      </c>
    </row>
    <row r="103">
      <c r="A103" s="100" t="inlineStr">
        <is>
          <t xml:space="preserve">ФАРГОНА ВИЛОЯТИ</t>
        </is>
      </c>
      <c r="C103" s="100" t="inlineStr">
        <is>
          <t xml:space="preserve">Объезд</t>
        </is>
      </c>
      <c r="D103" s="100" t="inlineStr">
        <is>
          <t xml:space="preserve">Кр-99041055-5</t>
        </is>
      </c>
      <c r="E103" s="100" t="inlineStr">
        <is>
          <t xml:space="preserve">MUMINOV MAMIRJON ABDUMALIKOVICH</t>
        </is>
      </c>
      <c r="F103" s="100" t="inlineStr">
        <is>
          <t xml:space="preserve">+998958366468 O’ZI, 998942063001 O¹G’LI,</t>
        </is>
      </c>
      <c r="G103" s="100" t="inlineStr">
        <is>
          <t xml:space="preserve">FARG’ONA VILOYATI QO’SHTEPA TUMANI KARNAYCHI MFY ARCHAZOR KO’CHASI 234-UY</t>
        </is>
      </c>
      <c r="H103" s="101">
        <v>10.0</v>
      </c>
      <c r="I103" s="101">
        <v>7408734.69</v>
      </c>
      <c r="K103" s="100" t="inlineStr">
        <is>
          <t xml:space="preserve">Uyiga borildi - va'da berdi | 2187499.65</t>
        </is>
      </c>
    </row>
    <row r="104">
      <c r="A104" s="100" t="inlineStr">
        <is>
          <t xml:space="preserve">ФАРГОНА ВИЛОЯТИ</t>
        </is>
      </c>
      <c r="C104" s="100" t="inlineStr">
        <is>
          <t xml:space="preserve">Объезд</t>
        </is>
      </c>
      <c r="D104" s="100" t="inlineStr">
        <is>
          <t xml:space="preserve">Кр-99062779-1</t>
        </is>
      </c>
      <c r="E104" s="100" t="inlineStr">
        <is>
          <t xml:space="preserve">JURAYEVA SADOKAT ADILOVNA</t>
        </is>
      </c>
      <c r="F104" s="100" t="inlineStr">
        <is>
          <t xml:space="preserve">+998903683078 SMS O’ZI, 998903035444 QIZI 2, 998908474999 UY, 998974176939 QIZI, 998905801885 TOLOVCHI,</t>
        </is>
      </c>
      <c r="G104" s="100" t="inlineStr">
        <is>
          <t xml:space="preserve">FARG’ONA VILOYATI FARG’ONA SHAHAR YULDUZ MFY YANGI ASR KO’CHASI 100-A UY 22-XONADON</t>
        </is>
      </c>
      <c r="H104" s="101">
        <v>13.0</v>
      </c>
      <c r="I104" s="101">
        <v>6089269.75</v>
      </c>
      <c r="K104" s="100" t="inlineStr">
        <is>
          <t xml:space="preserve">Uyiga borildi - va'da berdi | 2 LARGA QAYTA ALOQA TOLOV QILADI | 1874999.75</t>
        </is>
      </c>
    </row>
    <row r="105">
      <c r="A105" s="100" t="inlineStr">
        <is>
          <t xml:space="preserve">ФАРГОНА ВИЛОЯТИ</t>
        </is>
      </c>
      <c r="C105" s="100" t="inlineStr">
        <is>
          <t xml:space="preserve">Объезд</t>
        </is>
      </c>
      <c r="D105" s="100" t="inlineStr">
        <is>
          <t xml:space="preserve">Кр-99048975-1</t>
        </is>
      </c>
      <c r="E105" s="100" t="inlineStr">
        <is>
          <t xml:space="preserve">ERGASHEV ASRORBEK PAXLAVON O’G’LI</t>
        </is>
      </c>
      <c r="F105" s="100" t="inlineStr">
        <is>
          <t xml:space="preserve">+998941302940 SMS O’ZI, 998888201114 AKASI, 998906860405 AYOLI, 998916548020 UKASI, 998952298454 OZI NEW,</t>
        </is>
      </c>
      <c r="G105" s="100" t="inlineStr">
        <is>
          <t xml:space="preserve">FARG’ONA VILOYATI QO’SHTEPA TUMANI QAMISHTEPA MFY CHORBOG’ KO’CHASI 1.2-UY 16-XONADON</t>
        </is>
      </c>
      <c r="H105" s="101">
        <v>10.0</v>
      </c>
      <c r="I105" s="101">
        <v>5307308.89</v>
      </c>
      <c r="K105" s="100" t="inlineStr">
        <is>
          <t xml:space="preserve">Uyiga borildi - va'da berdi | 1666665.82</t>
        </is>
      </c>
    </row>
    <row r="106">
      <c r="A106" s="100" t="inlineStr">
        <is>
          <t xml:space="preserve">ФАРГОНА ВИЛОЯТИ</t>
        </is>
      </c>
      <c r="C106" s="100" t="inlineStr">
        <is>
          <t xml:space="preserve">Объезд</t>
        </is>
      </c>
      <c r="D106" s="100" t="inlineStr">
        <is>
          <t xml:space="preserve">Кр-99042987-1</t>
        </is>
      </c>
      <c r="E106" s="100" t="inlineStr">
        <is>
          <t xml:space="preserve">ERGASHEVA MARXABOXON MADAMINOVNA</t>
        </is>
      </c>
      <c r="F106" s="100" t="inlineStr">
        <is>
          <t xml:space="preserve">+998911085015 SMS O’ZI, 998911582303 OPASI ,BEGONAAAA, 998916694832 ERI, 998985750796 JIYANI,</t>
        </is>
      </c>
      <c r="G106" s="100" t="inlineStr">
        <is>
          <t xml:space="preserve">FARG’ONA VILOYATI QO’SHTEPA TUMANI BALANDMASJID MFY NAVQURON KO’CHASI 25-XONADON</t>
        </is>
      </c>
      <c r="H106" s="101">
        <v>10.0</v>
      </c>
      <c r="I106" s="101">
        <v>5266634.98</v>
      </c>
      <c r="K106" s="100" t="inlineStr">
        <is>
          <t xml:space="preserve">Uyiga borildi - va'da berdi | 1666665.68</t>
        </is>
      </c>
    </row>
    <row r="107">
      <c r="A107" s="100" t="inlineStr">
        <is>
          <t xml:space="preserve">ФАРГОНА ВИЛОЯТИ</t>
        </is>
      </c>
      <c r="C107" s="100" t="inlineStr">
        <is>
          <t xml:space="preserve">Объезд</t>
        </is>
      </c>
      <c r="D107" s="100" t="inlineStr">
        <is>
          <t xml:space="preserve">Кр-99037178-1</t>
        </is>
      </c>
      <c r="E107" s="100" t="inlineStr">
        <is>
          <t xml:space="preserve">NURULLAYEV XOKIMJON OBIDDINOVICH</t>
        </is>
      </c>
      <c r="F107" s="100" t="inlineStr">
        <is>
          <t xml:space="preserve">998972141971 SMS OZI, 998888141973 SMS AYOLI, 998903020279 SMS OGLI ABDULXAFIZ O'G'LI, 998905371938 SMS KELINI,</t>
        </is>
      </c>
      <c r="G107" s="100" t="inlineStr">
        <is>
          <t xml:space="preserve">FARG’ONA VILOYATI FARG’ONA SHAHAR NAFOSAT MFY XAZINA QASHAKAR KO’CHASI 224-UY</t>
        </is>
      </c>
      <c r="H107" s="101">
        <v>13.0</v>
      </c>
      <c r="I107" s="101">
        <v>5182807.53</v>
      </c>
      <c r="J107" s="101">
        <v>2258677.0</v>
      </c>
      <c r="K107" s="100" t="inlineStr">
        <is>
          <t xml:space="preserve">Uyiga borildi - to'ladi | 2258677.98</t>
        </is>
      </c>
    </row>
    <row r="108">
      <c r="A108" s="100" t="inlineStr">
        <is>
          <t xml:space="preserve">ФАРГОНА ВИЛОЯТИ</t>
        </is>
      </c>
      <c r="C108" s="100" t="inlineStr">
        <is>
          <t xml:space="preserve">Объезд</t>
        </is>
      </c>
      <c r="D108" s="100" t="inlineStr">
        <is>
          <t xml:space="preserve">Кр-99047608-1</t>
        </is>
      </c>
      <c r="E108" s="100" t="inlineStr">
        <is>
          <t xml:space="preserve">ADXAMOV ABDUXALIL AKRAMJONOVICH</t>
        </is>
      </c>
      <c r="F108" s="100" t="inlineStr">
        <is>
          <t xml:space="preserve">998886630222 SMS JIYANI TOLOVCHI, 998939840364 SMS OZI , 998889840364 SMS AYOLI, 998881519222 SMS OGLI, 998889440364 OZI NEW, 998912821221 TOLOVCHINI DUGONASINI DADASI DUGONASI BILAN BIRGA TOLAYDI ,</t>
        </is>
      </c>
      <c r="G108" s="100" t="inlineStr">
        <is>
          <t xml:space="preserve">QUVASOY SHAHRI</t>
        </is>
      </c>
      <c r="H108" s="101">
        <v>10.0</v>
      </c>
      <c r="I108" s="101">
        <v>5123920.87</v>
      </c>
      <c r="J108" s="101">
        <v>1667000.0</v>
      </c>
      <c r="K108" s="100" t="inlineStr">
        <is>
          <t xml:space="preserve">Uyiga borildi - to'ladi | 1667000</t>
        </is>
      </c>
    </row>
    <row r="109">
      <c r="A109" s="100" t="inlineStr">
        <is>
          <t xml:space="preserve">ФАРГОНА ВИЛОЯТИ</t>
        </is>
      </c>
      <c r="C109" s="100" t="inlineStr">
        <is>
          <t xml:space="preserve">Объезд</t>
        </is>
      </c>
      <c r="D109" s="100" t="inlineStr">
        <is>
          <t xml:space="preserve">Кр-99042673-1</t>
        </is>
      </c>
      <c r="E109" s="100" t="inlineStr">
        <is>
          <t xml:space="preserve">UMURZAKOVA MUNIRA BAXTIYAROVNA</t>
        </is>
      </c>
      <c r="F109" s="100" t="inlineStr">
        <is>
          <t xml:space="preserve">+998951500250 SMS O’ZI, 998916501497 O’G’LI 2, 998936499485 O’G’LI, 998972050027 UY,</t>
        </is>
      </c>
      <c r="G109" s="100" t="inlineStr">
        <is>
          <t xml:space="preserve">FARG’ONA VILOYATI QO’SHTEPA TUMANI QAMISHTEPA MFY SERQO’YOSH KO’CHASI 90-XONADON</t>
        </is>
      </c>
      <c r="H109" s="101">
        <v>10.0</v>
      </c>
      <c r="I109" s="101">
        <v>5102093.36</v>
      </c>
      <c r="K109" s="100" t="inlineStr">
        <is>
          <t xml:space="preserve">Uyiga borildi - va'da berdi | 1812270.59</t>
        </is>
      </c>
    </row>
    <row r="110">
      <c r="A110" s="100" t="inlineStr">
        <is>
          <t xml:space="preserve">ФАРГОНА ВИЛОЯТИ</t>
        </is>
      </c>
      <c r="C110" s="100" t="inlineStr">
        <is>
          <t xml:space="preserve">Объезд</t>
        </is>
      </c>
      <c r="D110" s="100" t="inlineStr">
        <is>
          <t xml:space="preserve">Кр-99033571-1</t>
        </is>
      </c>
      <c r="E110" s="100" t="inlineStr">
        <is>
          <t xml:space="preserve">UMURZAKOV KARIM XUSANOVICH</t>
        </is>
      </c>
      <c r="F110" s="100" t="inlineStr">
        <is>
          <t xml:space="preserve">998907795658 SMS O’ZI begona, 998505043931 SMS O’G’LI, 998068043412 SMS O’G’LI 2, 998902301456 SMS AYOLI,</t>
        </is>
      </c>
      <c r="G110" s="100" t="inlineStr">
        <is>
          <t xml:space="preserve">FARG’ONA VILOYATI FARG’ONA SHAXAR XUJAMAG’IZ MFY UZIN YO’L KO’CHASI 247-XONADON</t>
        </is>
      </c>
      <c r="H110" s="101">
        <v>3.0</v>
      </c>
      <c r="I110" s="101">
        <v>3785041.79</v>
      </c>
      <c r="J110" s="101">
        <v>2424000.0</v>
      </c>
      <c r="K110" s="100" t="inlineStr">
        <is>
          <t xml:space="preserve">Uyiga borildi - to'ladi | 2424000</t>
        </is>
      </c>
    </row>
    <row r="111">
      <c r="A111" s="100" t="inlineStr">
        <is>
          <t xml:space="preserve">ФАРГОНА ВИЛОЯТИ</t>
        </is>
      </c>
      <c r="C111" s="100" t="inlineStr">
        <is>
          <t xml:space="preserve">Объезд</t>
        </is>
      </c>
      <c r="D111" s="100" t="inlineStr">
        <is>
          <t xml:space="preserve">Кр-99041353-1</t>
        </is>
      </c>
      <c r="E111" s="100" t="inlineStr">
        <is>
          <t xml:space="preserve">MELIQO’ZIYEVNA XURSHIDA MURODOVNA</t>
        </is>
      </c>
      <c r="F111" s="100" t="inlineStr">
        <is>
          <t xml:space="preserve">998940268681 SMS OZI, 998905880464 SMS ERI, 998903606764 SMS UY, 998994027364 SMS OGLI,</t>
        </is>
      </c>
      <c r="G111" s="100" t="inlineStr">
        <is>
          <t xml:space="preserve">FARG’ONA VILOYATI DANG’ARA TUMANI QORA MULLA MFY QO’SHCHINOR KO’CHASI 22-XONADON</t>
        </is>
      </c>
      <c r="H111" s="101">
        <v>10.0</v>
      </c>
      <c r="I111" s="101">
        <v>2865429.23</v>
      </c>
      <c r="J111" s="101">
        <v>549162.0</v>
      </c>
      <c r="K111" s="100" t="inlineStr">
        <is>
          <t xml:space="preserve">Uyiga borildi - to'ladi | TOLAGANI FILALGA KETAYABDI | 549162.59</t>
        </is>
      </c>
    </row>
    <row r="112">
      <c r="A112" s="100" t="inlineStr">
        <is>
          <t xml:space="preserve">ФАРГОНА ВИЛОЯТИ</t>
        </is>
      </c>
      <c r="C112" s="100" t="inlineStr">
        <is>
          <t xml:space="preserve">Объезд</t>
        </is>
      </c>
      <c r="D112" s="100" t="inlineStr">
        <is>
          <t xml:space="preserve">Кр-99035863-1</t>
        </is>
      </c>
      <c r="E112" s="100" t="inlineStr">
        <is>
          <t xml:space="preserve">ERGASHEV ILXOMJON XAKIMOVICH</t>
        </is>
      </c>
      <c r="F112" s="100" t="inlineStr">
        <is>
          <t xml:space="preserve">998916767655 SMS OZI, 998907831068 SMS AYOLI, 998916584356 SMS OGLI, 998907814645 SMS SHERIGI begona, 998949767655 OZI NEW ,</t>
        </is>
      </c>
      <c r="G112" s="100" t="inlineStr">
        <is>
          <t xml:space="preserve">FARG’ONA VILOYATI MARG’ILON SHAHAR YANGI XAYOT MFY S-OLLOYOR KO’CHASI 288-UY</t>
        </is>
      </c>
      <c r="H112" s="101">
        <v>10.0</v>
      </c>
      <c r="I112" s="101">
        <v>2859290.1</v>
      </c>
      <c r="J112" s="101">
        <v>1515000.0</v>
      </c>
      <c r="K112" s="100" t="inlineStr">
        <is>
          <t xml:space="preserve">Uyiga borildi - to'ladi | 1515000</t>
        </is>
      </c>
    </row>
    <row r="113">
      <c r="A113" s="100" t="inlineStr">
        <is>
          <t xml:space="preserve">ФАРГОНА ВИЛОЯТИ</t>
        </is>
      </c>
      <c r="C113" s="100" t="inlineStr">
        <is>
          <t xml:space="preserve">Объезд</t>
        </is>
      </c>
      <c r="D113" s="100" t="inlineStr">
        <is>
          <t xml:space="preserve">Кр-99037171-1</t>
        </is>
      </c>
      <c r="E113" s="100" t="inlineStr">
        <is>
          <t xml:space="preserve">SHARABIDINOVA NUSRATXON ISMOILOVNA</t>
        </is>
      </c>
      <c r="F113" s="100" t="inlineStr">
        <is>
          <t xml:space="preserve">998911303102 SMS OZI, 998999810228 SMS O’G’LI, 998335755717 SMS  QIZI, 998335555717 SMS NEVARASI, 998889270228 OGLI TOLOVCHI ,</t>
        </is>
      </c>
      <c r="G113" s="100" t="inlineStr">
        <is>
          <t xml:space="preserve">FARG’ONA VILOYATI FARG’ONA SHAHAR KIMYOGARLAR MFY SO’LIM KO’CHASI 11/2-UY 18-XONADON</t>
        </is>
      </c>
      <c r="H113" s="101">
        <v>10.0</v>
      </c>
      <c r="I113" s="101">
        <v>2819786.83</v>
      </c>
      <c r="K113" s="100" t="inlineStr">
        <is>
          <t xml:space="preserve">Uyiga borildi - va'da berdi | 1244813.95</t>
        </is>
      </c>
    </row>
    <row r="114">
      <c r="A114" s="100" t="inlineStr">
        <is>
          <t xml:space="preserve">ФАРГОНА ВИЛОЯТИ</t>
        </is>
      </c>
      <c r="C114" s="100" t="inlineStr">
        <is>
          <t xml:space="preserve">Объезд</t>
        </is>
      </c>
      <c r="D114" s="100" t="inlineStr">
        <is>
          <t xml:space="preserve">Кр-99034448-2</t>
        </is>
      </c>
      <c r="E114" s="100" t="inlineStr">
        <is>
          <t xml:space="preserve">ASHIROVA MIRA ABBASOVNA</t>
        </is>
      </c>
      <c r="F114" s="100" t="inlineStr">
        <is>
          <t xml:space="preserve">998916509967 SMS O’ZI, 998901621373 SMS O’G’LI, 998907844322 SMS O’G’LI, 998939773993 SMS JIYANI BEGONA,</t>
        </is>
      </c>
      <c r="G114" s="100" t="inlineStr">
        <is>
          <t xml:space="preserve">FARG’ONA VILOYATI FARG’ONA SHAHAR M.ULUG’BEK MFY AXMAD YASSAVIY 50-UY 11-XONADON</t>
        </is>
      </c>
      <c r="H114" s="101">
        <v>10.0</v>
      </c>
      <c r="I114" s="101">
        <v>2514425.17</v>
      </c>
      <c r="J114" s="101">
        <v>909071.0</v>
      </c>
      <c r="K114" s="100" t="inlineStr">
        <is>
          <t xml:space="preserve">Uyiga borildi - to'ladi | 909071.89</t>
        </is>
      </c>
    </row>
    <row r="115">
      <c r="A115" s="100" t="inlineStr">
        <is>
          <t xml:space="preserve">ФАРГОНА ВИЛОЯТИ</t>
        </is>
      </c>
      <c r="C115" s="100" t="inlineStr">
        <is>
          <t xml:space="preserve">Объезд</t>
        </is>
      </c>
      <c r="D115" s="100" t="inlineStr">
        <is>
          <t xml:space="preserve">Кр-99052960-1</t>
        </is>
      </c>
      <c r="E115" s="100" t="inlineStr">
        <is>
          <t xml:space="preserve">UMMATQULOV MUXAMADJON YO’LDASHEVICH</t>
        </is>
      </c>
      <c r="F115" s="100" t="inlineStr">
        <is>
          <t xml:space="preserve">998903047144 OZI , 998905866786 OZI 2, 998947797144 AYOLI,</t>
        </is>
      </c>
      <c r="G115" s="100" t="inlineStr">
        <is>
          <t xml:space="preserve">BOG’DOD TUMANI</t>
        </is>
      </c>
      <c r="H115" s="101">
        <v>10.0</v>
      </c>
      <c r="I115" s="101">
        <v>2262651.9</v>
      </c>
      <c r="J115" s="101">
        <v>775466.0</v>
      </c>
      <c r="K115" s="100" t="inlineStr">
        <is>
          <t xml:space="preserve">Uyiga borildi - to'ladi | 775466.14</t>
        </is>
      </c>
    </row>
    <row r="116">
      <c r="A116" s="100" t="inlineStr">
        <is>
          <t xml:space="preserve">ФАРГОНА ВИЛОЯТИ</t>
        </is>
      </c>
      <c r="C116" s="100" t="inlineStr">
        <is>
          <t xml:space="preserve">Объезд</t>
        </is>
      </c>
      <c r="D116" s="100" t="inlineStr">
        <is>
          <t xml:space="preserve">Кр-99030672-1</t>
        </is>
      </c>
      <c r="E116" s="100" t="inlineStr">
        <is>
          <t xml:space="preserve">ABDULLAYEV G’AYRATJON G’OLIB O’G’LI</t>
        </is>
      </c>
      <c r="F116" s="100" t="inlineStr">
        <is>
          <t xml:space="preserve">94-130-65-14  SMS O'ZI, 91-114-54-03  SMS XOLASI TULOVCHI, 93-736-18-38  SMS DADASI, 77-254-78-78  SMS TOG’ASI,</t>
        </is>
      </c>
      <c r="G116" s="100" t="inlineStr">
        <is>
          <t xml:space="preserve">FARG’ONA VILOYATI FARG’ONA SHAHAR MADATKOR MFY, YANGI SOY KO’CHASI 53A XONADON</t>
        </is>
      </c>
      <c r="H116" s="101">
        <v>3.0</v>
      </c>
      <c r="I116" s="101">
        <v>1231181.2</v>
      </c>
      <c r="J116" s="101">
        <v>758000.0</v>
      </c>
      <c r="K116" s="100" t="inlineStr">
        <is>
          <t xml:space="preserve">Uyiga borildi - to'ladi | 758000</t>
        </is>
      </c>
    </row>
    <row r="117">
      <c r="A117" s="100" t="inlineStr">
        <is>
          <t xml:space="preserve">ФАРГОНА ВИЛОЯТИ</t>
        </is>
      </c>
      <c r="C117" s="100" t="inlineStr">
        <is>
          <t xml:space="preserve">Объезд</t>
        </is>
      </c>
      <c r="D117" s="100" t="inlineStr">
        <is>
          <t xml:space="preserve">Кр-99062957-2</t>
        </is>
      </c>
      <c r="E117" s="100" t="inlineStr">
        <is>
          <t xml:space="preserve">ASHUROVA LOLAXON SOBIROVNA</t>
        </is>
      </c>
      <c r="F117" s="100" t="inlineStr">
        <is>
          <t xml:space="preserve">+998996427161 SMS O’ZI, 998908350007 QIZI, 998939881893 KELINI, 998947869896 O’ZI 2,</t>
        </is>
      </c>
      <c r="G117" s="100" t="inlineStr">
        <is>
          <t xml:space="preserve">FARG’ONA VILOYATI FARG’ONA SHAHAR ABDULLA QODIRIY MFY ABDULLA QODIRIY KO’CHASI 78-UY 1-XONADON</t>
        </is>
      </c>
      <c r="H117" s="101">
        <v>13.0</v>
      </c>
      <c r="I117" s="101">
        <v>557679.12</v>
      </c>
      <c r="J117" s="101">
        <v>163184.0</v>
      </c>
      <c r="K117" s="100" t="inlineStr">
        <is>
          <t xml:space="preserve">Uyiga borildi - to'ladi | BUGUN QIZI TOLAB QOYADI EKAN | 163184.16</t>
        </is>
      </c>
    </row>
    <row r="118">
      <c r="A118" s="102" t="inlineStr">
        <is>
          <t xml:space="preserve">ХОРАЗМ ВИЛОЯТИ</t>
        </is>
      </c>
      <c r="B118" s="102" t="inlineStr">
        <is>
          <t xml:space="preserve">SUPER BRANCH</t>
        </is>
      </c>
      <c r="C118" s="102" t="inlineStr">
        <is>
          <t xml:space="preserve">Объезд</t>
        </is>
      </c>
      <c r="D118" s="102" t="inlineStr">
        <is>
          <t xml:space="preserve">Кр-99040149-1</t>
        </is>
      </c>
      <c r="E118" s="102" t="inlineStr">
        <is>
          <t xml:space="preserve">XUDOYBERGANOV DONIYOR QUVONDIQ O’G’LI</t>
        </is>
      </c>
      <c r="F118" s="102" t="inlineStr">
        <is>
          <t xml:space="preserve">998507170080 SMS OZI, 998994358118 SMS AYOLI, 998991121100 SMS DOSTI,</t>
        </is>
      </c>
      <c r="G118" s="102" t="inlineStr">
        <is>
          <t xml:space="preserve">XORAZM VILOYATI XAZORASP TUMANI ISHCHILAR MFY A.NAVOYI KUCHASI 8-UY</t>
        </is>
      </c>
      <c r="H118" s="103">
        <v>10.0</v>
      </c>
      <c r="I118" s="103">
        <v>5734060.54</v>
      </c>
      <c r="K118" s="102" t="inlineStr">
        <is>
          <t xml:space="preserve">Uyiga borildi - va'da berdi | o'zi Turkiyada ayoli yoki oetogi bilan gaplashaman pul tashashini kutishvotti | 866</t>
        </is>
      </c>
    </row>
    <row r="119">
      <c r="A119" s="102" t="inlineStr">
        <is>
          <t xml:space="preserve">ХОРАЗМ ВИЛОЯТИ</t>
        </is>
      </c>
      <c r="B119" s="102" t="inlineStr">
        <is>
          <t xml:space="preserve">SUPER BRANCH</t>
        </is>
      </c>
      <c r="C119" s="102" t="inlineStr">
        <is>
          <t xml:space="preserve">Объезд</t>
        </is>
      </c>
      <c r="D119" s="102" t="inlineStr">
        <is>
          <t xml:space="preserve">Кр-99052981-1</t>
        </is>
      </c>
      <c r="E119" s="102" t="inlineStr">
        <is>
          <t xml:space="preserve">MADRAXIMOVA  ZEBINISO MADRIMOVNA</t>
        </is>
      </c>
      <c r="F119" s="102" t="inlineStr">
        <is>
          <t xml:space="preserve">998791161524 SMS OZI, 998995969099 SMS UKASI, 998975271155 SMS OPASI, 998721152582 SMS OPASI,</t>
        </is>
      </c>
      <c r="G119" s="102" t="inlineStr">
        <is>
          <t xml:space="preserve">XORAZM VILOYATI YANGIARIQ TUMANI YANGI OBOD MFY YANGI OBOD KO’CHASI 40-UY</t>
        </is>
      </c>
      <c r="H119" s="103">
        <v>10.0</v>
      </c>
      <c r="I119" s="103">
        <v>5119065.52</v>
      </c>
      <c r="J119" s="103">
        <v>5119065.52</v>
      </c>
      <c r="K119" s="102" t="inlineStr">
        <is>
          <t xml:space="preserve">Uyiga borildi - to'ladi | yopaildi | 1221</t>
        </is>
      </c>
    </row>
    <row r="120">
      <c r="A120" s="102" t="inlineStr">
        <is>
          <t xml:space="preserve">ХОРАЗМ ВИЛОЯТИ</t>
        </is>
      </c>
      <c r="B120" s="102" t="inlineStr">
        <is>
          <t xml:space="preserve">SUPER BRANCH</t>
        </is>
      </c>
      <c r="C120" s="102" t="inlineStr">
        <is>
          <t xml:space="preserve">Объезд</t>
        </is>
      </c>
      <c r="D120" s="102" t="inlineStr">
        <is>
          <t xml:space="preserve">Кр-99040505-1</t>
        </is>
      </c>
      <c r="E120" s="102" t="inlineStr">
        <is>
          <t xml:space="preserve">EGAMOVA XOLISXON ALLABERGANOVNA</t>
        </is>
      </c>
      <c r="F120" s="102" t="inlineStr">
        <is>
          <t xml:space="preserve">998934531982 SMS ERI, 998934268290 SMS OZI, 998997464344 SMS AKASI, 998991167127 SMS UKASI,</t>
        </is>
      </c>
      <c r="G120" s="102" t="inlineStr">
        <is>
          <t xml:space="preserve">XORAZM VILOYATI URGANCH SHAHAR MASHAL MFY XIVA 2-YULAK 3-UY</t>
        </is>
      </c>
      <c r="H120" s="103">
        <v>10.0</v>
      </c>
      <c r="I120" s="103">
        <v>5037207.59</v>
      </c>
      <c r="J120" s="103">
        <v>1900000.0</v>
      </c>
      <c r="K120" s="102" t="inlineStr">
        <is>
          <t xml:space="preserve">Uyiga borildi - to'ladi | 1,9 mln tolov qildi qolganini 20-sanagacha yopad | 903</t>
        </is>
      </c>
    </row>
    <row r="121">
      <c r="A121" s="102" t="inlineStr">
        <is>
          <t xml:space="preserve">ХОРАЗМ ВИЛОЯТИ</t>
        </is>
      </c>
      <c r="B121" s="102" t="inlineStr">
        <is>
          <t xml:space="preserve">SUPER BRANCH</t>
        </is>
      </c>
      <c r="C121" s="102" t="inlineStr">
        <is>
          <t xml:space="preserve">Объезд</t>
        </is>
      </c>
      <c r="D121" s="102" t="inlineStr">
        <is>
          <t xml:space="preserve">Кр-99061565-2</t>
        </is>
      </c>
      <c r="E121" s="102" t="inlineStr">
        <is>
          <t xml:space="preserve">ODAMBAYEV DIYORBEK BAXTIYOR O’G’LI</t>
        </is>
      </c>
      <c r="F121" s="102" t="inlineStr">
        <is>
          <t xml:space="preserve">998973643330 узи, 998881589333 укаси, 998881535959 дусти, 998991929629 онаси,</t>
        </is>
      </c>
      <c r="G121" s="102" t="inlineStr">
        <is>
          <t xml:space="preserve">XORAZM VILOYATI XONQA TUMANI ILG’OR MFY TURKISTON KO¹CHASI 154-UY</t>
        </is>
      </c>
      <c r="H121" s="103">
        <v>10.0</v>
      </c>
      <c r="I121" s="103">
        <v>4415431.95</v>
      </c>
      <c r="K121" s="102" t="inlineStr">
        <is>
          <t xml:space="preserve">Uyiga borildi - va'da berdi | 1381</t>
        </is>
      </c>
    </row>
    <row r="122">
      <c r="A122" s="102" t="inlineStr">
        <is>
          <t xml:space="preserve">ХОРАЗМ ВИЛОЯТИ</t>
        </is>
      </c>
      <c r="B122" s="102" t="inlineStr">
        <is>
          <t xml:space="preserve">SUPER BRANCH</t>
        </is>
      </c>
      <c r="C122" s="102" t="inlineStr">
        <is>
          <t xml:space="preserve">Объезд</t>
        </is>
      </c>
      <c r="D122" s="102" t="inlineStr">
        <is>
          <t xml:space="preserve">Кр-99058711-1</t>
        </is>
      </c>
      <c r="E122" s="102" t="inlineStr">
        <is>
          <t xml:space="preserve">KARIMOV KAMIL XXX</t>
        </is>
      </c>
      <c r="F122" s="102" t="inlineStr">
        <is>
          <t xml:space="preserve">998787380477 SMS OZI, 998870356737 SMS AYOLI, 998887925535 SMS OGLI , 998883533372 SMS OGLI2,</t>
        </is>
      </c>
      <c r="G122" s="102" t="inlineStr">
        <is>
          <t xml:space="preserve">XORAZM VILOYATI YANGIARIQ TUMANI SHAYXBOG’I MFY   SHAYXBOG’I  28-UY</t>
        </is>
      </c>
      <c r="H122" s="103">
        <v>10.0</v>
      </c>
      <c r="I122" s="103">
        <v>2618114.25</v>
      </c>
      <c r="K122" s="102" t="inlineStr">
        <is>
          <t xml:space="preserve">Uyiga borildi - va'da berdi | 1330</t>
        </is>
      </c>
    </row>
    <row r="123">
      <c r="A123" s="104" t="inlineStr">
        <is>
          <t xml:space="preserve">ХОРАЗМ ВИЛОЯТИ</t>
        </is>
      </c>
      <c r="B123" s="104" t="inlineStr">
        <is>
          <t xml:space="preserve">Урганч филиали</t>
        </is>
      </c>
      <c r="C123" s="104" t="inlineStr">
        <is>
          <t xml:space="preserve">Объезд</t>
        </is>
      </c>
      <c r="D123" s="104" t="inlineStr">
        <is>
          <t xml:space="preserve">Кр-99048761-1</t>
        </is>
      </c>
      <c r="E123" s="104" t="inlineStr">
        <is>
          <t xml:space="preserve">RAXIMOV QADAMBOY RUSTAMOVICH</t>
        </is>
      </c>
      <c r="F123" s="104" t="inlineStr">
        <is>
          <t xml:space="preserve">+998972214945 SMS O’G’LI, 998870014945 SMS AYOLI, 998876454945 SMS UZI,</t>
        </is>
      </c>
      <c r="G123" s="104" t="inlineStr">
        <is>
          <t xml:space="preserve">ХОРАЗМ ВИЛОЯТИ ХОНКА Ш., ЖАННАТМАКОН МФЙ, НАФОСАТ, 1 ТОР КЎЧАСИ,  uy:20</t>
        </is>
      </c>
      <c r="H123" s="105">
        <v>10.0</v>
      </c>
      <c r="I123" s="105">
        <v>4973587.57</v>
      </c>
      <c r="K123" s="104" t="inlineStr">
        <is>
          <t xml:space="preserve">Uyiga borildi - va'da berdi | 1152</t>
        </is>
      </c>
    </row>
    <row r="124">
      <c r="A124" s="104" t="inlineStr">
        <is>
          <t xml:space="preserve">ХОРАЗМ ВИЛОЯТИ</t>
        </is>
      </c>
      <c r="B124" s="104" t="inlineStr">
        <is>
          <t xml:space="preserve">Урганч филиали</t>
        </is>
      </c>
      <c r="C124" s="104" t="inlineStr">
        <is>
          <t xml:space="preserve">Объезд</t>
        </is>
      </c>
      <c r="D124" s="104" t="inlineStr">
        <is>
          <t xml:space="preserve">Кр-99047926-1</t>
        </is>
      </c>
      <c r="E124" s="104" t="inlineStr">
        <is>
          <t xml:space="preserve">QADIROV NIZOMBOY ALLABERGANOVICH</t>
        </is>
      </c>
      <c r="F124" s="104" t="inlineStr">
        <is>
          <t xml:space="preserve">+998937536776 SMS UZI, 998942359728 SMS QIZI,</t>
        </is>
      </c>
      <c r="G124" s="104" t="inlineStr">
        <is>
          <t xml:space="preserve">ХОРАЗМ ВИЛОЯТИ БОГОТ ТУМАНИ МИРИШКОР ҚФЙ, СОХИБКОР МФЙ, ХАЛК ОБОД КЎЧАСИ,  uy:60</t>
        </is>
      </c>
      <c r="H124" s="105">
        <v>10.0</v>
      </c>
      <c r="I124" s="105">
        <v>3948148.07</v>
      </c>
      <c r="K124" s="104" t="inlineStr">
        <is>
          <t xml:space="preserve">Uyiga borildi - va'da berdi | 1144</t>
        </is>
      </c>
    </row>
    <row r="125">
      <c r="A125" s="104" t="inlineStr">
        <is>
          <t xml:space="preserve">ХОРАЗМ ВИЛОЯТИ</t>
        </is>
      </c>
      <c r="B125" s="104" t="inlineStr">
        <is>
          <t xml:space="preserve">Урганч филиали</t>
        </is>
      </c>
      <c r="C125" s="104" t="inlineStr">
        <is>
          <t xml:space="preserve">Объезд</t>
        </is>
      </c>
      <c r="D125" s="104" t="inlineStr">
        <is>
          <t xml:space="preserve">Кр-99063613-1</t>
        </is>
      </c>
      <c r="E125" s="104" t="inlineStr">
        <is>
          <t xml:space="preserve">OTABOYEV XAMIDJON FARHOD O’G’LI</t>
        </is>
      </c>
      <c r="F125" s="104" t="inlineStr">
        <is>
          <t xml:space="preserve">+998941921899 SMS UZI, 998939420716 SMS UZI 2, 998948350365 SMS DO’STI,</t>
        </is>
      </c>
      <c r="G125" s="104" t="inlineStr">
        <is>
          <t xml:space="preserve">ХОРАЗМ ВИЛОЯТИ ТУПРОККАЛЪА ТУМАНИ Пастом МФЙ, Бунёдкор кучаси, 2-уй</t>
        </is>
      </c>
      <c r="H125" s="105">
        <v>10.0</v>
      </c>
      <c r="I125" s="105">
        <v>3837061.91</v>
      </c>
      <c r="K125" s="104" t="inlineStr">
        <is>
          <t xml:space="preserve">Uyiga borildi - va'da berdi | 1590</t>
        </is>
      </c>
    </row>
    <row r="126">
      <c r="A126" s="104" t="inlineStr">
        <is>
          <t xml:space="preserve">ХОРАЗМ ВИЛОЯТИ</t>
        </is>
      </c>
      <c r="B126" s="104" t="inlineStr">
        <is>
          <t xml:space="preserve">Урганч филиали</t>
        </is>
      </c>
      <c r="C126" s="104" t="inlineStr">
        <is>
          <t xml:space="preserve">Объезд</t>
        </is>
      </c>
      <c r="D126" s="104" t="inlineStr">
        <is>
          <t xml:space="preserve">Кр-99040465-1</t>
        </is>
      </c>
      <c r="E126" s="104" t="inlineStr">
        <is>
          <t xml:space="preserve">AVAZMETOV FURQAT OTAXON O’G’LI</t>
        </is>
      </c>
      <c r="F126" s="104" t="inlineStr">
        <is>
          <t xml:space="preserve">+998937586161 SMS UZI, 998337586161 SMS AYOLI, 998337900202 SMS UZI 2 begona, 998930921161 SMS UKASI, 998942369696 SMS AKASI JURAT,</t>
        </is>
      </c>
      <c r="G126" s="104" t="inlineStr">
        <is>
          <t xml:space="preserve">ГУЛОБОД ҚФЙ, КЎНҒИРОТ МФЙ, СОГЛОМ ТУРМУШ КЎЧАСИ,  uy:58</t>
        </is>
      </c>
      <c r="H126" s="105">
        <v>10.0</v>
      </c>
      <c r="I126" s="105">
        <v>3788071.04</v>
      </c>
      <c r="K126" s="104" t="inlineStr">
        <is>
          <t xml:space="preserve">Uyiga borildi - va'da berdi | Kotarmad | 895</t>
        </is>
      </c>
    </row>
    <row r="127">
      <c r="A127" s="104" t="inlineStr">
        <is>
          <t xml:space="preserve">ХОРАЗМ ВИЛОЯТИ</t>
        </is>
      </c>
      <c r="B127" s="104" t="inlineStr">
        <is>
          <t xml:space="preserve">Урганч филиали</t>
        </is>
      </c>
      <c r="C127" s="104" t="inlineStr">
        <is>
          <t xml:space="preserve">Объезд</t>
        </is>
      </c>
      <c r="D127" s="104" t="inlineStr">
        <is>
          <t xml:space="preserve">Кр-99063183-1</t>
        </is>
      </c>
      <c r="E127" s="104" t="inlineStr">
        <is>
          <t xml:space="preserve">RO’ZIMOVA MUNAVVAR XXX</t>
        </is>
      </c>
      <c r="F127" s="104" t="inlineStr">
        <is>
          <t xml:space="preserve">+998935345727 SMS UZI, 998940471414 SMS O’G’LI,</t>
        </is>
      </c>
      <c r="G127" s="104" t="inlineStr">
        <is>
          <t xml:space="preserve">ХОРАЗМ ВИЛОЯТИ ЯНГИАРИК ТУМАНИ КАРМИШ ҚФЙ, ШИХБОГИ МФЙ, УЧ ХОВЛИ, 3 ТОР КЎЧАСИ,  uy:5</t>
        </is>
      </c>
      <c r="H127" s="105">
        <v>10.0</v>
      </c>
      <c r="I127" s="105">
        <v>2865819.78</v>
      </c>
      <c r="K127" s="104" t="inlineStr">
        <is>
          <t xml:space="preserve">Uyiga borildi - va'da berdi | 1522</t>
        </is>
      </c>
    </row>
    <row r="128">
      <c r="A128" s="104" t="inlineStr">
        <is>
          <t xml:space="preserve">ХОРАЗМ ВИЛОЯТИ</t>
        </is>
      </c>
      <c r="B128" s="104" t="inlineStr">
        <is>
          <t xml:space="preserve">Урганч филиали</t>
        </is>
      </c>
      <c r="C128" s="104" t="inlineStr">
        <is>
          <t xml:space="preserve">Объезд</t>
        </is>
      </c>
      <c r="D128" s="104" t="inlineStr">
        <is>
          <t xml:space="preserve">Кр-99041025-1</t>
        </is>
      </c>
      <c r="E128" s="104" t="inlineStr">
        <is>
          <t xml:space="preserve">MENGLIYEV SHERZODBEK SAFOBOY O’G’LI</t>
        </is>
      </c>
      <c r="F128" s="104" t="inlineStr">
        <is>
          <t xml:space="preserve">+998999668598 SMS UZI, 998931165424 SMS XOTINI,</t>
        </is>
      </c>
      <c r="G128" s="104" t="inlineStr">
        <is>
          <t xml:space="preserve">БОГОТ Ш., БЕРУНИЙ МФЙ, ФАРОҒАТЛИ КЎЧАСИ,  uy:15</t>
        </is>
      </c>
      <c r="H128" s="105">
        <v>10.0</v>
      </c>
      <c r="I128" s="105">
        <v>1786159.84</v>
      </c>
      <c r="K128" s="104" t="inlineStr">
        <is>
          <t xml:space="preserve">Uyiga borildi - va'da berdi | 949</t>
        </is>
      </c>
    </row>
  </sheetData>
  <autoFilter ref="A2:K128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7" t="inlineStr">
        <is>
          <t xml:space="preserve">← Вернуться в отчёт</t>
        </is>
      </c>
    </row>
    <row r="2">
      <c r="A2" s="95" t="inlineStr">
        <is>
          <t xml:space="preserve">Область</t>
        </is>
      </c>
      <c r="B2" s="95" t="inlineStr">
        <is>
          <t xml:space="preserve">Филиал</t>
        </is>
      </c>
      <c r="C2" s="95" t="inlineStr">
        <is>
          <t xml:space="preserve">Группа</t>
        </is>
      </c>
      <c r="D2" s="95" t="inlineStr">
        <is>
          <t xml:space="preserve">Код клиента</t>
        </is>
      </c>
      <c r="E2" s="95" t="inlineStr">
        <is>
          <t xml:space="preserve">Клиент</t>
        </is>
      </c>
      <c r="F2" s="95" t="inlineStr">
        <is>
          <t xml:space="preserve">Номер телефона</t>
        </is>
      </c>
      <c r="G2" s="95" t="inlineStr">
        <is>
          <t xml:space="preserve">Адрес</t>
        </is>
      </c>
      <c r="H2" s="95" t="inlineStr">
        <is>
          <t xml:space="preserve">Кол-во просроченных дней</t>
        </is>
      </c>
      <c r="I2" s="95" t="inlineStr">
        <is>
          <t xml:space="preserve">Итого просрочка</t>
        </is>
      </c>
      <c r="J2" s="95" t="inlineStr">
        <is>
          <t xml:space="preserve">Оплата</t>
        </is>
      </c>
      <c r="K2" s="95" t="inlineStr">
        <is>
          <t xml:space="preserve">Izoh</t>
        </is>
      </c>
    </row>
  </sheetData>
  <autoFilter ref="A2:K2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Ввод</vt:lpstr>
      <vt:lpstr>Отчёт_дня</vt:lpstr>
      <vt:lpstr>Дашборд</vt:lpstr>
      <vt:lpstr>Справочники</vt:lpstr>
      <vt:lpstr>Клиенты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