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0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Дозвонились" sheetId="5" r:id="rId5"/>
    <sheet name="Обещали" sheetId="6" r:id="rId10"/>
    <sheet name="Ishlanmagan" sheetId="12" r:id="rId16"/>
    <sheet name="Ko'tarmadi" sheetId="8" r:id="rId12"/>
    <sheet name="Объезд" sheetId="9" r:id="rId13"/>
    <sheet name="Оплатили" sheetId="7" r:id="rId11"/>
    <sheet name="Оплатили без разговора" sheetId="10" r:id="rId14"/>
  </sheets>
  <definedNames>
    <definedName name="_FilterDatabase" localSheetId="0" hidden="1">Ввод!$A$5:$AI$19</definedName>
    <definedName name="_xlnm._FilterDatabase" localSheetId="0" hidden="1">Ввод!$A$5:$AI$19</definedName>
    <definedName name="Print_Titles" localSheetId="0">Ввод!$4:$5</definedName>
    <definedName name="БазоваяПапка">Справочники!$N$1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Дату и все числа таблицы бот заполняет сам при сборке отчёта — вручную ничего вводить не нужно.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<sst xmlns="http://schemas.openxmlformats.org/spreadsheetml/2006/main" count="204" uniqueCount="108">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</sst>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28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i/>
      <sz val="9"/>
      <color rgb="FF595959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6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0" borderId="0" xfId="0" applyFont="1" applyAlignment="1">
      <alignment horizontal="left" vertical="top"/>
    </xf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Дашборд!$A$32:$A$35</c:f>
              <c:strCache>
                <c:ptCount val="4"/>
                <c:pt idx="0">
                  <c:v>Дозвон всего</c:v>
                </c:pt>
                <c:pt idx="1">
                  <c:v>Ko'tarmadi</c:v>
                </c:pt>
                <c:pt idx="2">
                  <c:v>Объезд</c:v>
                </c:pt>
                <c:pt idx="3">
                  <c:v>Ishlanmagan</c:v>
                </c:pt>
              </c:strCache>
            </c:str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I21"/>
  <sheetViews>
    <sheetView tabSelected="1"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A24" sqref="AA24:AB24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3" style="1" customWidth="1"/>
    <col min="7" max="7" width="16" style="1" customWidth="1"/>
    <col min="8" max="8" width="11" style="1" customWidth="1"/>
    <col min="9" max="9" width="14" style="1" customWidth="1"/>
    <col min="10" max="10" width="10" style="1" customWidth="1"/>
    <col min="11" max="11" width="15" style="1" customWidth="1"/>
    <col min="12" max="12" width="11" style="1" customWidth="1"/>
    <col min="13" max="13" width="15" style="1" customWidth="1"/>
    <col min="14" max="14" width="11" style="1" customWidth="1"/>
    <col min="15" max="15" width="15" style="1" customWidth="1"/>
    <col min="16" max="16" width="10" style="1" customWidth="1"/>
    <col min="17" max="17" width="15" style="1" customWidth="1"/>
    <col min="18" max="18" width="14" style="1" customWidth="1"/>
    <col min="19" max="19" width="15" style="1" customWidth="1"/>
    <col min="20" max="20" width="13" style="1" customWidth="1"/>
    <col min="21" max="21" width="15" style="1" customWidth="1"/>
    <col min="22" max="22" width="10" style="1" customWidth="1"/>
    <col min="23" max="23" width="15" style="1" customWidth="1"/>
    <col min="24" max="24" width="10" style="1" customWidth="1"/>
    <col min="25" max="25" width="15" style="1" customWidth="1"/>
    <col min="26" max="26" width="10" style="1" customWidth="1"/>
    <col min="27" max="27" width="16" style="1" customWidth="1"/>
    <col min="28" max="28" width="10" style="1" customWidth="1"/>
    <col min="29" max="29" width="11" style="1" customWidth="1"/>
    <col min="30" max="30" width="12" style="1" customWidth="1"/>
    <col min="31" max="31" width="11" style="1" customWidth="1"/>
    <col min="32" max="32" width="11" style="1" customWidth="1"/>
    <col min="33" max="33" width="22" style="1" customWidth="1"/>
    <col min="34" max="34" width="18" style="1" customWidth="1"/>
    <col min="35" max="35" width="26" style="1" hidden="1" customWidth="1"/>
    <col min="36" max="36" width="1" style="1" hidden="1" customWidth="1"/>
    <col min="37" max="37" width="1" style="1" hidden="1" customWidth="1"/>
  </cols>
  <sheetData>
    <row r="1" spans="1:31" ht="17.25" customHeight="1" x14ac:dyDescent="0.25">
      <c r="A1" s="74"/>
      <c r="B1" s="74"/>
      <c r="C1" s="74"/>
      <c r="D1" s="74"/>
      <c r="E1" s="74"/>
      <c r="F1" s="74"/>
      <c r="G1" s="74"/>
      <c r="H1" s="74"/>
      <c r="I1" s="74"/>
      <c r="J1" s="74"/>
    </row>
    <row r="2" spans="1:31" ht="15" customHeight="1" x14ac:dyDescent="0.25">
      <c r="A2" s="75" t="s">
        <v>0</v>
      </c>
      <c r="B2" s="75"/>
      <c r="C2" s="2">
        <v>46272</v>
      </c>
      <c r="E2" s="75"/>
      <c r="F2" s="75"/>
      <c r="G2" s="3"/>
      <c r="H2" s="4"/>
      <c r="I2" s="3"/>
      <c r="J2" s="5"/>
      <c r="N2" s="75"/>
      <c r="O2" s="75"/>
      <c r="P2" s="6"/>
      <c r="Q2" s="6"/>
      <c r="R2" s="6"/>
    </row>
    <row r="3" spans="1:31" ht="25.5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M3" s="76"/>
      <c r="N3" s="76"/>
      <c r="O3" s="76"/>
      <c r="P3" s="76"/>
      <c r="Q3" s="76"/>
      <c r="R3" s="76"/>
      <c r="U3" s="76"/>
      <c r="V3" s="76"/>
      <c r="W3" s="76"/>
      <c r="X3" s="76"/>
      <c r="AA3" s="76"/>
      <c r="AB3" s="76"/>
      <c r="AC3" s="76"/>
      <c r="AD3" s="76"/>
      <c r="AE3" s="76"/>
      <c r="AF3" s="76"/>
      <c r="AG3" s="76"/>
      <c r="AH3" s="76"/>
      <c r="AI3" s="76"/>
    </row>
    <row r="4" spans="1:31" ht="51.75" customHeight="1" x14ac:dyDescent="0.25">
      <c r="E4" s="73" t="s">
        <v>1</v>
      </c>
      <c r="F4" s="73"/>
      <c r="G4" s="68" t="s">
        <v>2</v>
      </c>
      <c r="H4" s="68"/>
      <c r="I4" s="68"/>
      <c r="J4" s="68"/>
      <c r="K4" s="70" t="inlineStr">
        <is>
          <t xml:space="preserve">ЗВОНКИ</t>
        </is>
      </c>
      <c r="L4" s="71"/>
      <c r="M4" s="70" t="inlineStr">
        <is>
          <t>ДОЗВОНИЛИСЬ / ОБЕЩАЛИ</t>
        </is>
      </c>
      <c r="N4" s="71"/>
      <c r="O4" s="71"/>
      <c r="P4" s="72"/>
      <c r="Q4" s="70" t="inlineStr">
        <is>
          <t xml:space="preserve">НЕ ТРОНУТЫ / НЕ ДОЗВОНИЛИСЬ / ОБЪЕЗД</t>
        </is>
      </c>
      <c r="R4" s="71"/>
      <c r="U4" s="71"/>
      <c r="V4" s="72"/>
      <c r="W4" s="70" t="inlineStr">
        <is>
          <t>ОПЛАЧЕНО ЗА ДЕНЬ</t>
        </is>
      </c>
      <c r="X4" s="71"/>
      <c r="Y4" s="71"/>
      <c r="Z4" s="71"/>
      <c r="AA4" s="71"/>
      <c r="AB4" s="72"/>
      <c r="AC4" s="68" t="s">
        <v>5</v>
      </c>
      <c r="AD4" s="68"/>
      <c r="AE4" s="68"/>
      <c r="AF4" s="68"/>
    </row>
    <row r="5" spans="1:31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inlineStr">
        <is>
          <t xml:space="preserve">Звонков всего,
сум</t>
        </is>
      </c>
      <c r="L5" s="7" t="inlineStr">
        <is>
          <t xml:space="preserve">Звонков всего,
шт</t>
        </is>
      </c>
      <c r="M5" s="7" t="inlineStr">
        <is>
          <t xml:space="preserve">Дозвон всего,
сум</t>
        </is>
      </c>
      <c r="N5" s="7" t="inlineStr">
        <is>
          <t xml:space="preserve">Дозвон всего,
шт</t>
        </is>
      </c>
      <c r="O5" s="7" t="s">
        <v>18</v>
      </c>
      <c r="P5" s="7" t="s">
        <v>19</v>
      </c>
      <c r="Q5" s="7" t="inlineStr">
        <is>
          <t xml:space="preserve">Ishlanmagan,
сум</t>
        </is>
      </c>
      <c r="R5" s="7" t="inlineStr">
        <is>
          <t xml:space="preserve">Ishlanmagan,
шт</t>
        </is>
      </c>
      <c r="S5" s="7" t="inlineStr">
        <is>
          <t xml:space="preserve">Ko'tarmadi,
сум</t>
        </is>
      </c>
      <c r="T5" s="7" t="inlineStr">
        <is>
          <t xml:space="preserve">Ko'tarmadi,
шт</t>
        </is>
      </c>
      <c r="U5" s="7" t="inlineStr">
        <is>
          <t xml:space="preserve">Объезд,
сум</t>
        </is>
      </c>
      <c r="V5" s="7" t="inlineStr">
        <is>
          <t xml:space="preserve">Объезд,
шт</t>
        </is>
      </c>
      <c r="W5" s="7" t="inlineStr">
        <is>
          <t xml:space="preserve">Оплатил дозвон,
сум</t>
        </is>
      </c>
      <c r="X5" s="7" t="inlineStr">
        <is>
          <t xml:space="preserve">Оплатил дозвон,
шт</t>
        </is>
      </c>
      <c r="Y5" s="7" t="inlineStr">
        <is>
          <t xml:space="preserve">Объезд оплатил,
сум</t>
        </is>
      </c>
      <c r="Z5" s="7" t="inlineStr">
        <is>
          <t xml:space="preserve">Объезд оплатил,
шт</t>
        </is>
      </c>
      <c r="AA5" s="7" t="s">
        <v>24</v>
      </c>
      <c r="AB5" s="7" t="s">
        <v>25</v>
      </c>
      <c r="AC5" s="7" t="s">
        <v>26</v>
      </c>
      <c r="AD5" s="7" t="s">
        <v>27</v>
      </c>
      <c r="AE5" s="7" t="s">
        <v>28</v>
      </c>
      <c r="AF5" s="8" t="s">
        <v>29</v>
      </c>
      <c r="AI5" s="9" t="s">
        <v>30</v>
      </c>
    </row>
    <row r="6" spans="1:31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  <v/>
      </c>
      <c r="D6" s="13">
        <f>SUMIF(Справочники!$H$4:$H$21,$B6,Справочники!$E$4:$E$21)</f>
        <v>0</v>
      </c>
      <c r="E6" s="14">
        <v>21670183628.189999</v>
      </c>
      <c r="F6" s="13">
        <v>445</v>
      </c>
      <c r="G6" s="14">
        <f t="shared" ref="G6:G19" si="0">$M6+$Q6+$S6+$U6</f>
        <v>216997310.13</v>
      </c>
      <c r="H6" s="13">
        <f t="shared" ref="H6:H19" si="1">$N6+$R6+$T6+$V6</f>
        <v>32</v>
      </c>
      <c r="I6" s="15">
        <f t="shared" ref="I6:I19" si="2">IFERROR($G6/$E6,"")</f>
        <v>1.0013635041270053E-2</v>
      </c>
      <c r="J6" s="15">
        <f t="shared" ref="J6:J19" si="3">IFERROR($H6/$F6,"")</f>
        <v>7.1910112359550568E-2</v>
      </c>
      <c r="K6" s="14">
        <v>0</v>
      </c>
      <c r="L6" s="13">
        <v>0</v>
      </c>
      <c r="M6" s="14">
        <v>0</v>
      </c>
      <c r="N6" s="13">
        <v>0</v>
      </c>
      <c r="O6" s="14">
        <v>0</v>
      </c>
      <c r="P6" s="13">
        <v>0</v>
      </c>
      <c r="Q6" s="14">
        <v>0</v>
      </c>
      <c r="R6" s="13">
        <v>0</v>
      </c>
      <c r="S6" s="14" t="n">
        <v>0</v>
      </c>
      <c r="T6" s="13" t="n">
        <v>0</v>
      </c>
      <c r="U6" s="14">
        <v>216997310.13</v>
      </c>
      <c r="V6" s="13">
        <v>32</v>
      </c>
      <c r="W6" s="14">
        <v>0</v>
      </c>
      <c r="X6" s="13">
        <v>0</v>
      </c>
      <c r="Y6" s="14" t="n">
        <v>0</v>
      </c>
      <c r="Z6" s="13" t="n">
        <v>0</v>
      </c>
      <c r="AA6" s="16">
        <v>0</v>
      </c>
      <c r="AB6" s="17">
        <v>0</v>
      </c>
      <c r="AC6" s="15">
        <f t="shared" ref="AC6:AC19" si="4">IFERROR($N6/$H6,"")</f>
        <v>0</v>
      </c>
      <c r="AD6" s="15" t="str">
        <f t="shared" ref="AD6:AD19" si="5">IFERROR($P6/$N6,"")</f>
        <v/>
      </c>
      <c r="AE6" s="18" t="str">
        <f t="shared" ref="AE6:AE19" si="6">IFERROR($H6/$D6,"")</f>
        <v/>
      </c>
      <c r="AF6" s="19" t="str">
        <f t="shared" ref="AF6:AF19" si="7">IFERROR($N6/$D6,"")</f>
        <v/>
      </c>
      <c r="AI6" s="20">
        <f t="shared" ref="AI6:AI19" si="8">IFERROR($AC6,0)+ROW()/1000000</f>
        <v>6.0000000000000002E-6</v>
      </c>
    </row>
    <row r="7" spans="1:31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  <v/>
      </c>
      <c r="D7" s="13">
        <f>SUMIF(Справочники!$H$4:$H$21,$B7,Справочники!$E$4:$E$21)</f>
        <v>0</v>
      </c>
      <c r="E7" s="14">
        <v>5123173370.1599998</v>
      </c>
      <c r="F7" s="13">
        <v>167</v>
      </c>
      <c r="G7" s="14">
        <f t="shared" si="0"/>
        <v>202669512.91</v>
      </c>
      <c r="H7" s="13">
        <f t="shared" si="1"/>
        <v>18</v>
      </c>
      <c r="I7" s="15">
        <f t="shared" si="2"/>
        <v>3.9559370387590553E-2</v>
      </c>
      <c r="J7" s="15">
        <f t="shared" si="3"/>
        <v>0.10778443113772455</v>
      </c>
      <c r="K7" s="14">
        <v>0</v>
      </c>
      <c r="L7" s="13">
        <v>0</v>
      </c>
      <c r="M7" s="14">
        <v>0</v>
      </c>
      <c r="N7" s="13">
        <v>0</v>
      </c>
      <c r="O7" s="14">
        <v>0</v>
      </c>
      <c r="P7" s="13">
        <v>0</v>
      </c>
      <c r="Q7" s="14">
        <v>0</v>
      </c>
      <c r="R7" s="13">
        <v>0</v>
      </c>
      <c r="S7" s="14" t="n">
        <v>0</v>
      </c>
      <c r="T7" s="13" t="n">
        <v>0</v>
      </c>
      <c r="U7" s="14">
        <v>202669512.91</v>
      </c>
      <c r="V7" s="13">
        <v>18</v>
      </c>
      <c r="W7" s="14">
        <v>0</v>
      </c>
      <c r="X7" s="13">
        <v>0</v>
      </c>
      <c r="Y7" s="14" t="n">
        <v>0</v>
      </c>
      <c r="Z7" s="13" t="n">
        <v>0</v>
      </c>
      <c r="AA7" s="16">
        <v>0</v>
      </c>
      <c r="AB7" s="17">
        <v>0</v>
      </c>
      <c r="AC7" s="15">
        <f t="shared" si="4"/>
        <v>0</v>
      </c>
      <c r="AD7" s="15" t="str">
        <f t="shared" si="5"/>
        <v/>
      </c>
      <c r="AE7" s="18" t="str">
        <f t="shared" si="6"/>
        <v/>
      </c>
      <c r="AF7" s="19" t="str">
        <f t="shared" si="7"/>
        <v/>
      </c>
      <c r="AI7" s="20">
        <f t="shared" si="8"/>
        <v>6.9999999999999999E-6</v>
      </c>
    </row>
    <row r="8" spans="1:31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  <v/>
      </c>
      <c r="D8" s="13">
        <f>SUMIF(Справочники!$H$4:$H$21,$B8,Справочники!$E$4:$E$21)</f>
        <v>0</v>
      </c>
      <c r="E8" s="14">
        <v>13904205190.280001</v>
      </c>
      <c r="F8" s="13">
        <v>493</v>
      </c>
      <c r="G8" s="14">
        <f t="shared" si="0"/>
        <v>249852799.42000002</v>
      </c>
      <c r="H8" s="13">
        <f t="shared" si="1"/>
        <v>51</v>
      </c>
      <c r="I8" s="15">
        <f t="shared" si="2"/>
        <v>1.7969585172309191E-2</v>
      </c>
      <c r="J8" s="15">
        <f t="shared" si="3"/>
        <v>0.10344827586206896</v>
      </c>
      <c r="K8" s="14">
        <v>0</v>
      </c>
      <c r="L8" s="13">
        <v>0</v>
      </c>
      <c r="M8" s="14">
        <v>98595598.590000004</v>
      </c>
      <c r="N8" s="13">
        <v>20</v>
      </c>
      <c r="O8" s="14">
        <v>95111852.719999999</v>
      </c>
      <c r="P8" s="13">
        <v>19</v>
      </c>
      <c r="Q8" s="14">
        <v>0</v>
      </c>
      <c r="R8" s="13">
        <v>0</v>
      </c>
      <c r="S8" s="14" t="n">
        <v>0</v>
      </c>
      <c r="T8" s="13" t="n">
        <v>0</v>
      </c>
      <c r="U8" s="14">
        <v>151257200.83000001</v>
      </c>
      <c r="V8" s="13">
        <v>31</v>
      </c>
      <c r="W8" s="14">
        <v>0</v>
      </c>
      <c r="X8" s="13">
        <v>0</v>
      </c>
      <c r="Y8" s="14" t="n">
        <v>0</v>
      </c>
      <c r="Z8" s="13" t="n">
        <v>0</v>
      </c>
      <c r="AA8" s="16">
        <v>0</v>
      </c>
      <c r="AB8" s="17">
        <v>6</v>
      </c>
      <c r="AC8" s="15">
        <f t="shared" si="4"/>
        <v>0.39215686274509803</v>
      </c>
      <c r="AD8" s="15">
        <f t="shared" si="5"/>
        <v>0.95</v>
      </c>
      <c r="AE8" s="18" t="str">
        <f t="shared" si="6"/>
        <v/>
      </c>
      <c r="AF8" s="19" t="str">
        <f t="shared" si="7"/>
        <v/>
      </c>
      <c r="AI8" s="20">
        <f t="shared" si="8"/>
        <v>0.39216486274509804</v>
      </c>
    </row>
    <row r="9" spans="1:31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  <v/>
      </c>
      <c r="D9" s="13">
        <f>SUMIF(Справочники!$H$4:$H$21,$B9,Справочники!$E$4:$E$21)</f>
        <v>0</v>
      </c>
      <c r="E9" s="14">
        <v>12186568520.77</v>
      </c>
      <c r="F9" s="13">
        <v>418</v>
      </c>
      <c r="G9" s="14">
        <f t="shared" si="0"/>
        <v>205557960.12</v>
      </c>
      <c r="H9" s="13">
        <f t="shared" si="1"/>
        <v>33</v>
      </c>
      <c r="I9" s="15">
        <f t="shared" si="2"/>
        <v>1.6867583337316021E-2</v>
      </c>
      <c r="J9" s="15">
        <f t="shared" si="3"/>
        <v>7.8947368421052627E-2</v>
      </c>
      <c r="K9" s="14">
        <v>0</v>
      </c>
      <c r="L9" s="13">
        <v>0</v>
      </c>
      <c r="M9" s="14">
        <v>147353790.88</v>
      </c>
      <c r="N9" s="13">
        <v>29</v>
      </c>
      <c r="O9" s="14">
        <v>76778558</v>
      </c>
      <c r="P9" s="13">
        <v>18</v>
      </c>
      <c r="Q9" s="14">
        <v>0</v>
      </c>
      <c r="R9" s="13">
        <v>0</v>
      </c>
      <c r="S9" s="14" t="n">
        <v>0</v>
      </c>
      <c r="T9" s="13" t="n">
        <v>0</v>
      </c>
      <c r="U9" s="14">
        <v>58204169.240000002</v>
      </c>
      <c r="V9" s="13">
        <v>4</v>
      </c>
      <c r="W9" s="14">
        <v>0</v>
      </c>
      <c r="X9" s="13">
        <v>0</v>
      </c>
      <c r="Y9" s="14" t="n">
        <v>0</v>
      </c>
      <c r="Z9" s="13" t="n">
        <v>0</v>
      </c>
      <c r="AA9" s="16">
        <v>0</v>
      </c>
      <c r="AB9" s="17">
        <v>5</v>
      </c>
      <c r="AC9" s="15">
        <f t="shared" si="4"/>
        <v>0.87878787878787878</v>
      </c>
      <c r="AD9" s="15">
        <f t="shared" si="5"/>
        <v>0.62068965517241381</v>
      </c>
      <c r="AE9" s="18" t="str">
        <f t="shared" si="6"/>
        <v/>
      </c>
      <c r="AF9" s="19" t="str">
        <f t="shared" si="7"/>
        <v/>
      </c>
      <c r="AI9" s="20">
        <f t="shared" si="8"/>
        <v>0.87879687878787882</v>
      </c>
    </row>
    <row r="10" spans="1:31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  <v/>
      </c>
      <c r="D10" s="13">
        <f>SUMIF(Справочники!$H$4:$H$21,$B10,Справочники!$E$4:$E$21)</f>
        <v>0</v>
      </c>
      <c r="E10" s="14">
        <v>11119544923.16</v>
      </c>
      <c r="F10" s="13">
        <v>269</v>
      </c>
      <c r="G10" s="14">
        <f t="shared" si="0"/>
        <v>259639584.46000001</v>
      </c>
      <c r="H10" s="13">
        <f t="shared" si="1"/>
        <v>26</v>
      </c>
      <c r="I10" s="15">
        <f t="shared" si="2"/>
        <v>2.3349839067533937E-2</v>
      </c>
      <c r="J10" s="15">
        <f t="shared" si="3"/>
        <v>9.6654275092936809E-2</v>
      </c>
      <c r="K10" s="14">
        <v>0</v>
      </c>
      <c r="L10" s="13">
        <v>0</v>
      </c>
      <c r="M10" s="14">
        <v>161024730.06</v>
      </c>
      <c r="N10" s="13">
        <v>20</v>
      </c>
      <c r="O10" s="14">
        <v>13359882.640000001</v>
      </c>
      <c r="P10" s="13">
        <v>4</v>
      </c>
      <c r="Q10" s="14">
        <v>0</v>
      </c>
      <c r="R10" s="13">
        <v>0</v>
      </c>
      <c r="S10" s="14" t="n">
        <v>0</v>
      </c>
      <c r="T10" s="13" t="n">
        <v>0</v>
      </c>
      <c r="U10" s="14">
        <v>98614854.400000006</v>
      </c>
      <c r="V10" s="13">
        <v>6</v>
      </c>
      <c r="W10" s="14">
        <v>0</v>
      </c>
      <c r="X10" s="13">
        <v>0</v>
      </c>
      <c r="Y10" s="14" t="n">
        <v>0</v>
      </c>
      <c r="Z10" s="13" t="n">
        <v>0</v>
      </c>
      <c r="AA10" s="16">
        <v>0</v>
      </c>
      <c r="AB10" s="17">
        <v>2</v>
      </c>
      <c r="AC10" s="15">
        <f t="shared" si="4"/>
        <v>0.76923076923076927</v>
      </c>
      <c r="AD10" s="15">
        <f t="shared" si="5"/>
        <v>0.2</v>
      </c>
      <c r="AE10" s="18" t="str">
        <f t="shared" si="6"/>
        <v/>
      </c>
      <c r="AF10" s="19" t="str">
        <f t="shared" si="7"/>
        <v/>
      </c>
      <c r="AI10" s="20">
        <f t="shared" si="8"/>
        <v>0.76924076923076923</v>
      </c>
    </row>
    <row r="11" spans="1:3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  <v/>
      </c>
      <c r="D11" s="13">
        <f>SUMIF(Справочники!$H$4:$H$21,$B11,Справочники!$E$4:$E$21)</f>
        <v>0</v>
      </c>
      <c r="E11" s="14">
        <v>6476844959.7000103</v>
      </c>
      <c r="F11" s="13">
        <v>209</v>
      </c>
      <c r="G11" s="14">
        <f t="shared" si="0"/>
        <v>107085347.11</v>
      </c>
      <c r="H11" s="13">
        <f t="shared" si="1"/>
        <v>18</v>
      </c>
      <c r="I11" s="15">
        <f t="shared" si="2"/>
        <v>1.65335665399284E-2</v>
      </c>
      <c r="J11" s="15">
        <f t="shared" si="3"/>
        <v>8.6124401913875603E-2</v>
      </c>
      <c r="K11" s="14">
        <v>0</v>
      </c>
      <c r="L11" s="13">
        <v>0</v>
      </c>
      <c r="M11" s="14">
        <v>9768297.2400000002</v>
      </c>
      <c r="N11" s="13">
        <v>1</v>
      </c>
      <c r="O11" s="14">
        <v>9768297.2400000002</v>
      </c>
      <c r="P11" s="13">
        <v>1</v>
      </c>
      <c r="Q11" s="14">
        <v>0</v>
      </c>
      <c r="R11" s="13">
        <v>0</v>
      </c>
      <c r="S11" s="14" t="n">
        <v>0</v>
      </c>
      <c r="T11" s="13" t="n">
        <v>0</v>
      </c>
      <c r="U11" s="14">
        <v>97317049.870000005</v>
      </c>
      <c r="V11" s="13">
        <v>17</v>
      </c>
      <c r="W11" s="14">
        <v>0</v>
      </c>
      <c r="X11" s="13">
        <v>0</v>
      </c>
      <c r="Y11" s="14" t="n">
        <v>0</v>
      </c>
      <c r="Z11" s="13" t="n">
        <v>0</v>
      </c>
      <c r="AA11" s="16">
        <v>0</v>
      </c>
      <c r="AB11" s="17">
        <v>0</v>
      </c>
      <c r="AC11" s="15">
        <f t="shared" si="4"/>
        <v>5.5555555555555552E-2</v>
      </c>
      <c r="AD11" s="15">
        <f t="shared" si="5"/>
        <v>1</v>
      </c>
      <c r="AE11" s="18" t="str">
        <f t="shared" si="6"/>
        <v/>
      </c>
      <c r="AF11" s="19" t="str">
        <f t="shared" si="7"/>
        <v/>
      </c>
      <c r="AI11" s="20">
        <f t="shared" si="8"/>
        <v>5.556655555555555E-2</v>
      </c>
    </row>
    <row r="12" spans="1:31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  <v/>
      </c>
      <c r="D12" s="13">
        <f>SUMIF(Справочники!$H$4:$H$21,$B12,Справочники!$E$4:$E$21)</f>
        <v>0</v>
      </c>
      <c r="E12" s="14">
        <v>14729615980.030001</v>
      </c>
      <c r="F12" s="13">
        <v>438</v>
      </c>
      <c r="G12" s="14">
        <f t="shared" si="0"/>
        <v>597998506.93000007</v>
      </c>
      <c r="H12" s="13">
        <f t="shared" si="1"/>
        <v>62</v>
      </c>
      <c r="I12" s="15">
        <f t="shared" si="2"/>
        <v>4.0598377292439237E-2</v>
      </c>
      <c r="J12" s="15">
        <f t="shared" si="3"/>
        <v>0.14155251141552511</v>
      </c>
      <c r="K12" s="14">
        <v>0</v>
      </c>
      <c r="L12" s="13">
        <v>0</v>
      </c>
      <c r="M12" s="14">
        <v>458648201.79000002</v>
      </c>
      <c r="N12" s="13">
        <v>30</v>
      </c>
      <c r="O12" s="14">
        <v>458648201.79000002</v>
      </c>
      <c r="P12" s="13">
        <v>30</v>
      </c>
      <c r="Q12" s="14">
        <v>0</v>
      </c>
      <c r="R12" s="13">
        <v>0</v>
      </c>
      <c r="S12" s="14" t="n">
        <v>0</v>
      </c>
      <c r="T12" s="13" t="n">
        <v>0</v>
      </c>
      <c r="U12" s="14">
        <v>139350305.13999999</v>
      </c>
      <c r="V12" s="13">
        <v>32</v>
      </c>
      <c r="W12" s="14">
        <v>0</v>
      </c>
      <c r="X12" s="13">
        <v>0</v>
      </c>
      <c r="Y12" s="14" t="n">
        <v>0</v>
      </c>
      <c r="Z12" s="13" t="n">
        <v>0</v>
      </c>
      <c r="AA12" s="16">
        <v>0</v>
      </c>
      <c r="AB12" s="17">
        <v>5</v>
      </c>
      <c r="AC12" s="15">
        <f t="shared" si="4"/>
        <v>0.4838709677419355</v>
      </c>
      <c r="AD12" s="15">
        <f t="shared" si="5"/>
        <v>1</v>
      </c>
      <c r="AE12" s="18" t="str">
        <f t="shared" si="6"/>
        <v/>
      </c>
      <c r="AF12" s="19" t="str">
        <f t="shared" si="7"/>
        <v/>
      </c>
      <c r="AI12" s="20">
        <f t="shared" si="8"/>
        <v>0.48388296774193551</v>
      </c>
    </row>
    <row r="13" spans="1:31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  <v/>
      </c>
      <c r="D13" s="13">
        <f>SUMIF(Справочники!$H$4:$H$21,$B13,Справочники!$E$4:$E$21)</f>
        <v>0</v>
      </c>
      <c r="E13" s="14">
        <v>16007858956.77</v>
      </c>
      <c r="F13" s="13">
        <v>549</v>
      </c>
      <c r="G13" s="14">
        <f t="shared" si="0"/>
        <v>267212425.58000001</v>
      </c>
      <c r="H13" s="13">
        <f t="shared" si="1"/>
        <v>61</v>
      </c>
      <c r="I13" s="15">
        <f t="shared" si="2"/>
        <v>1.669257745846088E-2</v>
      </c>
      <c r="J13" s="15">
        <f t="shared" si="3"/>
        <v>0.1111111111111111</v>
      </c>
      <c r="K13" s="14">
        <v>0</v>
      </c>
      <c r="L13" s="13">
        <v>0</v>
      </c>
      <c r="M13" s="14">
        <v>38436085.840000004</v>
      </c>
      <c r="N13" s="13">
        <v>15</v>
      </c>
      <c r="O13" s="14">
        <v>38436085.840000004</v>
      </c>
      <c r="P13" s="13">
        <v>15</v>
      </c>
      <c r="Q13" s="14">
        <v>0</v>
      </c>
      <c r="R13" s="13">
        <v>0</v>
      </c>
      <c r="S13" s="14" t="n">
        <v>0</v>
      </c>
      <c r="T13" s="13" t="n">
        <v>0</v>
      </c>
      <c r="U13" s="14">
        <v>228776339.74000001</v>
      </c>
      <c r="V13" s="13">
        <v>46</v>
      </c>
      <c r="W13" s="14">
        <v>0</v>
      </c>
      <c r="X13" s="13">
        <v>0</v>
      </c>
      <c r="Y13" s="14" t="n">
        <v>0</v>
      </c>
      <c r="Z13" s="13" t="n">
        <v>0</v>
      </c>
      <c r="AA13" s="16">
        <v>0</v>
      </c>
      <c r="AB13" s="17">
        <v>1</v>
      </c>
      <c r="AC13" s="15">
        <f t="shared" si="4"/>
        <v>0.24590163934426229</v>
      </c>
      <c r="AD13" s="15">
        <f t="shared" si="5"/>
        <v>1</v>
      </c>
      <c r="AE13" s="18" t="str">
        <f t="shared" si="6"/>
        <v/>
      </c>
      <c r="AF13" s="19" t="str">
        <f t="shared" si="7"/>
        <v/>
      </c>
      <c r="AI13" s="20">
        <f t="shared" si="8"/>
        <v>0.2459146393442623</v>
      </c>
    </row>
    <row r="14" spans="1:31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  <v/>
      </c>
      <c r="D14" s="13">
        <f>SUMIF(Справочники!$H$4:$H$21,$B14,Справочники!$E$4:$E$21)</f>
        <v>0</v>
      </c>
      <c r="E14" s="14">
        <v>7189760534.1000004</v>
      </c>
      <c r="F14" s="13">
        <v>151</v>
      </c>
      <c r="G14" s="14">
        <f t="shared" si="0"/>
        <v>97690450.189999998</v>
      </c>
      <c r="H14" s="13">
        <f t="shared" si="1"/>
        <v>17</v>
      </c>
      <c r="I14" s="15">
        <f t="shared" si="2"/>
        <v>1.3587441435172735E-2</v>
      </c>
      <c r="J14" s="15">
        <f t="shared" si="3"/>
        <v>0.11258278145695365</v>
      </c>
      <c r="K14" s="14">
        <v>0</v>
      </c>
      <c r="L14" s="13">
        <v>0</v>
      </c>
      <c r="M14" s="14">
        <v>45343085.590000004</v>
      </c>
      <c r="N14" s="13">
        <v>10</v>
      </c>
      <c r="O14" s="14">
        <v>6824473.1699999999</v>
      </c>
      <c r="P14" s="13">
        <v>1</v>
      </c>
      <c r="Q14" s="14">
        <v>0</v>
      </c>
      <c r="R14" s="13">
        <v>0</v>
      </c>
      <c r="S14" s="14" t="n">
        <v>0</v>
      </c>
      <c r="T14" s="13" t="n">
        <v>0</v>
      </c>
      <c r="U14" s="14">
        <v>52347364.600000001</v>
      </c>
      <c r="V14" s="13">
        <v>7</v>
      </c>
      <c r="W14" s="14">
        <v>0</v>
      </c>
      <c r="X14" s="13">
        <v>0</v>
      </c>
      <c r="Y14" s="14" t="n">
        <v>0</v>
      </c>
      <c r="Z14" s="13" t="n">
        <v>0</v>
      </c>
      <c r="AA14" s="16">
        <v>0</v>
      </c>
      <c r="AB14" s="17">
        <v>0</v>
      </c>
      <c r="AC14" s="15">
        <f t="shared" si="4"/>
        <v>0.58823529411764708</v>
      </c>
      <c r="AD14" s="15">
        <f t="shared" si="5"/>
        <v>0.1</v>
      </c>
      <c r="AE14" s="18" t="str">
        <f t="shared" si="6"/>
        <v/>
      </c>
      <c r="AF14" s="19" t="str">
        <f t="shared" si="7"/>
        <v/>
      </c>
      <c r="AI14" s="20">
        <f t="shared" si="8"/>
        <v>0.58824929411764704</v>
      </c>
    </row>
    <row r="15" spans="1:31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  <v/>
      </c>
      <c r="D15" s="13">
        <f>SUMIF(Справочники!$H$4:$H$21,$B15,Справочники!$E$4:$E$21)</f>
        <v>0</v>
      </c>
      <c r="E15" s="14">
        <v>16585229279.559999</v>
      </c>
      <c r="F15" s="13">
        <v>558</v>
      </c>
      <c r="G15" s="14">
        <f t="shared" si="0"/>
        <v>1083751094.2</v>
      </c>
      <c r="H15" s="13">
        <f t="shared" si="1"/>
        <v>97</v>
      </c>
      <c r="I15" s="15">
        <f t="shared" si="2"/>
        <v>6.5344354059406265E-2</v>
      </c>
      <c r="J15" s="15">
        <f t="shared" si="3"/>
        <v>0.17383512544802868</v>
      </c>
      <c r="K15" s="14">
        <v>0</v>
      </c>
      <c r="L15" s="13">
        <v>0</v>
      </c>
      <c r="M15" s="14">
        <v>129816911.17</v>
      </c>
      <c r="N15" s="13">
        <v>18</v>
      </c>
      <c r="O15" s="14">
        <v>2379524.4900000002</v>
      </c>
      <c r="P15" s="13">
        <v>2</v>
      </c>
      <c r="Q15" s="14">
        <v>0</v>
      </c>
      <c r="R15" s="13">
        <v>0</v>
      </c>
      <c r="S15" s="14" t="n">
        <v>0</v>
      </c>
      <c r="T15" s="13" t="n">
        <v>0</v>
      </c>
      <c r="U15" s="14">
        <v>953934183.02999997</v>
      </c>
      <c r="V15" s="13">
        <v>79</v>
      </c>
      <c r="W15" s="14">
        <v>3291590.6</v>
      </c>
      <c r="X15" s="13">
        <v>2</v>
      </c>
      <c r="Y15" s="14" t="n">
        <v>0</v>
      </c>
      <c r="Z15" s="13" t="n">
        <v>0</v>
      </c>
      <c r="AA15" s="16">
        <v>0</v>
      </c>
      <c r="AB15" s="17">
        <v>6</v>
      </c>
      <c r="AC15" s="15">
        <f t="shared" si="4"/>
        <v>0.18556701030927836</v>
      </c>
      <c r="AD15" s="15">
        <f t="shared" si="5"/>
        <v>0.1111111111111111</v>
      </c>
      <c r="AE15" s="18" t="str">
        <f t="shared" si="6"/>
        <v/>
      </c>
      <c r="AF15" s="19" t="str">
        <f t="shared" si="7"/>
        <v/>
      </c>
      <c r="AI15" s="20">
        <f t="shared" si="8"/>
        <v>0.18558201030927834</v>
      </c>
    </row>
    <row r="16" spans="1:31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  <v/>
      </c>
      <c r="D16" s="13">
        <f>SUMIF(Справочники!$H$4:$H$21,$B16,Справочники!$E$4:$E$21)</f>
        <v>0</v>
      </c>
      <c r="E16" s="14">
        <v>36871386933.1101</v>
      </c>
      <c r="F16" s="13">
        <v>842</v>
      </c>
      <c r="G16" s="14">
        <f t="shared" si="0"/>
        <v>886986634.88</v>
      </c>
      <c r="H16" s="13">
        <f t="shared" si="1"/>
        <v>93</v>
      </c>
      <c r="I16" s="15">
        <f t="shared" si="2"/>
        <v>2.4056231909288329E-2</v>
      </c>
      <c r="J16" s="15">
        <f t="shared" si="3"/>
        <v>0.11045130641330166</v>
      </c>
      <c r="K16" s="14">
        <v>0</v>
      </c>
      <c r="L16" s="13">
        <v>0</v>
      </c>
      <c r="M16" s="14">
        <v>0</v>
      </c>
      <c r="N16" s="13">
        <v>0</v>
      </c>
      <c r="O16" s="14">
        <v>0</v>
      </c>
      <c r="P16" s="13">
        <v>0</v>
      </c>
      <c r="Q16" s="14">
        <v>0</v>
      </c>
      <c r="R16" s="13">
        <v>0</v>
      </c>
      <c r="S16" s="14" t="n">
        <v>0</v>
      </c>
      <c r="T16" s="13" t="n">
        <v>0</v>
      </c>
      <c r="U16" s="14">
        <v>886986634.88</v>
      </c>
      <c r="V16" s="13">
        <v>93</v>
      </c>
      <c r="W16" s="14">
        <v>0</v>
      </c>
      <c r="X16" s="13">
        <v>0</v>
      </c>
      <c r="Y16" s="14" t="n">
        <v>0</v>
      </c>
      <c r="Z16" s="13" t="n">
        <v>0</v>
      </c>
      <c r="AA16" s="16">
        <v>0</v>
      </c>
      <c r="AB16" s="17">
        <v>0</v>
      </c>
      <c r="AC16" s="15">
        <f t="shared" si="4"/>
        <v>0</v>
      </c>
      <c r="AD16" s="15" t="str">
        <f t="shared" si="5"/>
        <v/>
      </c>
      <c r="AE16" s="18" t="str">
        <f t="shared" si="6"/>
        <v/>
      </c>
      <c r="AF16" s="19" t="str">
        <f t="shared" si="7"/>
        <v/>
      </c>
      <c r="AI16" s="20">
        <f t="shared" si="8"/>
        <v>1.5999999999999999E-5</v>
      </c>
    </row>
    <row r="17" spans="1:31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  <v/>
      </c>
      <c r="D17" s="13">
        <f>SUMIF(Справочники!$H$4:$H$21,$B17,Справочники!$E$4:$E$21)</f>
        <v>0</v>
      </c>
      <c r="E17" s="14">
        <v>43531854598.510101</v>
      </c>
      <c r="F17" s="13">
        <v>908</v>
      </c>
      <c r="G17" s="14">
        <f t="shared" si="0"/>
        <v>1625726684.3</v>
      </c>
      <c r="H17" s="13">
        <f t="shared" si="1"/>
        <v>115</v>
      </c>
      <c r="I17" s="15">
        <f t="shared" si="2"/>
        <v>3.7345679371897041E-2</v>
      </c>
      <c r="J17" s="15">
        <f t="shared" si="3"/>
        <v>0.12665198237885464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 t="n">
        <v>0</v>
      </c>
      <c r="T17" s="13" t="n">
        <v>0</v>
      </c>
      <c r="U17" s="14">
        <v>1625726684.3</v>
      </c>
      <c r="V17" s="13">
        <v>115</v>
      </c>
      <c r="W17" s="14">
        <v>0</v>
      </c>
      <c r="X17" s="13">
        <v>0</v>
      </c>
      <c r="Y17" s="14" t="n">
        <v>0</v>
      </c>
      <c r="Z17" s="13" t="n">
        <v>0</v>
      </c>
      <c r="AA17" s="16">
        <v>0</v>
      </c>
      <c r="AB17" s="17">
        <v>0</v>
      </c>
      <c r="AC17" s="15">
        <f t="shared" si="4"/>
        <v>0</v>
      </c>
      <c r="AD17" s="15" t="str">
        <f t="shared" si="5"/>
        <v/>
      </c>
      <c r="AE17" s="18" t="str">
        <f t="shared" si="6"/>
        <v/>
      </c>
      <c r="AF17" s="19" t="str">
        <f t="shared" si="7"/>
        <v/>
      </c>
      <c r="AI17" s="20">
        <f t="shared" si="8"/>
        <v>1.7E-5</v>
      </c>
    </row>
    <row r="18" spans="1:31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  <v/>
      </c>
      <c r="D18" s="13">
        <f>SUMIF(Справочники!$H$4:$H$21,$B18,Справочники!$E$4:$E$21)</f>
        <v>0</v>
      </c>
      <c r="E18" s="14">
        <v>17403438751.5</v>
      </c>
      <c r="F18" s="13">
        <v>361</v>
      </c>
      <c r="G18" s="14">
        <f t="shared" si="0"/>
        <v>806811380</v>
      </c>
      <c r="H18" s="13">
        <f t="shared" si="1"/>
        <v>53</v>
      </c>
      <c r="I18" s="15">
        <f t="shared" si="2"/>
        <v>4.6359308152847729E-2</v>
      </c>
      <c r="J18" s="15">
        <f t="shared" si="3"/>
        <v>0.14681440443213298</v>
      </c>
      <c r="K18" s="14">
        <v>0</v>
      </c>
      <c r="L18" s="13">
        <v>0</v>
      </c>
      <c r="M18" s="14">
        <v>0</v>
      </c>
      <c r="N18" s="13">
        <v>0</v>
      </c>
      <c r="O18" s="14">
        <v>0</v>
      </c>
      <c r="P18" s="13">
        <v>0</v>
      </c>
      <c r="Q18" s="14">
        <v>0</v>
      </c>
      <c r="R18" s="13">
        <v>0</v>
      </c>
      <c r="S18" s="14" t="n">
        <v>0</v>
      </c>
      <c r="T18" s="13" t="n">
        <v>0</v>
      </c>
      <c r="U18" s="14">
        <v>806811380</v>
      </c>
      <c r="V18" s="13">
        <v>53</v>
      </c>
      <c r="W18" s="14">
        <v>0</v>
      </c>
      <c r="X18" s="13">
        <v>0</v>
      </c>
      <c r="Y18" s="14" t="n">
        <v>0</v>
      </c>
      <c r="Z18" s="13" t="n">
        <v>0</v>
      </c>
      <c r="AA18" s="16">
        <v>0</v>
      </c>
      <c r="AB18" s="17">
        <v>0</v>
      </c>
      <c r="AC18" s="15">
        <f t="shared" si="4"/>
        <v>0</v>
      </c>
      <c r="AD18" s="15" t="str">
        <f t="shared" si="5"/>
        <v/>
      </c>
      <c r="AE18" s="18" t="str">
        <f t="shared" si="6"/>
        <v/>
      </c>
      <c r="AF18" s="19" t="str">
        <f t="shared" si="7"/>
        <v/>
      </c>
      <c r="AI18" s="20">
        <f t="shared" si="8"/>
        <v>1.8E-5</v>
      </c>
    </row>
    <row r="19" spans="1:31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  <v/>
      </c>
      <c r="D19" s="13">
        <f>SUMIF(Справочники!$H$4:$H$21,$B19,Справочники!$E$4:$E$21)</f>
        <v>0</v>
      </c>
      <c r="E19" s="14">
        <v>20499095940.689999</v>
      </c>
      <c r="F19" s="13">
        <v>504</v>
      </c>
      <c r="G19" s="14">
        <f t="shared" si="0"/>
        <v>293459857.04000002</v>
      </c>
      <c r="H19" s="13">
        <f t="shared" si="1"/>
        <v>49</v>
      </c>
      <c r="I19" s="15">
        <f t="shared" si="2"/>
        <v>1.4315746308474625E-2</v>
      </c>
      <c r="J19" s="15">
        <f t="shared" si="3"/>
        <v>9.7222222222222224E-2</v>
      </c>
      <c r="K19" s="14">
        <v>0</v>
      </c>
      <c r="L19" s="13">
        <v>0</v>
      </c>
      <c r="M19" s="14">
        <v>99260993.430000007</v>
      </c>
      <c r="N19" s="13">
        <v>23</v>
      </c>
      <c r="O19" s="14">
        <v>46979111.560000002</v>
      </c>
      <c r="P19" s="13">
        <v>6</v>
      </c>
      <c r="Q19" s="14">
        <v>0</v>
      </c>
      <c r="R19" s="13">
        <v>0</v>
      </c>
      <c r="S19" s="14" t="n">
        <v>0</v>
      </c>
      <c r="T19" s="13" t="n">
        <v>0</v>
      </c>
      <c r="U19" s="14">
        <v>194198863.61000001</v>
      </c>
      <c r="V19" s="13">
        <v>26</v>
      </c>
      <c r="W19" s="14">
        <v>0</v>
      </c>
      <c r="X19" s="13">
        <v>0</v>
      </c>
      <c r="Y19" s="14" t="n">
        <v>0</v>
      </c>
      <c r="Z19" s="13" t="n">
        <v>0</v>
      </c>
      <c r="AA19" s="16">
        <v>0</v>
      </c>
      <c r="AB19" s="17">
        <v>3</v>
      </c>
      <c r="AC19" s="15">
        <f t="shared" si="4"/>
        <v>0.46938775510204084</v>
      </c>
      <c r="AD19" s="15">
        <f t="shared" si="5"/>
        <v>0.2608695652173913</v>
      </c>
      <c r="AE19" s="18" t="str">
        <f t="shared" si="6"/>
        <v/>
      </c>
      <c r="AF19" s="19" t="str">
        <f t="shared" si="7"/>
        <v/>
      </c>
      <c r="AI19" s="20">
        <f t="shared" si="8"/>
        <v>0.46940675510204083</v>
      </c>
    </row>
    <row r="20" spans="1:31" ht="21.75" customHeight="1" x14ac:dyDescent="0.25">
      <c r="A20" s="23"/>
      <c r="B20" s="69" t="s">
        <v>45</v>
      </c>
      <c r="C20" s="69"/>
      <c r="D20" s="24">
        <f>SUM(D6:D19)</f>
        <v>0</v>
      </c>
      <c r="E20" s="25">
        <f>SUM(E6:E19)</f>
        <v>243298761566.53021</v>
      </c>
      <c r="F20" s="24">
        <f>SUM(F6:F19)</f>
        <v>6312</v>
      </c>
      <c r="G20" s="25">
        <f>SUM(G6:G19)</f>
        <v>6901439547.2700005</v>
      </c>
      <c r="H20" s="24">
        <f>SUM(H6:H19)</f>
        <v>725</v>
      </c>
      <c r="I20" s="26">
        <f>IFERROR($G20/$E20,"")</f>
        <v>2.836611046777892E-2</v>
      </c>
      <c r="J20" s="26">
        <f>IFERROR($H20/$F20,"")</f>
        <v>0.11486058301647656</v>
      </c>
      <c r="K20" s="25">
        <f>SUM(K6:K19)</f>
        <v>0</v>
      </c>
      <c r="L20" s="24">
        <f>SUM(L6:L19)</f>
        <v>0</v>
      </c>
      <c r="M20" s="25">
        <f t="shared" ref="M20:AB20" si="9">SUM(M6:M19)</f>
        <v>1188247694.5900002</v>
      </c>
      <c r="N20" s="24">
        <f t="shared" si="9"/>
        <v>166</v>
      </c>
      <c r="O20" s="25">
        <f t="shared" si="9"/>
        <v>748285987.45000005</v>
      </c>
      <c r="P20" s="24">
        <f t="shared" si="9"/>
        <v>96</v>
      </c>
      <c r="Q20" s="25">
        <f t="shared" ref="Q20" si="10">SUM(Q6:Q19)</f>
        <v>0</v>
      </c>
      <c r="R20" s="24">
        <f t="shared" ref="R20" si="11">SUM(R6:R19)</f>
        <v>0</v>
      </c>
      <c r="S20" s="25" t="n">
        <f>SUM(S6:S19)</f>
        <v>0</v>
      </c>
      <c r="T20" s="24" t="n">
        <f>SUM(T6:T19)</f>
        <v>0</v>
      </c>
      <c r="U20" s="25">
        <f t="shared" si="9"/>
        <v>5713191852.6799994</v>
      </c>
      <c r="V20" s="24">
        <f t="shared" si="9"/>
        <v>559</v>
      </c>
      <c r="W20" s="25">
        <f t="shared" si="9"/>
        <v>3291590.6</v>
      </c>
      <c r="X20" s="24">
        <f t="shared" si="9"/>
        <v>2</v>
      </c>
      <c r="Y20" s="25" t="n">
        <f>SUM(Y6:Y19)</f>
        <v>0</v>
      </c>
      <c r="Z20" s="24" t="n">
        <f>SUM(Z6:Z19)</f>
        <v>0</v>
      </c>
      <c r="AA20" s="25">
        <f t="shared" si="9"/>
        <v>0</v>
      </c>
      <c r="AB20" s="24">
        <f t="shared" si="9"/>
        <v>28</v>
      </c>
      <c r="AC20" s="26">
        <f>IFERROR($N20/$H20,"")</f>
        <v>0.22896551724137931</v>
      </c>
      <c r="AD20" s="26">
        <f>IFERROR($P20/$N20,"")</f>
        <v>0.57831325301204817</v>
      </c>
      <c r="AE20" s="27" t="str">
        <f>IFERROR($H20/$D20,"")</f>
        <v/>
      </c>
      <c r="AF20" s="28" t="str">
        <f>IFERROR($N20/$D20,"")</f>
        <v/>
      </c>
    </row>
    <row r="21" spans="1:31" ht="22.5" customHeight="1" x14ac:dyDescent="0.25">
      <c r="G21" s="95" t="inlineStr">
        <is>
          <t xml:space="preserve">= Дозвон всего + Ishlanmagan + Ko'tarmadi + Объезд</t>
        </is>
      </c>
      <c r="K21" s="95" t="inlineStr">
        <is>
          <t xml:space="preserve">= Дозвон всего + Ko'tarmadi (все, кому звонили)</t>
        </is>
      </c>
      <c r="M21" s="95" t="inlineStr">
        <is>
          <t xml:space="preserve">= все, кто взял трубку: Va'da berdi + To'ladi</t>
        </is>
      </c>
      <c r="AA21" s="95" t="inlineStr">
        <is>
          <t xml:space="preserve">= Оплатил дозвон + Объезд оплатил + оплаты без разговора</t>
        </is>
      </c>
    </row>
    <row r="26" spans="1:31" ht="15" customHeight="1" x14ac:dyDescent="0.25">
      <c r="A26" s="29"/>
    </row>
  </sheetData>
  <autoFilter ref="A5:AI19" xr:uid="{00000000-0001-0000-0000-000000000000}"/>
  <mergeCells count="13">
    <mergeCell ref="K4:L4"/>
    <mergeCell ref="A1:J1"/>
    <mergeCell ref="A2:B2"/>
    <mergeCell ref="E2:F2"/>
    <mergeCell ref="N2:O2"/>
    <mergeCell ref="A3:AI3"/>
    <mergeCell ref="AC4:AF4"/>
    <mergeCell ref="B20:C20"/>
    <mergeCell ref="M4:P4"/>
    <mergeCell ref="Q4:V4"/>
    <mergeCell ref="E4:F4"/>
    <mergeCell ref="G4:J4"/>
    <mergeCell ref="W4:AB4"/>
  </mergeCells>
  <conditionalFormatting sqref="I6:I19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AC6:AC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E6:AE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AA6:AB23" xr:uid="{00000000-0002-0000-0000-000000000000}">
      <formula1>0</formula1>
      <formula2>0</formula2>
    </dataValidation>
  </dataValidation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Ввод!$I$20</f>
        <v>2.836611046777892E-2</v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inlineStr">
        <is>
          <t xml:space="preserve">Звонков всего, шт</t>
        </is>
      </c>
      <c r="B11" s="83"/>
      <c r="C11" s="83"/>
      <c r="D11" s="31">
        <f>Ввод!$L$20</f>
      </c>
    </row>
    <row r="12" spans="1:9" ht="15" customHeight="1" x14ac:dyDescent="0.25">
      <c r="A12" s="83" t="inlineStr">
        <is>
          <t xml:space="preserve">Дозвонились, шт</t>
        </is>
      </c>
      <c r="B12" s="83"/>
      <c r="C12" s="83"/>
      <c r="D12" s="31">
        <f>Ввод!$N$20</f>
      </c>
    </row>
    <row r="13" spans="1:9" ht="15" customHeight="1" x14ac:dyDescent="0.25">
      <c r="A13" s="84" t="inlineStr">
        <is>
          <t xml:space="preserve">% дозвона</t>
        </is>
      </c>
      <c r="B13" s="84"/>
      <c r="C13" s="84"/>
      <c r="D13" s="32">
        <f>Ввод!$AC$20</f>
      </c>
    </row>
    <row r="14" spans="1:9" ht="15" customHeight="1" x14ac:dyDescent="0.25">
      <c r="A14" s="83" t="inlineStr">
        <is>
          <t xml:space="preserve">Обещали оплату, шт</t>
        </is>
      </c>
      <c r="B14" s="83"/>
      <c r="C14" s="83"/>
      <c r="D14" s="31">
        <f>Ввод!$P$20</f>
      </c>
    </row>
    <row r="15" spans="1:9" ht="15" customHeight="1" x14ac:dyDescent="0.25">
      <c r="A15" s="83" t="inlineStr">
        <is>
          <t xml:space="preserve">Не взяли трубку (Ko'tarmadi), шт</t>
        </is>
      </c>
      <c r="B15" s="83"/>
      <c r="C15" s="83"/>
      <c r="D15" s="31">
        <f>Ввод!$T$20</f>
      </c>
    </row>
    <row r="16" spans="1:9" ht="15" customHeight="1" x14ac:dyDescent="0.25">
      <c r="A16" s="83" t="inlineStr">
        <is>
          <t xml:space="preserve">Объезд, шт</t>
        </is>
      </c>
      <c r="B16" s="83"/>
      <c r="C16" s="83"/>
      <c r="D16" s="31">
        <f>Ввод!$V$20</f>
      </c>
    </row>
    <row r="17" spans="1:9" ht="15" customHeight="1" x14ac:dyDescent="0.25">
      <c r="A17" s="83" t="inlineStr">
        <is>
          <t xml:space="preserve">Не тронуты (Ishlanmagan), шт</t>
        </is>
      </c>
      <c r="B17" s="83"/>
      <c r="C17" s="83"/>
      <c r="D17" s="31">
        <f>Ввод!$R$20</f>
      </c>
    </row>
    <row r="18" spans="1:9" ht="15" customHeight="1" x14ac:dyDescent="0.25">
      <c r="A18" s="84" t="inlineStr">
        <is>
          <t xml:space="preserve">Оплачено за день, сум</t>
        </is>
      </c>
      <c r="B18" s="84"/>
      <c r="C18" s="84"/>
      <c r="D18" s="31">
        <f>Ввод!$AA$20</f>
      </c>
    </row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IFERROR(Ввод!$AC$6,0)</f>
        <v>0</v>
      </c>
      <c r="E22" s="36" t="str">
        <f>IFERROR(Ввод!$AE$6,0)</f>
        <v/>
      </c>
      <c r="F22" s="37">
        <f>Ввод!$AA$6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IFERROR(Ввод!$AC$7,0)</f>
        <v>0</v>
      </c>
      <c r="E23" s="36" t="str">
        <f>IFERROR(Ввод!$AE$7,0)</f>
        <v/>
      </c>
      <c r="F23" s="37">
        <f>Ввод!$AA$7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IFERROR(Ввод!$AC$8,0)</f>
        <v>0.39215686274509803</v>
      </c>
      <c r="E24" s="36" t="str">
        <f>IFERROR(Ввод!$AE$8,0)</f>
        <v/>
      </c>
      <c r="F24" s="37">
        <f>Ввод!$AA$8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IFERROR(Ввод!$AC$9,0)</f>
        <v>0.87878787878787878</v>
      </c>
      <c r="E25" s="36" t="str">
        <f>IFERROR(Ввод!$AE$9,0)</f>
        <v/>
      </c>
      <c r="F25" s="37">
        <f>Ввод!$AA$9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IFERROR(Ввод!$AC$10,0)</f>
        <v>0.76923076923076927</v>
      </c>
      <c r="E26" s="36" t="str">
        <f>IFERROR(Ввод!$AE$10,0)</f>
        <v/>
      </c>
      <c r="F26" s="37">
        <f>Ввод!$AA$10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IFERROR(Ввод!$AC$11,0)</f>
        <v>5.5555555555555552E-2</v>
      </c>
      <c r="E27" s="36" t="str">
        <f>IFERROR(Ввод!$AE$11,0)</f>
        <v/>
      </c>
      <c r="F27" s="37">
        <f>Ввод!$AA$11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IFERROR(Ввод!$AC$12,0)</f>
        <v>0.4838709677419355</v>
      </c>
      <c r="E28" s="36" t="str">
        <f>IFERROR(Ввод!$AE$12,0)</f>
        <v/>
      </c>
      <c r="F28" s="37">
        <f>Ввод!$AA$12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IFERROR(Ввод!$AC$13,0)</f>
        <v>0.24590163934426229</v>
      </c>
      <c r="E29" s="36" t="str">
        <f>IFERROR(Ввод!$AE$13,0)</f>
        <v/>
      </c>
      <c r="F29" s="37">
        <f>Ввод!$AA$13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IFERROR(Ввод!$AC$14,0)</f>
        <v>0.58823529411764708</v>
      </c>
      <c r="E30" s="36" t="str">
        <f>IFERROR(Ввод!$AE$14,0)</f>
        <v/>
      </c>
      <c r="F30" s="37">
        <f>Ввод!$AA$14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IFERROR(Ввод!$AC$15,0)</f>
        <v>0.18556701030927836</v>
      </c>
      <c r="E31" s="36" t="str">
        <f>IFERROR(Ввод!$AE$15,0)</f>
        <v/>
      </c>
      <c r="F31" s="37">
        <f>Ввод!$AA$15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IFERROR(Ввод!$AC$16,0)</f>
        <v>0</v>
      </c>
      <c r="E32" s="36" t="str">
        <f>IFERROR(Ввод!$AE$16,0)</f>
        <v/>
      </c>
      <c r="F32" s="37">
        <f>Ввод!$AA$16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IFERROR(Ввод!$AC$17,0)</f>
        <v>0</v>
      </c>
      <c r="E33" s="36" t="str">
        <f>IFERROR(Ввод!$AE$17,0)</f>
        <v/>
      </c>
      <c r="F33" s="37">
        <f>Ввод!$AA$17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IFERROR(Ввод!$AC$18,0)</f>
        <v>0</v>
      </c>
      <c r="E34" s="36" t="str">
        <f>IFERROR(Ввод!$AE$18,0)</f>
        <v/>
      </c>
      <c r="F34" s="37">
        <f>Ввод!$AA$18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IFERROR(Ввод!$AC$19,0)</f>
        <v>0.46938775510204084</v>
      </c>
      <c r="E35" s="36" t="str">
        <f>IFERROR(Ввод!$AE$19,0)</f>
        <v/>
      </c>
      <c r="F35" s="37">
        <f>Ввод!$AA$19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IFERROR(INDEX(Ввод!$B$6:$B$19,MATCH(LARGE(Ввод!$AI$6:$AI$19,1),Ввод!$AI$6:$AI$19,0)),"")</f>
        <v>КАШКАДАРЁ ВИЛОЯТИ</v>
      </c>
      <c r="B43" s="77"/>
      <c r="C43" s="78">
        <f>IFERROR(INDEX(Ввод!$AC$6:$AC$19,MATCH(LARGE(Ввод!$AI$6:$AI$19,1),Ввод!$AI$6:$AI$19,0)),"")</f>
        <v>0.87878787878787878</v>
      </c>
      <c r="D43" s="78"/>
      <c r="E43" s="79" t="str">
        <f>IFERROR(INDEX(Ввод!$B$6:$B$19,MATCH(SMALL(Ввод!$AI$6:$AI$19,1),Ввод!$AI$6:$AI$19,0)),"")</f>
        <v>АНДИЖОН ВИЛОЯТИ</v>
      </c>
      <c r="F43" s="79"/>
      <c r="G43" s="79"/>
      <c r="H43" s="80">
        <f>IFERROR(INDEX(Ввод!$AC$6:$AC$19,MATCH(SMALL(Ввод!$AI$6:$AI$19,1),Ввод!$AI$6:$AI$19,0)),"")</f>
        <v>0</v>
      </c>
      <c r="I43" s="80"/>
    </row>
    <row r="44" spans="1:9" ht="15" customHeight="1" x14ac:dyDescent="0.25">
      <c r="A44" s="77" t="str">
        <f>IFERROR(INDEX(Ввод!$B$6:$B$19,MATCH(LARGE(Ввод!$AI$6:$AI$19,2),Ввод!$AI$6:$AI$19,0)),"")</f>
        <v>КОРАКАЛПОГИСТОН РЕСПУБЛИКАСИ</v>
      </c>
      <c r="B44" s="77"/>
      <c r="C44" s="78">
        <f>IFERROR(INDEX(Ввод!$AC$6:$AC$19,MATCH(LARGE(Ввод!$AI$6:$AI$19,2),Ввод!$AI$6:$AI$19,0)),"")</f>
        <v>0.76923076923076927</v>
      </c>
      <c r="D44" s="78"/>
      <c r="E44" s="79" t="str">
        <f>IFERROR(INDEX(Ввод!$B$6:$B$19,MATCH(SMALL(Ввод!$AI$6:$AI$19,2),Ввод!$AI$6:$AI$19,0)),"")</f>
        <v>БУХОРО ВИЛОЯТИ</v>
      </c>
      <c r="F44" s="79"/>
      <c r="G44" s="79"/>
      <c r="H44" s="80">
        <f>IFERROR(INDEX(Ввод!$AC$6:$AC$19,MATCH(SMALL(Ввод!$AI$6:$AI$19,2),Ввод!$AI$6:$AI$19,0)),"")</f>
        <v>0</v>
      </c>
      <c r="I44" s="80"/>
    </row>
    <row r="45" spans="1:9" ht="15" customHeight="1" x14ac:dyDescent="0.25">
      <c r="A45" s="77" t="str">
        <f>IFERROR(INDEX(Ввод!$B$6:$B$19,MATCH(LARGE(Ввод!$AI$6:$AI$19,3),Ввод!$AI$6:$AI$19,0)),"")</f>
        <v>СИРДАРЁ ВИЛОЯТИ</v>
      </c>
      <c r="B45" s="77"/>
      <c r="C45" s="78">
        <f>IFERROR(INDEX(Ввод!$AC$6:$AC$19,MATCH(LARGE(Ввод!$AI$6:$AI$19,3),Ввод!$AI$6:$AI$19,0)),"")</f>
        <v>0.58823529411764708</v>
      </c>
      <c r="D45" s="78"/>
      <c r="E45" s="79" t="str">
        <f>IFERROR(INDEX(Ввод!$B$6:$B$19,MATCH(SMALL(Ввод!$AI$6:$AI$19,3),Ввод!$AI$6:$AI$19,0)),"")</f>
        <v>ТОШКЕНТ ВИЛОЯТИ</v>
      </c>
      <c r="F45" s="79"/>
      <c r="G45" s="79"/>
      <c r="H45" s="80">
        <f>IFERROR(INDEX(Ввод!$AC$6:$AC$19,MATCH(SMALL(Ввод!$AI$6:$AI$19,3),Ввод!$AI$6:$AI$19,0)),"")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4">
    <mergeCell ref="A18:C18"/>
    <mergeCell ref="A17:C17"/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Ввод!$AA$20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Ввод!$N$6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Ввод!$P$6</f>
        <v>0</v>
      </c>
      <c r="L9" s="37">
        <f>Ввод!$AA$6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Ввод!$N$7</f>
        <v>0</v>
      </c>
      <c r="I10" s="35">
        <f t="shared" si="1"/>
        <v>0</v>
      </c>
      <c r="J10" s="36">
        <f t="shared" si="2"/>
        <v>0</v>
      </c>
      <c r="K10" s="34">
        <f>Ввод!$P$7</f>
        <v>0</v>
      </c>
      <c r="L10" s="37">
        <f>Ввод!$AA$7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Ввод!$N$8</f>
        <v>20</v>
      </c>
      <c r="I11" s="35">
        <f t="shared" si="1"/>
        <v>0.39215686274509803</v>
      </c>
      <c r="J11" s="36">
        <f t="shared" si="2"/>
        <v>0</v>
      </c>
      <c r="K11" s="34">
        <f>Ввод!$P$8</f>
        <v>19</v>
      </c>
      <c r="L11" s="37">
        <f>Ввод!$AA$8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Ввод!$N$9</f>
        <v>29</v>
      </c>
      <c r="I12" s="35">
        <f t="shared" si="1"/>
        <v>0.87878787878787878</v>
      </c>
      <c r="J12" s="36">
        <f t="shared" si="2"/>
        <v>0</v>
      </c>
      <c r="K12" s="34">
        <f>Ввод!$P$9</f>
        <v>18</v>
      </c>
      <c r="L12" s="37">
        <f>Ввод!$AA$9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Ввод!$N$10</f>
        <v>20</v>
      </c>
      <c r="I13" s="35">
        <f t="shared" si="1"/>
        <v>0.76923076923076927</v>
      </c>
      <c r="J13" s="36">
        <f t="shared" si="2"/>
        <v>0</v>
      </c>
      <c r="K13" s="34">
        <f>Ввод!$P$10</f>
        <v>4</v>
      </c>
      <c r="L13" s="37">
        <f>Ввод!$AA$10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Ввод!$N$11</f>
        <v>1</v>
      </c>
      <c r="I14" s="35">
        <f t="shared" si="1"/>
        <v>5.5555555555555552E-2</v>
      </c>
      <c r="J14" s="36">
        <f t="shared" si="2"/>
        <v>0</v>
      </c>
      <c r="K14" s="34">
        <f>Ввод!$P$11</f>
        <v>1</v>
      </c>
      <c r="L14" s="37">
        <f>Ввод!$AA$11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Ввод!$N$12</f>
        <v>30</v>
      </c>
      <c r="I15" s="35">
        <f t="shared" si="1"/>
        <v>0.4838709677419355</v>
      </c>
      <c r="J15" s="36">
        <f t="shared" si="2"/>
        <v>0</v>
      </c>
      <c r="K15" s="34">
        <f>Ввод!$P$12</f>
        <v>30</v>
      </c>
      <c r="L15" s="37">
        <f>Ввод!$AA$12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Ввод!$N$13</f>
        <v>15</v>
      </c>
      <c r="I16" s="35">
        <f t="shared" si="1"/>
        <v>0.24590163934426229</v>
      </c>
      <c r="J16" s="36">
        <f t="shared" si="2"/>
        <v>0</v>
      </c>
      <c r="K16" s="34">
        <f>Ввод!$P$13</f>
        <v>15</v>
      </c>
      <c r="L16" s="37">
        <f>Ввод!$AA$13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Ввод!$N$14</f>
        <v>10</v>
      </c>
      <c r="I17" s="35">
        <f t="shared" si="1"/>
        <v>0.58823529411764708</v>
      </c>
      <c r="J17" s="36">
        <f t="shared" si="2"/>
        <v>0</v>
      </c>
      <c r="K17" s="34">
        <f>Ввод!$P$14</f>
        <v>1</v>
      </c>
      <c r="L17" s="37">
        <f>Ввод!$AA$14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Ввод!$N$15</f>
        <v>18</v>
      </c>
      <c r="I18" s="35">
        <f t="shared" si="1"/>
        <v>0.18556701030927836</v>
      </c>
      <c r="J18" s="36">
        <f t="shared" si="2"/>
        <v>0</v>
      </c>
      <c r="K18" s="34">
        <f>Ввод!$P$15</f>
        <v>2</v>
      </c>
      <c r="L18" s="37">
        <f>Ввод!$AA$15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Ввод!$N$16</f>
        <v>0</v>
      </c>
      <c r="I19" s="35">
        <f t="shared" si="1"/>
        <v>0</v>
      </c>
      <c r="J19" s="36">
        <f t="shared" si="2"/>
        <v>0</v>
      </c>
      <c r="K19" s="34">
        <f>Ввод!$P$16</f>
        <v>0</v>
      </c>
      <c r="L19" s="37">
        <f>Ввод!$AA$16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Ввод!$N$17</f>
        <v>0</v>
      </c>
      <c r="I20" s="35">
        <f t="shared" si="1"/>
        <v>0</v>
      </c>
      <c r="J20" s="36">
        <f t="shared" si="2"/>
        <v>0</v>
      </c>
      <c r="K20" s="34">
        <f>Ввод!$P$17</f>
        <v>0</v>
      </c>
      <c r="L20" s="37">
        <f>Ввод!$AA$17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Ввод!$N$18</f>
        <v>0</v>
      </c>
      <c r="I21" s="35">
        <f t="shared" si="1"/>
        <v>0</v>
      </c>
      <c r="J21" s="36">
        <f t="shared" si="2"/>
        <v>0</v>
      </c>
      <c r="K21" s="34">
        <f>Ввод!$P$18</f>
        <v>0</v>
      </c>
      <c r="L21" s="37">
        <f>Ввод!$AA$18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Ввод!$N$19</f>
        <v>23</v>
      </c>
      <c r="I22" s="35">
        <f t="shared" si="1"/>
        <v>0.46938775510204084</v>
      </c>
      <c r="J22" s="36">
        <f t="shared" si="2"/>
        <v>0</v>
      </c>
      <c r="K22" s="34">
        <f>Ввод!$P$19</f>
        <v>6</v>
      </c>
      <c r="L22" s="37">
        <f>Ввод!$AA$19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 t="inlineStr">
        <is>
          <t xml:space="preserve">СТРУКТУРА РАБОТЫ С ПРОСРОЧКОЙ</t>
        </is>
      </c>
      <c r="B30" s="89"/>
      <c r="C30" s="89"/>
    </row>
    <row r="31" spans="1:14" ht="15" customHeight="1" x14ac:dyDescent="0.25">
      <c r="A31" s="41" t="inlineStr">
        <is>
          <t xml:space="preserve">Группа</t>
        </is>
      </c>
      <c r="B31" s="41" t="inlineStr">
        <is>
          <t xml:space="preserve">Кредитов, шт</t>
        </is>
      </c>
      <c r="C31" s="41" t="inlineStr">
        <is>
          <t xml:space="preserve">Доля</t>
        </is>
      </c>
    </row>
    <row r="32" spans="1:14" ht="15" customHeight="1" x14ac:dyDescent="0.25">
      <c r="A32" s="42" t="inlineStr">
        <is>
          <t xml:space="preserve">Дозвон всего</t>
        </is>
      </c>
      <c r="B32" s="43">
        <f>Ввод!$N$20</f>
      </c>
      <c r="C32" s="44">
        <f>IFERROR(B32/SUM($B$32:$B$35),0)</f>
      </c>
    </row>
    <row r="33" spans="1:7" ht="15" customHeight="1" x14ac:dyDescent="0.25">
      <c r="A33" s="42" t="inlineStr">
        <is>
          <t xml:space="preserve">Ko'tarmadi</t>
        </is>
      </c>
      <c r="B33" s="43">
        <f>Ввод!$T$20</f>
      </c>
      <c r="C33" s="44">
        <f>IFERROR(B33/SUM($B$32:$B$35),0)</f>
      </c>
    </row>
    <row r="34" spans="1:7" ht="15" customHeight="1" x14ac:dyDescent="0.25">
      <c r="A34" s="42" t="inlineStr">
        <is>
          <t xml:space="preserve">Объезд</t>
        </is>
      </c>
      <c r="B34" s="43">
        <f>Ввод!$V$20</f>
      </c>
      <c r="C34" s="44">
        <f>IFERROR(B34/SUM($B$32:$B$35),0)</f>
      </c>
    </row>
    <row r="35" spans="1:7" ht="15" customHeight="1" x14ac:dyDescent="0.25">
      <c r="A35" s="42" t="inlineStr">
        <is>
          <t xml:space="preserve">Ishlanmagan</t>
        </is>
      </c>
      <c r="B35" s="43">
        <f>Ввод!$R$20</f>
      </c>
      <c r="C35" s="44">
        <f>IFERROR(B35/SUM($B$32:$B$35),0)</f>
      </c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7551-58F6-443A-961C-10CD0BED2FFC}">
  <dimension ref="A1"/>
  <sheetViews>
    <sheetView workbookViewId="0"/>
  </sheetViews>
  <sheetFormatPr defaultRowHeight="15" x14ac:dyDescent="0.25"/>
  <sheetData>
    <row r="1" spans="1:1" x14ac:dyDescent="0.25">
      <c r="A1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"/>
  <sheetData/>
</worksheet>
</file>

<file path=xl/worksheets/sheet7.xml><?xml version="1.0" encoding="utf-8"?>
<worksheet xmlns="http://schemas.openxmlformats.org/spreadsheetml/2006/main">
  <dimension ref="A1"/>
  <sheetData/>
</worksheet>
</file>

<file path=xl/worksheets/sheet8.xml><?xml version="1.0" encoding="utf-8"?>
<worksheet xmlns="http://schemas.openxmlformats.org/spreadsheetml/2006/main">
  <dimension ref="A1"/>
  <sheetData/>
</worksheet>
</file>

<file path=xl/worksheets/sheet9.xml><?xml version="1.0" encoding="utf-8"?>
<worksheet xmlns="http://schemas.openxmlformats.org/spreadsheetml/2006/main">
  <dimension ref="A1"/>
  <sheetData/>
</worksheet>
</file>

<file path=xl/worksheets/sheet10.xml><?xml version="1.0" encoding="utf-8"?>
<worksheet xmlns="http://schemas.openxmlformats.org/spreadsheetml/2006/main">
  <dimension ref="A1"/>
  <sheetData/>
</worksheet>
</file>

<file path=xl/worksheets/sheet12.xml><?xml version="1.0" encoding="utf-8"?>
<worksheet xmlns="http://schemas.openxmlformats.org/spreadsheetml/2006/main">
  <dimension ref="A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</vt:i4>
      </vt:variant>
    </vt:vector>
  </HeadingPairs>
  <TitlesOfParts>
    <vt:vector size="13" baseType="lpstr">
      <vt:lpstr>Ввод</vt:lpstr>
      <vt:lpstr>Отчёт_дня</vt:lpstr>
      <vt:lpstr>Дашборд</vt:lpstr>
      <vt:lpstr>Справочники</vt:lpstr>
      <vt:lpstr>Дозвонились</vt:lpstr>
      <vt:lpstr>Обещали</vt:lpstr>
      <vt:lpstr>Ishlanmagan</vt:lpstr>
      <vt:lpstr>Ko'tarmadi</vt:lpstr>
      <vt:lpstr>Объезд</vt:lpstr>
      <vt:lpstr>Оплатили</vt:lpstr>
      <vt:lpstr>Оплатили без разговора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